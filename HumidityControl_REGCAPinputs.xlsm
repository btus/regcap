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ms-office.vbaPro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omments6.xml" ContentType="application/vnd.openxmlformats-officedocument.spreadsheetml.comment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autoCompressPictures="0" defaultThemeVersion="124226"/>
  <bookViews>
    <workbookView xWindow="240" yWindow="240" windowWidth="25365" windowHeight="15285" tabRatio="775" activeTab="13"/>
  </bookViews>
  <sheets>
    <sheet name="mainINPUT" sheetId="1" r:id="rId1"/>
    <sheet name="Geometry" sheetId="2" r:id="rId2"/>
    <sheet name="Leakage" sheetId="3" r:id="rId3"/>
    <sheet name="Flue" sheetId="4" r:id="rId4"/>
    <sheet name="UA" sheetId="5" r:id="rId5"/>
    <sheet name="Fans" sheetId="6" r:id="rId6"/>
    <sheet name="Internal gains" sheetId="7" r:id="rId7"/>
    <sheet name="Attic" sheetId="8" r:id="rId8"/>
    <sheet name="Ducts" sheetId="9" r:id="rId9"/>
    <sheet name="Heat - Cool" sheetId="10" r:id="rId10"/>
    <sheet name="Weather" sheetId="12" r:id="rId11"/>
    <sheet name="Output" sheetId="11" r:id="rId12"/>
    <sheet name="Venting Cutoff Humidity Ratio" sheetId="13" r:id="rId13"/>
    <sheet name="FanUpsizes" sheetId="14" r:id="rId14"/>
  </sheets>
  <definedNames>
    <definedName name="_xlnm._FilterDatabase" localSheetId="13" hidden="1">FanUpsizes!$A$1:$AN$1081</definedName>
    <definedName name="A_atticSI">Geometry!#REF!</definedName>
    <definedName name="A_ceilingSI">Geometry!$D$9</definedName>
    <definedName name="A_houseFT">Geometry!$B$8</definedName>
    <definedName name="A_houseSI">Geometry!$D$8</definedName>
    <definedName name="A_wall">Geometry!$D$18</definedName>
    <definedName name="A_windowSI">Geometry!$D$16</definedName>
    <definedName name="Airtightness">mainINPUT!$A$165:$A$170</definedName>
    <definedName name="C_flueSI">Flue!$D$8</definedName>
    <definedName name="C_name" localSheetId="7">mainINPUT!$K$5</definedName>
    <definedName name="C_name">mainINPUT!$K$5</definedName>
    <definedName name="C_no">mainINPUT!$K$7</definedName>
    <definedName name="FanSize">mainINPUT!$D$165:$D$167</definedName>
    <definedName name="H_attic.ventSI">Geometry!$D$26</definedName>
    <definedName name="H_flueSI">Geometry!$D$28</definedName>
    <definedName name="H_peak">Geometry!$D$25</definedName>
    <definedName name="H_soffitSI">Geometry!$D$15</definedName>
    <definedName name="L_houseSI">Geometry!$D$6</definedName>
    <definedName name="n" comment="Pressure Exponent">Leakage!$D$14</definedName>
    <definedName name="Navent">mainINPUT!$C$80</definedName>
    <definedName name="Nbedrooms">Geometry!$H$9</definedName>
    <definedName name="Nfan">mainINPUT!$C$35</definedName>
    <definedName name="Nflue">mainINPUT!$C$8</definedName>
    <definedName name="Noccupants">Geometry!$H$8</definedName>
    <definedName name="output" localSheetId="11">Output!$K$14:$AM$15</definedName>
    <definedName name="output_11">Output!$A$2:$AE$4</definedName>
    <definedName name="overhang">Geometry!$D$29</definedName>
    <definedName name="planareaSI">Geometry!$D$9</definedName>
    <definedName name="rho_air">Leakage!$D$11</definedName>
    <definedName name="RIVEC_fans">Fans!$M$15:$Q$34</definedName>
    <definedName name="storeys">Geometry!$D$5</definedName>
    <definedName name="Stories" localSheetId="0">mainINPUT!$C$165:$C$166</definedName>
    <definedName name="stories">Geometry!$D$5</definedName>
    <definedName name="Type">mainINPUT!$B$165:$B$166</definedName>
    <definedName name="V_atticSI">Geometry!#REF!</definedName>
    <definedName name="V_houseSI">Geometry!$D$19</definedName>
    <definedName name="W_houseSI">Geometry!$D$7</definedName>
    <definedName name="ws">mainINPUT!$K$9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" i="9"/>
  <c r="D11" i="7"/>
  <c r="B20" i="5"/>
  <c r="F22"/>
  <c r="F21"/>
  <c r="F16"/>
  <c r="F13"/>
  <c r="B6"/>
  <c r="F9"/>
  <c r="F8"/>
  <c r="F7"/>
  <c r="D24" i="2"/>
  <c r="D6" l="1"/>
  <c r="D7"/>
  <c r="A23" i="7"/>
  <c r="C122" i="1"/>
  <c r="G16" i="5"/>
  <c r="H16"/>
  <c r="I16"/>
  <c r="J16"/>
  <c r="K16"/>
  <c r="L16"/>
  <c r="M16"/>
  <c r="N16"/>
  <c r="O16"/>
  <c r="P16"/>
  <c r="Q16"/>
  <c r="R16"/>
  <c r="S16"/>
  <c r="T16"/>
  <c r="K3" i="1"/>
  <c r="C29" i="7"/>
  <c r="C30"/>
  <c r="C31"/>
  <c r="C32"/>
  <c r="C33"/>
  <c r="C34"/>
  <c r="C35"/>
  <c r="C36"/>
  <c r="C37"/>
  <c r="B5" i="6"/>
  <c r="C143" i="1"/>
  <c r="C144"/>
  <c r="C145"/>
  <c r="C146"/>
  <c r="C147"/>
  <c r="C148"/>
  <c r="C149"/>
  <c r="C150"/>
  <c r="C151"/>
  <c r="C152"/>
  <c r="C153"/>
  <c r="C142"/>
  <c r="C131"/>
  <c r="C132"/>
  <c r="C133"/>
  <c r="C134"/>
  <c r="C135"/>
  <c r="C136"/>
  <c r="C137"/>
  <c r="C138"/>
  <c r="C139"/>
  <c r="C140"/>
  <c r="C141"/>
  <c r="C130"/>
  <c r="M130"/>
  <c r="N130"/>
  <c r="O130"/>
  <c r="P130"/>
  <c r="Q130"/>
  <c r="R130"/>
  <c r="S130"/>
  <c r="T130"/>
  <c r="U130"/>
  <c r="V130"/>
  <c r="W130"/>
  <c r="X130"/>
  <c r="Y130"/>
  <c r="Z130"/>
  <c r="AA130"/>
  <c r="AB130"/>
  <c r="M131"/>
  <c r="N131"/>
  <c r="O131"/>
  <c r="P131"/>
  <c r="Q131"/>
  <c r="R131"/>
  <c r="S131"/>
  <c r="T131"/>
  <c r="U131"/>
  <c r="V131"/>
  <c r="W131"/>
  <c r="X131"/>
  <c r="Y131"/>
  <c r="Z131"/>
  <c r="AA131"/>
  <c r="AB131"/>
  <c r="M132"/>
  <c r="N132"/>
  <c r="O132"/>
  <c r="P132"/>
  <c r="Q132"/>
  <c r="R132"/>
  <c r="S132"/>
  <c r="T132"/>
  <c r="U132"/>
  <c r="V132"/>
  <c r="W132"/>
  <c r="X132"/>
  <c r="Y132"/>
  <c r="Z132"/>
  <c r="AA132"/>
  <c r="AB132"/>
  <c r="M133"/>
  <c r="N133"/>
  <c r="O133"/>
  <c r="P133"/>
  <c r="Q133"/>
  <c r="R133"/>
  <c r="S133"/>
  <c r="T133"/>
  <c r="U133"/>
  <c r="V133"/>
  <c r="W133"/>
  <c r="X133"/>
  <c r="Y133"/>
  <c r="Z133"/>
  <c r="AA133"/>
  <c r="AB133"/>
  <c r="M134"/>
  <c r="N134"/>
  <c r="O134"/>
  <c r="P134"/>
  <c r="Q134"/>
  <c r="R134"/>
  <c r="S134"/>
  <c r="T134"/>
  <c r="U134"/>
  <c r="V134"/>
  <c r="W134"/>
  <c r="X134"/>
  <c r="Y134"/>
  <c r="Z134"/>
  <c r="AA134"/>
  <c r="AB134"/>
  <c r="M135"/>
  <c r="N135"/>
  <c r="O135"/>
  <c r="P135"/>
  <c r="Q135"/>
  <c r="R135"/>
  <c r="S135"/>
  <c r="T135"/>
  <c r="U135"/>
  <c r="V135"/>
  <c r="W135"/>
  <c r="X135"/>
  <c r="Y135"/>
  <c r="Z135"/>
  <c r="AA135"/>
  <c r="AB135"/>
  <c r="M136"/>
  <c r="N136"/>
  <c r="O136"/>
  <c r="P136"/>
  <c r="Q136"/>
  <c r="R136"/>
  <c r="S136"/>
  <c r="T136"/>
  <c r="U136"/>
  <c r="V136"/>
  <c r="W136"/>
  <c r="X136"/>
  <c r="Y136"/>
  <c r="Z136"/>
  <c r="AA136"/>
  <c r="AB136"/>
  <c r="M137"/>
  <c r="N137"/>
  <c r="O137"/>
  <c r="P137"/>
  <c r="Q137"/>
  <c r="R137"/>
  <c r="S137"/>
  <c r="T137"/>
  <c r="U137"/>
  <c r="V137"/>
  <c r="W137"/>
  <c r="X137"/>
  <c r="Y137"/>
  <c r="Z137"/>
  <c r="AA137"/>
  <c r="AB137"/>
  <c r="M138"/>
  <c r="N138"/>
  <c r="O138"/>
  <c r="P138"/>
  <c r="Q138"/>
  <c r="R138"/>
  <c r="S138"/>
  <c r="T138"/>
  <c r="U138"/>
  <c r="V138"/>
  <c r="W138"/>
  <c r="X138"/>
  <c r="Y138"/>
  <c r="Z138"/>
  <c r="AA138"/>
  <c r="AB138"/>
  <c r="M139"/>
  <c r="N139"/>
  <c r="O139"/>
  <c r="P139"/>
  <c r="Q139"/>
  <c r="R139"/>
  <c r="S139"/>
  <c r="T139"/>
  <c r="U139"/>
  <c r="V139"/>
  <c r="W139"/>
  <c r="X139"/>
  <c r="Y139"/>
  <c r="Z139"/>
  <c r="AA139"/>
  <c r="AB139"/>
  <c r="M140"/>
  <c r="N140"/>
  <c r="O140"/>
  <c r="P140"/>
  <c r="Q140"/>
  <c r="R140"/>
  <c r="S140"/>
  <c r="T140"/>
  <c r="U140"/>
  <c r="V140"/>
  <c r="W140"/>
  <c r="X140"/>
  <c r="Y140"/>
  <c r="Z140"/>
  <c r="AA140"/>
  <c r="AB140"/>
  <c r="M141"/>
  <c r="N141"/>
  <c r="O141"/>
  <c r="P141"/>
  <c r="Q141"/>
  <c r="R141"/>
  <c r="S141"/>
  <c r="T141"/>
  <c r="U141"/>
  <c r="V141"/>
  <c r="W141"/>
  <c r="X141"/>
  <c r="Y141"/>
  <c r="Z141"/>
  <c r="AA141"/>
  <c r="AB141"/>
  <c r="M142"/>
  <c r="N142"/>
  <c r="O142"/>
  <c r="P142"/>
  <c r="Q142"/>
  <c r="R142"/>
  <c r="S142"/>
  <c r="T142"/>
  <c r="U142"/>
  <c r="V142"/>
  <c r="W142"/>
  <c r="X142"/>
  <c r="Y142"/>
  <c r="Z142"/>
  <c r="AA142"/>
  <c r="AB142"/>
  <c r="M143"/>
  <c r="N143"/>
  <c r="O143"/>
  <c r="P143"/>
  <c r="Q143"/>
  <c r="R143"/>
  <c r="S143"/>
  <c r="T143"/>
  <c r="U143"/>
  <c r="V143"/>
  <c r="W143"/>
  <c r="X143"/>
  <c r="Y143"/>
  <c r="Z143"/>
  <c r="AA143"/>
  <c r="AB143"/>
  <c r="M144"/>
  <c r="N144"/>
  <c r="O144"/>
  <c r="P144"/>
  <c r="Q144"/>
  <c r="R144"/>
  <c r="S144"/>
  <c r="T144"/>
  <c r="U144"/>
  <c r="V144"/>
  <c r="W144"/>
  <c r="X144"/>
  <c r="Y144"/>
  <c r="Z144"/>
  <c r="AA144"/>
  <c r="AB144"/>
  <c r="M145"/>
  <c r="N145"/>
  <c r="O145"/>
  <c r="P145"/>
  <c r="Q145"/>
  <c r="R145"/>
  <c r="S145"/>
  <c r="T145"/>
  <c r="U145"/>
  <c r="V145"/>
  <c r="W145"/>
  <c r="X145"/>
  <c r="Y145"/>
  <c r="Z145"/>
  <c r="AA145"/>
  <c r="AB145"/>
  <c r="M146"/>
  <c r="N146"/>
  <c r="O146"/>
  <c r="P146"/>
  <c r="Q146"/>
  <c r="R146"/>
  <c r="S146"/>
  <c r="T146"/>
  <c r="U146"/>
  <c r="V146"/>
  <c r="W146"/>
  <c r="X146"/>
  <c r="Y146"/>
  <c r="Z146"/>
  <c r="AA146"/>
  <c r="AB146"/>
  <c r="M147"/>
  <c r="N147"/>
  <c r="O147"/>
  <c r="P147"/>
  <c r="Q147"/>
  <c r="R147"/>
  <c r="S147"/>
  <c r="T147"/>
  <c r="U147"/>
  <c r="V147"/>
  <c r="W147"/>
  <c r="X147"/>
  <c r="Y147"/>
  <c r="Z147"/>
  <c r="AA147"/>
  <c r="AB147"/>
  <c r="M148"/>
  <c r="N148"/>
  <c r="O148"/>
  <c r="P148"/>
  <c r="Q148"/>
  <c r="R148"/>
  <c r="S148"/>
  <c r="T148"/>
  <c r="U148"/>
  <c r="V148"/>
  <c r="W148"/>
  <c r="X148"/>
  <c r="Y148"/>
  <c r="Z148"/>
  <c r="AA148"/>
  <c r="AB148"/>
  <c r="M149"/>
  <c r="N149"/>
  <c r="O149"/>
  <c r="P149"/>
  <c r="Q149"/>
  <c r="R149"/>
  <c r="S149"/>
  <c r="T149"/>
  <c r="U149"/>
  <c r="V149"/>
  <c r="W149"/>
  <c r="X149"/>
  <c r="Y149"/>
  <c r="Z149"/>
  <c r="AA149"/>
  <c r="AB149"/>
  <c r="M150"/>
  <c r="N150"/>
  <c r="O150"/>
  <c r="P150"/>
  <c r="Q150"/>
  <c r="R150"/>
  <c r="S150"/>
  <c r="T150"/>
  <c r="U150"/>
  <c r="V150"/>
  <c r="W150"/>
  <c r="X150"/>
  <c r="Y150"/>
  <c r="Z150"/>
  <c r="AA150"/>
  <c r="AB150"/>
  <c r="M151"/>
  <c r="N151"/>
  <c r="O151"/>
  <c r="P151"/>
  <c r="Q151"/>
  <c r="R151"/>
  <c r="S151"/>
  <c r="T151"/>
  <c r="U151"/>
  <c r="V151"/>
  <c r="W151"/>
  <c r="X151"/>
  <c r="Y151"/>
  <c r="Z151"/>
  <c r="AA151"/>
  <c r="AB151"/>
  <c r="M152"/>
  <c r="N152"/>
  <c r="O152"/>
  <c r="P152"/>
  <c r="Q152"/>
  <c r="R152"/>
  <c r="S152"/>
  <c r="T152"/>
  <c r="U152"/>
  <c r="V152"/>
  <c r="W152"/>
  <c r="X152"/>
  <c r="Y152"/>
  <c r="Z152"/>
  <c r="AA152"/>
  <c r="AB152"/>
  <c r="M153"/>
  <c r="N153"/>
  <c r="O153"/>
  <c r="P153"/>
  <c r="Q153"/>
  <c r="R153"/>
  <c r="S153"/>
  <c r="T153"/>
  <c r="U153"/>
  <c r="V153"/>
  <c r="W153"/>
  <c r="X153"/>
  <c r="Y153"/>
  <c r="Z153"/>
  <c r="AA153"/>
  <c r="AB153"/>
  <c r="L143"/>
  <c r="L144"/>
  <c r="L145"/>
  <c r="L146"/>
  <c r="L147"/>
  <c r="L148"/>
  <c r="L149"/>
  <c r="L150"/>
  <c r="L151"/>
  <c r="L152"/>
  <c r="L153"/>
  <c r="L142"/>
  <c r="L141"/>
  <c r="L131"/>
  <c r="L132"/>
  <c r="L133"/>
  <c r="L134"/>
  <c r="L135"/>
  <c r="L136"/>
  <c r="L137"/>
  <c r="L138"/>
  <c r="L139"/>
  <c r="L140"/>
  <c r="L130"/>
  <c r="R20" i="13"/>
  <c r="Q20"/>
  <c r="AA128" i="1"/>
  <c r="H20" i="13"/>
  <c r="E20"/>
  <c r="C20"/>
  <c r="R26"/>
  <c r="AB129" i="1"/>
  <c r="Q26" i="13"/>
  <c r="AA129" i="1"/>
  <c r="H26" i="13"/>
  <c r="E26"/>
  <c r="O129" i="1"/>
  <c r="C26" i="13"/>
  <c r="M129" i="1"/>
  <c r="C126"/>
  <c r="C125"/>
  <c r="M128"/>
  <c r="N128"/>
  <c r="O128"/>
  <c r="P128"/>
  <c r="Q128"/>
  <c r="R128"/>
  <c r="S128"/>
  <c r="T128"/>
  <c r="U128"/>
  <c r="V128"/>
  <c r="W128"/>
  <c r="X128"/>
  <c r="Y128"/>
  <c r="Z128"/>
  <c r="AB128"/>
  <c r="N129"/>
  <c r="P129"/>
  <c r="Q129"/>
  <c r="R129"/>
  <c r="S129"/>
  <c r="T129"/>
  <c r="U129"/>
  <c r="V129"/>
  <c r="W129"/>
  <c r="X129"/>
  <c r="Y129"/>
  <c r="Z129"/>
  <c r="L129"/>
  <c r="L128"/>
  <c r="M127"/>
  <c r="N127"/>
  <c r="O127"/>
  <c r="P127"/>
  <c r="Q127"/>
  <c r="R127"/>
  <c r="S127"/>
  <c r="T127"/>
  <c r="U127"/>
  <c r="V127"/>
  <c r="W127"/>
  <c r="X127"/>
  <c r="Y127"/>
  <c r="Z127"/>
  <c r="AA127"/>
  <c r="AB127"/>
  <c r="L127"/>
  <c r="L125"/>
  <c r="M125"/>
  <c r="N125"/>
  <c r="O125"/>
  <c r="P125"/>
  <c r="Q125"/>
  <c r="R125"/>
  <c r="S125"/>
  <c r="T125"/>
  <c r="U125"/>
  <c r="V125"/>
  <c r="W125"/>
  <c r="X125"/>
  <c r="Y125"/>
  <c r="Z125"/>
  <c r="AA125"/>
  <c r="AB125"/>
  <c r="L126"/>
  <c r="M126"/>
  <c r="N126"/>
  <c r="O126"/>
  <c r="P126"/>
  <c r="Q126"/>
  <c r="R126"/>
  <c r="S126"/>
  <c r="T126"/>
  <c r="U126"/>
  <c r="V126"/>
  <c r="W126"/>
  <c r="X126"/>
  <c r="Y126"/>
  <c r="Z126"/>
  <c r="AA126"/>
  <c r="AB126"/>
  <c r="L21" i="7"/>
  <c r="K21"/>
  <c r="K5" i="1"/>
  <c r="AB2" s="1"/>
  <c r="H37" i="7"/>
  <c r="H36"/>
  <c r="H35"/>
  <c r="H34"/>
  <c r="H33"/>
  <c r="H32"/>
  <c r="H31"/>
  <c r="H30"/>
  <c r="H29"/>
  <c r="B6" i="6"/>
  <c r="I15"/>
  <c r="C45" i="1"/>
  <c r="L45" s="1"/>
  <c r="M38"/>
  <c r="N38"/>
  <c r="O38"/>
  <c r="P38"/>
  <c r="Q38"/>
  <c r="R38"/>
  <c r="S38"/>
  <c r="T38"/>
  <c r="U38"/>
  <c r="V38"/>
  <c r="W38"/>
  <c r="X38"/>
  <c r="Y38"/>
  <c r="Z38"/>
  <c r="AA38"/>
  <c r="AB38"/>
  <c r="L38"/>
  <c r="AC20"/>
  <c r="AC17"/>
  <c r="R10" i="10"/>
  <c r="AA115" i="1"/>
  <c r="S10" i="10"/>
  <c r="AB115" i="1"/>
  <c r="D54" i="10"/>
  <c r="D55"/>
  <c r="D56"/>
  <c r="D57"/>
  <c r="J54"/>
  <c r="K54"/>
  <c r="J55"/>
  <c r="K55"/>
  <c r="J56"/>
  <c r="K56"/>
  <c r="J57"/>
  <c r="K57"/>
  <c r="D58"/>
  <c r="J58"/>
  <c r="K58"/>
  <c r="D59"/>
  <c r="J59"/>
  <c r="K59"/>
  <c r="D60"/>
  <c r="J60"/>
  <c r="K60"/>
  <c r="D61"/>
  <c r="J61"/>
  <c r="K61"/>
  <c r="D62"/>
  <c r="J62"/>
  <c r="K62"/>
  <c r="D63"/>
  <c r="J63"/>
  <c r="K63"/>
  <c r="D64"/>
  <c r="J64"/>
  <c r="K64"/>
  <c r="D65"/>
  <c r="J65"/>
  <c r="K65"/>
  <c r="D66"/>
  <c r="J66"/>
  <c r="K66"/>
  <c r="D67"/>
  <c r="J67"/>
  <c r="K67"/>
  <c r="D68"/>
  <c r="J68"/>
  <c r="K68"/>
  <c r="D69"/>
  <c r="J69"/>
  <c r="K69"/>
  <c r="D70"/>
  <c r="J70"/>
  <c r="K70"/>
  <c r="D71"/>
  <c r="J71"/>
  <c r="K71"/>
  <c r="R17"/>
  <c r="S14"/>
  <c r="R14"/>
  <c r="S9"/>
  <c r="R9"/>
  <c r="I28" i="5"/>
  <c r="V28"/>
  <c r="G28"/>
  <c r="U28"/>
  <c r="AA63" i="1"/>
  <c r="AB63"/>
  <c r="G20" i="5"/>
  <c r="G21"/>
  <c r="U21"/>
  <c r="AA64" i="1"/>
  <c r="I20" i="5"/>
  <c r="I21"/>
  <c r="V21"/>
  <c r="AB64" i="1"/>
  <c r="B21" i="5"/>
  <c r="G22"/>
  <c r="U22"/>
  <c r="AA65" i="1"/>
  <c r="I22" i="5"/>
  <c r="V22"/>
  <c r="AB65" i="1"/>
  <c r="AB4"/>
  <c r="J8" i="9"/>
  <c r="Y14"/>
  <c r="AB96" i="1"/>
  <c r="AB97"/>
  <c r="Y16" i="9"/>
  <c r="AB98" i="1"/>
  <c r="AB99"/>
  <c r="AB120"/>
  <c r="AB124"/>
  <c r="AC2"/>
  <c r="A174"/>
  <c r="AE2"/>
  <c r="U20" i="5"/>
  <c r="V20"/>
  <c r="G7"/>
  <c r="U7"/>
  <c r="I7"/>
  <c r="V7"/>
  <c r="G8"/>
  <c r="U8"/>
  <c r="I8"/>
  <c r="V8"/>
  <c r="G13"/>
  <c r="U13"/>
  <c r="I13"/>
  <c r="V13"/>
  <c r="V6"/>
  <c r="U6"/>
  <c r="D12" i="7"/>
  <c r="C36" i="10"/>
  <c r="E15" i="6"/>
  <c r="H15"/>
  <c r="C121" i="1"/>
  <c r="AB121"/>
  <c r="H20" i="5"/>
  <c r="J20"/>
  <c r="K20"/>
  <c r="L20"/>
  <c r="M20"/>
  <c r="N20"/>
  <c r="O20"/>
  <c r="P20"/>
  <c r="Q20"/>
  <c r="R20"/>
  <c r="S20"/>
  <c r="T20"/>
  <c r="F20"/>
  <c r="M4" i="1"/>
  <c r="N4"/>
  <c r="O4"/>
  <c r="P4"/>
  <c r="Q4"/>
  <c r="R4"/>
  <c r="S4"/>
  <c r="T4"/>
  <c r="U4"/>
  <c r="V4"/>
  <c r="W4"/>
  <c r="X4"/>
  <c r="Y4"/>
  <c r="Z4"/>
  <c r="AA4"/>
  <c r="L4"/>
  <c r="M115"/>
  <c r="N115"/>
  <c r="O115"/>
  <c r="P115"/>
  <c r="Q115"/>
  <c r="R115"/>
  <c r="S115"/>
  <c r="T115"/>
  <c r="U115"/>
  <c r="V115"/>
  <c r="W115"/>
  <c r="X115"/>
  <c r="Y115"/>
  <c r="Z115"/>
  <c r="L115"/>
  <c r="M120"/>
  <c r="N120"/>
  <c r="O120"/>
  <c r="P120"/>
  <c r="Q120"/>
  <c r="R120"/>
  <c r="S120"/>
  <c r="T120"/>
  <c r="U120"/>
  <c r="V120"/>
  <c r="W120"/>
  <c r="X120"/>
  <c r="Y120"/>
  <c r="Z120"/>
  <c r="AA120"/>
  <c r="L120"/>
  <c r="C123"/>
  <c r="H8" i="5"/>
  <c r="J8"/>
  <c r="K8"/>
  <c r="L8"/>
  <c r="M8"/>
  <c r="N8"/>
  <c r="O8"/>
  <c r="P8"/>
  <c r="Q8"/>
  <c r="R8"/>
  <c r="S8"/>
  <c r="T8"/>
  <c r="H28"/>
  <c r="J28"/>
  <c r="K28"/>
  <c r="L28"/>
  <c r="M28"/>
  <c r="F28"/>
  <c r="H7"/>
  <c r="J7"/>
  <c r="K7"/>
  <c r="L7"/>
  <c r="M7"/>
  <c r="N7"/>
  <c r="O7"/>
  <c r="P7"/>
  <c r="Q7"/>
  <c r="R7"/>
  <c r="S7"/>
  <c r="T7"/>
  <c r="G89"/>
  <c r="H89"/>
  <c r="I89"/>
  <c r="J89"/>
  <c r="K89"/>
  <c r="L89"/>
  <c r="M89"/>
  <c r="N89"/>
  <c r="O89"/>
  <c r="P89"/>
  <c r="Q89"/>
  <c r="R89"/>
  <c r="S89"/>
  <c r="T89"/>
  <c r="F89"/>
  <c r="B17" i="2"/>
  <c r="B13"/>
  <c r="B14"/>
  <c r="B12"/>
  <c r="G922" i="14"/>
  <c r="G923"/>
  <c r="G924"/>
  <c r="G925"/>
  <c r="G926"/>
  <c r="G927"/>
  <c r="G928"/>
  <c r="G929"/>
  <c r="G930"/>
  <c r="G931"/>
  <c r="G932"/>
  <c r="G933"/>
  <c r="G934"/>
  <c r="G935"/>
  <c r="G936"/>
  <c r="G937"/>
  <c r="G921"/>
  <c r="G920"/>
  <c r="AP1074"/>
  <c r="AO229"/>
  <c r="AP229"/>
  <c r="AQ229"/>
  <c r="AO230"/>
  <c r="AP230"/>
  <c r="AQ230"/>
  <c r="AO231"/>
  <c r="AP231"/>
  <c r="AQ231"/>
  <c r="AO232"/>
  <c r="AP232"/>
  <c r="AQ232"/>
  <c r="AO233"/>
  <c r="AP233"/>
  <c r="AQ233"/>
  <c r="AO234"/>
  <c r="AP234"/>
  <c r="AQ234"/>
  <c r="AO235"/>
  <c r="AP235"/>
  <c r="AQ235"/>
  <c r="AO236"/>
  <c r="AP236"/>
  <c r="AQ236"/>
  <c r="AO237"/>
  <c r="AP237"/>
  <c r="AQ237"/>
  <c r="AO238"/>
  <c r="AP238"/>
  <c r="AQ238"/>
  <c r="AO239"/>
  <c r="AP239"/>
  <c r="AQ239"/>
  <c r="AO240"/>
  <c r="AP240"/>
  <c r="AQ240"/>
  <c r="AO241"/>
  <c r="AP241"/>
  <c r="AQ241"/>
  <c r="AO242"/>
  <c r="AP242"/>
  <c r="AQ242"/>
  <c r="AO243"/>
  <c r="AP243"/>
  <c r="AQ243"/>
  <c r="AO244"/>
  <c r="AP244"/>
  <c r="AQ244"/>
  <c r="AO245"/>
  <c r="AP245"/>
  <c r="AQ245"/>
  <c r="AO246"/>
  <c r="AP246"/>
  <c r="AQ246"/>
  <c r="AO247"/>
  <c r="AP247"/>
  <c r="AQ247"/>
  <c r="AO248"/>
  <c r="AP248"/>
  <c r="AQ248"/>
  <c r="AO249"/>
  <c r="AP249"/>
  <c r="AQ249"/>
  <c r="AO250"/>
  <c r="AP250"/>
  <c r="AQ250"/>
  <c r="AO251"/>
  <c r="AP251"/>
  <c r="AQ251"/>
  <c r="AO252"/>
  <c r="AP252"/>
  <c r="AQ252"/>
  <c r="AO253"/>
  <c r="AP253"/>
  <c r="AQ253"/>
  <c r="AO254"/>
  <c r="AP254"/>
  <c r="AQ254"/>
  <c r="AO255"/>
  <c r="AP255"/>
  <c r="AQ255"/>
  <c r="AO256"/>
  <c r="AP256"/>
  <c r="AQ256"/>
  <c r="AO257"/>
  <c r="AP257"/>
  <c r="AQ257"/>
  <c r="AO258"/>
  <c r="AP258"/>
  <c r="AQ258"/>
  <c r="AO259"/>
  <c r="AP259"/>
  <c r="AQ259"/>
  <c r="AO260"/>
  <c r="AP260"/>
  <c r="AQ260"/>
  <c r="AO261"/>
  <c r="AP261"/>
  <c r="AQ261"/>
  <c r="AO262"/>
  <c r="AP262"/>
  <c r="AQ262"/>
  <c r="AO263"/>
  <c r="AP263"/>
  <c r="AQ263"/>
  <c r="AO264"/>
  <c r="AP264"/>
  <c r="AQ264"/>
  <c r="AO265"/>
  <c r="AP265"/>
  <c r="AQ265"/>
  <c r="AO266"/>
  <c r="AP266"/>
  <c r="AQ266"/>
  <c r="AO267"/>
  <c r="AP267"/>
  <c r="AQ267"/>
  <c r="AO268"/>
  <c r="AP268"/>
  <c r="AQ268"/>
  <c r="AO269"/>
  <c r="AP269"/>
  <c r="AQ269"/>
  <c r="AO270"/>
  <c r="AP270"/>
  <c r="AQ270"/>
  <c r="AO271"/>
  <c r="AP271"/>
  <c r="AQ271"/>
  <c r="AO272"/>
  <c r="AP272"/>
  <c r="AQ272"/>
  <c r="AO273"/>
  <c r="AP273"/>
  <c r="AQ273"/>
  <c r="AO274"/>
  <c r="AP274"/>
  <c r="AQ274"/>
  <c r="AO275"/>
  <c r="AP275"/>
  <c r="AQ275"/>
  <c r="AO276"/>
  <c r="AP276"/>
  <c r="AQ276"/>
  <c r="AO277"/>
  <c r="AP277"/>
  <c r="AQ277"/>
  <c r="AO278"/>
  <c r="AP278"/>
  <c r="AQ278"/>
  <c r="AO279"/>
  <c r="AP279"/>
  <c r="AQ279"/>
  <c r="AO280"/>
  <c r="AP280"/>
  <c r="AQ280"/>
  <c r="AO281"/>
  <c r="AP281"/>
  <c r="AQ281"/>
  <c r="AO282"/>
  <c r="AP282"/>
  <c r="AQ282"/>
  <c r="AO283"/>
  <c r="AP283"/>
  <c r="AQ283"/>
  <c r="AO284"/>
  <c r="AP284"/>
  <c r="AQ284"/>
  <c r="AO285"/>
  <c r="AP285"/>
  <c r="AQ285"/>
  <c r="AO286"/>
  <c r="AP286"/>
  <c r="AQ286"/>
  <c r="AO287"/>
  <c r="AP287"/>
  <c r="AQ287"/>
  <c r="AO288"/>
  <c r="AP288"/>
  <c r="AQ288"/>
  <c r="AO289"/>
  <c r="AP289"/>
  <c r="AQ289"/>
  <c r="AO362"/>
  <c r="AP362"/>
  <c r="AQ362"/>
  <c r="AO363"/>
  <c r="AP363"/>
  <c r="AQ363"/>
  <c r="AO364"/>
  <c r="AP364"/>
  <c r="AQ364"/>
  <c r="AO365"/>
  <c r="AP365"/>
  <c r="AQ365"/>
  <c r="AO366"/>
  <c r="AP366"/>
  <c r="AQ366"/>
  <c r="AO367"/>
  <c r="AP367"/>
  <c r="AQ367"/>
  <c r="AO368"/>
  <c r="AP368"/>
  <c r="AQ368"/>
  <c r="AO369"/>
  <c r="AP369"/>
  <c r="AQ369"/>
  <c r="AO370"/>
  <c r="AP370"/>
  <c r="AQ370"/>
  <c r="AO371"/>
  <c r="AP371"/>
  <c r="AQ371"/>
  <c r="AO372"/>
  <c r="AP372"/>
  <c r="AQ372"/>
  <c r="AO373"/>
  <c r="AP373"/>
  <c r="AQ373"/>
  <c r="AO374"/>
  <c r="AP374"/>
  <c r="AQ374"/>
  <c r="AO375"/>
  <c r="AP375"/>
  <c r="AQ375"/>
  <c r="AO376"/>
  <c r="AP376"/>
  <c r="AQ376"/>
  <c r="AO377"/>
  <c r="AP377"/>
  <c r="AQ377"/>
  <c r="AO378"/>
  <c r="AP378"/>
  <c r="AQ378"/>
  <c r="AO379"/>
  <c r="AP379"/>
  <c r="AQ379"/>
  <c r="AO380"/>
  <c r="AP380"/>
  <c r="AQ380"/>
  <c r="AO381"/>
  <c r="AP381"/>
  <c r="AQ381"/>
  <c r="AO382"/>
  <c r="AP382"/>
  <c r="AQ382"/>
  <c r="AO383"/>
  <c r="AP383"/>
  <c r="AQ383"/>
  <c r="AO384"/>
  <c r="AP384"/>
  <c r="AQ384"/>
  <c r="AO385"/>
  <c r="AP385"/>
  <c r="AQ385"/>
  <c r="AO386"/>
  <c r="AP386"/>
  <c r="AQ386"/>
  <c r="AO387"/>
  <c r="AP387"/>
  <c r="AQ387"/>
  <c r="AO388"/>
  <c r="AP388"/>
  <c r="AQ388"/>
  <c r="AO389"/>
  <c r="AP389"/>
  <c r="AQ389"/>
  <c r="AO390"/>
  <c r="AP390"/>
  <c r="AQ390"/>
  <c r="AO391"/>
  <c r="AP391"/>
  <c r="AQ391"/>
  <c r="AO392"/>
  <c r="AP392"/>
  <c r="AQ392"/>
  <c r="AO393"/>
  <c r="AP393"/>
  <c r="AQ393"/>
  <c r="AO394"/>
  <c r="AP394"/>
  <c r="AQ394"/>
  <c r="AO395"/>
  <c r="AP395"/>
  <c r="AQ395"/>
  <c r="AO396"/>
  <c r="AP396"/>
  <c r="AQ396"/>
  <c r="AO397"/>
  <c r="AP397"/>
  <c r="AQ397"/>
  <c r="AO398"/>
  <c r="AP398"/>
  <c r="AQ398"/>
  <c r="AO399"/>
  <c r="AP399"/>
  <c r="AQ399"/>
  <c r="AO400"/>
  <c r="AP400"/>
  <c r="AQ400"/>
  <c r="AO401"/>
  <c r="AP401"/>
  <c r="AQ401"/>
  <c r="AO402"/>
  <c r="AP402"/>
  <c r="AQ402"/>
  <c r="AO403"/>
  <c r="AP403"/>
  <c r="AQ403"/>
  <c r="AO404"/>
  <c r="AP404"/>
  <c r="AQ404"/>
  <c r="AO405"/>
  <c r="AP405"/>
  <c r="AQ405"/>
  <c r="AO406"/>
  <c r="AP406"/>
  <c r="AQ406"/>
  <c r="AO407"/>
  <c r="AP407"/>
  <c r="AQ407"/>
  <c r="AO408"/>
  <c r="AP408"/>
  <c r="AQ408"/>
  <c r="AO409"/>
  <c r="AP409"/>
  <c r="AQ409"/>
  <c r="AO410"/>
  <c r="AP410"/>
  <c r="AQ410"/>
  <c r="AO411"/>
  <c r="AP411"/>
  <c r="AQ411"/>
  <c r="AO412"/>
  <c r="AP412"/>
  <c r="AQ412"/>
  <c r="AO413"/>
  <c r="AP413"/>
  <c r="AQ413"/>
  <c r="AO414"/>
  <c r="AP414"/>
  <c r="AQ414"/>
  <c r="AO415"/>
  <c r="AP415"/>
  <c r="AQ415"/>
  <c r="AO416"/>
  <c r="AP416"/>
  <c r="AQ416"/>
  <c r="AO417"/>
  <c r="AP417"/>
  <c r="AQ417"/>
  <c r="AO418"/>
  <c r="AP418"/>
  <c r="AQ418"/>
  <c r="AO419"/>
  <c r="AP419"/>
  <c r="AQ419"/>
  <c r="AO420"/>
  <c r="AP420"/>
  <c r="AQ420"/>
  <c r="AO421"/>
  <c r="AP421"/>
  <c r="AQ421"/>
  <c r="AO422"/>
  <c r="AP422"/>
  <c r="AQ422"/>
  <c r="AO423"/>
  <c r="AP423"/>
  <c r="AQ423"/>
  <c r="AO424"/>
  <c r="AP424"/>
  <c r="AQ424"/>
  <c r="AO425"/>
  <c r="AP425"/>
  <c r="AQ425"/>
  <c r="AO426"/>
  <c r="AP426"/>
  <c r="AQ426"/>
  <c r="AO427"/>
  <c r="AP427"/>
  <c r="AQ427"/>
  <c r="AO428"/>
  <c r="AP428"/>
  <c r="AQ428"/>
  <c r="AO429"/>
  <c r="AP429"/>
  <c r="AQ429"/>
  <c r="AO430"/>
  <c r="AP430"/>
  <c r="AQ430"/>
  <c r="AO431"/>
  <c r="AP431"/>
  <c r="AQ431"/>
  <c r="AO432"/>
  <c r="AP432"/>
  <c r="AQ432"/>
  <c r="AO433"/>
  <c r="AP433"/>
  <c r="AQ433"/>
  <c r="AO434"/>
  <c r="AP434"/>
  <c r="AQ434"/>
  <c r="AO435"/>
  <c r="AP435"/>
  <c r="AQ435"/>
  <c r="AO436"/>
  <c r="AP436"/>
  <c r="AQ436"/>
  <c r="AO437"/>
  <c r="AP437"/>
  <c r="AQ437"/>
  <c r="AO438"/>
  <c r="AP438"/>
  <c r="AQ438"/>
  <c r="AO439"/>
  <c r="AP439"/>
  <c r="AQ439"/>
  <c r="AO440"/>
  <c r="AP440"/>
  <c r="AQ440"/>
  <c r="AO441"/>
  <c r="AP441"/>
  <c r="AQ441"/>
  <c r="AO442"/>
  <c r="AP442"/>
  <c r="AQ442"/>
  <c r="AO443"/>
  <c r="AP443"/>
  <c r="AQ443"/>
  <c r="AO444"/>
  <c r="AP444"/>
  <c r="AQ444"/>
  <c r="AO445"/>
  <c r="AP445"/>
  <c r="AQ445"/>
  <c r="AO446"/>
  <c r="AP446"/>
  <c r="AQ446"/>
  <c r="AO447"/>
  <c r="AP447"/>
  <c r="AQ447"/>
  <c r="AO448"/>
  <c r="AP448"/>
  <c r="AQ448"/>
  <c r="AO449"/>
  <c r="AP449"/>
  <c r="AQ449"/>
  <c r="AO450"/>
  <c r="AP450"/>
  <c r="AQ450"/>
  <c r="AO451"/>
  <c r="AP451"/>
  <c r="AQ451"/>
  <c r="AO452"/>
  <c r="AP452"/>
  <c r="AQ452"/>
  <c r="AO453"/>
  <c r="AP453"/>
  <c r="AQ453"/>
  <c r="AO454"/>
  <c r="AP454"/>
  <c r="AQ454"/>
  <c r="AO455"/>
  <c r="AP455"/>
  <c r="AQ455"/>
  <c r="AO456"/>
  <c r="AP456"/>
  <c r="AQ456"/>
  <c r="AO457"/>
  <c r="AP457"/>
  <c r="AQ457"/>
  <c r="AO458"/>
  <c r="AP458"/>
  <c r="AQ458"/>
  <c r="AO459"/>
  <c r="AP459"/>
  <c r="AQ459"/>
  <c r="AO460"/>
  <c r="AP460"/>
  <c r="AQ460"/>
  <c r="AO461"/>
  <c r="AP461"/>
  <c r="AQ461"/>
  <c r="AO462"/>
  <c r="AP462"/>
  <c r="AQ462"/>
  <c r="AO463"/>
  <c r="AP463"/>
  <c r="AQ463"/>
  <c r="AO464"/>
  <c r="AP464"/>
  <c r="AQ464"/>
  <c r="AO465"/>
  <c r="AP465"/>
  <c r="AQ465"/>
  <c r="AO466"/>
  <c r="AP466"/>
  <c r="AQ466"/>
  <c r="AO467"/>
  <c r="AP467"/>
  <c r="AQ467"/>
  <c r="AO468"/>
  <c r="AP468"/>
  <c r="AQ468"/>
  <c r="AO469"/>
  <c r="AP469"/>
  <c r="AQ469"/>
  <c r="AO470"/>
  <c r="AP470"/>
  <c r="AQ470"/>
  <c r="AO471"/>
  <c r="AP471"/>
  <c r="AQ471"/>
  <c r="AO472"/>
  <c r="AP472"/>
  <c r="AQ472"/>
  <c r="AO473"/>
  <c r="AP473"/>
  <c r="AQ473"/>
  <c r="AO474"/>
  <c r="AP474"/>
  <c r="AQ474"/>
  <c r="AO475"/>
  <c r="AP475"/>
  <c r="AQ475"/>
  <c r="AO476"/>
  <c r="AP476"/>
  <c r="AQ476"/>
  <c r="AO477"/>
  <c r="AP477"/>
  <c r="AQ477"/>
  <c r="AO478"/>
  <c r="AP478"/>
  <c r="AQ478"/>
  <c r="AO479"/>
  <c r="AP479"/>
  <c r="AQ479"/>
  <c r="AO480"/>
  <c r="AP480"/>
  <c r="AQ480"/>
  <c r="AO481"/>
  <c r="AP481"/>
  <c r="AQ481"/>
  <c r="AO482"/>
  <c r="AP482"/>
  <c r="AQ482"/>
  <c r="AO483"/>
  <c r="AP483"/>
  <c r="AQ483"/>
  <c r="AO484"/>
  <c r="AP484"/>
  <c r="AQ484"/>
  <c r="AO485"/>
  <c r="AP485"/>
  <c r="AQ485"/>
  <c r="AO486"/>
  <c r="AP486"/>
  <c r="AQ486"/>
  <c r="AO487"/>
  <c r="AP487"/>
  <c r="AQ487"/>
  <c r="AO488"/>
  <c r="AP488"/>
  <c r="AQ488"/>
  <c r="AO489"/>
  <c r="AP489"/>
  <c r="AQ489"/>
  <c r="AO490"/>
  <c r="AP490"/>
  <c r="AQ490"/>
  <c r="AO491"/>
  <c r="AP491"/>
  <c r="AQ491"/>
  <c r="AO492"/>
  <c r="AP492"/>
  <c r="AQ492"/>
  <c r="AO493"/>
  <c r="AP493"/>
  <c r="AQ493"/>
  <c r="AO494"/>
  <c r="AP494"/>
  <c r="AQ494"/>
  <c r="AO495"/>
  <c r="AP495"/>
  <c r="AQ495"/>
  <c r="AO496"/>
  <c r="AP496"/>
  <c r="AQ496"/>
  <c r="AO497"/>
  <c r="AP497"/>
  <c r="AQ497"/>
  <c r="AO498"/>
  <c r="AP498"/>
  <c r="AQ498"/>
  <c r="AO499"/>
  <c r="AP499"/>
  <c r="AQ499"/>
  <c r="AO500"/>
  <c r="AP500"/>
  <c r="AQ500"/>
  <c r="AO501"/>
  <c r="AP501"/>
  <c r="AQ501"/>
  <c r="AO502"/>
  <c r="AP502"/>
  <c r="AQ502"/>
  <c r="AO503"/>
  <c r="AP503"/>
  <c r="AQ503"/>
  <c r="AO504"/>
  <c r="AP504"/>
  <c r="AQ504"/>
  <c r="AO505"/>
  <c r="AP505"/>
  <c r="AQ505"/>
  <c r="AO506"/>
  <c r="AP506"/>
  <c r="AQ506"/>
  <c r="AO507"/>
  <c r="AP507"/>
  <c r="AQ507"/>
  <c r="AO508"/>
  <c r="AP508"/>
  <c r="AQ508"/>
  <c r="AO509"/>
  <c r="AP509"/>
  <c r="AQ509"/>
  <c r="AO510"/>
  <c r="AP510"/>
  <c r="AQ510"/>
  <c r="AO511"/>
  <c r="AP511"/>
  <c r="AQ511"/>
  <c r="AO512"/>
  <c r="AP512"/>
  <c r="AQ512"/>
  <c r="AO513"/>
  <c r="AP513"/>
  <c r="AQ513"/>
  <c r="AO514"/>
  <c r="AP514"/>
  <c r="AQ514"/>
  <c r="AO515"/>
  <c r="AP515"/>
  <c r="AQ515"/>
  <c r="AO516"/>
  <c r="AP516"/>
  <c r="AQ516"/>
  <c r="AO517"/>
  <c r="AP517"/>
  <c r="AQ517"/>
  <c r="AO518"/>
  <c r="AP518"/>
  <c r="AQ518"/>
  <c r="AO519"/>
  <c r="AP519"/>
  <c r="AQ519"/>
  <c r="AO520"/>
  <c r="AP520"/>
  <c r="AQ520"/>
  <c r="AO521"/>
  <c r="AP521"/>
  <c r="AQ521"/>
  <c r="AO522"/>
  <c r="AP522"/>
  <c r="AQ522"/>
  <c r="AO523"/>
  <c r="AP523"/>
  <c r="AQ523"/>
  <c r="AO524"/>
  <c r="AP524"/>
  <c r="AQ524"/>
  <c r="AO525"/>
  <c r="AP525"/>
  <c r="AQ525"/>
  <c r="AO526"/>
  <c r="AP526"/>
  <c r="AQ526"/>
  <c r="AO527"/>
  <c r="AP527"/>
  <c r="AQ527"/>
  <c r="AO528"/>
  <c r="AP528"/>
  <c r="AQ528"/>
  <c r="AO529"/>
  <c r="AP529"/>
  <c r="AQ529"/>
  <c r="AO530"/>
  <c r="AP530"/>
  <c r="AQ530"/>
  <c r="AO531"/>
  <c r="AP531"/>
  <c r="AQ531"/>
  <c r="AO532"/>
  <c r="AP532"/>
  <c r="AQ532"/>
  <c r="AO533"/>
  <c r="AP533"/>
  <c r="AQ533"/>
  <c r="AO534"/>
  <c r="AP534"/>
  <c r="AQ534"/>
  <c r="AO535"/>
  <c r="AP535"/>
  <c r="AQ535"/>
  <c r="AO536"/>
  <c r="AP536"/>
  <c r="AQ536"/>
  <c r="AO537"/>
  <c r="AP537"/>
  <c r="AQ537"/>
  <c r="AO538"/>
  <c r="AP538"/>
  <c r="AQ538"/>
  <c r="AO539"/>
  <c r="AP539"/>
  <c r="AQ539"/>
  <c r="AO540"/>
  <c r="AP540"/>
  <c r="AQ540"/>
  <c r="AO541"/>
  <c r="AP541"/>
  <c r="AQ541"/>
  <c r="AO542"/>
  <c r="AP542"/>
  <c r="AQ542"/>
  <c r="AO543"/>
  <c r="AP543"/>
  <c r="AQ543"/>
  <c r="AO544"/>
  <c r="AP544"/>
  <c r="AQ544"/>
  <c r="AO545"/>
  <c r="AP545"/>
  <c r="AQ545"/>
  <c r="AO546"/>
  <c r="AP546"/>
  <c r="AQ546"/>
  <c r="AO547"/>
  <c r="AP547"/>
  <c r="AQ547"/>
  <c r="AO548"/>
  <c r="AP548"/>
  <c r="AQ548"/>
  <c r="AO549"/>
  <c r="AP549"/>
  <c r="AQ549"/>
  <c r="AO550"/>
  <c r="AP550"/>
  <c r="AQ550"/>
  <c r="AO551"/>
  <c r="AP551"/>
  <c r="AQ551"/>
  <c r="AO552"/>
  <c r="AP552"/>
  <c r="AQ552"/>
  <c r="AO553"/>
  <c r="AP553"/>
  <c r="AQ553"/>
  <c r="AO554"/>
  <c r="AP554"/>
  <c r="AQ554"/>
  <c r="AO555"/>
  <c r="AP555"/>
  <c r="AQ555"/>
  <c r="AO556"/>
  <c r="AP556"/>
  <c r="AQ556"/>
  <c r="AO557"/>
  <c r="AP557"/>
  <c r="AQ557"/>
  <c r="AO558"/>
  <c r="AP558"/>
  <c r="AQ558"/>
  <c r="AO559"/>
  <c r="AP559"/>
  <c r="AQ559"/>
  <c r="AO560"/>
  <c r="AP560"/>
  <c r="AQ560"/>
  <c r="AO561"/>
  <c r="AP561"/>
  <c r="AQ561"/>
  <c r="AO562"/>
  <c r="AP562"/>
  <c r="AQ562"/>
  <c r="AO563"/>
  <c r="AP563"/>
  <c r="AQ563"/>
  <c r="AO564"/>
  <c r="AP564"/>
  <c r="AQ564"/>
  <c r="AO565"/>
  <c r="AP565"/>
  <c r="AQ565"/>
  <c r="AO566"/>
  <c r="AP566"/>
  <c r="AQ566"/>
  <c r="AO567"/>
  <c r="AP567"/>
  <c r="AQ567"/>
  <c r="AO568"/>
  <c r="AP568"/>
  <c r="AQ568"/>
  <c r="AO569"/>
  <c r="AP569"/>
  <c r="AQ569"/>
  <c r="AO570"/>
  <c r="AP570"/>
  <c r="AQ570"/>
  <c r="AO571"/>
  <c r="AP571"/>
  <c r="AQ571"/>
  <c r="AO572"/>
  <c r="AP572"/>
  <c r="AQ572"/>
  <c r="AO573"/>
  <c r="AP573"/>
  <c r="AQ573"/>
  <c r="AO574"/>
  <c r="AP574"/>
  <c r="AQ574"/>
  <c r="AO575"/>
  <c r="AP575"/>
  <c r="AQ575"/>
  <c r="AO576"/>
  <c r="AP576"/>
  <c r="AQ576"/>
  <c r="AO577"/>
  <c r="AP577"/>
  <c r="AQ577"/>
  <c r="AO578"/>
  <c r="AP578"/>
  <c r="AQ578"/>
  <c r="AO579"/>
  <c r="AP579"/>
  <c r="AQ579"/>
  <c r="AO580"/>
  <c r="AP580"/>
  <c r="AQ580"/>
  <c r="AO581"/>
  <c r="AP581"/>
  <c r="AQ581"/>
  <c r="AO582"/>
  <c r="AP582"/>
  <c r="AQ582"/>
  <c r="AO583"/>
  <c r="AP583"/>
  <c r="AQ583"/>
  <c r="AO584"/>
  <c r="AP584"/>
  <c r="AQ584"/>
  <c r="AO585"/>
  <c r="AP585"/>
  <c r="AQ585"/>
  <c r="AO586"/>
  <c r="AP586"/>
  <c r="AQ586"/>
  <c r="AO587"/>
  <c r="AP587"/>
  <c r="AQ587"/>
  <c r="AO588"/>
  <c r="AP588"/>
  <c r="AQ588"/>
  <c r="AO589"/>
  <c r="AP589"/>
  <c r="AQ589"/>
  <c r="AO590"/>
  <c r="AP590"/>
  <c r="AQ590"/>
  <c r="AO591"/>
  <c r="AP591"/>
  <c r="AQ591"/>
  <c r="AO592"/>
  <c r="AP592"/>
  <c r="AQ592"/>
  <c r="AO593"/>
  <c r="AP593"/>
  <c r="AQ593"/>
  <c r="AO594"/>
  <c r="AP594"/>
  <c r="AQ594"/>
  <c r="AO595"/>
  <c r="AP595"/>
  <c r="AQ595"/>
  <c r="AO596"/>
  <c r="AP596"/>
  <c r="AQ596"/>
  <c r="AO597"/>
  <c r="AP597"/>
  <c r="AQ597"/>
  <c r="AO598"/>
  <c r="AP598"/>
  <c r="AQ598"/>
  <c r="AO599"/>
  <c r="AP599"/>
  <c r="AQ599"/>
  <c r="AO600"/>
  <c r="AP600"/>
  <c r="AQ600"/>
  <c r="AO601"/>
  <c r="AP601"/>
  <c r="AQ601"/>
  <c r="AO602"/>
  <c r="AP602"/>
  <c r="AQ602"/>
  <c r="AO603"/>
  <c r="AP603"/>
  <c r="AQ603"/>
  <c r="AO604"/>
  <c r="AP604"/>
  <c r="AQ604"/>
  <c r="AO605"/>
  <c r="AP605"/>
  <c r="AQ605"/>
  <c r="AO606"/>
  <c r="AP606"/>
  <c r="AQ606"/>
  <c r="AO607"/>
  <c r="AP607"/>
  <c r="AQ607"/>
  <c r="AO608"/>
  <c r="AP608"/>
  <c r="AQ608"/>
  <c r="AO609"/>
  <c r="AP609"/>
  <c r="AQ609"/>
  <c r="AO610"/>
  <c r="AP610"/>
  <c r="AQ610"/>
  <c r="AO611"/>
  <c r="AP611"/>
  <c r="AQ611"/>
  <c r="AO612"/>
  <c r="AP612"/>
  <c r="AQ612"/>
  <c r="AO613"/>
  <c r="AP613"/>
  <c r="AQ613"/>
  <c r="AO614"/>
  <c r="AP614"/>
  <c r="AQ614"/>
  <c r="AO615"/>
  <c r="AP615"/>
  <c r="AQ615"/>
  <c r="AO616"/>
  <c r="AP616"/>
  <c r="AQ616"/>
  <c r="AO617"/>
  <c r="AP617"/>
  <c r="AQ617"/>
  <c r="AO618"/>
  <c r="AP618"/>
  <c r="AQ618"/>
  <c r="AO619"/>
  <c r="AP619"/>
  <c r="AQ619"/>
  <c r="AO620"/>
  <c r="AP620"/>
  <c r="AQ620"/>
  <c r="AO621"/>
  <c r="AP621"/>
  <c r="AQ621"/>
  <c r="AO622"/>
  <c r="AP622"/>
  <c r="AQ622"/>
  <c r="AO623"/>
  <c r="AP623"/>
  <c r="AQ623"/>
  <c r="AO624"/>
  <c r="AP624"/>
  <c r="AQ624"/>
  <c r="AO625"/>
  <c r="AP625"/>
  <c r="AQ625"/>
  <c r="AO626"/>
  <c r="AP626"/>
  <c r="AQ626"/>
  <c r="AO627"/>
  <c r="AP627"/>
  <c r="AQ627"/>
  <c r="AO628"/>
  <c r="AP628"/>
  <c r="AQ628"/>
  <c r="AO629"/>
  <c r="AP629"/>
  <c r="AQ629"/>
  <c r="AO630"/>
  <c r="AP630"/>
  <c r="AQ630"/>
  <c r="AO631"/>
  <c r="AP631"/>
  <c r="AQ631"/>
  <c r="AO632"/>
  <c r="AP632"/>
  <c r="AQ632"/>
  <c r="AO633"/>
  <c r="AP633"/>
  <c r="AQ633"/>
  <c r="AO634"/>
  <c r="AP634"/>
  <c r="AQ634"/>
  <c r="AO635"/>
  <c r="AP635"/>
  <c r="AQ635"/>
  <c r="AO636"/>
  <c r="AP636"/>
  <c r="AQ636"/>
  <c r="AO637"/>
  <c r="AP637"/>
  <c r="AQ637"/>
  <c r="AO638"/>
  <c r="AP638"/>
  <c r="AQ638"/>
  <c r="AO639"/>
  <c r="AP639"/>
  <c r="AQ639"/>
  <c r="AO640"/>
  <c r="AP640"/>
  <c r="AQ640"/>
  <c r="AO641"/>
  <c r="AP641"/>
  <c r="AQ641"/>
  <c r="AO642"/>
  <c r="AP642"/>
  <c r="AQ642"/>
  <c r="AO643"/>
  <c r="AP643"/>
  <c r="AQ643"/>
  <c r="AO644"/>
  <c r="AP644"/>
  <c r="AQ644"/>
  <c r="AO645"/>
  <c r="AP645"/>
  <c r="AQ645"/>
  <c r="AO646"/>
  <c r="AP646"/>
  <c r="AQ646"/>
  <c r="AO647"/>
  <c r="AP647"/>
  <c r="AQ647"/>
  <c r="AO648"/>
  <c r="AP648"/>
  <c r="AQ648"/>
  <c r="AO649"/>
  <c r="AP649"/>
  <c r="AQ649"/>
  <c r="AO650"/>
  <c r="AP650"/>
  <c r="AQ650"/>
  <c r="AO651"/>
  <c r="AP651"/>
  <c r="AQ651"/>
  <c r="AO652"/>
  <c r="AP652"/>
  <c r="AQ652"/>
  <c r="AO653"/>
  <c r="AP653"/>
  <c r="AQ653"/>
  <c r="AO654"/>
  <c r="AP654"/>
  <c r="AQ654"/>
  <c r="AO655"/>
  <c r="AP655"/>
  <c r="AQ655"/>
  <c r="AO656"/>
  <c r="AP656"/>
  <c r="AQ656"/>
  <c r="AO657"/>
  <c r="AP657"/>
  <c r="AQ657"/>
  <c r="AO658"/>
  <c r="AP658"/>
  <c r="AQ658"/>
  <c r="AO659"/>
  <c r="AP659"/>
  <c r="AQ659"/>
  <c r="AO660"/>
  <c r="AP660"/>
  <c r="AQ660"/>
  <c r="AO661"/>
  <c r="AP661"/>
  <c r="AQ661"/>
  <c r="AO662"/>
  <c r="AP662"/>
  <c r="AQ662"/>
  <c r="AO663"/>
  <c r="AP663"/>
  <c r="AQ663"/>
  <c r="AO664"/>
  <c r="AP664"/>
  <c r="AQ664"/>
  <c r="AO665"/>
  <c r="AP665"/>
  <c r="AQ665"/>
  <c r="AO666"/>
  <c r="AP666"/>
  <c r="AQ666"/>
  <c r="AO667"/>
  <c r="AP667"/>
  <c r="AQ667"/>
  <c r="AO668"/>
  <c r="AP668"/>
  <c r="AQ668"/>
  <c r="AO669"/>
  <c r="AP669"/>
  <c r="AQ669"/>
  <c r="AO670"/>
  <c r="AP670"/>
  <c r="AQ670"/>
  <c r="AO671"/>
  <c r="AP671"/>
  <c r="AQ671"/>
  <c r="AO672"/>
  <c r="AP672"/>
  <c r="AQ672"/>
  <c r="AO673"/>
  <c r="AP673"/>
  <c r="AQ673"/>
  <c r="AO674"/>
  <c r="AP674"/>
  <c r="AQ674"/>
  <c r="AO675"/>
  <c r="AP675"/>
  <c r="AQ675"/>
  <c r="AO676"/>
  <c r="AP676"/>
  <c r="AQ676"/>
  <c r="AO677"/>
  <c r="AP677"/>
  <c r="AQ677"/>
  <c r="AO678"/>
  <c r="AP678"/>
  <c r="AQ678"/>
  <c r="AO679"/>
  <c r="AP679"/>
  <c r="AQ679"/>
  <c r="AO680"/>
  <c r="AP680"/>
  <c r="AQ680"/>
  <c r="AO681"/>
  <c r="AP681"/>
  <c r="AQ681"/>
  <c r="AO682"/>
  <c r="AP682"/>
  <c r="AQ682"/>
  <c r="AO683"/>
  <c r="AP683"/>
  <c r="AQ683"/>
  <c r="AO684"/>
  <c r="AP684"/>
  <c r="AQ684"/>
  <c r="AO685"/>
  <c r="AP685"/>
  <c r="AQ685"/>
  <c r="AO686"/>
  <c r="AP686"/>
  <c r="AQ686"/>
  <c r="AO687"/>
  <c r="AP687"/>
  <c r="AQ687"/>
  <c r="AO688"/>
  <c r="AP688"/>
  <c r="AQ688"/>
  <c r="AO689"/>
  <c r="AP689"/>
  <c r="AQ689"/>
  <c r="AO690"/>
  <c r="AP690"/>
  <c r="AQ690"/>
  <c r="AO691"/>
  <c r="AP691"/>
  <c r="AQ691"/>
  <c r="AO692"/>
  <c r="AP692"/>
  <c r="AQ692"/>
  <c r="AO693"/>
  <c r="AP693"/>
  <c r="AQ693"/>
  <c r="AO694"/>
  <c r="AP694"/>
  <c r="AQ694"/>
  <c r="AO695"/>
  <c r="AP695"/>
  <c r="AQ695"/>
  <c r="AO696"/>
  <c r="AP696"/>
  <c r="AQ696"/>
  <c r="AO697"/>
  <c r="AP697"/>
  <c r="AQ697"/>
  <c r="AO698"/>
  <c r="AP698"/>
  <c r="AQ698"/>
  <c r="AO699"/>
  <c r="AP699"/>
  <c r="AQ699"/>
  <c r="AO700"/>
  <c r="AP700"/>
  <c r="AQ700"/>
  <c r="AO701"/>
  <c r="AP701"/>
  <c r="AQ701"/>
  <c r="AO702"/>
  <c r="AP702"/>
  <c r="AQ702"/>
  <c r="AO703"/>
  <c r="AP703"/>
  <c r="AQ703"/>
  <c r="AO704"/>
  <c r="AP704"/>
  <c r="AQ704"/>
  <c r="AO705"/>
  <c r="AP705"/>
  <c r="AQ705"/>
  <c r="AO706"/>
  <c r="AP706"/>
  <c r="AQ706"/>
  <c r="AO707"/>
  <c r="AP707"/>
  <c r="AQ707"/>
  <c r="AO708"/>
  <c r="AP708"/>
  <c r="AQ708"/>
  <c r="AO709"/>
  <c r="AP709"/>
  <c r="AQ709"/>
  <c r="AO710"/>
  <c r="AP710"/>
  <c r="AQ710"/>
  <c r="AO711"/>
  <c r="AP711"/>
  <c r="AQ711"/>
  <c r="AO712"/>
  <c r="AP712"/>
  <c r="AQ712"/>
  <c r="AO713"/>
  <c r="AP713"/>
  <c r="AQ713"/>
  <c r="AO714"/>
  <c r="AP714"/>
  <c r="AQ714"/>
  <c r="AO715"/>
  <c r="AP715"/>
  <c r="AQ715"/>
  <c r="AO716"/>
  <c r="AP716"/>
  <c r="AQ716"/>
  <c r="AO717"/>
  <c r="AP717"/>
  <c r="AQ717"/>
  <c r="AO718"/>
  <c r="AP718"/>
  <c r="AQ718"/>
  <c r="AO719"/>
  <c r="AP719"/>
  <c r="AQ719"/>
  <c r="AO720"/>
  <c r="AP720"/>
  <c r="AQ720"/>
  <c r="AO721"/>
  <c r="AP721"/>
  <c r="AQ721"/>
  <c r="AO722"/>
  <c r="AP722"/>
  <c r="AQ722"/>
  <c r="AO723"/>
  <c r="AP723"/>
  <c r="AQ723"/>
  <c r="AO724"/>
  <c r="AP724"/>
  <c r="AQ724"/>
  <c r="AO725"/>
  <c r="AP725"/>
  <c r="AQ725"/>
  <c r="AO726"/>
  <c r="AP726"/>
  <c r="AQ726"/>
  <c r="AO727"/>
  <c r="AP727"/>
  <c r="AQ727"/>
  <c r="AO728"/>
  <c r="AP728"/>
  <c r="AQ728"/>
  <c r="AO729"/>
  <c r="AP729"/>
  <c r="AQ729"/>
  <c r="AO730"/>
  <c r="AP730"/>
  <c r="AQ730"/>
  <c r="AO731"/>
  <c r="AP731"/>
  <c r="AQ731"/>
  <c r="AO732"/>
  <c r="AP732"/>
  <c r="AQ732"/>
  <c r="AO733"/>
  <c r="AP733"/>
  <c r="AQ733"/>
  <c r="AO734"/>
  <c r="AP734"/>
  <c r="AQ734"/>
  <c r="AO735"/>
  <c r="AP735"/>
  <c r="AQ735"/>
  <c r="AO736"/>
  <c r="AP736"/>
  <c r="AQ736"/>
  <c r="AO737"/>
  <c r="AP737"/>
  <c r="AQ737"/>
  <c r="AO738"/>
  <c r="AP738"/>
  <c r="AQ738"/>
  <c r="AO739"/>
  <c r="AP739"/>
  <c r="AQ739"/>
  <c r="AO740"/>
  <c r="AP740"/>
  <c r="AQ740"/>
  <c r="AO741"/>
  <c r="AP741"/>
  <c r="AQ741"/>
  <c r="AO742"/>
  <c r="AP742"/>
  <c r="AQ742"/>
  <c r="AO743"/>
  <c r="AP743"/>
  <c r="AQ743"/>
  <c r="AO744"/>
  <c r="AP744"/>
  <c r="AQ744"/>
  <c r="AO745"/>
  <c r="AP745"/>
  <c r="AQ745"/>
  <c r="AO746"/>
  <c r="AP746"/>
  <c r="AQ746"/>
  <c r="AO747"/>
  <c r="AP747"/>
  <c r="AQ747"/>
  <c r="AO748"/>
  <c r="AP748"/>
  <c r="AQ748"/>
  <c r="AO749"/>
  <c r="AP749"/>
  <c r="AQ749"/>
  <c r="AO750"/>
  <c r="AP750"/>
  <c r="AQ750"/>
  <c r="AO751"/>
  <c r="AP751"/>
  <c r="AQ751"/>
  <c r="AO752"/>
  <c r="AP752"/>
  <c r="AQ752"/>
  <c r="AO753"/>
  <c r="AP753"/>
  <c r="AQ753"/>
  <c r="AO754"/>
  <c r="AP754"/>
  <c r="AQ754"/>
  <c r="AO755"/>
  <c r="AP755"/>
  <c r="AQ755"/>
  <c r="AO756"/>
  <c r="AP756"/>
  <c r="AQ756"/>
  <c r="AO757"/>
  <c r="AP757"/>
  <c r="AQ757"/>
  <c r="AO758"/>
  <c r="AP758"/>
  <c r="AQ758"/>
  <c r="AO759"/>
  <c r="AP759"/>
  <c r="AQ759"/>
  <c r="AO760"/>
  <c r="AP760"/>
  <c r="AQ760"/>
  <c r="AO761"/>
  <c r="AP761"/>
  <c r="AQ761"/>
  <c r="AO762"/>
  <c r="AP762"/>
  <c r="AQ762"/>
  <c r="AO763"/>
  <c r="AP763"/>
  <c r="AQ763"/>
  <c r="AO764"/>
  <c r="AP764"/>
  <c r="AQ764"/>
  <c r="AO765"/>
  <c r="AP765"/>
  <c r="AQ765"/>
  <c r="AO766"/>
  <c r="AP766"/>
  <c r="AQ766"/>
  <c r="AO767"/>
  <c r="AP767"/>
  <c r="AQ767"/>
  <c r="AO768"/>
  <c r="AP768"/>
  <c r="AQ768"/>
  <c r="AO769"/>
  <c r="AP769"/>
  <c r="AQ769"/>
  <c r="AO770"/>
  <c r="AP770"/>
  <c r="AQ770"/>
  <c r="AO771"/>
  <c r="AP771"/>
  <c r="AQ771"/>
  <c r="AO772"/>
  <c r="AP772"/>
  <c r="AQ772"/>
  <c r="AO773"/>
  <c r="AP773"/>
  <c r="AQ773"/>
  <c r="AO774"/>
  <c r="AP774"/>
  <c r="AQ774"/>
  <c r="AO775"/>
  <c r="AP775"/>
  <c r="AQ775"/>
  <c r="AO776"/>
  <c r="AP776"/>
  <c r="AQ776"/>
  <c r="AO777"/>
  <c r="AP777"/>
  <c r="AQ777"/>
  <c r="AO778"/>
  <c r="AP778"/>
  <c r="AQ778"/>
  <c r="AO779"/>
  <c r="AP779"/>
  <c r="AQ779"/>
  <c r="AO780"/>
  <c r="AP780"/>
  <c r="AQ780"/>
  <c r="AO781"/>
  <c r="AP781"/>
  <c r="AQ781"/>
  <c r="AO782"/>
  <c r="AP782"/>
  <c r="AQ782"/>
  <c r="AO783"/>
  <c r="AP783"/>
  <c r="AQ783"/>
  <c r="AO784"/>
  <c r="AP784"/>
  <c r="AQ784"/>
  <c r="AO785"/>
  <c r="AP785"/>
  <c r="AQ785"/>
  <c r="AO786"/>
  <c r="AP786"/>
  <c r="AQ786"/>
  <c r="AO787"/>
  <c r="AP787"/>
  <c r="AQ787"/>
  <c r="AO788"/>
  <c r="AP788"/>
  <c r="AQ788"/>
  <c r="AO789"/>
  <c r="AP789"/>
  <c r="AQ789"/>
  <c r="AO790"/>
  <c r="AP790"/>
  <c r="AQ790"/>
  <c r="AO791"/>
  <c r="AP791"/>
  <c r="AQ791"/>
  <c r="AO792"/>
  <c r="AP792"/>
  <c r="AQ792"/>
  <c r="AO793"/>
  <c r="AP793"/>
  <c r="AQ793"/>
  <c r="AO794"/>
  <c r="AP794"/>
  <c r="AQ794"/>
  <c r="AO795"/>
  <c r="AP795"/>
  <c r="AQ795"/>
  <c r="AO796"/>
  <c r="AP796"/>
  <c r="AQ796"/>
  <c r="AO797"/>
  <c r="AP797"/>
  <c r="AQ797"/>
  <c r="AO798"/>
  <c r="AP798"/>
  <c r="AQ798"/>
  <c r="AO799"/>
  <c r="AP799"/>
  <c r="AQ799"/>
  <c r="AO800"/>
  <c r="AP800"/>
  <c r="AQ800"/>
  <c r="AO801"/>
  <c r="AP801"/>
  <c r="AQ801"/>
  <c r="AO802"/>
  <c r="AP802"/>
  <c r="AQ802"/>
  <c r="AO803"/>
  <c r="AP803"/>
  <c r="AQ803"/>
  <c r="AO804"/>
  <c r="AP804"/>
  <c r="AQ804"/>
  <c r="AO805"/>
  <c r="AP805"/>
  <c r="AQ805"/>
  <c r="AO806"/>
  <c r="AP806"/>
  <c r="AQ806"/>
  <c r="AO807"/>
  <c r="AP807"/>
  <c r="AQ807"/>
  <c r="AO808"/>
  <c r="AP808"/>
  <c r="AQ808"/>
  <c r="AO809"/>
  <c r="AP809"/>
  <c r="AQ809"/>
  <c r="AO810"/>
  <c r="AP810"/>
  <c r="AQ810"/>
  <c r="AO811"/>
  <c r="AP811"/>
  <c r="AQ811"/>
  <c r="AO812"/>
  <c r="AP812"/>
  <c r="AQ812"/>
  <c r="AO813"/>
  <c r="AP813"/>
  <c r="AQ813"/>
  <c r="AO814"/>
  <c r="AP814"/>
  <c r="AQ814"/>
  <c r="AO815"/>
  <c r="AP815"/>
  <c r="AQ815"/>
  <c r="AO816"/>
  <c r="AP816"/>
  <c r="AQ816"/>
  <c r="AO817"/>
  <c r="AP817"/>
  <c r="AQ817"/>
  <c r="AO818"/>
  <c r="AP818"/>
  <c r="AQ818"/>
  <c r="AO819"/>
  <c r="AP819"/>
  <c r="AQ819"/>
  <c r="AO820"/>
  <c r="AP820"/>
  <c r="AQ820"/>
  <c r="AO821"/>
  <c r="AP821"/>
  <c r="AQ821"/>
  <c r="AO822"/>
  <c r="AP822"/>
  <c r="AQ822"/>
  <c r="AO823"/>
  <c r="AP823"/>
  <c r="AQ823"/>
  <c r="AO824"/>
  <c r="AP824"/>
  <c r="AQ824"/>
  <c r="AO825"/>
  <c r="AP825"/>
  <c r="AQ825"/>
  <c r="AO826"/>
  <c r="AP826"/>
  <c r="AQ826"/>
  <c r="AO827"/>
  <c r="AP827"/>
  <c r="AQ827"/>
  <c r="AO828"/>
  <c r="AP828"/>
  <c r="AQ828"/>
  <c r="AO829"/>
  <c r="AP829"/>
  <c r="AQ829"/>
  <c r="AO830"/>
  <c r="AP830"/>
  <c r="AQ830"/>
  <c r="AO831"/>
  <c r="AP831"/>
  <c r="AQ831"/>
  <c r="AO832"/>
  <c r="AP832"/>
  <c r="AQ832"/>
  <c r="AO833"/>
  <c r="AP833"/>
  <c r="AQ833"/>
  <c r="AO834"/>
  <c r="AP834"/>
  <c r="AQ834"/>
  <c r="AO835"/>
  <c r="AP835"/>
  <c r="AQ835"/>
  <c r="AO836"/>
  <c r="AP836"/>
  <c r="AQ836"/>
  <c r="AO837"/>
  <c r="AP837"/>
  <c r="AQ837"/>
  <c r="AO838"/>
  <c r="AP838"/>
  <c r="AQ838"/>
  <c r="AO839"/>
  <c r="AP839"/>
  <c r="AQ839"/>
  <c r="AO840"/>
  <c r="AP840"/>
  <c r="AQ840"/>
  <c r="AO841"/>
  <c r="AP841"/>
  <c r="AQ841"/>
  <c r="AO842"/>
  <c r="AP842"/>
  <c r="AQ842"/>
  <c r="AO843"/>
  <c r="AP843"/>
  <c r="AQ843"/>
  <c r="AO844"/>
  <c r="AP844"/>
  <c r="AQ844"/>
  <c r="AO845"/>
  <c r="AP845"/>
  <c r="AQ845"/>
  <c r="AO846"/>
  <c r="AP846"/>
  <c r="AQ846"/>
  <c r="AO847"/>
  <c r="AP847"/>
  <c r="AQ847"/>
  <c r="AO848"/>
  <c r="AP848"/>
  <c r="AQ848"/>
  <c r="AO849"/>
  <c r="AP849"/>
  <c r="AQ849"/>
  <c r="AO850"/>
  <c r="AP850"/>
  <c r="AQ850"/>
  <c r="AO851"/>
  <c r="AP851"/>
  <c r="AQ851"/>
  <c r="AO852"/>
  <c r="AP852"/>
  <c r="AQ852"/>
  <c r="AO853"/>
  <c r="AP853"/>
  <c r="AQ853"/>
  <c r="AO854"/>
  <c r="AP854"/>
  <c r="AQ854"/>
  <c r="AO855"/>
  <c r="AP855"/>
  <c r="AQ855"/>
  <c r="AO856"/>
  <c r="AP856"/>
  <c r="AQ856"/>
  <c r="AO857"/>
  <c r="AP857"/>
  <c r="AQ857"/>
  <c r="AO858"/>
  <c r="AP858"/>
  <c r="AQ858"/>
  <c r="AO859"/>
  <c r="AP859"/>
  <c r="AQ859"/>
  <c r="AO860"/>
  <c r="AP860"/>
  <c r="AQ860"/>
  <c r="AO861"/>
  <c r="AP861"/>
  <c r="AQ861"/>
  <c r="AO862"/>
  <c r="AP862"/>
  <c r="AQ862"/>
  <c r="AO863"/>
  <c r="AP863"/>
  <c r="AQ863"/>
  <c r="AO864"/>
  <c r="AP864"/>
  <c r="AQ864"/>
  <c r="AO865"/>
  <c r="AP865"/>
  <c r="AQ865"/>
  <c r="AO866"/>
  <c r="AP866"/>
  <c r="AQ866"/>
  <c r="AO867"/>
  <c r="AP867"/>
  <c r="AQ867"/>
  <c r="AO868"/>
  <c r="AP868"/>
  <c r="AQ868"/>
  <c r="AO869"/>
  <c r="AP869"/>
  <c r="AQ869"/>
  <c r="AO870"/>
  <c r="AP870"/>
  <c r="AQ870"/>
  <c r="AO871"/>
  <c r="AP871"/>
  <c r="AQ871"/>
  <c r="AO872"/>
  <c r="AP872"/>
  <c r="AQ872"/>
  <c r="AO873"/>
  <c r="AP873"/>
  <c r="AQ873"/>
  <c r="AO874"/>
  <c r="AP874"/>
  <c r="AQ874"/>
  <c r="AO875"/>
  <c r="AP875"/>
  <c r="AQ875"/>
  <c r="AO876"/>
  <c r="AP876"/>
  <c r="AQ876"/>
  <c r="AO877"/>
  <c r="AP877"/>
  <c r="AQ877"/>
  <c r="AO878"/>
  <c r="AP878"/>
  <c r="AQ878"/>
  <c r="AO879"/>
  <c r="AP879"/>
  <c r="AQ879"/>
  <c r="AO880"/>
  <c r="AP880"/>
  <c r="AQ880"/>
  <c r="AO881"/>
  <c r="AP881"/>
  <c r="AQ881"/>
  <c r="AO882"/>
  <c r="AP882"/>
  <c r="AQ882"/>
  <c r="AO883"/>
  <c r="AP883"/>
  <c r="AQ883"/>
  <c r="AO884"/>
  <c r="AP884"/>
  <c r="AQ884"/>
  <c r="AO885"/>
  <c r="AP885"/>
  <c r="AQ885"/>
  <c r="AO886"/>
  <c r="AP886"/>
  <c r="AQ886"/>
  <c r="AO887"/>
  <c r="AP887"/>
  <c r="AQ887"/>
  <c r="AO888"/>
  <c r="AP888"/>
  <c r="AQ888"/>
  <c r="AO889"/>
  <c r="AP889"/>
  <c r="AQ889"/>
  <c r="AO890"/>
  <c r="AP890"/>
  <c r="AQ890"/>
  <c r="AO891"/>
  <c r="AP891"/>
  <c r="AQ891"/>
  <c r="AO892"/>
  <c r="AP892"/>
  <c r="AQ892"/>
  <c r="AO893"/>
  <c r="AP893"/>
  <c r="AQ893"/>
  <c r="AO894"/>
  <c r="AP894"/>
  <c r="AQ894"/>
  <c r="AO895"/>
  <c r="AP895"/>
  <c r="AQ895"/>
  <c r="AO896"/>
  <c r="AP896"/>
  <c r="AQ896"/>
  <c r="AO897"/>
  <c r="AP897"/>
  <c r="AQ897"/>
  <c r="AO898"/>
  <c r="AP898"/>
  <c r="AQ898"/>
  <c r="AO899"/>
  <c r="AP899"/>
  <c r="AQ899"/>
  <c r="AO900"/>
  <c r="AP900"/>
  <c r="AQ900"/>
  <c r="AO901"/>
  <c r="AP901"/>
  <c r="AQ901"/>
  <c r="AO902"/>
  <c r="AP902"/>
  <c r="AQ902"/>
  <c r="AO903"/>
  <c r="AP903"/>
  <c r="AQ903"/>
  <c r="AO904"/>
  <c r="AP904"/>
  <c r="AQ904"/>
  <c r="AO905"/>
  <c r="AP905"/>
  <c r="AQ905"/>
  <c r="AO906"/>
  <c r="AP906"/>
  <c r="AQ906"/>
  <c r="AO907"/>
  <c r="AP907"/>
  <c r="AQ907"/>
  <c r="AO908"/>
  <c r="AP908"/>
  <c r="AQ908"/>
  <c r="AO909"/>
  <c r="AP909"/>
  <c r="AQ909"/>
  <c r="AO910"/>
  <c r="AP910"/>
  <c r="AQ910"/>
  <c r="AO911"/>
  <c r="AP911"/>
  <c r="AQ911"/>
  <c r="AO912"/>
  <c r="AP912"/>
  <c r="AQ912"/>
  <c r="AO913"/>
  <c r="AP913"/>
  <c r="AQ913"/>
  <c r="AO914"/>
  <c r="AP914"/>
  <c r="AQ914"/>
  <c r="AO915"/>
  <c r="AP915"/>
  <c r="AQ915"/>
  <c r="AO916"/>
  <c r="AP916"/>
  <c r="AQ916"/>
  <c r="AO917"/>
  <c r="AP917"/>
  <c r="AQ917"/>
  <c r="AO918"/>
  <c r="AP918"/>
  <c r="AQ918"/>
  <c r="AO919"/>
  <c r="AP919"/>
  <c r="AQ919"/>
  <c r="AO920"/>
  <c r="AP920"/>
  <c r="AQ920"/>
  <c r="AO921"/>
  <c r="AP921"/>
  <c r="AQ921"/>
  <c r="AO922"/>
  <c r="AP922"/>
  <c r="AQ922"/>
  <c r="AO923"/>
  <c r="AP923"/>
  <c r="AQ923"/>
  <c r="AO924"/>
  <c r="AP924"/>
  <c r="AQ924"/>
  <c r="AO925"/>
  <c r="AP925"/>
  <c r="AQ925"/>
  <c r="AO926"/>
  <c r="AP926"/>
  <c r="AQ926"/>
  <c r="AO927"/>
  <c r="AP927"/>
  <c r="AQ927"/>
  <c r="AO928"/>
  <c r="AP928"/>
  <c r="AQ928"/>
  <c r="AO929"/>
  <c r="AP929"/>
  <c r="AQ929"/>
  <c r="AO930"/>
  <c r="AP930"/>
  <c r="AQ930"/>
  <c r="AO931"/>
  <c r="AP931"/>
  <c r="AQ931"/>
  <c r="AO932"/>
  <c r="AP932"/>
  <c r="AQ932"/>
  <c r="AO933"/>
  <c r="AP933"/>
  <c r="AQ933"/>
  <c r="AO934"/>
  <c r="AP934"/>
  <c r="AQ934"/>
  <c r="AO935"/>
  <c r="AP935"/>
  <c r="AQ935"/>
  <c r="AO936"/>
  <c r="AP936"/>
  <c r="AQ936"/>
  <c r="AO937"/>
  <c r="AP937"/>
  <c r="AQ937"/>
  <c r="AO938"/>
  <c r="AP938"/>
  <c r="AQ938"/>
  <c r="AO939"/>
  <c r="AP939"/>
  <c r="AQ939"/>
  <c r="AO940"/>
  <c r="AP940"/>
  <c r="AQ940"/>
  <c r="AO941"/>
  <c r="AP941"/>
  <c r="AQ941"/>
  <c r="AO942"/>
  <c r="AP942"/>
  <c r="AQ942"/>
  <c r="AO943"/>
  <c r="AP943"/>
  <c r="AQ943"/>
  <c r="AO944"/>
  <c r="AP944"/>
  <c r="AQ944"/>
  <c r="AO945"/>
  <c r="AP945"/>
  <c r="AQ945"/>
  <c r="AO946"/>
  <c r="AP946"/>
  <c r="AQ946"/>
  <c r="AO947"/>
  <c r="AP947"/>
  <c r="AQ947"/>
  <c r="AO948"/>
  <c r="AP948"/>
  <c r="AQ948"/>
  <c r="AO949"/>
  <c r="AP949"/>
  <c r="AQ949"/>
  <c r="AO950"/>
  <c r="AP950"/>
  <c r="AQ950"/>
  <c r="AO951"/>
  <c r="AP951"/>
  <c r="AQ951"/>
  <c r="AO952"/>
  <c r="AP952"/>
  <c r="AQ952"/>
  <c r="AO953"/>
  <c r="AP953"/>
  <c r="AQ953"/>
  <c r="AO954"/>
  <c r="AP954"/>
  <c r="AQ954"/>
  <c r="AO955"/>
  <c r="AP955"/>
  <c r="AQ955"/>
  <c r="AO956"/>
  <c r="AP956"/>
  <c r="AQ956"/>
  <c r="AO957"/>
  <c r="AP957"/>
  <c r="AQ957"/>
  <c r="AO958"/>
  <c r="AP958"/>
  <c r="AQ958"/>
  <c r="AO959"/>
  <c r="AP959"/>
  <c r="AQ959"/>
  <c r="AO960"/>
  <c r="AP960"/>
  <c r="AQ960"/>
  <c r="AO961"/>
  <c r="AP961"/>
  <c r="AQ961"/>
  <c r="AO962"/>
  <c r="AP962"/>
  <c r="AQ962"/>
  <c r="AO963"/>
  <c r="AP963"/>
  <c r="AQ963"/>
  <c r="AO964"/>
  <c r="AP964"/>
  <c r="AQ964"/>
  <c r="AO965"/>
  <c r="AP965"/>
  <c r="AQ965"/>
  <c r="AO966"/>
  <c r="AP966"/>
  <c r="AQ966"/>
  <c r="AO967"/>
  <c r="AP967"/>
  <c r="AQ967"/>
  <c r="AO968"/>
  <c r="AP968"/>
  <c r="AQ968"/>
  <c r="AO969"/>
  <c r="AP969"/>
  <c r="AQ969"/>
  <c r="AO970"/>
  <c r="AP970"/>
  <c r="AQ970"/>
  <c r="AO971"/>
  <c r="AP971"/>
  <c r="AQ971"/>
  <c r="AO972"/>
  <c r="AP972"/>
  <c r="AQ972"/>
  <c r="AO973"/>
  <c r="AP973"/>
  <c r="AQ973"/>
  <c r="AO974"/>
  <c r="AP974"/>
  <c r="AQ974"/>
  <c r="AO975"/>
  <c r="AP975"/>
  <c r="AQ975"/>
  <c r="AO976"/>
  <c r="AP976"/>
  <c r="AQ976"/>
  <c r="AO977"/>
  <c r="AP977"/>
  <c r="AQ977"/>
  <c r="AO978"/>
  <c r="AP978"/>
  <c r="AQ978"/>
  <c r="AO979"/>
  <c r="AP979"/>
  <c r="AQ979"/>
  <c r="AO980"/>
  <c r="AP980"/>
  <c r="AQ980"/>
  <c r="AO981"/>
  <c r="AP981"/>
  <c r="AQ981"/>
  <c r="AO982"/>
  <c r="AP982"/>
  <c r="AQ982"/>
  <c r="AO983"/>
  <c r="AP983"/>
  <c r="AQ983"/>
  <c r="AO984"/>
  <c r="AP984"/>
  <c r="AQ984"/>
  <c r="AO985"/>
  <c r="AP985"/>
  <c r="AQ985"/>
  <c r="AO986"/>
  <c r="AP986"/>
  <c r="AQ986"/>
  <c r="AO987"/>
  <c r="AP987"/>
  <c r="AQ987"/>
  <c r="AO988"/>
  <c r="AP988"/>
  <c r="AQ988"/>
  <c r="AO989"/>
  <c r="AP989"/>
  <c r="AQ989"/>
  <c r="AO990"/>
  <c r="AP990"/>
  <c r="AQ990"/>
  <c r="AO991"/>
  <c r="AP991"/>
  <c r="AQ991"/>
  <c r="AO992"/>
  <c r="AP992"/>
  <c r="AQ992"/>
  <c r="AO993"/>
  <c r="AP993"/>
  <c r="AQ993"/>
  <c r="AO994"/>
  <c r="AP994"/>
  <c r="AQ994"/>
  <c r="AO995"/>
  <c r="AP995"/>
  <c r="AQ995"/>
  <c r="AO996"/>
  <c r="AP996"/>
  <c r="AQ996"/>
  <c r="AO997"/>
  <c r="AP997"/>
  <c r="AQ997"/>
  <c r="AO998"/>
  <c r="AP998"/>
  <c r="AQ998"/>
  <c r="AO999"/>
  <c r="AP999"/>
  <c r="AQ999"/>
  <c r="AO1000"/>
  <c r="AP1000"/>
  <c r="AQ1000"/>
  <c r="AO1001"/>
  <c r="AP1001"/>
  <c r="AQ1001"/>
  <c r="AO1002"/>
  <c r="AP1002"/>
  <c r="AQ1002"/>
  <c r="AO1003"/>
  <c r="AP1003"/>
  <c r="AQ1003"/>
  <c r="AO1004"/>
  <c r="AP1004"/>
  <c r="AQ1004"/>
  <c r="AO1005"/>
  <c r="AP1005"/>
  <c r="AQ1005"/>
  <c r="AO1006"/>
  <c r="AP1006"/>
  <c r="AQ1006"/>
  <c r="AO1007"/>
  <c r="AP1007"/>
  <c r="AQ1007"/>
  <c r="AO1008"/>
  <c r="AP1008"/>
  <c r="AQ1008"/>
  <c r="AO1009"/>
  <c r="AP1009"/>
  <c r="AQ1009"/>
  <c r="AO1010"/>
  <c r="AP1010"/>
  <c r="AQ1010"/>
  <c r="AO1011"/>
  <c r="AP1011"/>
  <c r="AQ1011"/>
  <c r="AO1012"/>
  <c r="AP1012"/>
  <c r="AQ1012"/>
  <c r="AO1013"/>
  <c r="AP1013"/>
  <c r="AQ1013"/>
  <c r="AO1014"/>
  <c r="AP1014"/>
  <c r="AQ1014"/>
  <c r="AO1015"/>
  <c r="AP1015"/>
  <c r="AQ1015"/>
  <c r="AO1016"/>
  <c r="AP1016"/>
  <c r="AQ1016"/>
  <c r="AO1017"/>
  <c r="AP1017"/>
  <c r="AQ1017"/>
  <c r="AO1018"/>
  <c r="AP1018"/>
  <c r="AQ1018"/>
  <c r="AO1019"/>
  <c r="AP1019"/>
  <c r="AQ1019"/>
  <c r="AO1020"/>
  <c r="AP1020"/>
  <c r="AQ1020"/>
  <c r="AO1021"/>
  <c r="AP1021"/>
  <c r="AQ1021"/>
  <c r="AO1022"/>
  <c r="AP1022"/>
  <c r="AQ1022"/>
  <c r="AO1023"/>
  <c r="AP1023"/>
  <c r="AQ1023"/>
  <c r="AO1024"/>
  <c r="AP1024"/>
  <c r="AQ1024"/>
  <c r="AO1025"/>
  <c r="AP1025"/>
  <c r="AQ1025"/>
  <c r="AO1026"/>
  <c r="AP1026"/>
  <c r="AQ1026"/>
  <c r="AO1027"/>
  <c r="AP1027"/>
  <c r="AQ1027"/>
  <c r="AO1028"/>
  <c r="AP1028"/>
  <c r="AQ1028"/>
  <c r="AO1029"/>
  <c r="AP1029"/>
  <c r="AQ1029"/>
  <c r="AO1030"/>
  <c r="AP1030"/>
  <c r="AQ1030"/>
  <c r="AO1031"/>
  <c r="AP1031"/>
  <c r="AQ1031"/>
  <c r="AO1032"/>
  <c r="AP1032"/>
  <c r="AQ1032"/>
  <c r="AO1033"/>
  <c r="AP1033"/>
  <c r="AQ1033"/>
  <c r="AO1034"/>
  <c r="AP1034"/>
  <c r="AQ1034"/>
  <c r="AO1035"/>
  <c r="AP1035"/>
  <c r="AQ1035"/>
  <c r="AO1036"/>
  <c r="AP1036"/>
  <c r="AQ1036"/>
  <c r="AO1037"/>
  <c r="AP1037"/>
  <c r="AQ1037"/>
  <c r="AO1038"/>
  <c r="AP1038"/>
  <c r="AQ1038"/>
  <c r="AO1039"/>
  <c r="AP1039"/>
  <c r="AQ1039"/>
  <c r="AO1040"/>
  <c r="AP1040"/>
  <c r="AQ1040"/>
  <c r="AO1041"/>
  <c r="AP1041"/>
  <c r="AQ1041"/>
  <c r="AO1042"/>
  <c r="AP1042"/>
  <c r="AQ1042"/>
  <c r="AO1043"/>
  <c r="AP1043"/>
  <c r="AQ1043"/>
  <c r="AO1044"/>
  <c r="AP1044"/>
  <c r="AQ1044"/>
  <c r="AO1045"/>
  <c r="AP1045"/>
  <c r="AQ1045"/>
  <c r="AO1046"/>
  <c r="AP1046"/>
  <c r="AQ1046"/>
  <c r="AO1047"/>
  <c r="AP1047"/>
  <c r="AQ1047"/>
  <c r="AO1048"/>
  <c r="AP1048"/>
  <c r="AQ1048"/>
  <c r="AO1049"/>
  <c r="AP1049"/>
  <c r="AQ1049"/>
  <c r="AO1050"/>
  <c r="AP1050"/>
  <c r="AQ1050"/>
  <c r="AO1051"/>
  <c r="AP1051"/>
  <c r="AQ1051"/>
  <c r="AO1052"/>
  <c r="AP1052"/>
  <c r="AQ1052"/>
  <c r="AO1053"/>
  <c r="AP1053"/>
  <c r="AQ1053"/>
  <c r="AO1054"/>
  <c r="AP1054"/>
  <c r="AQ1054"/>
  <c r="AO1055"/>
  <c r="AP1055"/>
  <c r="AQ1055"/>
  <c r="AO1056"/>
  <c r="AP1056"/>
  <c r="AQ1056"/>
  <c r="AO1057"/>
  <c r="AP1057"/>
  <c r="AQ1057"/>
  <c r="AO1058"/>
  <c r="AP1058"/>
  <c r="AQ1058"/>
  <c r="AO1059"/>
  <c r="AP1059"/>
  <c r="AQ1059"/>
  <c r="AO1060"/>
  <c r="AP1060"/>
  <c r="AQ1060"/>
  <c r="AO1061"/>
  <c r="AP1061"/>
  <c r="AQ1061"/>
  <c r="AO1062"/>
  <c r="AP1062"/>
  <c r="AQ1062"/>
  <c r="AO1063"/>
  <c r="AP1063"/>
  <c r="AQ1063"/>
  <c r="AO1064"/>
  <c r="AP1064"/>
  <c r="AQ1064"/>
  <c r="AO1065"/>
  <c r="AP1065"/>
  <c r="AQ1065"/>
  <c r="AO1066"/>
  <c r="AP1066"/>
  <c r="AQ1066"/>
  <c r="AO1067"/>
  <c r="AP1067"/>
  <c r="AQ1067"/>
  <c r="AO1068"/>
  <c r="AP1068"/>
  <c r="AQ1068"/>
  <c r="AO1069"/>
  <c r="AP1069"/>
  <c r="AQ1069"/>
  <c r="AO1070"/>
  <c r="AP1070"/>
  <c r="AQ1070"/>
  <c r="AO1071"/>
  <c r="AP1071"/>
  <c r="AQ1071"/>
  <c r="AO1072"/>
  <c r="AP1072"/>
  <c r="AQ1072"/>
  <c r="AO1073"/>
  <c r="AP1073"/>
  <c r="AQ1073"/>
  <c r="AO1074"/>
  <c r="AQ1074"/>
  <c r="AO1075"/>
  <c r="AP1075"/>
  <c r="AQ1075"/>
  <c r="AO1076"/>
  <c r="AP1076"/>
  <c r="AQ1076"/>
  <c r="AO1077"/>
  <c r="AP1077"/>
  <c r="AQ1077"/>
  <c r="AO1078"/>
  <c r="AP1078"/>
  <c r="AQ1078"/>
  <c r="AO1079"/>
  <c r="AP1079"/>
  <c r="AQ1079"/>
  <c r="AO1080"/>
  <c r="AP1080"/>
  <c r="AQ1080"/>
  <c r="AO1081"/>
  <c r="AP1081"/>
  <c r="AQ1081"/>
  <c r="AO3"/>
  <c r="AP3"/>
  <c r="AQ3"/>
  <c r="AO4"/>
  <c r="AP4"/>
  <c r="AQ4"/>
  <c r="AO5"/>
  <c r="AP5"/>
  <c r="AQ5"/>
  <c r="AO6"/>
  <c r="AP6"/>
  <c r="AQ6"/>
  <c r="AO7"/>
  <c r="AP7"/>
  <c r="AQ7"/>
  <c r="AO8"/>
  <c r="AP8"/>
  <c r="AQ8"/>
  <c r="AO9"/>
  <c r="AP9"/>
  <c r="AQ9"/>
  <c r="AO10"/>
  <c r="AP10"/>
  <c r="AQ10"/>
  <c r="AO11"/>
  <c r="AP11"/>
  <c r="AQ11"/>
  <c r="AO12"/>
  <c r="AP12"/>
  <c r="AQ12"/>
  <c r="AO13"/>
  <c r="AP13"/>
  <c r="AQ13"/>
  <c r="AO14"/>
  <c r="AP14"/>
  <c r="AQ14"/>
  <c r="AO15"/>
  <c r="AP15"/>
  <c r="AQ15"/>
  <c r="AO16"/>
  <c r="AP16"/>
  <c r="AQ16"/>
  <c r="AO17"/>
  <c r="AP17"/>
  <c r="AQ17"/>
  <c r="AO18"/>
  <c r="AP18"/>
  <c r="AQ18"/>
  <c r="AO19"/>
  <c r="AP19"/>
  <c r="AQ19"/>
  <c r="AO20"/>
  <c r="AP20"/>
  <c r="AQ20"/>
  <c r="AO21"/>
  <c r="AP21"/>
  <c r="AQ21"/>
  <c r="AO22"/>
  <c r="AP22"/>
  <c r="AQ22"/>
  <c r="AO23"/>
  <c r="AP23"/>
  <c r="AQ23"/>
  <c r="AO24"/>
  <c r="AP24"/>
  <c r="AQ24"/>
  <c r="AO25"/>
  <c r="AP25"/>
  <c r="AQ25"/>
  <c r="AO26"/>
  <c r="AP26"/>
  <c r="AQ26"/>
  <c r="AO27"/>
  <c r="AP27"/>
  <c r="AQ27"/>
  <c r="AO28"/>
  <c r="AP28"/>
  <c r="AQ28"/>
  <c r="AO29"/>
  <c r="AP29"/>
  <c r="AQ29"/>
  <c r="AO30"/>
  <c r="AP30"/>
  <c r="AQ30"/>
  <c r="AO31"/>
  <c r="AP31"/>
  <c r="AQ31"/>
  <c r="AO32"/>
  <c r="AP32"/>
  <c r="AQ32"/>
  <c r="AO33"/>
  <c r="AP33"/>
  <c r="AQ33"/>
  <c r="AO34"/>
  <c r="AP34"/>
  <c r="AQ34"/>
  <c r="AO35"/>
  <c r="AP35"/>
  <c r="AQ35"/>
  <c r="AO36"/>
  <c r="AP36"/>
  <c r="AQ36"/>
  <c r="AO37"/>
  <c r="AP37"/>
  <c r="AQ37"/>
  <c r="AO38"/>
  <c r="AP38"/>
  <c r="AQ38"/>
  <c r="AO39"/>
  <c r="AP39"/>
  <c r="AQ39"/>
  <c r="AO40"/>
  <c r="AP40"/>
  <c r="AQ40"/>
  <c r="AO41"/>
  <c r="AP41"/>
  <c r="AQ41"/>
  <c r="AO42"/>
  <c r="AP42"/>
  <c r="AQ42"/>
  <c r="AO43"/>
  <c r="AP43"/>
  <c r="AQ43"/>
  <c r="AO44"/>
  <c r="AP44"/>
  <c r="AQ44"/>
  <c r="AO45"/>
  <c r="AP45"/>
  <c r="AQ45"/>
  <c r="AO46"/>
  <c r="AP46"/>
  <c r="AQ46"/>
  <c r="AO47"/>
  <c r="AP47"/>
  <c r="AQ47"/>
  <c r="AO48"/>
  <c r="AP48"/>
  <c r="AQ48"/>
  <c r="AO49"/>
  <c r="AP49"/>
  <c r="AQ49"/>
  <c r="AO50"/>
  <c r="AP50"/>
  <c r="AQ50"/>
  <c r="AO51"/>
  <c r="AP51"/>
  <c r="AQ51"/>
  <c r="AO52"/>
  <c r="AP52"/>
  <c r="AQ52"/>
  <c r="AO53"/>
  <c r="AP53"/>
  <c r="AQ53"/>
  <c r="AO54"/>
  <c r="AP54"/>
  <c r="AQ54"/>
  <c r="AO55"/>
  <c r="AP55"/>
  <c r="AQ55"/>
  <c r="AO56"/>
  <c r="AP56"/>
  <c r="AQ56"/>
  <c r="AO57"/>
  <c r="AP57"/>
  <c r="AQ57"/>
  <c r="AO58"/>
  <c r="AP58"/>
  <c r="AQ58"/>
  <c r="AO59"/>
  <c r="AP59"/>
  <c r="AQ59"/>
  <c r="AO60"/>
  <c r="AP60"/>
  <c r="AQ60"/>
  <c r="AO61"/>
  <c r="AP61"/>
  <c r="AQ61"/>
  <c r="AO62"/>
  <c r="AP62"/>
  <c r="AQ62"/>
  <c r="AO63"/>
  <c r="AP63"/>
  <c r="AQ63"/>
  <c r="AO64"/>
  <c r="AP64"/>
  <c r="AQ64"/>
  <c r="AO65"/>
  <c r="AP65"/>
  <c r="AQ65"/>
  <c r="AO66"/>
  <c r="AP66"/>
  <c r="AQ66"/>
  <c r="AO67"/>
  <c r="AP67"/>
  <c r="AQ67"/>
  <c r="AO68"/>
  <c r="AP68"/>
  <c r="AQ68"/>
  <c r="AO69"/>
  <c r="AP69"/>
  <c r="AQ69"/>
  <c r="AO70"/>
  <c r="AP70"/>
  <c r="AQ70"/>
  <c r="AO71"/>
  <c r="AP71"/>
  <c r="AQ71"/>
  <c r="AO72"/>
  <c r="AP72"/>
  <c r="AQ72"/>
  <c r="AO73"/>
  <c r="AP73"/>
  <c r="AQ73"/>
  <c r="AO74"/>
  <c r="AP74"/>
  <c r="AQ74"/>
  <c r="AO75"/>
  <c r="AP75"/>
  <c r="AQ75"/>
  <c r="AO76"/>
  <c r="AP76"/>
  <c r="AQ76"/>
  <c r="AO77"/>
  <c r="AP77"/>
  <c r="AQ77"/>
  <c r="AO78"/>
  <c r="AP78"/>
  <c r="AQ78"/>
  <c r="AO79"/>
  <c r="AP79"/>
  <c r="AQ79"/>
  <c r="AO80"/>
  <c r="AP80"/>
  <c r="AQ80"/>
  <c r="AO81"/>
  <c r="AP81"/>
  <c r="AQ81"/>
  <c r="AO82"/>
  <c r="AP82"/>
  <c r="AQ82"/>
  <c r="AO83"/>
  <c r="AP83"/>
  <c r="AQ83"/>
  <c r="AO84"/>
  <c r="AP84"/>
  <c r="AQ84"/>
  <c r="AO85"/>
  <c r="AP85"/>
  <c r="AQ85"/>
  <c r="AO86"/>
  <c r="AP86"/>
  <c r="AQ86"/>
  <c r="AO87"/>
  <c r="AP87"/>
  <c r="AQ87"/>
  <c r="AO88"/>
  <c r="AP88"/>
  <c r="AQ88"/>
  <c r="AO89"/>
  <c r="AP89"/>
  <c r="AQ89"/>
  <c r="AO90"/>
  <c r="AP90"/>
  <c r="AQ90"/>
  <c r="AO91"/>
  <c r="AP91"/>
  <c r="AQ91"/>
  <c r="AO92"/>
  <c r="AP92"/>
  <c r="AQ92"/>
  <c r="AO93"/>
  <c r="AP93"/>
  <c r="AQ93"/>
  <c r="AO94"/>
  <c r="AP94"/>
  <c r="AQ94"/>
  <c r="AO95"/>
  <c r="AP95"/>
  <c r="AQ95"/>
  <c r="AO96"/>
  <c r="AP96"/>
  <c r="AQ96"/>
  <c r="AO97"/>
  <c r="AP97"/>
  <c r="AQ97"/>
  <c r="AO98"/>
  <c r="AP98"/>
  <c r="AQ98"/>
  <c r="AO99"/>
  <c r="AP99"/>
  <c r="AQ99"/>
  <c r="AO100"/>
  <c r="AP100"/>
  <c r="AQ100"/>
  <c r="AO101"/>
  <c r="AP101"/>
  <c r="AQ101"/>
  <c r="AO102"/>
  <c r="AP102"/>
  <c r="AQ102"/>
  <c r="AO103"/>
  <c r="AP103"/>
  <c r="AQ103"/>
  <c r="AO104"/>
  <c r="AP104"/>
  <c r="AQ104"/>
  <c r="AO105"/>
  <c r="AP105"/>
  <c r="AQ105"/>
  <c r="AO106"/>
  <c r="AP106"/>
  <c r="AQ106"/>
  <c r="AO107"/>
  <c r="AP107"/>
  <c r="AQ107"/>
  <c r="AO108"/>
  <c r="AP108"/>
  <c r="AQ108"/>
  <c r="AO109"/>
  <c r="AP109"/>
  <c r="AQ109"/>
  <c r="AO110"/>
  <c r="AP110"/>
  <c r="AQ110"/>
  <c r="AO111"/>
  <c r="AP111"/>
  <c r="AQ111"/>
  <c r="AO112"/>
  <c r="AP112"/>
  <c r="AQ112"/>
  <c r="AO113"/>
  <c r="AP113"/>
  <c r="AQ113"/>
  <c r="AO114"/>
  <c r="AP114"/>
  <c r="AQ114"/>
  <c r="AO115"/>
  <c r="AP115"/>
  <c r="AQ115"/>
  <c r="AO116"/>
  <c r="AP116"/>
  <c r="AQ116"/>
  <c r="AO117"/>
  <c r="AP117"/>
  <c r="AQ117"/>
  <c r="AO118"/>
  <c r="AP118"/>
  <c r="AQ118"/>
  <c r="AO119"/>
  <c r="AP119"/>
  <c r="AQ119"/>
  <c r="AO120"/>
  <c r="AP120"/>
  <c r="AQ120"/>
  <c r="AO121"/>
  <c r="AP121"/>
  <c r="AQ121"/>
  <c r="AO122"/>
  <c r="AP122"/>
  <c r="AQ122"/>
  <c r="AO123"/>
  <c r="AP123"/>
  <c r="AQ123"/>
  <c r="AO124"/>
  <c r="AP124"/>
  <c r="AQ124"/>
  <c r="AO125"/>
  <c r="AP125"/>
  <c r="AQ125"/>
  <c r="AO126"/>
  <c r="AP126"/>
  <c r="AQ126"/>
  <c r="AO127"/>
  <c r="AP127"/>
  <c r="AQ127"/>
  <c r="AO128"/>
  <c r="AP128"/>
  <c r="AQ128"/>
  <c r="AO129"/>
  <c r="AP129"/>
  <c r="AQ129"/>
  <c r="AO130"/>
  <c r="AP130"/>
  <c r="AQ130"/>
  <c r="AO131"/>
  <c r="AP131"/>
  <c r="AQ131"/>
  <c r="AO132"/>
  <c r="AP132"/>
  <c r="AQ132"/>
  <c r="AO133"/>
  <c r="AP133"/>
  <c r="AQ133"/>
  <c r="AO134"/>
  <c r="AP134"/>
  <c r="AQ134"/>
  <c r="AO135"/>
  <c r="AP135"/>
  <c r="AQ135"/>
  <c r="AO136"/>
  <c r="AP136"/>
  <c r="AQ136"/>
  <c r="AO137"/>
  <c r="AP137"/>
  <c r="AQ137"/>
  <c r="AO138"/>
  <c r="AP138"/>
  <c r="AQ138"/>
  <c r="AO139"/>
  <c r="AP139"/>
  <c r="AQ139"/>
  <c r="AO140"/>
  <c r="AP140"/>
  <c r="AQ140"/>
  <c r="AO141"/>
  <c r="AP141"/>
  <c r="AQ141"/>
  <c r="AO142"/>
  <c r="AP142"/>
  <c r="AQ142"/>
  <c r="AO143"/>
  <c r="AP143"/>
  <c r="AQ143"/>
  <c r="AO144"/>
  <c r="AP144"/>
  <c r="AQ144"/>
  <c r="AO145"/>
  <c r="AP145"/>
  <c r="AQ145"/>
  <c r="AO146"/>
  <c r="AP146"/>
  <c r="AQ146"/>
  <c r="AO147"/>
  <c r="AP147"/>
  <c r="AQ147"/>
  <c r="AO148"/>
  <c r="AP148"/>
  <c r="AQ148"/>
  <c r="AO149"/>
  <c r="AP149"/>
  <c r="AQ149"/>
  <c r="AO150"/>
  <c r="AP150"/>
  <c r="AQ150"/>
  <c r="AO151"/>
  <c r="AP151"/>
  <c r="AQ151"/>
  <c r="AO152"/>
  <c r="AP152"/>
  <c r="AQ152"/>
  <c r="AO153"/>
  <c r="AP153"/>
  <c r="AQ153"/>
  <c r="AO154"/>
  <c r="AP154"/>
  <c r="AQ154"/>
  <c r="AO155"/>
  <c r="AP155"/>
  <c r="AQ155"/>
  <c r="AO156"/>
  <c r="AP156"/>
  <c r="AQ156"/>
  <c r="AO157"/>
  <c r="AP157"/>
  <c r="AQ157"/>
  <c r="AO158"/>
  <c r="AP158"/>
  <c r="AQ158"/>
  <c r="AO159"/>
  <c r="AP159"/>
  <c r="AQ159"/>
  <c r="AO160"/>
  <c r="AP160"/>
  <c r="AQ160"/>
  <c r="AO161"/>
  <c r="AP161"/>
  <c r="AQ161"/>
  <c r="AO162"/>
  <c r="AP162"/>
  <c r="AQ162"/>
  <c r="AO163"/>
  <c r="AP163"/>
  <c r="AQ163"/>
  <c r="AO164"/>
  <c r="AP164"/>
  <c r="AQ164"/>
  <c r="AO165"/>
  <c r="AP165"/>
  <c r="AQ165"/>
  <c r="AO166"/>
  <c r="AP166"/>
  <c r="AQ166"/>
  <c r="AO167"/>
  <c r="AP167"/>
  <c r="AQ167"/>
  <c r="AO168"/>
  <c r="AP168"/>
  <c r="AQ168"/>
  <c r="AO169"/>
  <c r="AP169"/>
  <c r="AQ169"/>
  <c r="AO170"/>
  <c r="AP170"/>
  <c r="AQ170"/>
  <c r="AO171"/>
  <c r="AP171"/>
  <c r="AQ171"/>
  <c r="AO172"/>
  <c r="AP172"/>
  <c r="AQ172"/>
  <c r="AO173"/>
  <c r="AP173"/>
  <c r="AQ173"/>
  <c r="AO174"/>
  <c r="AP174"/>
  <c r="AQ174"/>
  <c r="AO175"/>
  <c r="AP175"/>
  <c r="AQ175"/>
  <c r="AO176"/>
  <c r="AP176"/>
  <c r="AQ176"/>
  <c r="AO177"/>
  <c r="AP177"/>
  <c r="AQ177"/>
  <c r="AO178"/>
  <c r="AP178"/>
  <c r="AQ178"/>
  <c r="AO179"/>
  <c r="AP179"/>
  <c r="AQ179"/>
  <c r="AO180"/>
  <c r="AP180"/>
  <c r="AQ180"/>
  <c r="AO181"/>
  <c r="AP181"/>
  <c r="AQ181"/>
  <c r="AO182"/>
  <c r="AP182"/>
  <c r="AQ182"/>
  <c r="AO183"/>
  <c r="AP183"/>
  <c r="AQ183"/>
  <c r="AO184"/>
  <c r="AP184"/>
  <c r="AQ184"/>
  <c r="AO185"/>
  <c r="AP185"/>
  <c r="AQ185"/>
  <c r="AO186"/>
  <c r="AP186"/>
  <c r="AQ186"/>
  <c r="AO187"/>
  <c r="AP187"/>
  <c r="AQ187"/>
  <c r="AO188"/>
  <c r="AP188"/>
  <c r="AQ188"/>
  <c r="AO189"/>
  <c r="AP189"/>
  <c r="AQ189"/>
  <c r="AO190"/>
  <c r="AP190"/>
  <c r="AQ190"/>
  <c r="AO191"/>
  <c r="AP191"/>
  <c r="AQ191"/>
  <c r="AO192"/>
  <c r="AP192"/>
  <c r="AQ192"/>
  <c r="AO193"/>
  <c r="AP193"/>
  <c r="AQ193"/>
  <c r="AO194"/>
  <c r="AP194"/>
  <c r="AQ194"/>
  <c r="AO195"/>
  <c r="AP195"/>
  <c r="AQ195"/>
  <c r="AO196"/>
  <c r="AP196"/>
  <c r="AQ196"/>
  <c r="AO197"/>
  <c r="AP197"/>
  <c r="AQ197"/>
  <c r="AO198"/>
  <c r="AP198"/>
  <c r="AQ198"/>
  <c r="AO199"/>
  <c r="AP199"/>
  <c r="AQ199"/>
  <c r="AO200"/>
  <c r="AP200"/>
  <c r="AQ200"/>
  <c r="AO201"/>
  <c r="AP201"/>
  <c r="AQ201"/>
  <c r="AO202"/>
  <c r="AP202"/>
  <c r="AQ202"/>
  <c r="AO203"/>
  <c r="AP203"/>
  <c r="AQ203"/>
  <c r="AO204"/>
  <c r="AP204"/>
  <c r="AQ204"/>
  <c r="AO205"/>
  <c r="AP205"/>
  <c r="AQ205"/>
  <c r="AO206"/>
  <c r="AP206"/>
  <c r="AQ206"/>
  <c r="AO207"/>
  <c r="AP207"/>
  <c r="AQ207"/>
  <c r="AO208"/>
  <c r="AP208"/>
  <c r="AQ208"/>
  <c r="AO209"/>
  <c r="AP209"/>
  <c r="AQ209"/>
  <c r="AO210"/>
  <c r="AP210"/>
  <c r="AQ210"/>
  <c r="AO211"/>
  <c r="AP211"/>
  <c r="AQ211"/>
  <c r="AO212"/>
  <c r="AP212"/>
  <c r="AQ212"/>
  <c r="AO213"/>
  <c r="AP213"/>
  <c r="AQ213"/>
  <c r="AO214"/>
  <c r="AP214"/>
  <c r="AQ214"/>
  <c r="AO215"/>
  <c r="AP215"/>
  <c r="AQ215"/>
  <c r="AO216"/>
  <c r="AP216"/>
  <c r="AQ216"/>
  <c r="AO217"/>
  <c r="AP217"/>
  <c r="AQ217"/>
  <c r="AO218"/>
  <c r="AP218"/>
  <c r="AQ218"/>
  <c r="AO219"/>
  <c r="AP219"/>
  <c r="AQ219"/>
  <c r="AO220"/>
  <c r="AP220"/>
  <c r="AQ220"/>
  <c r="AO221"/>
  <c r="AP221"/>
  <c r="AQ221"/>
  <c r="AO222"/>
  <c r="AP222"/>
  <c r="AQ222"/>
  <c r="AO223"/>
  <c r="AP223"/>
  <c r="AQ223"/>
  <c r="AO224"/>
  <c r="AP224"/>
  <c r="AQ224"/>
  <c r="AO225"/>
  <c r="AP225"/>
  <c r="AQ225"/>
  <c r="AO226"/>
  <c r="AP226"/>
  <c r="AQ226"/>
  <c r="AO227"/>
  <c r="AP227"/>
  <c r="AQ227"/>
  <c r="AQ228"/>
  <c r="AP228"/>
  <c r="AO228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2"/>
  <c r="AC18" i="1"/>
  <c r="L2"/>
  <c r="Y2"/>
  <c r="Z2"/>
  <c r="AA2"/>
  <c r="G18" i="10"/>
  <c r="F17"/>
  <c r="N17"/>
  <c r="J17"/>
  <c r="S18"/>
  <c r="P18"/>
  <c r="L18"/>
  <c r="H18"/>
  <c r="D18"/>
  <c r="G17"/>
  <c r="O17"/>
  <c r="K17"/>
  <c r="C18"/>
  <c r="Q18"/>
  <c r="M18"/>
  <c r="I18"/>
  <c r="E18"/>
  <c r="H17"/>
  <c r="D17"/>
  <c r="P17"/>
  <c r="L17"/>
  <c r="C17"/>
  <c r="N18"/>
  <c r="J18"/>
  <c r="F18"/>
  <c r="I17"/>
  <c r="E17"/>
  <c r="Q17"/>
  <c r="M17"/>
  <c r="S17"/>
  <c r="R18"/>
  <c r="O18"/>
  <c r="K18"/>
  <c r="C15" i="6"/>
  <c r="C49" i="1"/>
  <c r="C48"/>
  <c r="C46"/>
  <c r="C52"/>
  <c r="C51"/>
  <c r="L51" s="1"/>
  <c r="K12"/>
  <c r="AB122"/>
  <c r="P162"/>
  <c r="P163" s="1"/>
  <c r="X162"/>
  <c r="X163" s="1"/>
  <c r="O162"/>
  <c r="O163" s="1"/>
  <c r="W162"/>
  <c r="W163" s="1"/>
  <c r="N162"/>
  <c r="N163" s="1"/>
  <c r="V162"/>
  <c r="V163" s="1"/>
  <c r="M162"/>
  <c r="M163" s="1"/>
  <c r="U162"/>
  <c r="U163" s="1"/>
  <c r="D5" i="2"/>
  <c r="B6"/>
  <c r="AD8" i="1"/>
  <c r="AD11"/>
  <c r="AD14"/>
  <c r="G105" i="6"/>
  <c r="M124" i="1"/>
  <c r="N124"/>
  <c r="O124"/>
  <c r="P124"/>
  <c r="Q124"/>
  <c r="R124"/>
  <c r="S124"/>
  <c r="T124"/>
  <c r="U124"/>
  <c r="V124"/>
  <c r="W124"/>
  <c r="X124"/>
  <c r="Y124"/>
  <c r="Z124"/>
  <c r="AA124"/>
  <c r="L124"/>
  <c r="C124"/>
  <c r="H27" i="6"/>
  <c r="J27"/>
  <c r="H28"/>
  <c r="J28"/>
  <c r="H29"/>
  <c r="J29"/>
  <c r="H39"/>
  <c r="C39"/>
  <c r="H40"/>
  <c r="J40"/>
  <c r="H48"/>
  <c r="J48"/>
  <c r="H50"/>
  <c r="J50"/>
  <c r="L64" i="1"/>
  <c r="D129" i="5"/>
  <c r="T47"/>
  <c r="S47"/>
  <c r="R47"/>
  <c r="Q47"/>
  <c r="P47"/>
  <c r="O47"/>
  <c r="N47"/>
  <c r="M47"/>
  <c r="L47"/>
  <c r="K47"/>
  <c r="J47"/>
  <c r="I47"/>
  <c r="H47"/>
  <c r="G47"/>
  <c r="F47"/>
  <c r="B133"/>
  <c r="B134"/>
  <c r="D127"/>
  <c r="D126"/>
  <c r="D128"/>
  <c r="D125"/>
  <c r="Y1"/>
  <c r="A37"/>
  <c r="L56" i="1"/>
  <c r="M56"/>
  <c r="N56"/>
  <c r="O56"/>
  <c r="P56"/>
  <c r="Q56"/>
  <c r="R56"/>
  <c r="S56"/>
  <c r="T56"/>
  <c r="U56"/>
  <c r="V56"/>
  <c r="W56"/>
  <c r="X56"/>
  <c r="Y56"/>
  <c r="Z56"/>
  <c r="AA56"/>
  <c r="AB56"/>
  <c r="L57"/>
  <c r="L58"/>
  <c r="M58"/>
  <c r="N58"/>
  <c r="O58"/>
  <c r="P58"/>
  <c r="Q58"/>
  <c r="R58"/>
  <c r="S58"/>
  <c r="T58"/>
  <c r="U58"/>
  <c r="V58"/>
  <c r="W58"/>
  <c r="X58"/>
  <c r="Y58"/>
  <c r="Z58"/>
  <c r="AA58"/>
  <c r="AB58"/>
  <c r="L59"/>
  <c r="M59"/>
  <c r="N59"/>
  <c r="O59"/>
  <c r="P59"/>
  <c r="Q59"/>
  <c r="R59"/>
  <c r="S59"/>
  <c r="T59"/>
  <c r="U59"/>
  <c r="V59"/>
  <c r="W59"/>
  <c r="X59"/>
  <c r="Y59"/>
  <c r="Z59"/>
  <c r="AA59"/>
  <c r="AB59"/>
  <c r="L119"/>
  <c r="M119"/>
  <c r="N119"/>
  <c r="O119"/>
  <c r="P119"/>
  <c r="Q119"/>
  <c r="R119"/>
  <c r="S119"/>
  <c r="T119"/>
  <c r="U119"/>
  <c r="V119"/>
  <c r="W119"/>
  <c r="X119"/>
  <c r="Y119"/>
  <c r="Z119"/>
  <c r="L121"/>
  <c r="Z121"/>
  <c r="L122"/>
  <c r="Z122"/>
  <c r="AC13" i="9"/>
  <c r="L14"/>
  <c r="M14"/>
  <c r="P96" i="1"/>
  <c r="R14" i="9"/>
  <c r="U96" i="1"/>
  <c r="X14" i="9"/>
  <c r="AA96" i="1"/>
  <c r="R18" i="7"/>
  <c r="Q18"/>
  <c r="C5" i="12"/>
  <c r="G5"/>
  <c r="K5"/>
  <c r="O5"/>
  <c r="F50" i="10"/>
  <c r="X7" i="5"/>
  <c r="X13"/>
  <c r="I16" i="6"/>
  <c r="C42" i="1"/>
  <c r="L42"/>
  <c r="E16" i="6"/>
  <c r="H16"/>
  <c r="E18"/>
  <c r="C18"/>
  <c r="C40" i="1"/>
  <c r="L40"/>
  <c r="C40" i="6"/>
  <c r="C58"/>
  <c r="C57"/>
  <c r="C56"/>
  <c r="H55"/>
  <c r="C55"/>
  <c r="H54"/>
  <c r="C54"/>
  <c r="H53"/>
  <c r="C53"/>
  <c r="H37"/>
  <c r="C37"/>
  <c r="H38"/>
  <c r="C38"/>
  <c r="H36"/>
  <c r="C36"/>
  <c r="H35"/>
  <c r="C35"/>
  <c r="H30"/>
  <c r="C30"/>
  <c r="H31"/>
  <c r="C31"/>
  <c r="H32"/>
  <c r="C32"/>
  <c r="C28"/>
  <c r="C27"/>
  <c r="H23"/>
  <c r="C23"/>
  <c r="H22"/>
  <c r="C22"/>
  <c r="H44"/>
  <c r="C44"/>
  <c r="H45"/>
  <c r="C45"/>
  <c r="H46"/>
  <c r="C46"/>
  <c r="H47"/>
  <c r="C47"/>
  <c r="H49"/>
  <c r="C49"/>
  <c r="C50"/>
  <c r="H43"/>
  <c r="C43"/>
  <c r="C15" i="4"/>
  <c r="C16"/>
  <c r="C17"/>
  <c r="D15"/>
  <c r="D16"/>
  <c r="D17"/>
  <c r="E15"/>
  <c r="E16"/>
  <c r="E17"/>
  <c r="F15"/>
  <c r="F16"/>
  <c r="F17"/>
  <c r="G15"/>
  <c r="G16"/>
  <c r="G17"/>
  <c r="H15"/>
  <c r="H16"/>
  <c r="H17"/>
  <c r="I15"/>
  <c r="I16"/>
  <c r="I17"/>
  <c r="J15"/>
  <c r="J16"/>
  <c r="J17"/>
  <c r="K15"/>
  <c r="K16"/>
  <c r="K17"/>
  <c r="L15"/>
  <c r="L16"/>
  <c r="L17"/>
  <c r="M15"/>
  <c r="M16"/>
  <c r="M17"/>
  <c r="N15"/>
  <c r="N16"/>
  <c r="N17"/>
  <c r="B15"/>
  <c r="B16"/>
  <c r="B17"/>
  <c r="I4"/>
  <c r="I6"/>
  <c r="B58" i="6"/>
  <c r="B57"/>
  <c r="B56"/>
  <c r="M12" i="3"/>
  <c r="X57" i="5"/>
  <c r="X33"/>
  <c r="X34"/>
  <c r="T33"/>
  <c r="F33"/>
  <c r="F34"/>
  <c r="T30"/>
  <c r="X30"/>
  <c r="X31"/>
  <c r="F30"/>
  <c r="F31"/>
  <c r="T34"/>
  <c r="T31"/>
  <c r="H8" i="2"/>
  <c r="Q34" i="6"/>
  <c r="M122" i="1"/>
  <c r="N122"/>
  <c r="O122"/>
  <c r="P122"/>
  <c r="Q122"/>
  <c r="R122"/>
  <c r="S122"/>
  <c r="T122"/>
  <c r="U122"/>
  <c r="V122"/>
  <c r="W122"/>
  <c r="X122"/>
  <c r="Y122"/>
  <c r="AA122"/>
  <c r="D94"/>
  <c r="M121"/>
  <c r="N121"/>
  <c r="O121"/>
  <c r="P121"/>
  <c r="Q121"/>
  <c r="R121"/>
  <c r="S121"/>
  <c r="T121"/>
  <c r="U121"/>
  <c r="V121"/>
  <c r="W121"/>
  <c r="X121"/>
  <c r="Y121"/>
  <c r="AA121"/>
  <c r="D121"/>
  <c r="L50"/>
  <c r="M50"/>
  <c r="N50"/>
  <c r="O50"/>
  <c r="P50"/>
  <c r="Q50"/>
  <c r="R50"/>
  <c r="S50"/>
  <c r="T50"/>
  <c r="U50"/>
  <c r="V50"/>
  <c r="W50"/>
  <c r="X50"/>
  <c r="Y50"/>
  <c r="Z50"/>
  <c r="L53"/>
  <c r="M53"/>
  <c r="N53"/>
  <c r="O53"/>
  <c r="P53"/>
  <c r="Q53"/>
  <c r="R53"/>
  <c r="S53"/>
  <c r="T53"/>
  <c r="U53"/>
  <c r="V53"/>
  <c r="W53"/>
  <c r="X53"/>
  <c r="Y53"/>
  <c r="Z53"/>
  <c r="C120"/>
  <c r="AE51"/>
  <c r="AE50"/>
  <c r="AE49"/>
  <c r="AE48"/>
  <c r="AE47"/>
  <c r="AE46"/>
  <c r="AE45"/>
  <c r="AE44"/>
  <c r="AE43"/>
  <c r="AE42"/>
  <c r="AE41"/>
  <c r="AE40"/>
  <c r="AE39"/>
  <c r="AE38"/>
  <c r="AE37"/>
  <c r="AE36"/>
  <c r="AE35"/>
  <c r="AE34"/>
  <c r="AE33"/>
  <c r="AE32"/>
  <c r="AE31"/>
  <c r="AE30"/>
  <c r="AE29"/>
  <c r="AE28"/>
  <c r="AE27"/>
  <c r="AE26"/>
  <c r="AE25"/>
  <c r="AE24"/>
  <c r="AE23"/>
  <c r="AE22"/>
  <c r="AE21"/>
  <c r="AE20"/>
  <c r="AE19"/>
  <c r="AE18"/>
  <c r="AE17"/>
  <c r="AE16"/>
  <c r="AE15"/>
  <c r="AE14"/>
  <c r="AE13"/>
  <c r="AE12"/>
  <c r="AE11"/>
  <c r="AE10"/>
  <c r="AE9"/>
  <c r="AE8"/>
  <c r="AE7"/>
  <c r="AE6"/>
  <c r="AE5"/>
  <c r="AE4"/>
  <c r="AE3"/>
  <c r="AM22" i="5"/>
  <c r="J6" i="2"/>
  <c r="J5"/>
  <c r="D14" i="9"/>
  <c r="B14"/>
  <c r="Z63" i="1"/>
  <c r="Y63"/>
  <c r="X63"/>
  <c r="W63"/>
  <c r="V63"/>
  <c r="U63"/>
  <c r="T63"/>
  <c r="S63"/>
  <c r="R63"/>
  <c r="Q63"/>
  <c r="P63"/>
  <c r="O63"/>
  <c r="M63"/>
  <c r="L63"/>
  <c r="N63"/>
  <c r="C63"/>
  <c r="I17" i="6"/>
  <c r="B13" i="9"/>
  <c r="Q24" i="3"/>
  <c r="Q22"/>
  <c r="C17"/>
  <c r="D17"/>
  <c r="E17"/>
  <c r="Q24" i="6"/>
  <c r="AD9" i="1"/>
  <c r="AD12"/>
  <c r="AD15"/>
  <c r="AC5"/>
  <c r="AC9"/>
  <c r="C105"/>
  <c r="L105"/>
  <c r="C104"/>
  <c r="L104"/>
  <c r="M104"/>
  <c r="N104"/>
  <c r="O104"/>
  <c r="P104"/>
  <c r="Q104"/>
  <c r="R104"/>
  <c r="S104"/>
  <c r="T104"/>
  <c r="U104"/>
  <c r="V104"/>
  <c r="W104"/>
  <c r="X104"/>
  <c r="Y104"/>
  <c r="Z104"/>
  <c r="C89"/>
  <c r="L89"/>
  <c r="C75"/>
  <c r="L75"/>
  <c r="M75"/>
  <c r="N75"/>
  <c r="O75"/>
  <c r="P75"/>
  <c r="Q75"/>
  <c r="R75"/>
  <c r="S75"/>
  <c r="T75"/>
  <c r="U75"/>
  <c r="V75"/>
  <c r="W75"/>
  <c r="X75"/>
  <c r="Y75"/>
  <c r="Z75"/>
  <c r="C66"/>
  <c r="L66"/>
  <c r="L39"/>
  <c r="M39"/>
  <c r="N39"/>
  <c r="O39"/>
  <c r="P39"/>
  <c r="Q39"/>
  <c r="R39"/>
  <c r="S39"/>
  <c r="T39"/>
  <c r="U39"/>
  <c r="V39"/>
  <c r="W39"/>
  <c r="X39"/>
  <c r="Y39"/>
  <c r="Z39"/>
  <c r="C25"/>
  <c r="L25"/>
  <c r="M25"/>
  <c r="N25"/>
  <c r="O25"/>
  <c r="P25"/>
  <c r="Q25"/>
  <c r="R25"/>
  <c r="S25"/>
  <c r="T25"/>
  <c r="U25"/>
  <c r="V25"/>
  <c r="W25"/>
  <c r="X25"/>
  <c r="Y25"/>
  <c r="Z25"/>
  <c r="C29" i="4"/>
  <c r="C30"/>
  <c r="C28"/>
  <c r="D5"/>
  <c r="C115" i="1"/>
  <c r="AB16" i="9"/>
  <c r="X16"/>
  <c r="AA99" i="1"/>
  <c r="W16" i="9"/>
  <c r="Z98" i="1"/>
  <c r="V16" i="9"/>
  <c r="U16"/>
  <c r="X99" i="1"/>
  <c r="T16" i="9"/>
  <c r="W99" i="1"/>
  <c r="S16" i="9"/>
  <c r="V99" i="1"/>
  <c r="R16" i="9"/>
  <c r="U98" i="1"/>
  <c r="Q16" i="9"/>
  <c r="T99" i="1"/>
  <c r="P16" i="9"/>
  <c r="S99" i="1"/>
  <c r="O16" i="9"/>
  <c r="R99" i="1"/>
  <c r="N16" i="9"/>
  <c r="M16"/>
  <c r="P99" i="1"/>
  <c r="L16" i="9"/>
  <c r="O99" i="1"/>
  <c r="K16" i="9"/>
  <c r="C98" i="1"/>
  <c r="J16" i="9"/>
  <c r="M99" i="1"/>
  <c r="I16" i="9"/>
  <c r="L99" i="1"/>
  <c r="D15" i="9"/>
  <c r="B15"/>
  <c r="J9"/>
  <c r="J7"/>
  <c r="Q25" i="6"/>
  <c r="Q21"/>
  <c r="Q20"/>
  <c r="Q19"/>
  <c r="Q18"/>
  <c r="Q17"/>
  <c r="Q16"/>
  <c r="Q15"/>
  <c r="AO22" i="5"/>
  <c r="AI22"/>
  <c r="AC22"/>
  <c r="X22"/>
  <c r="O22"/>
  <c r="U65" i="1"/>
  <c r="J22" i="5"/>
  <c r="P65" i="1"/>
  <c r="AO21" i="5"/>
  <c r="AN21"/>
  <c r="AM21"/>
  <c r="AL21"/>
  <c r="AK21"/>
  <c r="AJ21"/>
  <c r="AI21"/>
  <c r="AH21"/>
  <c r="AG21"/>
  <c r="AF21"/>
  <c r="AE21"/>
  <c r="AD21"/>
  <c r="AC21"/>
  <c r="AB21"/>
  <c r="AA21"/>
  <c r="Z21"/>
  <c r="X21"/>
  <c r="T21"/>
  <c r="Z64" i="1"/>
  <c r="S21" i="5"/>
  <c r="Y64" i="1"/>
  <c r="R21" i="5"/>
  <c r="X64" i="1"/>
  <c r="Q21" i="5"/>
  <c r="W64" i="1"/>
  <c r="P21" i="5"/>
  <c r="V64" i="1"/>
  <c r="O21" i="5"/>
  <c r="U64" i="1"/>
  <c r="N21" i="5"/>
  <c r="T64" i="1"/>
  <c r="M21" i="5"/>
  <c r="S64" i="1"/>
  <c r="L21" i="5"/>
  <c r="R64" i="1"/>
  <c r="K21" i="5"/>
  <c r="Q64" i="1"/>
  <c r="J21" i="5"/>
  <c r="P64" i="1"/>
  <c r="O64"/>
  <c r="H21" i="5"/>
  <c r="C64" i="1"/>
  <c r="F64"/>
  <c r="M64"/>
  <c r="AO12" i="5"/>
  <c r="AN12"/>
  <c r="AM12"/>
  <c r="AL12"/>
  <c r="AK12"/>
  <c r="AJ12"/>
  <c r="AI12"/>
  <c r="AH12"/>
  <c r="AG12"/>
  <c r="AF12"/>
  <c r="AE12"/>
  <c r="AD12"/>
  <c r="AC12"/>
  <c r="AB12"/>
  <c r="AA12"/>
  <c r="Z12"/>
  <c r="T13"/>
  <c r="S13"/>
  <c r="R13"/>
  <c r="Q13"/>
  <c r="P13"/>
  <c r="O13"/>
  <c r="N13"/>
  <c r="M13"/>
  <c r="L13"/>
  <c r="K13"/>
  <c r="J13"/>
  <c r="H13"/>
  <c r="AO8"/>
  <c r="AL8"/>
  <c r="AK8"/>
  <c r="AJ8"/>
  <c r="AH8"/>
  <c r="Z7"/>
  <c r="AA7"/>
  <c r="AB7"/>
  <c r="AC7"/>
  <c r="AD7"/>
  <c r="AE7"/>
  <c r="AF7"/>
  <c r="AG7"/>
  <c r="AH7"/>
  <c r="AI7"/>
  <c r="AJ7"/>
  <c r="AK7"/>
  <c r="AL7"/>
  <c r="AM7"/>
  <c r="AN7"/>
  <c r="AO7"/>
  <c r="AO6"/>
  <c r="AL6"/>
  <c r="AK6"/>
  <c r="AJ6"/>
  <c r="AH6"/>
  <c r="R6" i="4"/>
  <c r="R7"/>
  <c r="R8"/>
  <c r="B25" i="3"/>
  <c r="B26"/>
  <c r="C24"/>
  <c r="D24"/>
  <c r="E24"/>
  <c r="Q23"/>
  <c r="Q21"/>
  <c r="S23"/>
  <c r="C20"/>
  <c r="D20"/>
  <c r="E20"/>
  <c r="C19"/>
  <c r="D19"/>
  <c r="E19"/>
  <c r="Q18"/>
  <c r="C18"/>
  <c r="D18"/>
  <c r="E18"/>
  <c r="U16"/>
  <c r="U17"/>
  <c r="Q15"/>
  <c r="Q16"/>
  <c r="C7" i="1"/>
  <c r="L7"/>
  <c r="H15" i="3"/>
  <c r="L112" i="1"/>
  <c r="M112"/>
  <c r="N112"/>
  <c r="O112"/>
  <c r="P112"/>
  <c r="Q112"/>
  <c r="R112"/>
  <c r="S112"/>
  <c r="T112"/>
  <c r="U112"/>
  <c r="V112"/>
  <c r="W112"/>
  <c r="X112"/>
  <c r="Y112"/>
  <c r="Z112"/>
  <c r="L109"/>
  <c r="M109"/>
  <c r="N109"/>
  <c r="O109"/>
  <c r="P109"/>
  <c r="Q109"/>
  <c r="R109"/>
  <c r="S109"/>
  <c r="T109"/>
  <c r="U109"/>
  <c r="V109"/>
  <c r="W109"/>
  <c r="X109"/>
  <c r="Y109"/>
  <c r="Z109"/>
  <c r="AA109"/>
  <c r="AB109"/>
  <c r="L108"/>
  <c r="M108"/>
  <c r="N108"/>
  <c r="O108"/>
  <c r="P108"/>
  <c r="Q108"/>
  <c r="R108"/>
  <c r="S108"/>
  <c r="T108"/>
  <c r="U108"/>
  <c r="V108"/>
  <c r="W108"/>
  <c r="X108"/>
  <c r="Y108"/>
  <c r="Z108"/>
  <c r="L101"/>
  <c r="M101"/>
  <c r="N101"/>
  <c r="O101"/>
  <c r="P101"/>
  <c r="Q101"/>
  <c r="R101"/>
  <c r="S101"/>
  <c r="T101"/>
  <c r="U101"/>
  <c r="V101"/>
  <c r="W101"/>
  <c r="X101"/>
  <c r="Y101"/>
  <c r="Z101"/>
  <c r="L100"/>
  <c r="L95"/>
  <c r="M95"/>
  <c r="N95"/>
  <c r="O95"/>
  <c r="P95"/>
  <c r="Q95"/>
  <c r="R95"/>
  <c r="S95"/>
  <c r="T95"/>
  <c r="U95"/>
  <c r="V95"/>
  <c r="W95"/>
  <c r="X95"/>
  <c r="Y95"/>
  <c r="Z95"/>
  <c r="L94"/>
  <c r="M94"/>
  <c r="N94"/>
  <c r="O94"/>
  <c r="P94"/>
  <c r="Q94"/>
  <c r="R94"/>
  <c r="S94"/>
  <c r="T94"/>
  <c r="U94"/>
  <c r="V94"/>
  <c r="W94"/>
  <c r="X94"/>
  <c r="Y94"/>
  <c r="Z94"/>
  <c r="L93"/>
  <c r="M93"/>
  <c r="N93"/>
  <c r="O93"/>
  <c r="P93"/>
  <c r="Q93"/>
  <c r="R93"/>
  <c r="S93"/>
  <c r="T93"/>
  <c r="U93"/>
  <c r="V93"/>
  <c r="W93"/>
  <c r="X93"/>
  <c r="Y93"/>
  <c r="Z93"/>
  <c r="L92"/>
  <c r="L90"/>
  <c r="M90"/>
  <c r="N90"/>
  <c r="O90"/>
  <c r="P90"/>
  <c r="Q90"/>
  <c r="R90"/>
  <c r="S90"/>
  <c r="T90"/>
  <c r="U90"/>
  <c r="V90"/>
  <c r="W90"/>
  <c r="X90"/>
  <c r="Y90"/>
  <c r="Z90"/>
  <c r="L88"/>
  <c r="M88"/>
  <c r="N88"/>
  <c r="O88"/>
  <c r="P88"/>
  <c r="Q88"/>
  <c r="R88"/>
  <c r="S88"/>
  <c r="T88"/>
  <c r="U88"/>
  <c r="V88"/>
  <c r="W88"/>
  <c r="X88"/>
  <c r="Y88"/>
  <c r="Z88"/>
  <c r="L85"/>
  <c r="M85"/>
  <c r="N85"/>
  <c r="O85"/>
  <c r="P85"/>
  <c r="Q85"/>
  <c r="R85"/>
  <c r="S85"/>
  <c r="T85"/>
  <c r="U85"/>
  <c r="V85"/>
  <c r="W85"/>
  <c r="X85"/>
  <c r="Y85"/>
  <c r="Z85"/>
  <c r="L84"/>
  <c r="M84"/>
  <c r="N84"/>
  <c r="O84"/>
  <c r="P84"/>
  <c r="Q84"/>
  <c r="R84"/>
  <c r="S84"/>
  <c r="T84"/>
  <c r="U84"/>
  <c r="V84"/>
  <c r="W84"/>
  <c r="X84"/>
  <c r="Y84"/>
  <c r="Z84"/>
  <c r="L81"/>
  <c r="M81"/>
  <c r="N81"/>
  <c r="O81"/>
  <c r="P81"/>
  <c r="Q81"/>
  <c r="R81"/>
  <c r="S81"/>
  <c r="T81"/>
  <c r="U81"/>
  <c r="V81"/>
  <c r="W81"/>
  <c r="X81"/>
  <c r="Y81"/>
  <c r="Z81"/>
  <c r="L80"/>
  <c r="M80"/>
  <c r="N80"/>
  <c r="O80"/>
  <c r="P80"/>
  <c r="Q80"/>
  <c r="R80"/>
  <c r="S80"/>
  <c r="T80"/>
  <c r="U80"/>
  <c r="V80"/>
  <c r="W80"/>
  <c r="X80"/>
  <c r="Y80"/>
  <c r="Z80"/>
  <c r="L70"/>
  <c r="M70"/>
  <c r="N70"/>
  <c r="O70"/>
  <c r="P70"/>
  <c r="Q70"/>
  <c r="R70"/>
  <c r="S70"/>
  <c r="T70"/>
  <c r="U70"/>
  <c r="V70"/>
  <c r="W70"/>
  <c r="X70"/>
  <c r="Y70"/>
  <c r="Z70"/>
  <c r="L47"/>
  <c r="M47"/>
  <c r="N47"/>
  <c r="O47"/>
  <c r="P47"/>
  <c r="Q47"/>
  <c r="R47"/>
  <c r="S47"/>
  <c r="T47"/>
  <c r="U47"/>
  <c r="V47"/>
  <c r="W47"/>
  <c r="X47"/>
  <c r="Y47"/>
  <c r="Z47"/>
  <c r="L44"/>
  <c r="M44"/>
  <c r="N44"/>
  <c r="O44"/>
  <c r="P44"/>
  <c r="Q44"/>
  <c r="R44"/>
  <c r="S44"/>
  <c r="T44"/>
  <c r="U44"/>
  <c r="V44"/>
  <c r="W44"/>
  <c r="X44"/>
  <c r="Y44"/>
  <c r="Z44"/>
  <c r="L41"/>
  <c r="M41"/>
  <c r="N41"/>
  <c r="O41"/>
  <c r="P41"/>
  <c r="Q41"/>
  <c r="R41"/>
  <c r="S41"/>
  <c r="T41"/>
  <c r="U41"/>
  <c r="V41"/>
  <c r="W41"/>
  <c r="X41"/>
  <c r="Y41"/>
  <c r="Z41"/>
  <c r="L35"/>
  <c r="M35"/>
  <c r="N35"/>
  <c r="O35"/>
  <c r="P35"/>
  <c r="Q35"/>
  <c r="R35"/>
  <c r="S35"/>
  <c r="T35"/>
  <c r="U35"/>
  <c r="V35"/>
  <c r="W35"/>
  <c r="X35"/>
  <c r="Y35"/>
  <c r="Z35"/>
  <c r="L34"/>
  <c r="M34"/>
  <c r="N34"/>
  <c r="O34"/>
  <c r="P34"/>
  <c r="Q34"/>
  <c r="R34"/>
  <c r="S34"/>
  <c r="T34"/>
  <c r="U34"/>
  <c r="V34"/>
  <c r="W34"/>
  <c r="X34"/>
  <c r="Y34"/>
  <c r="Z34"/>
  <c r="L26"/>
  <c r="M26"/>
  <c r="N26"/>
  <c r="O26"/>
  <c r="P26"/>
  <c r="Q26"/>
  <c r="R26"/>
  <c r="S26"/>
  <c r="T26"/>
  <c r="U26"/>
  <c r="V26"/>
  <c r="W26"/>
  <c r="X26"/>
  <c r="Y26"/>
  <c r="Z26"/>
  <c r="L24"/>
  <c r="M24"/>
  <c r="N24"/>
  <c r="O24"/>
  <c r="P24"/>
  <c r="Q24"/>
  <c r="R24"/>
  <c r="S24"/>
  <c r="T24"/>
  <c r="U24"/>
  <c r="V24"/>
  <c r="W24"/>
  <c r="X24"/>
  <c r="Y24"/>
  <c r="Z24"/>
  <c r="L23"/>
  <c r="M23"/>
  <c r="N23"/>
  <c r="O23"/>
  <c r="P23"/>
  <c r="Q23"/>
  <c r="R23"/>
  <c r="S23"/>
  <c r="T23"/>
  <c r="U23"/>
  <c r="V23"/>
  <c r="W23"/>
  <c r="X23"/>
  <c r="Y23"/>
  <c r="Z23"/>
  <c r="C14"/>
  <c r="L14"/>
  <c r="M14"/>
  <c r="N14"/>
  <c r="O14"/>
  <c r="P14"/>
  <c r="Q14"/>
  <c r="R14"/>
  <c r="S14"/>
  <c r="T14"/>
  <c r="U14"/>
  <c r="V14"/>
  <c r="W14"/>
  <c r="X14"/>
  <c r="Y14"/>
  <c r="Z14"/>
  <c r="L12"/>
  <c r="M12"/>
  <c r="N12"/>
  <c r="O12"/>
  <c r="P12"/>
  <c r="Q12"/>
  <c r="R12"/>
  <c r="S12"/>
  <c r="T12"/>
  <c r="U12"/>
  <c r="V12"/>
  <c r="W12"/>
  <c r="X12"/>
  <c r="Y12"/>
  <c r="Z12"/>
  <c r="L11"/>
  <c r="M11"/>
  <c r="N11"/>
  <c r="O11"/>
  <c r="P11"/>
  <c r="Q11"/>
  <c r="R11"/>
  <c r="S11"/>
  <c r="T11"/>
  <c r="U11"/>
  <c r="V11"/>
  <c r="W11"/>
  <c r="X11"/>
  <c r="Y11"/>
  <c r="Z11"/>
  <c r="L8"/>
  <c r="M8"/>
  <c r="N8"/>
  <c r="O8"/>
  <c r="P8"/>
  <c r="Q8"/>
  <c r="R8"/>
  <c r="S8"/>
  <c r="T8"/>
  <c r="U8"/>
  <c r="V8"/>
  <c r="W8"/>
  <c r="X8"/>
  <c r="Y8"/>
  <c r="Z8"/>
  <c r="AD7"/>
  <c r="AC3"/>
  <c r="N64"/>
  <c r="O98"/>
  <c r="S98"/>
  <c r="AA98"/>
  <c r="P98"/>
  <c r="X98"/>
  <c r="M98"/>
  <c r="Q98"/>
  <c r="Q99"/>
  <c r="Y98"/>
  <c r="Y99"/>
  <c r="R98"/>
  <c r="Z99"/>
  <c r="C74"/>
  <c r="L74"/>
  <c r="H13" i="3"/>
  <c r="H14"/>
  <c r="C6" i="1"/>
  <c r="L6"/>
  <c r="C25" i="3"/>
  <c r="D25"/>
  <c r="E25"/>
  <c r="C72" i="1"/>
  <c r="L72"/>
  <c r="M72"/>
  <c r="N72"/>
  <c r="O72"/>
  <c r="P72"/>
  <c r="Q72"/>
  <c r="R72"/>
  <c r="S72"/>
  <c r="T72"/>
  <c r="U72"/>
  <c r="V72"/>
  <c r="W72"/>
  <c r="X72"/>
  <c r="Y72"/>
  <c r="Z72"/>
  <c r="AA72"/>
  <c r="AB72"/>
  <c r="C73"/>
  <c r="L73"/>
  <c r="M73"/>
  <c r="N73"/>
  <c r="O73"/>
  <c r="P73"/>
  <c r="Q73"/>
  <c r="R73"/>
  <c r="S73"/>
  <c r="T73"/>
  <c r="U73"/>
  <c r="V73"/>
  <c r="W73"/>
  <c r="X73"/>
  <c r="Y73"/>
  <c r="Z73"/>
  <c r="AA73"/>
  <c r="AB73"/>
  <c r="C71"/>
  <c r="L71"/>
  <c r="M71"/>
  <c r="N71"/>
  <c r="O71"/>
  <c r="P71"/>
  <c r="Q71"/>
  <c r="R71"/>
  <c r="S71"/>
  <c r="T71"/>
  <c r="U71"/>
  <c r="V71"/>
  <c r="W71"/>
  <c r="X71"/>
  <c r="Y71"/>
  <c r="Z71"/>
  <c r="AA71"/>
  <c r="AB71"/>
  <c r="D23" i="8"/>
  <c r="E17" i="6"/>
  <c r="H17"/>
  <c r="L52" i="1"/>
  <c r="AD18"/>
  <c r="AD21"/>
  <c r="AD24"/>
  <c r="AC15"/>
  <c r="AD17"/>
  <c r="AD20"/>
  <c r="AD23"/>
  <c r="AC14"/>
  <c r="AD10"/>
  <c r="AD13"/>
  <c r="I12"/>
  <c r="P97"/>
  <c r="T98"/>
  <c r="L98"/>
  <c r="AF98"/>
  <c r="M22" i="5"/>
  <c r="S65" i="1"/>
  <c r="N98"/>
  <c r="K22" i="5"/>
  <c r="Q65" i="1"/>
  <c r="Q22" i="5"/>
  <c r="W65" i="1"/>
  <c r="Z22" i="5"/>
  <c r="AF22"/>
  <c r="AJ22"/>
  <c r="U14" i="9"/>
  <c r="J14"/>
  <c r="L49" i="1"/>
  <c r="M49" s="1"/>
  <c r="N49" s="1"/>
  <c r="O49" s="1"/>
  <c r="P49" s="1"/>
  <c r="Q49" s="1"/>
  <c r="R49" s="1"/>
  <c r="S49" s="1"/>
  <c r="T49" s="1"/>
  <c r="U49" s="1"/>
  <c r="V49" s="1"/>
  <c r="W49" s="1"/>
  <c r="X49" s="1"/>
  <c r="Y49" s="1"/>
  <c r="Z49" s="1"/>
  <c r="AA49" s="1"/>
  <c r="AB49" s="1"/>
  <c r="Q19" i="3"/>
  <c r="O65" i="1"/>
  <c r="N22" i="5"/>
  <c r="T65" i="1"/>
  <c r="S22" i="5"/>
  <c r="Y65" i="1"/>
  <c r="AB22" i="5"/>
  <c r="AH22"/>
  <c r="AN22"/>
  <c r="C29" i="6"/>
  <c r="L48" i="1"/>
  <c r="M48"/>
  <c r="N48" s="1"/>
  <c r="O48" s="1"/>
  <c r="P48" s="1"/>
  <c r="Q48" s="1"/>
  <c r="R48" s="1"/>
  <c r="S48" s="1"/>
  <c r="T48" s="1"/>
  <c r="U48" s="1"/>
  <c r="V48" s="1"/>
  <c r="W48" s="1"/>
  <c r="X48" s="1"/>
  <c r="Y48" s="1"/>
  <c r="Z48" s="1"/>
  <c r="P14" i="9"/>
  <c r="AA97" i="1"/>
  <c r="L65"/>
  <c r="R22" i="5"/>
  <c r="X65" i="1"/>
  <c r="AA22" i="5"/>
  <c r="AG22"/>
  <c r="AK22"/>
  <c r="L46" i="1"/>
  <c r="M46" s="1"/>
  <c r="N46" s="1"/>
  <c r="O46" s="1"/>
  <c r="P46" s="1"/>
  <c r="Q46" s="1"/>
  <c r="R46" s="1"/>
  <c r="S46" s="1"/>
  <c r="T46" s="1"/>
  <c r="U46" s="1"/>
  <c r="V46" s="1"/>
  <c r="W46" s="1"/>
  <c r="X46" s="1"/>
  <c r="Y46" s="1"/>
  <c r="Z46" s="1"/>
  <c r="C99"/>
  <c r="AF64"/>
  <c r="S14" i="9"/>
  <c r="K14"/>
  <c r="AF121" i="1"/>
  <c r="AC14" i="9"/>
  <c r="S22" i="3"/>
  <c r="V98" i="1"/>
  <c r="N99"/>
  <c r="U97"/>
  <c r="H18" i="6"/>
  <c r="D133" i="5"/>
  <c r="D134"/>
  <c r="B137"/>
  <c r="B140"/>
  <c r="F66" i="1"/>
  <c r="C27" i="8"/>
  <c r="H21" i="3"/>
  <c r="C30" i="1"/>
  <c r="L30"/>
  <c r="M30"/>
  <c r="N30"/>
  <c r="O30"/>
  <c r="P30"/>
  <c r="Q30"/>
  <c r="R30"/>
  <c r="S30"/>
  <c r="T30"/>
  <c r="U30"/>
  <c r="V30"/>
  <c r="W30"/>
  <c r="X30"/>
  <c r="Y30"/>
  <c r="Z30"/>
  <c r="B27" i="3"/>
  <c r="C27"/>
  <c r="D27"/>
  <c r="E27"/>
  <c r="C26"/>
  <c r="D26"/>
  <c r="E26"/>
  <c r="O20" i="6"/>
  <c r="P20"/>
  <c r="O18"/>
  <c r="P18"/>
  <c r="O21"/>
  <c r="P21"/>
  <c r="I8" i="4"/>
  <c r="D6"/>
  <c r="O97" i="1"/>
  <c r="O96"/>
  <c r="C48" i="6"/>
  <c r="I14" i="9"/>
  <c r="Q14"/>
  <c r="AB14"/>
  <c r="AC16"/>
  <c r="U99" i="1"/>
  <c r="M65"/>
  <c r="AD22" i="5"/>
  <c r="AL22"/>
  <c r="W14" i="9"/>
  <c r="O14"/>
  <c r="AF122" i="1"/>
  <c r="H16" i="3"/>
  <c r="W98" i="1"/>
  <c r="H22" i="5"/>
  <c r="L22"/>
  <c r="R65" i="1"/>
  <c r="P22" i="5"/>
  <c r="V65" i="1"/>
  <c r="T22" i="5"/>
  <c r="Z65" i="1"/>
  <c r="AE22" i="5"/>
  <c r="V14" i="9"/>
  <c r="N14"/>
  <c r="AC8" i="1"/>
  <c r="AD13" i="9"/>
  <c r="T14"/>
  <c r="J39" i="6"/>
  <c r="J52"/>
  <c r="M57" i="1"/>
  <c r="N57"/>
  <c r="O57"/>
  <c r="P57"/>
  <c r="Q57"/>
  <c r="R57"/>
  <c r="S57"/>
  <c r="T57"/>
  <c r="U57"/>
  <c r="V57"/>
  <c r="W57"/>
  <c r="X57"/>
  <c r="Y57"/>
  <c r="Z57"/>
  <c r="AA57"/>
  <c r="AB57"/>
  <c r="AC11"/>
  <c r="AF59"/>
  <c r="AF119"/>
  <c r="AA119"/>
  <c r="AB119"/>
  <c r="AF56"/>
  <c r="AF58"/>
  <c r="AF99"/>
  <c r="AF94"/>
  <c r="AA94"/>
  <c r="AB94"/>
  <c r="AA81"/>
  <c r="AB81"/>
  <c r="AF81"/>
  <c r="AA85"/>
  <c r="AB85"/>
  <c r="AF85"/>
  <c r="AF112"/>
  <c r="AA112"/>
  <c r="AB112"/>
  <c r="AA88"/>
  <c r="AB88"/>
  <c r="AF88"/>
  <c r="AA101"/>
  <c r="AB101"/>
  <c r="AF101"/>
  <c r="AA95"/>
  <c r="AB95"/>
  <c r="AF95"/>
  <c r="AF108"/>
  <c r="AA108"/>
  <c r="AB108"/>
  <c r="AF80"/>
  <c r="AA80"/>
  <c r="AB80"/>
  <c r="AA90"/>
  <c r="AB90"/>
  <c r="AF90"/>
  <c r="AA84"/>
  <c r="AB84"/>
  <c r="AF84"/>
  <c r="AF93"/>
  <c r="AA93"/>
  <c r="AB93"/>
  <c r="AA70"/>
  <c r="AB70"/>
  <c r="AF70"/>
  <c r="AF109"/>
  <c r="M92"/>
  <c r="N92"/>
  <c r="O92"/>
  <c r="P92"/>
  <c r="Q92"/>
  <c r="R92"/>
  <c r="S92"/>
  <c r="T92"/>
  <c r="U92"/>
  <c r="V92"/>
  <c r="W92"/>
  <c r="X92"/>
  <c r="Y92"/>
  <c r="Z92"/>
  <c r="AA92"/>
  <c r="AB92"/>
  <c r="M100"/>
  <c r="N100"/>
  <c r="O100"/>
  <c r="P100"/>
  <c r="Q100"/>
  <c r="R100"/>
  <c r="S100"/>
  <c r="T100"/>
  <c r="U100"/>
  <c r="V100"/>
  <c r="W100"/>
  <c r="X100"/>
  <c r="Y100"/>
  <c r="Z100"/>
  <c r="AA100"/>
  <c r="AB100"/>
  <c r="AF124"/>
  <c r="AF63"/>
  <c r="D120"/>
  <c r="M6"/>
  <c r="N6"/>
  <c r="O6"/>
  <c r="P6"/>
  <c r="Q6"/>
  <c r="R6"/>
  <c r="S6"/>
  <c r="T6"/>
  <c r="U6"/>
  <c r="V6"/>
  <c r="W6"/>
  <c r="X6"/>
  <c r="Y6"/>
  <c r="Z6"/>
  <c r="AA6"/>
  <c r="AB6"/>
  <c r="AF39"/>
  <c r="AA39"/>
  <c r="AB39"/>
  <c r="AA26"/>
  <c r="AB26"/>
  <c r="AF26"/>
  <c r="AA8"/>
  <c r="AB8"/>
  <c r="AF8"/>
  <c r="AA23"/>
  <c r="AB23"/>
  <c r="AF23"/>
  <c r="AF34"/>
  <c r="AA34"/>
  <c r="AB34"/>
  <c r="M7"/>
  <c r="N7"/>
  <c r="O7"/>
  <c r="P7"/>
  <c r="Q7"/>
  <c r="R7"/>
  <c r="S7"/>
  <c r="T7"/>
  <c r="U7"/>
  <c r="V7"/>
  <c r="W7"/>
  <c r="X7"/>
  <c r="Y7"/>
  <c r="Z7"/>
  <c r="AA7"/>
  <c r="AB7"/>
  <c r="M66"/>
  <c r="N66" s="1"/>
  <c r="O66" s="1"/>
  <c r="P66" s="1"/>
  <c r="Q66" s="1"/>
  <c r="R66" s="1"/>
  <c r="S66" s="1"/>
  <c r="T66" s="1"/>
  <c r="U66" s="1"/>
  <c r="V66" s="1"/>
  <c r="W66" s="1"/>
  <c r="X66" s="1"/>
  <c r="Y66" s="1"/>
  <c r="Z66" s="1"/>
  <c r="AF71"/>
  <c r="AF73"/>
  <c r="AF11"/>
  <c r="AA11"/>
  <c r="AB11"/>
  <c r="M89"/>
  <c r="N89"/>
  <c r="O89"/>
  <c r="P89"/>
  <c r="Q89"/>
  <c r="R89"/>
  <c r="S89"/>
  <c r="T89"/>
  <c r="U89"/>
  <c r="V89"/>
  <c r="W89"/>
  <c r="X89"/>
  <c r="Y89"/>
  <c r="Z89"/>
  <c r="AA89"/>
  <c r="AB89"/>
  <c r="M74"/>
  <c r="N74"/>
  <c r="O74"/>
  <c r="P74"/>
  <c r="Q74"/>
  <c r="R74"/>
  <c r="S74"/>
  <c r="T74"/>
  <c r="U74"/>
  <c r="V74"/>
  <c r="W74"/>
  <c r="X74"/>
  <c r="Y74"/>
  <c r="Z74"/>
  <c r="AA74"/>
  <c r="AB74"/>
  <c r="AF75"/>
  <c r="AA75"/>
  <c r="AB75"/>
  <c r="AA24"/>
  <c r="AB24"/>
  <c r="AF24"/>
  <c r="AF47"/>
  <c r="AA47"/>
  <c r="AB47"/>
  <c r="AF115"/>
  <c r="AF25"/>
  <c r="AA25"/>
  <c r="AB25"/>
  <c r="AF14"/>
  <c r="AA14"/>
  <c r="AB14"/>
  <c r="AA41"/>
  <c r="AB41"/>
  <c r="AF41"/>
  <c r="M105"/>
  <c r="N105"/>
  <c r="O105"/>
  <c r="P105"/>
  <c r="Q105"/>
  <c r="R105"/>
  <c r="S105"/>
  <c r="T105"/>
  <c r="U105"/>
  <c r="V105"/>
  <c r="W105"/>
  <c r="X105"/>
  <c r="Y105"/>
  <c r="Z105"/>
  <c r="AA105"/>
  <c r="AB105"/>
  <c r="AF53"/>
  <c r="AA53"/>
  <c r="AB53"/>
  <c r="AA44"/>
  <c r="AB44"/>
  <c r="AF44"/>
  <c r="AA12"/>
  <c r="AB12"/>
  <c r="AF12"/>
  <c r="AF4"/>
  <c r="AA104"/>
  <c r="AB104"/>
  <c r="AF104"/>
  <c r="AA35"/>
  <c r="AB35"/>
  <c r="AF35"/>
  <c r="AA50"/>
  <c r="AB50"/>
  <c r="AF50"/>
  <c r="AF72"/>
  <c r="M42"/>
  <c r="N42" s="1"/>
  <c r="O42" s="1"/>
  <c r="P42" s="1"/>
  <c r="Q42" s="1"/>
  <c r="R42" s="1"/>
  <c r="S42" s="1"/>
  <c r="T42" s="1"/>
  <c r="U42" s="1"/>
  <c r="V42" s="1"/>
  <c r="W42" s="1"/>
  <c r="X42" s="1"/>
  <c r="Y42" s="1"/>
  <c r="Z42" s="1"/>
  <c r="AA42" s="1"/>
  <c r="AB42" s="1"/>
  <c r="M52"/>
  <c r="N52" s="1"/>
  <c r="O52" s="1"/>
  <c r="P52" s="1"/>
  <c r="Q52" s="1"/>
  <c r="R52" s="1"/>
  <c r="S52" s="1"/>
  <c r="T52" s="1"/>
  <c r="U52" s="1"/>
  <c r="V52" s="1"/>
  <c r="W52" s="1"/>
  <c r="X52" s="1"/>
  <c r="Y52" s="1"/>
  <c r="Z52" s="1"/>
  <c r="M40"/>
  <c r="N40" s="1"/>
  <c r="O40" s="1"/>
  <c r="P40" s="1"/>
  <c r="Q40" s="1"/>
  <c r="R40" s="1"/>
  <c r="S40" s="1"/>
  <c r="T40" s="1"/>
  <c r="U40" s="1"/>
  <c r="V40" s="1"/>
  <c r="W40" s="1"/>
  <c r="X40" s="1"/>
  <c r="Y40" s="1"/>
  <c r="Z40" s="1"/>
  <c r="O25" i="6"/>
  <c r="P25"/>
  <c r="O34"/>
  <c r="P34"/>
  <c r="O24"/>
  <c r="P24"/>
  <c r="C17"/>
  <c r="C16"/>
  <c r="C43" i="1"/>
  <c r="L43" s="1"/>
  <c r="O19" i="6"/>
  <c r="P19"/>
  <c r="O17"/>
  <c r="P17"/>
  <c r="O16"/>
  <c r="P16"/>
  <c r="O15"/>
  <c r="P15"/>
  <c r="AF38" i="1"/>
  <c r="AD16"/>
  <c r="AD19"/>
  <c r="AD22"/>
  <c r="AC13"/>
  <c r="S96"/>
  <c r="S97"/>
  <c r="X97"/>
  <c r="X96"/>
  <c r="M96"/>
  <c r="M97"/>
  <c r="AF65"/>
  <c r="V96"/>
  <c r="V97"/>
  <c r="C97"/>
  <c r="N96"/>
  <c r="N97"/>
  <c r="C96"/>
  <c r="R96"/>
  <c r="R97"/>
  <c r="T96"/>
  <c r="T97"/>
  <c r="N65"/>
  <c r="C65"/>
  <c r="F65"/>
  <c r="L97"/>
  <c r="L96"/>
  <c r="Z96"/>
  <c r="Z97"/>
  <c r="Q97"/>
  <c r="Q96"/>
  <c r="W97"/>
  <c r="W96"/>
  <c r="Y96"/>
  <c r="Y97"/>
  <c r="G18" i="4"/>
  <c r="D18"/>
  <c r="E18"/>
  <c r="F18"/>
  <c r="C18"/>
  <c r="D8"/>
  <c r="C9" i="1"/>
  <c r="L9"/>
  <c r="N18" i="4"/>
  <c r="J18"/>
  <c r="L18"/>
  <c r="M18"/>
  <c r="B18"/>
  <c r="K18"/>
  <c r="H18"/>
  <c r="I18"/>
  <c r="AF100" i="1"/>
  <c r="AD14" i="9"/>
  <c r="AD16"/>
  <c r="AE13"/>
  <c r="I10" i="4"/>
  <c r="AF92" i="1"/>
  <c r="AF57"/>
  <c r="AF105"/>
  <c r="AF6"/>
  <c r="AF120"/>
  <c r="AF74"/>
  <c r="AF89"/>
  <c r="AF7"/>
  <c r="AF96"/>
  <c r="AF97"/>
  <c r="M9"/>
  <c r="N9"/>
  <c r="O9"/>
  <c r="P9"/>
  <c r="Q9"/>
  <c r="R9"/>
  <c r="S9"/>
  <c r="T9"/>
  <c r="U9"/>
  <c r="V9"/>
  <c r="W9"/>
  <c r="X9"/>
  <c r="Y9"/>
  <c r="Z9"/>
  <c r="AA9"/>
  <c r="AB9"/>
  <c r="AE16" i="9"/>
  <c r="AE14"/>
  <c r="AF13"/>
  <c r="AF9" i="1"/>
  <c r="AB36"/>
  <c r="AA36"/>
  <c r="Q36"/>
  <c r="V36"/>
  <c r="W36"/>
  <c r="P36"/>
  <c r="U36"/>
  <c r="T36"/>
  <c r="Y36"/>
  <c r="S36"/>
  <c r="N36"/>
  <c r="X36"/>
  <c r="O36"/>
  <c r="M36"/>
  <c r="R36"/>
  <c r="D9" i="3"/>
  <c r="D13" s="1"/>
  <c r="C3" i="1" s="1"/>
  <c r="AG13" i="9"/>
  <c r="AF16"/>
  <c r="AF14"/>
  <c r="Z36" i="1"/>
  <c r="AG16" i="9"/>
  <c r="AG14"/>
  <c r="AH13"/>
  <c r="AD27" i="1"/>
  <c r="AD26"/>
  <c r="AH16" i="9"/>
  <c r="AH14"/>
  <c r="AI13"/>
  <c r="AD30" i="1"/>
  <c r="AD25"/>
  <c r="AD29"/>
  <c r="AI16" i="9"/>
  <c r="AI14"/>
  <c r="AJ13"/>
  <c r="AD33" i="1"/>
  <c r="AD32"/>
  <c r="AD28"/>
  <c r="AK13" i="9"/>
  <c r="AJ16"/>
  <c r="AJ14"/>
  <c r="AD36" i="1"/>
  <c r="AD35"/>
  <c r="AD31"/>
  <c r="AK16" i="9"/>
  <c r="AK14"/>
  <c r="AL13"/>
  <c r="AD39" i="1"/>
  <c r="AD38"/>
  <c r="AD34"/>
  <c r="AL16" i="9"/>
  <c r="AL14"/>
  <c r="AM13"/>
  <c r="AD42" i="1"/>
  <c r="AD41"/>
  <c r="AD37"/>
  <c r="AM16" i="9"/>
  <c r="AM14"/>
  <c r="AN13"/>
  <c r="AD45" i="1"/>
  <c r="AD44"/>
  <c r="AD40"/>
  <c r="AO13" i="9"/>
  <c r="AN16"/>
  <c r="AN14"/>
  <c r="AD48" i="1"/>
  <c r="AD47"/>
  <c r="AD43"/>
  <c r="AO16" i="9"/>
  <c r="AO14"/>
  <c r="AP13"/>
  <c r="AD51" i="1"/>
  <c r="AD50"/>
  <c r="AD46"/>
  <c r="AP16" i="9"/>
  <c r="AP14"/>
  <c r="AQ13"/>
  <c r="AD49" i="1"/>
  <c r="AQ16" i="9"/>
  <c r="AQ14"/>
  <c r="AA30" i="1"/>
  <c r="AB30"/>
  <c r="AF30"/>
  <c r="C31"/>
  <c r="L31"/>
  <c r="D23" i="2"/>
  <c r="D35"/>
  <c r="D11"/>
  <c r="B7"/>
  <c r="C26" i="8"/>
  <c r="H20" i="3"/>
  <c r="C28" i="8"/>
  <c r="C29"/>
  <c r="C31"/>
  <c r="H23" i="3"/>
  <c r="M5"/>
  <c r="H22"/>
  <c r="M6"/>
  <c r="C17" i="1"/>
  <c r="B11" i="2"/>
  <c r="B13" i="5"/>
  <c r="M31" i="1"/>
  <c r="N31"/>
  <c r="O31"/>
  <c r="P31"/>
  <c r="Q31"/>
  <c r="R31"/>
  <c r="S31"/>
  <c r="T31"/>
  <c r="U31"/>
  <c r="V31"/>
  <c r="W31"/>
  <c r="X31"/>
  <c r="Y31"/>
  <c r="Z31"/>
  <c r="AF31"/>
  <c r="AA31"/>
  <c r="AB31"/>
  <c r="C68"/>
  <c r="L68" s="1"/>
  <c r="D30" i="2"/>
  <c r="C18" i="1"/>
  <c r="L17"/>
  <c r="C21"/>
  <c r="L21"/>
  <c r="G9" i="5"/>
  <c r="U9"/>
  <c r="G43"/>
  <c r="T9"/>
  <c r="P35"/>
  <c r="L35"/>
  <c r="S43"/>
  <c r="F35"/>
  <c r="T35"/>
  <c r="I43"/>
  <c r="X35"/>
  <c r="X9"/>
  <c r="H43"/>
  <c r="O35"/>
  <c r="M43"/>
  <c r="N43"/>
  <c r="J35"/>
  <c r="J9"/>
  <c r="M9"/>
  <c r="L9"/>
  <c r="J43"/>
  <c r="F43"/>
  <c r="Q35"/>
  <c r="G35"/>
  <c r="H9"/>
  <c r="M35"/>
  <c r="L43"/>
  <c r="S9"/>
  <c r="H35"/>
  <c r="P9"/>
  <c r="O43"/>
  <c r="T43"/>
  <c r="N35"/>
  <c r="Q9"/>
  <c r="O9"/>
  <c r="K35"/>
  <c r="I35"/>
  <c r="K9"/>
  <c r="R9"/>
  <c r="N9"/>
  <c r="R43"/>
  <c r="R35"/>
  <c r="K43"/>
  <c r="S35"/>
  <c r="I9"/>
  <c r="V9"/>
  <c r="Q43"/>
  <c r="P43"/>
  <c r="C15" i="1"/>
  <c r="M7" i="3"/>
  <c r="C30" i="8"/>
  <c r="M17" i="1"/>
  <c r="N17"/>
  <c r="O17"/>
  <c r="P17"/>
  <c r="Q17"/>
  <c r="R17"/>
  <c r="S17"/>
  <c r="T17"/>
  <c r="U17"/>
  <c r="V17"/>
  <c r="W17"/>
  <c r="X17"/>
  <c r="Y17"/>
  <c r="Z17"/>
  <c r="AA17"/>
  <c r="AB17"/>
  <c r="C19"/>
  <c r="L19"/>
  <c r="L15"/>
  <c r="C16"/>
  <c r="M21"/>
  <c r="N21"/>
  <c r="O21"/>
  <c r="P21"/>
  <c r="Q21"/>
  <c r="R21"/>
  <c r="S21"/>
  <c r="T21"/>
  <c r="U21"/>
  <c r="V21"/>
  <c r="W21"/>
  <c r="X21"/>
  <c r="Y21"/>
  <c r="Z21"/>
  <c r="AA21"/>
  <c r="AB21"/>
  <c r="AF21"/>
  <c r="C22"/>
  <c r="L22"/>
  <c r="L18"/>
  <c r="M15"/>
  <c r="N15"/>
  <c r="O15"/>
  <c r="P15"/>
  <c r="Q15"/>
  <c r="R15"/>
  <c r="S15"/>
  <c r="T15"/>
  <c r="U15"/>
  <c r="V15"/>
  <c r="W15"/>
  <c r="X15"/>
  <c r="Y15"/>
  <c r="Z15"/>
  <c r="AA15"/>
  <c r="AB15"/>
  <c r="AF15"/>
  <c r="C20"/>
  <c r="L20"/>
  <c r="L16"/>
  <c r="M18"/>
  <c r="N18"/>
  <c r="O18"/>
  <c r="P18"/>
  <c r="Q18"/>
  <c r="R18"/>
  <c r="S18"/>
  <c r="T18"/>
  <c r="U18"/>
  <c r="V18"/>
  <c r="W18"/>
  <c r="X18"/>
  <c r="Y18"/>
  <c r="Z18"/>
  <c r="AA18"/>
  <c r="AB18"/>
  <c r="M22"/>
  <c r="N22"/>
  <c r="O22"/>
  <c r="P22"/>
  <c r="Q22"/>
  <c r="R22"/>
  <c r="S22"/>
  <c r="T22"/>
  <c r="U22"/>
  <c r="V22"/>
  <c r="W22"/>
  <c r="X22"/>
  <c r="Y22"/>
  <c r="Z22"/>
  <c r="AA22"/>
  <c r="AB22"/>
  <c r="M19"/>
  <c r="N19"/>
  <c r="O19"/>
  <c r="P19"/>
  <c r="Q19"/>
  <c r="R19"/>
  <c r="S19"/>
  <c r="T19"/>
  <c r="U19"/>
  <c r="V19"/>
  <c r="W19"/>
  <c r="X19"/>
  <c r="Y19"/>
  <c r="Z19"/>
  <c r="AA19"/>
  <c r="AB19"/>
  <c r="AF19"/>
  <c r="AF17"/>
  <c r="M20"/>
  <c r="N20"/>
  <c r="O20"/>
  <c r="P20"/>
  <c r="Q20"/>
  <c r="R20"/>
  <c r="S20"/>
  <c r="T20"/>
  <c r="U20"/>
  <c r="V20"/>
  <c r="W20"/>
  <c r="X20"/>
  <c r="Y20"/>
  <c r="Z20"/>
  <c r="AA20"/>
  <c r="AB20"/>
  <c r="M16"/>
  <c r="N16"/>
  <c r="O16"/>
  <c r="P16"/>
  <c r="Q16"/>
  <c r="R16"/>
  <c r="S16"/>
  <c r="T16"/>
  <c r="U16"/>
  <c r="V16"/>
  <c r="W16"/>
  <c r="X16"/>
  <c r="Y16"/>
  <c r="Z16"/>
  <c r="AF16"/>
  <c r="AA16"/>
  <c r="AB16"/>
  <c r="AF18"/>
  <c r="L36"/>
  <c r="AF36" s="1"/>
  <c r="AF22"/>
  <c r="AF20"/>
  <c r="D15" i="2" l="1"/>
  <c r="D8"/>
  <c r="D10" s="1"/>
  <c r="B5"/>
  <c r="L123" i="1"/>
  <c r="F5" i="12"/>
  <c r="J5"/>
  <c r="N5"/>
  <c r="B5"/>
  <c r="E5"/>
  <c r="I5"/>
  <c r="M5"/>
  <c r="Q5"/>
  <c r="D5"/>
  <c r="H5"/>
  <c r="L5"/>
  <c r="P5"/>
  <c r="C27" i="4"/>
  <c r="AC10" i="1"/>
  <c r="AC7"/>
  <c r="AC6"/>
  <c r="W2"/>
  <c r="V2"/>
  <c r="U2"/>
  <c r="X2"/>
  <c r="AC21"/>
  <c r="O2"/>
  <c r="Y162"/>
  <c r="Y163" s="1"/>
  <c r="Q162"/>
  <c r="Q163" s="1"/>
  <c r="Z162"/>
  <c r="Z163" s="1"/>
  <c r="R162"/>
  <c r="R163" s="1"/>
  <c r="AA162"/>
  <c r="AA163" s="1"/>
  <c r="S162"/>
  <c r="S163" s="1"/>
  <c r="L162"/>
  <c r="L163" s="1"/>
  <c r="T162"/>
  <c r="T163" s="1"/>
  <c r="S2"/>
  <c r="R2"/>
  <c r="Q2"/>
  <c r="T2"/>
  <c r="AC16"/>
  <c r="AC12"/>
  <c r="AC4"/>
  <c r="N2"/>
  <c r="M2"/>
  <c r="P2"/>
  <c r="AC19"/>
  <c r="AF66"/>
  <c r="AA66"/>
  <c r="AB66" s="1"/>
  <c r="AA40"/>
  <c r="AB40" s="1"/>
  <c r="AF40"/>
  <c r="AA46"/>
  <c r="AB46" s="1"/>
  <c r="AF46"/>
  <c r="AF43"/>
  <c r="M43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AB43" s="1"/>
  <c r="M45"/>
  <c r="N45" s="1"/>
  <c r="O45" s="1"/>
  <c r="P45" s="1"/>
  <c r="Q45" s="1"/>
  <c r="R45" s="1"/>
  <c r="S45" s="1"/>
  <c r="T45" s="1"/>
  <c r="U45" s="1"/>
  <c r="V45" s="1"/>
  <c r="W45" s="1"/>
  <c r="X45" s="1"/>
  <c r="Y45" s="1"/>
  <c r="Z45" s="1"/>
  <c r="AA45" s="1"/>
  <c r="AB45" s="1"/>
  <c r="AF51"/>
  <c r="M51"/>
  <c r="N51" s="1"/>
  <c r="O51" s="1"/>
  <c r="P51" s="1"/>
  <c r="Q51" s="1"/>
  <c r="R51" s="1"/>
  <c r="S51" s="1"/>
  <c r="T51" s="1"/>
  <c r="U51" s="1"/>
  <c r="V51" s="1"/>
  <c r="W51" s="1"/>
  <c r="X51" s="1"/>
  <c r="Y51" s="1"/>
  <c r="Z51" s="1"/>
  <c r="AA51" s="1"/>
  <c r="AB51" s="1"/>
  <c r="AF42"/>
  <c r="AF52"/>
  <c r="AA52"/>
  <c r="AB52" s="1"/>
  <c r="AF48"/>
  <c r="AA48"/>
  <c r="AB48" s="1"/>
  <c r="AF49"/>
  <c r="M68"/>
  <c r="N68" s="1"/>
  <c r="O68" s="1"/>
  <c r="P68" s="1"/>
  <c r="Q68" s="1"/>
  <c r="R68" s="1"/>
  <c r="S68" s="1"/>
  <c r="T68" s="1"/>
  <c r="U68" s="1"/>
  <c r="V68" s="1"/>
  <c r="W68" s="1"/>
  <c r="X68" s="1"/>
  <c r="Y68" s="1"/>
  <c r="Z68" s="1"/>
  <c r="AA68" s="1"/>
  <c r="AB68" s="1"/>
  <c r="D9" i="2" l="1"/>
  <c r="C8" i="5" s="1"/>
  <c r="C29" i="1"/>
  <c r="L29" s="1"/>
  <c r="D26" i="2"/>
  <c r="C82" i="1" s="1"/>
  <c r="D25" i="2"/>
  <c r="C77" i="1"/>
  <c r="L77" s="1"/>
  <c r="C76"/>
  <c r="B15" i="2"/>
  <c r="C79" i="1"/>
  <c r="L79" s="1"/>
  <c r="C78"/>
  <c r="L78" s="1"/>
  <c r="M123"/>
  <c r="N123" s="1"/>
  <c r="O123" s="1"/>
  <c r="P123" s="1"/>
  <c r="Q123" s="1"/>
  <c r="R123" s="1"/>
  <c r="S123" s="1"/>
  <c r="T123" s="1"/>
  <c r="U123" s="1"/>
  <c r="V123" s="1"/>
  <c r="W123" s="1"/>
  <c r="X123" s="1"/>
  <c r="Y123" s="1"/>
  <c r="Z123" s="1"/>
  <c r="AA123" s="1"/>
  <c r="AB123" s="1"/>
  <c r="D11" i="8"/>
  <c r="D14" s="1"/>
  <c r="C69" i="1" s="1"/>
  <c r="L69" s="1"/>
  <c r="D10" i="8"/>
  <c r="D30" i="4"/>
  <c r="D29"/>
  <c r="D28"/>
  <c r="L2" i="6"/>
  <c r="D19" i="2"/>
  <c r="B8"/>
  <c r="B20" i="7"/>
  <c r="C20" s="1"/>
  <c r="B19"/>
  <c r="C19" s="1"/>
  <c r="L50" i="10"/>
  <c r="I36"/>
  <c r="C28" i="1"/>
  <c r="L28" s="1"/>
  <c r="D16" i="2"/>
  <c r="AF45" i="1"/>
  <c r="AF68"/>
  <c r="B10" i="2" l="1"/>
  <c r="B9" i="9"/>
  <c r="B9" i="2"/>
  <c r="M69" i="1"/>
  <c r="N69" s="1"/>
  <c r="O69" s="1"/>
  <c r="P69" s="1"/>
  <c r="Q69" s="1"/>
  <c r="R69" s="1"/>
  <c r="S69" s="1"/>
  <c r="T69" s="1"/>
  <c r="U69" s="1"/>
  <c r="V69" s="1"/>
  <c r="W69" s="1"/>
  <c r="X69" s="1"/>
  <c r="Y69" s="1"/>
  <c r="Z69" s="1"/>
  <c r="AA69" s="1"/>
  <c r="AB69" s="1"/>
  <c r="M79"/>
  <c r="N79" s="1"/>
  <c r="O79" s="1"/>
  <c r="P79" s="1"/>
  <c r="Q79" s="1"/>
  <c r="R79" s="1"/>
  <c r="S79" s="1"/>
  <c r="T79" s="1"/>
  <c r="U79" s="1"/>
  <c r="V79" s="1"/>
  <c r="W79" s="1"/>
  <c r="X79" s="1"/>
  <c r="Y79" s="1"/>
  <c r="Z79" s="1"/>
  <c r="AA79" s="1"/>
  <c r="AB79" s="1"/>
  <c r="M77"/>
  <c r="N77" s="1"/>
  <c r="O77" s="1"/>
  <c r="P77" s="1"/>
  <c r="Q77" s="1"/>
  <c r="R77" s="1"/>
  <c r="S77" s="1"/>
  <c r="T77" s="1"/>
  <c r="U77" s="1"/>
  <c r="V77" s="1"/>
  <c r="W77" s="1"/>
  <c r="X77" s="1"/>
  <c r="Y77" s="1"/>
  <c r="Z77" s="1"/>
  <c r="AA77" s="1"/>
  <c r="AB77" s="1"/>
  <c r="M29"/>
  <c r="N29" s="1"/>
  <c r="O29" s="1"/>
  <c r="P29" s="1"/>
  <c r="Q29" s="1"/>
  <c r="R29" s="1"/>
  <c r="S29" s="1"/>
  <c r="T29" s="1"/>
  <c r="U29" s="1"/>
  <c r="V29" s="1"/>
  <c r="W29" s="1"/>
  <c r="X29" s="1"/>
  <c r="Y29" s="1"/>
  <c r="Z29" s="1"/>
  <c r="AA29" s="1"/>
  <c r="AB29" s="1"/>
  <c r="C60"/>
  <c r="L60" s="1"/>
  <c r="C7" i="5"/>
  <c r="C61" i="1"/>
  <c r="L61" s="1"/>
  <c r="B16" i="2"/>
  <c r="G18"/>
  <c r="C62" i="1"/>
  <c r="L62" s="1"/>
  <c r="I82" i="6"/>
  <c r="I103" s="1"/>
  <c r="G82"/>
  <c r="G103" s="1"/>
  <c r="K2"/>
  <c r="J82"/>
  <c r="J103" s="1"/>
  <c r="N82"/>
  <c r="N103" s="1"/>
  <c r="H82"/>
  <c r="H103" s="1"/>
  <c r="E82"/>
  <c r="E103" s="1"/>
  <c r="M2"/>
  <c r="O82"/>
  <c r="O103" s="1"/>
  <c r="M82"/>
  <c r="M103" s="1"/>
  <c r="Q82"/>
  <c r="Q103" s="1"/>
  <c r="N2"/>
  <c r="D82"/>
  <c r="D103" s="1"/>
  <c r="L82"/>
  <c r="L103" s="1"/>
  <c r="I2"/>
  <c r="C82"/>
  <c r="C103" s="1"/>
  <c r="K82"/>
  <c r="K103" s="1"/>
  <c r="O2"/>
  <c r="P82"/>
  <c r="P103" s="1"/>
  <c r="J2"/>
  <c r="F82"/>
  <c r="F103" s="1"/>
  <c r="M78" i="1"/>
  <c r="N78" s="1"/>
  <c r="O78" s="1"/>
  <c r="P78" s="1"/>
  <c r="Q78" s="1"/>
  <c r="R78" s="1"/>
  <c r="S78" s="1"/>
  <c r="T78" s="1"/>
  <c r="U78" s="1"/>
  <c r="V78" s="1"/>
  <c r="W78" s="1"/>
  <c r="X78" s="1"/>
  <c r="Y78" s="1"/>
  <c r="Z78" s="1"/>
  <c r="AA78" s="1"/>
  <c r="AB78" s="1"/>
  <c r="C5"/>
  <c r="L5" s="1"/>
  <c r="L76"/>
  <c r="F12" i="5"/>
  <c r="O12"/>
  <c r="I12"/>
  <c r="V12" s="1"/>
  <c r="AB11"/>
  <c r="AN11"/>
  <c r="P12"/>
  <c r="N46"/>
  <c r="N12"/>
  <c r="AI11"/>
  <c r="O46"/>
  <c r="R12"/>
  <c r="AO11"/>
  <c r="R46"/>
  <c r="J46"/>
  <c r="G46"/>
  <c r="Z11"/>
  <c r="K12"/>
  <c r="AJ11"/>
  <c r="AG11"/>
  <c r="T12"/>
  <c r="M12"/>
  <c r="X12"/>
  <c r="H12"/>
  <c r="I46"/>
  <c r="AA11"/>
  <c r="Q12"/>
  <c r="M46"/>
  <c r="F46"/>
  <c r="T46"/>
  <c r="G12"/>
  <c r="U12" s="1"/>
  <c r="L46"/>
  <c r="AK11"/>
  <c r="AH11"/>
  <c r="AM11"/>
  <c r="AE11"/>
  <c r="P46"/>
  <c r="AL11"/>
  <c r="K46"/>
  <c r="AD11"/>
  <c r="L12"/>
  <c r="AF11"/>
  <c r="S46"/>
  <c r="Q46"/>
  <c r="AC11"/>
  <c r="J12"/>
  <c r="H46"/>
  <c r="S12"/>
  <c r="D12" i="8"/>
  <c r="U6" i="3"/>
  <c r="U7" s="1"/>
  <c r="U8" s="1"/>
  <c r="AB6"/>
  <c r="AB7" s="1"/>
  <c r="C27" i="1"/>
  <c r="L27" s="1"/>
  <c r="AC15" i="3"/>
  <c r="AD15" s="1"/>
  <c r="L18" i="6"/>
  <c r="B19" i="2"/>
  <c r="K18" i="6"/>
  <c r="X31" i="3"/>
  <c r="Q31"/>
  <c r="U31"/>
  <c r="J31"/>
  <c r="H31"/>
  <c r="AC14"/>
  <c r="AD14" s="1"/>
  <c r="AC6"/>
  <c r="AC7" s="1"/>
  <c r="L17" i="6"/>
  <c r="AD6" i="3"/>
  <c r="AD7" s="1"/>
  <c r="AG6"/>
  <c r="AG7" s="1"/>
  <c r="L15" i="6"/>
  <c r="O31" i="3"/>
  <c r="S31"/>
  <c r="W31"/>
  <c r="L31"/>
  <c r="AC16"/>
  <c r="AD16" s="1"/>
  <c r="AF6"/>
  <c r="AF7" s="1"/>
  <c r="Y6"/>
  <c r="Y7" s="1"/>
  <c r="Y8" s="1"/>
  <c r="N31"/>
  <c r="V31"/>
  <c r="AC12"/>
  <c r="AD12" s="1"/>
  <c r="K15" i="6"/>
  <c r="K17"/>
  <c r="T31" i="3"/>
  <c r="M31"/>
  <c r="Q6"/>
  <c r="Q7" s="1"/>
  <c r="Q8" s="1"/>
  <c r="AE6"/>
  <c r="AE7" s="1"/>
  <c r="R31"/>
  <c r="K31"/>
  <c r="AC11"/>
  <c r="AD11" s="1"/>
  <c r="AE11" s="1"/>
  <c r="K16" i="6"/>
  <c r="AC13" i="3"/>
  <c r="AD13" s="1"/>
  <c r="I31"/>
  <c r="L16" i="6"/>
  <c r="P31" i="3"/>
  <c r="C86" i="1"/>
  <c r="L86" s="1"/>
  <c r="L82"/>
  <c r="M82" s="1"/>
  <c r="N82" s="1"/>
  <c r="O82" s="1"/>
  <c r="P82" s="1"/>
  <c r="Q82" s="1"/>
  <c r="R82" s="1"/>
  <c r="S82" s="1"/>
  <c r="T82" s="1"/>
  <c r="U82" s="1"/>
  <c r="V82" s="1"/>
  <c r="W82" s="1"/>
  <c r="X82" s="1"/>
  <c r="Y82" s="1"/>
  <c r="Z82" s="1"/>
  <c r="AA82" s="1"/>
  <c r="AB82" s="1"/>
  <c r="AF123"/>
  <c r="D18" i="2"/>
  <c r="M28" i="1"/>
  <c r="N28" s="1"/>
  <c r="O28" s="1"/>
  <c r="P28" s="1"/>
  <c r="Q28" s="1"/>
  <c r="R28" s="1"/>
  <c r="S28" s="1"/>
  <c r="T28" s="1"/>
  <c r="U28" s="1"/>
  <c r="V28" s="1"/>
  <c r="W28" s="1"/>
  <c r="X28" s="1"/>
  <c r="Y28" s="1"/>
  <c r="Z28" s="1"/>
  <c r="AA28" s="1"/>
  <c r="AB28" s="1"/>
  <c r="A53" i="7"/>
  <c r="A54" s="1"/>
  <c r="D6" s="1"/>
  <c r="C67" i="1" s="1"/>
  <c r="L67" s="1"/>
  <c r="B5" i="7"/>
  <c r="D5" s="1"/>
  <c r="L3" i="6"/>
  <c r="R22" i="10"/>
  <c r="J22"/>
  <c r="G22"/>
  <c r="R19"/>
  <c r="I22"/>
  <c r="J19"/>
  <c r="Q19"/>
  <c r="P19"/>
  <c r="D22"/>
  <c r="M22"/>
  <c r="F22"/>
  <c r="O19"/>
  <c r="D19"/>
  <c r="B10" i="9"/>
  <c r="D10" s="1"/>
  <c r="D17" s="1"/>
  <c r="C22" i="10"/>
  <c r="N19"/>
  <c r="J36"/>
  <c r="K36" s="1"/>
  <c r="H19"/>
  <c r="E22"/>
  <c r="K22"/>
  <c r="S19"/>
  <c r="F28" i="1"/>
  <c r="D9" i="9"/>
  <c r="D16" s="1"/>
  <c r="M19" i="10"/>
  <c r="Q22"/>
  <c r="G19"/>
  <c r="H22"/>
  <c r="C19"/>
  <c r="F19"/>
  <c r="N22"/>
  <c r="I19"/>
  <c r="L19"/>
  <c r="P22"/>
  <c r="E19"/>
  <c r="S22"/>
  <c r="O22"/>
  <c r="M50"/>
  <c r="K19"/>
  <c r="L22"/>
  <c r="D28" i="2"/>
  <c r="C10" i="1" s="1"/>
  <c r="C91"/>
  <c r="L91" s="1"/>
  <c r="AF82"/>
  <c r="AF29" l="1"/>
  <c r="AF77"/>
  <c r="W116"/>
  <c r="N24" i="10"/>
  <c r="M67" i="1"/>
  <c r="N67" s="1"/>
  <c r="O67" s="1"/>
  <c r="P67" s="1"/>
  <c r="Q67" s="1"/>
  <c r="R67" s="1"/>
  <c r="S67" s="1"/>
  <c r="T67" s="1"/>
  <c r="U67" s="1"/>
  <c r="V67" s="1"/>
  <c r="W67" s="1"/>
  <c r="X67" s="1"/>
  <c r="Y67" s="1"/>
  <c r="Z67" s="1"/>
  <c r="AA67" s="1"/>
  <c r="AB67" s="1"/>
  <c r="W34" i="3"/>
  <c r="Q9" i="6" s="1"/>
  <c r="Q10" s="1"/>
  <c r="W32" i="3"/>
  <c r="AA3" i="1" s="1"/>
  <c r="AG8" i="3"/>
  <c r="AG9"/>
  <c r="AE14"/>
  <c r="AF14"/>
  <c r="Q34"/>
  <c r="K9" i="6" s="1"/>
  <c r="K10" s="1"/>
  <c r="Q32" i="3"/>
  <c r="U3" i="1" s="1"/>
  <c r="M60"/>
  <c r="N60" s="1"/>
  <c r="O60" s="1"/>
  <c r="P60" s="1"/>
  <c r="Q60" s="1"/>
  <c r="R60" s="1"/>
  <c r="S60" s="1"/>
  <c r="T60" s="1"/>
  <c r="U60" s="1"/>
  <c r="V60" s="1"/>
  <c r="W60" s="1"/>
  <c r="X60" s="1"/>
  <c r="Y60" s="1"/>
  <c r="Z60" s="1"/>
  <c r="AA60" s="1"/>
  <c r="AB60" s="1"/>
  <c r="K23" i="10"/>
  <c r="K25"/>
  <c r="T118" i="1" s="1"/>
  <c r="K20" i="10"/>
  <c r="E23"/>
  <c r="E25"/>
  <c r="E20"/>
  <c r="G25"/>
  <c r="P118" i="1" s="1"/>
  <c r="G20" i="10"/>
  <c r="G23"/>
  <c r="H25"/>
  <c r="Q118" i="1" s="1"/>
  <c r="H20" i="10"/>
  <c r="H23"/>
  <c r="J20"/>
  <c r="J25"/>
  <c r="S118" i="1" s="1"/>
  <c r="J23" i="10"/>
  <c r="S116" i="1"/>
  <c r="J24" i="10"/>
  <c r="U116" i="1"/>
  <c r="L24" i="10"/>
  <c r="S24"/>
  <c r="AB116" i="1"/>
  <c r="I25" i="10"/>
  <c r="R118" i="1" s="1"/>
  <c r="I23" i="10"/>
  <c r="I20"/>
  <c r="H24"/>
  <c r="Q116" i="1"/>
  <c r="C102"/>
  <c r="L102" s="1"/>
  <c r="B16" i="9"/>
  <c r="C116" i="1"/>
  <c r="F116" s="1"/>
  <c r="N116"/>
  <c r="E24" i="10"/>
  <c r="C24"/>
  <c r="L116" i="1"/>
  <c r="O116"/>
  <c r="F24" i="10"/>
  <c r="Q25"/>
  <c r="Z118" i="1" s="1"/>
  <c r="Q20" i="10"/>
  <c r="Q23"/>
  <c r="P116" i="1"/>
  <c r="G24" i="10"/>
  <c r="B18" i="2"/>
  <c r="C6" i="5"/>
  <c r="P34" i="3"/>
  <c r="J9" i="6" s="1"/>
  <c r="J10" s="1"/>
  <c r="P32" i="3"/>
  <c r="T3" i="1" s="1"/>
  <c r="AE9" i="3"/>
  <c r="AE8"/>
  <c r="N32"/>
  <c r="R3" i="1" s="1"/>
  <c r="N34" i="3"/>
  <c r="H9" i="6" s="1"/>
  <c r="H10" s="1"/>
  <c r="L32" i="3"/>
  <c r="P3" i="1" s="1"/>
  <c r="L34" i="3"/>
  <c r="F9" i="6" s="1"/>
  <c r="F10" s="1"/>
  <c r="AC8" i="3"/>
  <c r="AC9"/>
  <c r="U32"/>
  <c r="Y3" i="1" s="1"/>
  <c r="U34" i="3"/>
  <c r="O9" i="6" s="1"/>
  <c r="O10" s="1"/>
  <c r="AB9" i="3"/>
  <c r="AB8"/>
  <c r="M62" i="1"/>
  <c r="N62" s="1"/>
  <c r="O62" s="1"/>
  <c r="P62" s="1"/>
  <c r="Q62" s="1"/>
  <c r="R62" s="1"/>
  <c r="S62" s="1"/>
  <c r="T62" s="1"/>
  <c r="U62" s="1"/>
  <c r="V62" s="1"/>
  <c r="W62" s="1"/>
  <c r="X62" s="1"/>
  <c r="Y62" s="1"/>
  <c r="Z62" s="1"/>
  <c r="AA62" s="1"/>
  <c r="AB62" s="1"/>
  <c r="AF62"/>
  <c r="F11" i="5"/>
  <c r="AL10"/>
  <c r="G11"/>
  <c r="U11" s="1"/>
  <c r="K45"/>
  <c r="AG10"/>
  <c r="M11"/>
  <c r="AH10"/>
  <c r="R11"/>
  <c r="J45"/>
  <c r="H11"/>
  <c r="Q11"/>
  <c r="X11"/>
  <c r="AF10"/>
  <c r="J11"/>
  <c r="Z10"/>
  <c r="T45"/>
  <c r="L11"/>
  <c r="AM10"/>
  <c r="Q45"/>
  <c r="I45"/>
  <c r="AO10"/>
  <c r="AB10"/>
  <c r="T11"/>
  <c r="O45"/>
  <c r="AN10"/>
  <c r="N45"/>
  <c r="F45"/>
  <c r="K11"/>
  <c r="L45"/>
  <c r="S45"/>
  <c r="AD10"/>
  <c r="AI10"/>
  <c r="AA10"/>
  <c r="AE10"/>
  <c r="G45"/>
  <c r="P45"/>
  <c r="N11"/>
  <c r="O11"/>
  <c r="AK10"/>
  <c r="S11"/>
  <c r="M45"/>
  <c r="H45"/>
  <c r="AJ10"/>
  <c r="R45"/>
  <c r="AC10"/>
  <c r="P11"/>
  <c r="I11"/>
  <c r="V11" s="1"/>
  <c r="AF78" i="1"/>
  <c r="AF69"/>
  <c r="C103"/>
  <c r="L103" s="1"/>
  <c r="B17" i="9"/>
  <c r="L25" i="10"/>
  <c r="U118" i="1" s="1"/>
  <c r="L23" i="10"/>
  <c r="L20"/>
  <c r="T116" i="1"/>
  <c r="K24" i="10"/>
  <c r="O20"/>
  <c r="O25"/>
  <c r="X118" i="1" s="1"/>
  <c r="O23" i="10"/>
  <c r="R20"/>
  <c r="R25"/>
  <c r="AA118" i="1" s="1"/>
  <c r="R23" i="10"/>
  <c r="O3" i="6"/>
  <c r="I3"/>
  <c r="M3"/>
  <c r="K3"/>
  <c r="J3"/>
  <c r="N3"/>
  <c r="M86" i="1"/>
  <c r="N86" s="1"/>
  <c r="O86" s="1"/>
  <c r="P86" s="1"/>
  <c r="Q86" s="1"/>
  <c r="R86" s="1"/>
  <c r="S86" s="1"/>
  <c r="T86" s="1"/>
  <c r="U86" s="1"/>
  <c r="V86" s="1"/>
  <c r="W86" s="1"/>
  <c r="X86" s="1"/>
  <c r="Y86" s="1"/>
  <c r="Z86" s="1"/>
  <c r="AA86" s="1"/>
  <c r="AB86" s="1"/>
  <c r="AE13" i="3"/>
  <c r="AF13"/>
  <c r="R32"/>
  <c r="V3" i="1" s="1"/>
  <c r="R34" i="3"/>
  <c r="L9" i="6" s="1"/>
  <c r="L10" s="1"/>
  <c r="T32" i="3"/>
  <c r="X3" i="1" s="1"/>
  <c r="T34" i="3"/>
  <c r="N9" i="6" s="1"/>
  <c r="N10" s="1"/>
  <c r="V32" i="3"/>
  <c r="Z3" i="1" s="1"/>
  <c r="V34" i="3"/>
  <c r="P9" i="6" s="1"/>
  <c r="P10" s="1"/>
  <c r="AF16" i="3"/>
  <c r="AE16"/>
  <c r="O34"/>
  <c r="I9" i="6" s="1"/>
  <c r="I10" s="1"/>
  <c r="O32" i="3"/>
  <c r="S3" i="1" s="1"/>
  <c r="J34" i="3"/>
  <c r="D9" i="6" s="1"/>
  <c r="D10" s="1"/>
  <c r="J32" i="3"/>
  <c r="N3" i="1" s="1"/>
  <c r="M27"/>
  <c r="N27" s="1"/>
  <c r="O27" s="1"/>
  <c r="P27" s="1"/>
  <c r="Q27" s="1"/>
  <c r="R27" s="1"/>
  <c r="S27" s="1"/>
  <c r="T27" s="1"/>
  <c r="U27" s="1"/>
  <c r="V27" s="1"/>
  <c r="W27" s="1"/>
  <c r="X27" s="1"/>
  <c r="Y27" s="1"/>
  <c r="Z27" s="1"/>
  <c r="AA27" s="1"/>
  <c r="AB27" s="1"/>
  <c r="M5"/>
  <c r="N5" s="1"/>
  <c r="O5" s="1"/>
  <c r="P5" s="1"/>
  <c r="Q5" s="1"/>
  <c r="R5" s="1"/>
  <c r="S5" s="1"/>
  <c r="T5" s="1"/>
  <c r="U5" s="1"/>
  <c r="V5" s="1"/>
  <c r="W5" s="1"/>
  <c r="X5" s="1"/>
  <c r="Y5" s="1"/>
  <c r="Z5" s="1"/>
  <c r="AA5" s="1"/>
  <c r="AB5" s="1"/>
  <c r="M61"/>
  <c r="N61" s="1"/>
  <c r="O61" s="1"/>
  <c r="P61" s="1"/>
  <c r="Q61" s="1"/>
  <c r="R61" s="1"/>
  <c r="S61" s="1"/>
  <c r="T61" s="1"/>
  <c r="U61" s="1"/>
  <c r="V61" s="1"/>
  <c r="W61" s="1"/>
  <c r="X61" s="1"/>
  <c r="Y61" s="1"/>
  <c r="Z61" s="1"/>
  <c r="AA61" s="1"/>
  <c r="AB61" s="1"/>
  <c r="AF79"/>
  <c r="M24" i="10"/>
  <c r="V116" i="1"/>
  <c r="C13"/>
  <c r="L13" s="1"/>
  <c r="L10"/>
  <c r="O24" i="10"/>
  <c r="X116" i="1"/>
  <c r="C25" i="10"/>
  <c r="L118" i="1" s="1"/>
  <c r="AF118" s="1"/>
  <c r="C23" i="10"/>
  <c r="C20"/>
  <c r="M25"/>
  <c r="V118" i="1" s="1"/>
  <c r="M20" i="10"/>
  <c r="M23"/>
  <c r="N23"/>
  <c r="N25"/>
  <c r="W118" i="1" s="1"/>
  <c r="N20" i="10"/>
  <c r="P25"/>
  <c r="Y118" i="1" s="1"/>
  <c r="P20" i="10"/>
  <c r="P23"/>
  <c r="M91" i="1"/>
  <c r="N91" s="1"/>
  <c r="O91" s="1"/>
  <c r="P91" s="1"/>
  <c r="Q91" s="1"/>
  <c r="R91" s="1"/>
  <c r="S91" s="1"/>
  <c r="T91" s="1"/>
  <c r="U91" s="1"/>
  <c r="V91" s="1"/>
  <c r="W91" s="1"/>
  <c r="X91" s="1"/>
  <c r="Y91" s="1"/>
  <c r="Z91" s="1"/>
  <c r="AA91" s="1"/>
  <c r="AB91" s="1"/>
  <c r="P24" i="10"/>
  <c r="Y116" i="1"/>
  <c r="F25" i="10"/>
  <c r="O118" i="1" s="1"/>
  <c r="F23" i="10"/>
  <c r="F20"/>
  <c r="Z116" i="1"/>
  <c r="Q24" i="10"/>
  <c r="S23"/>
  <c r="S20"/>
  <c r="S25"/>
  <c r="AB118" i="1" s="1"/>
  <c r="D20" i="10"/>
  <c r="D23"/>
  <c r="D25"/>
  <c r="M118" i="1" s="1"/>
  <c r="M116"/>
  <c r="D24" i="10"/>
  <c r="I24"/>
  <c r="R116" i="1"/>
  <c r="AA116"/>
  <c r="R24" i="10"/>
  <c r="I34" i="3"/>
  <c r="C9" i="6" s="1"/>
  <c r="C10" s="1"/>
  <c r="I32" i="3"/>
  <c r="M3" i="1" s="1"/>
  <c r="K34" i="3"/>
  <c r="E9" i="6" s="1"/>
  <c r="E10" s="1"/>
  <c r="K32" i="3"/>
  <c r="O3" i="1" s="1"/>
  <c r="M34" i="3"/>
  <c r="G9" i="6" s="1"/>
  <c r="G10" s="1"/>
  <c r="M32" i="3"/>
  <c r="Q3" i="1" s="1"/>
  <c r="AE12" i="3"/>
  <c r="AF12"/>
  <c r="AF8"/>
  <c r="AF9"/>
  <c r="S32"/>
  <c r="W3" i="1" s="1"/>
  <c r="S34" i="3"/>
  <c r="M9" i="6" s="1"/>
  <c r="M10" s="1"/>
  <c r="AD8" i="3"/>
  <c r="AD9"/>
  <c r="H32"/>
  <c r="L3" i="1" s="1"/>
  <c r="H34" i="3"/>
  <c r="X34"/>
  <c r="R9" i="6" s="1"/>
  <c r="R10" s="1"/>
  <c r="X32" i="3"/>
  <c r="AB3" i="1" s="1"/>
  <c r="AF15" i="3"/>
  <c r="AE15"/>
  <c r="C87" i="1"/>
  <c r="L87" s="1"/>
  <c r="C83"/>
  <c r="L83" s="1"/>
  <c r="M76"/>
  <c r="N76" s="1"/>
  <c r="O76" s="1"/>
  <c r="P76" s="1"/>
  <c r="Q76" s="1"/>
  <c r="R76" s="1"/>
  <c r="S76" s="1"/>
  <c r="T76" s="1"/>
  <c r="U76" s="1"/>
  <c r="V76" s="1"/>
  <c r="W76" s="1"/>
  <c r="X76" s="1"/>
  <c r="Y76" s="1"/>
  <c r="Z76" s="1"/>
  <c r="AA76" s="1"/>
  <c r="AB76" s="1"/>
  <c r="AF28"/>
  <c r="AF76" l="1"/>
  <c r="AF61"/>
  <c r="AF27"/>
  <c r="AF86"/>
  <c r="AF3"/>
  <c r="AF11" i="3"/>
  <c r="B9" i="6"/>
  <c r="B10" s="1"/>
  <c r="B77"/>
  <c r="B66"/>
  <c r="B98"/>
  <c r="B88"/>
  <c r="B110"/>
  <c r="B113"/>
  <c r="B91"/>
  <c r="B80"/>
  <c r="B69"/>
  <c r="B101"/>
  <c r="O37" i="1"/>
  <c r="E11" i="6"/>
  <c r="Y106" i="1"/>
  <c r="O49" i="10"/>
  <c r="P28"/>
  <c r="Y111" i="1" s="1"/>
  <c r="P27" i="10"/>
  <c r="Y110" i="1" s="1"/>
  <c r="I11" i="6"/>
  <c r="S37" i="1"/>
  <c r="X113"/>
  <c r="O21" i="10"/>
  <c r="X114" i="1" s="1"/>
  <c r="U106"/>
  <c r="L27" i="10"/>
  <c r="U110" i="1" s="1"/>
  <c r="L28" i="10"/>
  <c r="U111" i="1" s="1"/>
  <c r="O45" i="10"/>
  <c r="J11" i="6"/>
  <c r="T37" i="1"/>
  <c r="F26" i="10"/>
  <c r="R39"/>
  <c r="S39" s="1"/>
  <c r="O107" i="1"/>
  <c r="N107"/>
  <c r="E26" i="10"/>
  <c r="R38"/>
  <c r="S38" s="1"/>
  <c r="M102" i="1"/>
  <c r="N102" s="1"/>
  <c r="O102" s="1"/>
  <c r="P102" s="1"/>
  <c r="Q102" s="1"/>
  <c r="R102" s="1"/>
  <c r="S102" s="1"/>
  <c r="T102" s="1"/>
  <c r="U102" s="1"/>
  <c r="V102" s="1"/>
  <c r="W102" s="1"/>
  <c r="X102" s="1"/>
  <c r="Y102" s="1"/>
  <c r="Z102" s="1"/>
  <c r="AA102" s="1"/>
  <c r="AB102" s="1"/>
  <c r="I27" i="10"/>
  <c r="R110" i="1" s="1"/>
  <c r="I28" i="10"/>
  <c r="R111" i="1" s="1"/>
  <c r="O42" i="10"/>
  <c r="R106" i="1"/>
  <c r="U107"/>
  <c r="R45" i="10"/>
  <c r="S45" s="1"/>
  <c r="L26"/>
  <c r="O43"/>
  <c r="J27"/>
  <c r="S110" i="1" s="1"/>
  <c r="J28" i="10"/>
  <c r="S111" i="1" s="1"/>
  <c r="S106"/>
  <c r="Q113"/>
  <c r="H21" i="10"/>
  <c r="Q114" i="1" s="1"/>
  <c r="T113"/>
  <c r="K21" i="10"/>
  <c r="T114" i="1" s="1"/>
  <c r="Q11" i="6"/>
  <c r="AA37" i="1"/>
  <c r="W37"/>
  <c r="M11" i="6"/>
  <c r="AA107" i="1"/>
  <c r="R26" i="10"/>
  <c r="AA117" i="1" s="1"/>
  <c r="AA54" s="1"/>
  <c r="R37" i="10"/>
  <c r="S37" s="1"/>
  <c r="M107" i="1"/>
  <c r="D26" i="10"/>
  <c r="Z107" i="1"/>
  <c r="R50" i="10"/>
  <c r="S50" s="1"/>
  <c r="Q26"/>
  <c r="M21"/>
  <c r="V114" i="1" s="1"/>
  <c r="V113"/>
  <c r="M13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V37"/>
  <c r="L11" i="6"/>
  <c r="AA106" i="1"/>
  <c r="AA55" s="1"/>
  <c r="R27" i="10"/>
  <c r="AA110" i="1" s="1"/>
  <c r="R28" i="10"/>
  <c r="AA111" i="1" s="1"/>
  <c r="U113"/>
  <c r="L21" i="10"/>
  <c r="U114" i="1" s="1"/>
  <c r="M103"/>
  <c r="N103" s="1"/>
  <c r="O103" s="1"/>
  <c r="P103" s="1"/>
  <c r="Q103" s="1"/>
  <c r="R103" s="1"/>
  <c r="S103" s="1"/>
  <c r="T103" s="1"/>
  <c r="U103" s="1"/>
  <c r="V103" s="1"/>
  <c r="W103" s="1"/>
  <c r="X103" s="1"/>
  <c r="Y103" s="1"/>
  <c r="Z103" s="1"/>
  <c r="AA103" s="1"/>
  <c r="AB103" s="1"/>
  <c r="R37"/>
  <c r="H11" i="6"/>
  <c r="R40" i="10"/>
  <c r="S40" s="1"/>
  <c r="G26"/>
  <c r="P107" i="1"/>
  <c r="C26" i="10"/>
  <c r="R36"/>
  <c r="S36" s="1"/>
  <c r="L107" i="1"/>
  <c r="C107"/>
  <c r="F107" s="1"/>
  <c r="I21" i="10"/>
  <c r="R114" i="1" s="1"/>
  <c r="R113"/>
  <c r="S26" i="10"/>
  <c r="AB117" i="1" s="1"/>
  <c r="AB54" s="1"/>
  <c r="AB107"/>
  <c r="Q106"/>
  <c r="O41" i="10"/>
  <c r="H27"/>
  <c r="Q110" i="1" s="1"/>
  <c r="H28" i="10"/>
  <c r="Q111" i="1" s="1"/>
  <c r="G21" i="10"/>
  <c r="P114" i="1" s="1"/>
  <c r="P113"/>
  <c r="N106"/>
  <c r="N55" s="1"/>
  <c r="E27" i="10"/>
  <c r="N110" i="1" s="1"/>
  <c r="O38" i="10"/>
  <c r="E28"/>
  <c r="N111" i="1" s="1"/>
  <c r="B112" i="6"/>
  <c r="B100"/>
  <c r="B68"/>
  <c r="B79"/>
  <c r="B90"/>
  <c r="R47" i="10"/>
  <c r="S47" s="1"/>
  <c r="W107" i="1"/>
  <c r="N26" i="10"/>
  <c r="AF60" i="1"/>
  <c r="D21" i="10"/>
  <c r="M114" i="1" s="1"/>
  <c r="M113"/>
  <c r="N21" i="10"/>
  <c r="W114" i="1" s="1"/>
  <c r="W113"/>
  <c r="Z37"/>
  <c r="P11" i="6"/>
  <c r="M87" i="1"/>
  <c r="N87" s="1"/>
  <c r="O87" s="1"/>
  <c r="P87" s="1"/>
  <c r="Q87" s="1"/>
  <c r="R87" s="1"/>
  <c r="S87" s="1"/>
  <c r="T87" s="1"/>
  <c r="U87" s="1"/>
  <c r="V87" s="1"/>
  <c r="W87" s="1"/>
  <c r="X87" s="1"/>
  <c r="Y87" s="1"/>
  <c r="Z87" s="1"/>
  <c r="AA87" s="1"/>
  <c r="AB87" s="1"/>
  <c r="R11" i="6"/>
  <c r="AB37" i="1"/>
  <c r="Q37"/>
  <c r="G11" i="6"/>
  <c r="C11"/>
  <c r="M37" i="1"/>
  <c r="I26" i="10"/>
  <c r="R107" i="1"/>
  <c r="R42" i="10"/>
  <c r="S42" s="1"/>
  <c r="D28"/>
  <c r="M111" i="1" s="1"/>
  <c r="M106"/>
  <c r="D27" i="10"/>
  <c r="M110" i="1" s="1"/>
  <c r="O37" i="10"/>
  <c r="S28"/>
  <c r="AB111" i="1" s="1"/>
  <c r="AB106"/>
  <c r="S27" i="10"/>
  <c r="AB110" i="1" s="1"/>
  <c r="F27" i="10"/>
  <c r="O110" i="1" s="1"/>
  <c r="O39" i="10"/>
  <c r="F28"/>
  <c r="O111" i="1" s="1"/>
  <c r="O106"/>
  <c r="O55" s="1"/>
  <c r="O46" i="10"/>
  <c r="M27"/>
  <c r="V110" i="1" s="1"/>
  <c r="V106"/>
  <c r="M28" i="10"/>
  <c r="V111" i="1" s="1"/>
  <c r="C106"/>
  <c r="F106" s="1"/>
  <c r="O36" i="10"/>
  <c r="L106" i="1"/>
  <c r="C28" i="10"/>
  <c r="C27"/>
  <c r="M10" i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AA10" s="1"/>
  <c r="AB10" s="1"/>
  <c r="D11" i="6"/>
  <c r="N37" i="1"/>
  <c r="B81" i="6"/>
  <c r="B70"/>
  <c r="B102"/>
  <c r="B114"/>
  <c r="B92"/>
  <c r="O28" i="10"/>
  <c r="X111" i="1" s="1"/>
  <c r="X106"/>
  <c r="O48" i="10"/>
  <c r="O27"/>
  <c r="X110" i="1" s="1"/>
  <c r="Q21" i="10"/>
  <c r="Z114" i="1" s="1"/>
  <c r="Z113"/>
  <c r="R41" i="10"/>
  <c r="S41" s="1"/>
  <c r="Q107" i="1"/>
  <c r="H26" i="10"/>
  <c r="S107" i="1"/>
  <c r="R43" i="10"/>
  <c r="S43" s="1"/>
  <c r="J26"/>
  <c r="S113" i="1"/>
  <c r="J21" i="10"/>
  <c r="S114" i="1" s="1"/>
  <c r="P106"/>
  <c r="P55" s="1"/>
  <c r="O40" i="10"/>
  <c r="G28"/>
  <c r="P111" i="1" s="1"/>
  <c r="G27" i="10"/>
  <c r="P110" i="1" s="1"/>
  <c r="C118"/>
  <c r="N118"/>
  <c r="K27" i="10"/>
  <c r="T110" i="1" s="1"/>
  <c r="O44" i="10"/>
  <c r="K28"/>
  <c r="T111" i="1" s="1"/>
  <c r="T106"/>
  <c r="K11" i="6"/>
  <c r="U37" i="1"/>
  <c r="AF91"/>
  <c r="AF5"/>
  <c r="AF116"/>
  <c r="M83"/>
  <c r="N83" s="1"/>
  <c r="O83" s="1"/>
  <c r="P83" s="1"/>
  <c r="Q83" s="1"/>
  <c r="R83" s="1"/>
  <c r="S83" s="1"/>
  <c r="T83" s="1"/>
  <c r="U83" s="1"/>
  <c r="V83" s="1"/>
  <c r="W83" s="1"/>
  <c r="X83" s="1"/>
  <c r="Y83" s="1"/>
  <c r="Z83" s="1"/>
  <c r="AA83" s="1"/>
  <c r="AB83" s="1"/>
  <c r="AB113"/>
  <c r="S21" i="10"/>
  <c r="AB114" i="1" s="1"/>
  <c r="O113"/>
  <c r="F21" i="10"/>
  <c r="O114" i="1" s="1"/>
  <c r="Y107"/>
  <c r="R49" i="10"/>
  <c r="S49" s="1"/>
  <c r="P26"/>
  <c r="Y113" i="1"/>
  <c r="P21" i="10"/>
  <c r="Y114" i="1" s="1"/>
  <c r="O47" i="10"/>
  <c r="N28"/>
  <c r="W111" i="1" s="1"/>
  <c r="W106"/>
  <c r="W55" s="1"/>
  <c r="N27" i="10"/>
  <c r="W110" i="1" s="1"/>
  <c r="L113"/>
  <c r="C113"/>
  <c r="F113" s="1"/>
  <c r="C21" i="10"/>
  <c r="R48"/>
  <c r="S48" s="1"/>
  <c r="X107" i="1"/>
  <c r="O26" i="10"/>
  <c r="R46"/>
  <c r="S46" s="1"/>
  <c r="V107" i="1"/>
  <c r="M26" i="10"/>
  <c r="N11" i="6"/>
  <c r="X37" i="1"/>
  <c r="B111" i="6"/>
  <c r="B89"/>
  <c r="B67"/>
  <c r="B99"/>
  <c r="B78"/>
  <c r="R21" i="10"/>
  <c r="AA114" i="1" s="1"/>
  <c r="AA113"/>
  <c r="R44" i="10"/>
  <c r="S44" s="1"/>
  <c r="T107" i="1"/>
  <c r="K26" i="10"/>
  <c r="O11" i="6"/>
  <c r="Y37" i="1"/>
  <c r="F11" i="6"/>
  <c r="P37" i="1"/>
  <c r="F10" i="5"/>
  <c r="R44"/>
  <c r="H44"/>
  <c r="I44"/>
  <c r="X10"/>
  <c r="L44"/>
  <c r="AB9"/>
  <c r="AB13" s="1"/>
  <c r="AB14" s="1"/>
  <c r="L10"/>
  <c r="N10"/>
  <c r="Q10"/>
  <c r="J10"/>
  <c r="R10"/>
  <c r="O44"/>
  <c r="AC9"/>
  <c r="AC13" s="1"/>
  <c r="AC14" s="1"/>
  <c r="AD9"/>
  <c r="AD13" s="1"/>
  <c r="AD14" s="1"/>
  <c r="P44"/>
  <c r="G10"/>
  <c r="AA9"/>
  <c r="AA13" s="1"/>
  <c r="AA14" s="1"/>
  <c r="J44"/>
  <c r="AE9"/>
  <c r="AE13" s="1"/>
  <c r="AE14" s="1"/>
  <c r="AN9"/>
  <c r="AN13" s="1"/>
  <c r="AN14" s="1"/>
  <c r="AJ9"/>
  <c r="AJ13" s="1"/>
  <c r="AJ14" s="1"/>
  <c r="P10"/>
  <c r="K10"/>
  <c r="T10"/>
  <c r="M10"/>
  <c r="M44"/>
  <c r="AH9"/>
  <c r="AH13" s="1"/>
  <c r="AH14" s="1"/>
  <c r="K44"/>
  <c r="AO9"/>
  <c r="AO13" s="1"/>
  <c r="AO14" s="1"/>
  <c r="AM9"/>
  <c r="AM13" s="1"/>
  <c r="AM14" s="1"/>
  <c r="I10"/>
  <c r="N44"/>
  <c r="Q44"/>
  <c r="F44"/>
  <c r="S44"/>
  <c r="AG9"/>
  <c r="AG13" s="1"/>
  <c r="AG14" s="1"/>
  <c r="AF9"/>
  <c r="AF13" s="1"/>
  <c r="AF14" s="1"/>
  <c r="S10"/>
  <c r="AL9"/>
  <c r="AL13" s="1"/>
  <c r="AL14" s="1"/>
  <c r="AK9"/>
  <c r="AK13" s="1"/>
  <c r="AK14" s="1"/>
  <c r="O10"/>
  <c r="H10"/>
  <c r="T44"/>
  <c r="Z9"/>
  <c r="Z13" s="1"/>
  <c r="Z14" s="1"/>
  <c r="AI9"/>
  <c r="AI13" s="1"/>
  <c r="AI14" s="1"/>
  <c r="G44"/>
  <c r="Q27" i="10"/>
  <c r="Z110" i="1" s="1"/>
  <c r="Q28" i="10"/>
  <c r="Z111" i="1" s="1"/>
  <c r="O50" i="10"/>
  <c r="Z106" i="1"/>
  <c r="Z55" s="1"/>
  <c r="N113"/>
  <c r="E21" i="10"/>
  <c r="N114" i="1" s="1"/>
  <c r="AF67"/>
  <c r="M55" l="1"/>
  <c r="X55"/>
  <c r="AF83"/>
  <c r="AF87"/>
  <c r="AF103"/>
  <c r="AF102"/>
  <c r="C117"/>
  <c r="T38" i="10"/>
  <c r="N117" i="1"/>
  <c r="N54" s="1"/>
  <c r="T39" i="10"/>
  <c r="U39" s="1"/>
  <c r="O117" i="1"/>
  <c r="O54" s="1"/>
  <c r="B97" i="6"/>
  <c r="B87"/>
  <c r="B65"/>
  <c r="B76"/>
  <c r="B109"/>
  <c r="Q37" i="10"/>
  <c r="P37"/>
  <c r="V42"/>
  <c r="F48" i="5"/>
  <c r="F49"/>
  <c r="J15"/>
  <c r="P33" i="1" s="1"/>
  <c r="J14" i="5"/>
  <c r="P32" i="1" s="1"/>
  <c r="Q40" i="10"/>
  <c r="P40"/>
  <c r="T43"/>
  <c r="U43" s="1"/>
  <c r="S117" i="1"/>
  <c r="S54" s="1"/>
  <c r="Q36" i="10"/>
  <c r="P36"/>
  <c r="Q39"/>
  <c r="P39"/>
  <c r="L68" i="6"/>
  <c r="L79" s="1"/>
  <c r="G68"/>
  <c r="G79" s="1"/>
  <c r="Q68"/>
  <c r="Q79" s="1"/>
  <c r="K68"/>
  <c r="K79" s="1"/>
  <c r="O68"/>
  <c r="O79" s="1"/>
  <c r="I68"/>
  <c r="I79" s="1"/>
  <c r="H68"/>
  <c r="H79" s="1"/>
  <c r="N68"/>
  <c r="N79" s="1"/>
  <c r="E68"/>
  <c r="E79" s="1"/>
  <c r="F68"/>
  <c r="F79" s="1"/>
  <c r="M68"/>
  <c r="M79" s="1"/>
  <c r="C68"/>
  <c r="C79" s="1"/>
  <c r="J68"/>
  <c r="J79" s="1"/>
  <c r="P68"/>
  <c r="P79" s="1"/>
  <c r="D68"/>
  <c r="D79" s="1"/>
  <c r="P38" i="10"/>
  <c r="Q38"/>
  <c r="T36"/>
  <c r="L117" i="1"/>
  <c r="V37" i="10"/>
  <c r="V38"/>
  <c r="U38"/>
  <c r="V39"/>
  <c r="P45"/>
  <c r="Q45"/>
  <c r="B11" i="6"/>
  <c r="L37" i="1"/>
  <c r="AF37" s="1"/>
  <c r="T55"/>
  <c r="Q55"/>
  <c r="K49" i="5"/>
  <c r="K48"/>
  <c r="Q50" i="10"/>
  <c r="P50"/>
  <c r="O15" i="5"/>
  <c r="U33" i="1" s="1"/>
  <c r="O14" i="5"/>
  <c r="U32" i="1" s="1"/>
  <c r="Q48" i="5"/>
  <c r="Q49"/>
  <c r="M14"/>
  <c r="S32" i="1" s="1"/>
  <c r="M15" i="5"/>
  <c r="S33" i="1" s="1"/>
  <c r="Q14" i="5"/>
  <c r="W32" i="1" s="1"/>
  <c r="Q15" i="5"/>
  <c r="W33" i="1" s="1"/>
  <c r="L49" i="5"/>
  <c r="L48"/>
  <c r="R48"/>
  <c r="R49"/>
  <c r="V44" i="10"/>
  <c r="V46"/>
  <c r="C114" i="1"/>
  <c r="F114" s="1"/>
  <c r="L114"/>
  <c r="AF114" s="1"/>
  <c r="V43" i="10"/>
  <c r="V41"/>
  <c r="P48"/>
  <c r="Q48"/>
  <c r="L110" i="1"/>
  <c r="AF110" s="1"/>
  <c r="C110"/>
  <c r="P46" i="10"/>
  <c r="Q46"/>
  <c r="G49" i="5"/>
  <c r="G48"/>
  <c r="H15"/>
  <c r="H14"/>
  <c r="S14"/>
  <c r="Y32" i="1" s="1"/>
  <c r="S15" i="5"/>
  <c r="Y33" i="1" s="1"/>
  <c r="M48" i="5"/>
  <c r="M49"/>
  <c r="P15"/>
  <c r="V33" i="1" s="1"/>
  <c r="P14" i="5"/>
  <c r="V32" i="1" s="1"/>
  <c r="J49" i="5"/>
  <c r="J48"/>
  <c r="H49"/>
  <c r="H48"/>
  <c r="T48"/>
  <c r="T49"/>
  <c r="S49"/>
  <c r="S48"/>
  <c r="V10"/>
  <c r="I15"/>
  <c r="I14"/>
  <c r="K14"/>
  <c r="Q32" i="1" s="1"/>
  <c r="K15" i="5"/>
  <c r="Q33" i="1" s="1"/>
  <c r="P48" i="5"/>
  <c r="P49"/>
  <c r="R14"/>
  <c r="X32" i="1" s="1"/>
  <c r="R15" i="5"/>
  <c r="X33" i="1" s="1"/>
  <c r="L14" i="5"/>
  <c r="R32" i="1" s="1"/>
  <c r="L15" i="5"/>
  <c r="R33" i="1" s="1"/>
  <c r="I48" i="5"/>
  <c r="I49"/>
  <c r="T44" i="10"/>
  <c r="U44" s="1"/>
  <c r="T117" i="1"/>
  <c r="T54" s="1"/>
  <c r="V117"/>
  <c r="V54" s="1"/>
  <c r="T46" i="10"/>
  <c r="U46" s="1"/>
  <c r="P47"/>
  <c r="Q47"/>
  <c r="Q117" i="1"/>
  <c r="Q54" s="1"/>
  <c r="T41" i="10"/>
  <c r="U41" s="1"/>
  <c r="F70" i="6"/>
  <c r="F81" s="1"/>
  <c r="K70"/>
  <c r="K81" s="1"/>
  <c r="N70"/>
  <c r="N81" s="1"/>
  <c r="Q70"/>
  <c r="Q81" s="1"/>
  <c r="P70"/>
  <c r="P81" s="1"/>
  <c r="O70"/>
  <c r="O81" s="1"/>
  <c r="M70"/>
  <c r="M81" s="1"/>
  <c r="G70"/>
  <c r="G81" s="1"/>
  <c r="J70"/>
  <c r="J81" s="1"/>
  <c r="L70"/>
  <c r="L81" s="1"/>
  <c r="I70"/>
  <c r="I81" s="1"/>
  <c r="E70"/>
  <c r="E81" s="1"/>
  <c r="D70"/>
  <c r="D81" s="1"/>
  <c r="C70"/>
  <c r="C81" s="1"/>
  <c r="H70"/>
  <c r="H81" s="1"/>
  <c r="L55" i="1"/>
  <c r="AF55" s="1"/>
  <c r="AF106"/>
  <c r="R117"/>
  <c r="R54" s="1"/>
  <c r="T42" i="10"/>
  <c r="U42" s="1"/>
  <c r="T47"/>
  <c r="U47" s="1"/>
  <c r="W117" i="1"/>
  <c r="W54" s="1"/>
  <c r="Q41" i="10"/>
  <c r="P41"/>
  <c r="V36"/>
  <c r="U36"/>
  <c r="V40"/>
  <c r="Z117" i="1"/>
  <c r="Z54" s="1"/>
  <c r="T50" i="10"/>
  <c r="U50" s="1"/>
  <c r="T45"/>
  <c r="U45" s="1"/>
  <c r="U117" i="1"/>
  <c r="U54" s="1"/>
  <c r="Q42" i="10"/>
  <c r="P42"/>
  <c r="L69" i="6"/>
  <c r="L80" s="1"/>
  <c r="E69"/>
  <c r="E80" s="1"/>
  <c r="O69"/>
  <c r="O80" s="1"/>
  <c r="C69"/>
  <c r="C80" s="1"/>
  <c r="G69"/>
  <c r="G80" s="1"/>
  <c r="K69"/>
  <c r="K80" s="1"/>
  <c r="D69"/>
  <c r="D80" s="1"/>
  <c r="J69"/>
  <c r="J80" s="1"/>
  <c r="N69"/>
  <c r="N80" s="1"/>
  <c r="H69"/>
  <c r="H80" s="1"/>
  <c r="I69"/>
  <c r="I80" s="1"/>
  <c r="F69"/>
  <c r="F80" s="1"/>
  <c r="Q69"/>
  <c r="Q80" s="1"/>
  <c r="M69"/>
  <c r="M80" s="1"/>
  <c r="P69"/>
  <c r="P80" s="1"/>
  <c r="AF113" i="1"/>
  <c r="AF10"/>
  <c r="V55"/>
  <c r="AB55"/>
  <c r="AF13"/>
  <c r="S55"/>
  <c r="U55"/>
  <c r="Y55"/>
  <c r="N48" i="5"/>
  <c r="N49"/>
  <c r="T15"/>
  <c r="Z33" i="1" s="1"/>
  <c r="T14" i="5"/>
  <c r="Z32" i="1" s="1"/>
  <c r="G14" i="5"/>
  <c r="G15"/>
  <c r="U10"/>
  <c r="O48"/>
  <c r="O49"/>
  <c r="N14"/>
  <c r="T32" i="1" s="1"/>
  <c r="N15" i="5"/>
  <c r="T33" i="1" s="1"/>
  <c r="X14" i="5"/>
  <c r="X15"/>
  <c r="F15"/>
  <c r="L33" i="1" s="1"/>
  <c r="F14" i="5"/>
  <c r="L32" i="1" s="1"/>
  <c r="C67" i="6"/>
  <c r="C78" s="1"/>
  <c r="Q67"/>
  <c r="Q78" s="1"/>
  <c r="F67"/>
  <c r="F78" s="1"/>
  <c r="M67"/>
  <c r="M78" s="1"/>
  <c r="L67"/>
  <c r="L78" s="1"/>
  <c r="D67"/>
  <c r="D78" s="1"/>
  <c r="H67"/>
  <c r="H78" s="1"/>
  <c r="G67"/>
  <c r="G78" s="1"/>
  <c r="E67"/>
  <c r="E78" s="1"/>
  <c r="J67"/>
  <c r="J78" s="1"/>
  <c r="K67"/>
  <c r="K78" s="1"/>
  <c r="O67"/>
  <c r="O78" s="1"/>
  <c r="N67"/>
  <c r="N78" s="1"/>
  <c r="P67"/>
  <c r="P78" s="1"/>
  <c r="I67"/>
  <c r="I78" s="1"/>
  <c r="X117" i="1"/>
  <c r="X54" s="1"/>
  <c r="T48" i="10"/>
  <c r="U48" s="1"/>
  <c r="Y117" i="1"/>
  <c r="Y54" s="1"/>
  <c r="T49" i="10"/>
  <c r="U49" s="1"/>
  <c r="P44"/>
  <c r="Q44"/>
  <c r="L111" i="1"/>
  <c r="AF111" s="1"/>
  <c r="C111"/>
  <c r="T40" i="10"/>
  <c r="U40" s="1"/>
  <c r="P117" i="1"/>
  <c r="P54" s="1"/>
  <c r="T37" i="10"/>
  <c r="U37" s="1"/>
  <c r="M117" i="1"/>
  <c r="M54" s="1"/>
  <c r="Q43" i="10"/>
  <c r="P43"/>
  <c r="P49"/>
  <c r="Q49"/>
  <c r="M66" i="6"/>
  <c r="M77" s="1"/>
  <c r="H66"/>
  <c r="H77" s="1"/>
  <c r="K66"/>
  <c r="K77" s="1"/>
  <c r="N66"/>
  <c r="N77" s="1"/>
  <c r="Q66"/>
  <c r="Q77" s="1"/>
  <c r="L66"/>
  <c r="L77" s="1"/>
  <c r="O66"/>
  <c r="O77" s="1"/>
  <c r="E66"/>
  <c r="E77" s="1"/>
  <c r="J66"/>
  <c r="J77" s="1"/>
  <c r="D66"/>
  <c r="D77" s="1"/>
  <c r="I66"/>
  <c r="I77" s="1"/>
  <c r="G66"/>
  <c r="G77" s="1"/>
  <c r="C66"/>
  <c r="C77" s="1"/>
  <c r="P66"/>
  <c r="P77" s="1"/>
  <c r="F66"/>
  <c r="F77" s="1"/>
  <c r="AF107" i="1"/>
  <c r="R55"/>
  <c r="AF32" l="1"/>
  <c r="F88" i="6"/>
  <c r="F98"/>
  <c r="F110" s="1"/>
  <c r="J99"/>
  <c r="J111" s="1"/>
  <c r="J89"/>
  <c r="C88"/>
  <c r="C98"/>
  <c r="C110" s="1"/>
  <c r="J88"/>
  <c r="J98"/>
  <c r="J110" s="1"/>
  <c r="M98"/>
  <c r="M110" s="1"/>
  <c r="M88"/>
  <c r="O99"/>
  <c r="O111" s="1"/>
  <c r="O89"/>
  <c r="G89"/>
  <c r="G99"/>
  <c r="G111" s="1"/>
  <c r="P101"/>
  <c r="P113" s="1"/>
  <c r="P91"/>
  <c r="P98"/>
  <c r="P110" s="1"/>
  <c r="P88"/>
  <c r="D88"/>
  <c r="D98"/>
  <c r="D110" s="1"/>
  <c r="L88"/>
  <c r="L98"/>
  <c r="L110" s="1"/>
  <c r="H88"/>
  <c r="H98"/>
  <c r="H110" s="1"/>
  <c r="N99"/>
  <c r="N111" s="1"/>
  <c r="N89"/>
  <c r="E99"/>
  <c r="E111" s="1"/>
  <c r="E89"/>
  <c r="L89"/>
  <c r="L99"/>
  <c r="L111" s="1"/>
  <c r="C99"/>
  <c r="C111" s="1"/>
  <c r="C89"/>
  <c r="F101"/>
  <c r="F113" s="1"/>
  <c r="F91"/>
  <c r="J91"/>
  <c r="J101"/>
  <c r="J113" s="1"/>
  <c r="C101"/>
  <c r="C113" s="1"/>
  <c r="C91"/>
  <c r="D102"/>
  <c r="D114" s="1"/>
  <c r="D92"/>
  <c r="J92"/>
  <c r="J102"/>
  <c r="J114" s="1"/>
  <c r="P102"/>
  <c r="P114" s="1"/>
  <c r="P92"/>
  <c r="F92"/>
  <c r="F102"/>
  <c r="F114" s="1"/>
  <c r="V15" i="5"/>
  <c r="AB33" i="1" s="1"/>
  <c r="O33"/>
  <c r="C32"/>
  <c r="N32"/>
  <c r="AF117"/>
  <c r="L54"/>
  <c r="AF54" s="1"/>
  <c r="D100" i="6"/>
  <c r="D112" s="1"/>
  <c r="D90"/>
  <c r="M100"/>
  <c r="M112" s="1"/>
  <c r="M90"/>
  <c r="H100"/>
  <c r="H112" s="1"/>
  <c r="H90"/>
  <c r="Q100"/>
  <c r="Q112" s="1"/>
  <c r="Q90"/>
  <c r="I88"/>
  <c r="I98"/>
  <c r="I110" s="1"/>
  <c r="Q99"/>
  <c r="Q111" s="1"/>
  <c r="Q89"/>
  <c r="M32" i="1"/>
  <c r="U14" i="5"/>
  <c r="AA32" i="1" s="1"/>
  <c r="N101" i="6"/>
  <c r="N113" s="1"/>
  <c r="N91"/>
  <c r="G101"/>
  <c r="G113" s="1"/>
  <c r="G91"/>
  <c r="C92"/>
  <c r="C102"/>
  <c r="C114" s="1"/>
  <c r="L102"/>
  <c r="L114" s="1"/>
  <c r="L92"/>
  <c r="O102"/>
  <c r="O114" s="1"/>
  <c r="O92"/>
  <c r="K102"/>
  <c r="K114" s="1"/>
  <c r="K92"/>
  <c r="O32" i="1"/>
  <c r="V14" i="5"/>
  <c r="AB32" i="1" s="1"/>
  <c r="C100" i="6"/>
  <c r="C112" s="1"/>
  <c r="C90"/>
  <c r="N100"/>
  <c r="N112" s="1"/>
  <c r="N90"/>
  <c r="K90"/>
  <c r="K100"/>
  <c r="K112" s="1"/>
  <c r="K88"/>
  <c r="K98"/>
  <c r="K110" s="1"/>
  <c r="P89"/>
  <c r="P99"/>
  <c r="P111" s="1"/>
  <c r="D99"/>
  <c r="D111" s="1"/>
  <c r="D89"/>
  <c r="Q91"/>
  <c r="Q101"/>
  <c r="Q113" s="1"/>
  <c r="L91"/>
  <c r="L101"/>
  <c r="L113" s="1"/>
  <c r="G88"/>
  <c r="G98"/>
  <c r="G110" s="1"/>
  <c r="E88"/>
  <c r="E98"/>
  <c r="E110" s="1"/>
  <c r="N88"/>
  <c r="N98"/>
  <c r="N110" s="1"/>
  <c r="I89"/>
  <c r="I99"/>
  <c r="I111" s="1"/>
  <c r="K99"/>
  <c r="K111" s="1"/>
  <c r="K89"/>
  <c r="H89"/>
  <c r="H99"/>
  <c r="H111" s="1"/>
  <c r="F99"/>
  <c r="F111" s="1"/>
  <c r="F89"/>
  <c r="U15" i="5"/>
  <c r="AA33" i="1" s="1"/>
  <c r="M33"/>
  <c r="M91" i="6"/>
  <c r="M101"/>
  <c r="M113" s="1"/>
  <c r="H101"/>
  <c r="H113" s="1"/>
  <c r="H91"/>
  <c r="K91"/>
  <c r="K101"/>
  <c r="K113" s="1"/>
  <c r="E101"/>
  <c r="E113" s="1"/>
  <c r="E91"/>
  <c r="H92"/>
  <c r="H102"/>
  <c r="H114" s="1"/>
  <c r="I92"/>
  <c r="I102"/>
  <c r="I114" s="1"/>
  <c r="M92"/>
  <c r="M102"/>
  <c r="M114" s="1"/>
  <c r="N92"/>
  <c r="N102"/>
  <c r="N114" s="1"/>
  <c r="J100"/>
  <c r="J112" s="1"/>
  <c r="J90"/>
  <c r="E100"/>
  <c r="E112" s="1"/>
  <c r="E90"/>
  <c r="O100"/>
  <c r="O112" s="1"/>
  <c r="O90"/>
  <c r="L90"/>
  <c r="L100"/>
  <c r="L112" s="1"/>
  <c r="AF33" i="1"/>
  <c r="O98" i="6"/>
  <c r="O110" s="1"/>
  <c r="O88"/>
  <c r="Q88"/>
  <c r="Q98"/>
  <c r="Q110" s="1"/>
  <c r="M89"/>
  <c r="M99"/>
  <c r="M111" s="1"/>
  <c r="I101"/>
  <c r="I113" s="1"/>
  <c r="I91"/>
  <c r="D91"/>
  <c r="D101"/>
  <c r="D113" s="1"/>
  <c r="O101"/>
  <c r="O113" s="1"/>
  <c r="O91"/>
  <c r="E92"/>
  <c r="E102"/>
  <c r="E114" s="1"/>
  <c r="G102"/>
  <c r="G114" s="1"/>
  <c r="G92"/>
  <c r="Q92"/>
  <c r="Q102"/>
  <c r="Q114" s="1"/>
  <c r="N33" i="1"/>
  <c r="C33"/>
  <c r="P90" i="6"/>
  <c r="P100"/>
  <c r="P112" s="1"/>
  <c r="F90"/>
  <c r="F100"/>
  <c r="F112" s="1"/>
  <c r="I90"/>
  <c r="I100"/>
  <c r="I112" s="1"/>
  <c r="G100"/>
  <c r="G112" s="1"/>
  <c r="G90"/>
  <c r="C65"/>
  <c r="C76" s="1"/>
  <c r="G65"/>
  <c r="G76" s="1"/>
  <c r="J65"/>
  <c r="J76" s="1"/>
  <c r="I65"/>
  <c r="I76" s="1"/>
  <c r="K65"/>
  <c r="K76" s="1"/>
  <c r="M65"/>
  <c r="M76" s="1"/>
  <c r="Q65"/>
  <c r="Q76" s="1"/>
  <c r="N65"/>
  <c r="N76" s="1"/>
  <c r="F65"/>
  <c r="F76" s="1"/>
  <c r="O65"/>
  <c r="O76" s="1"/>
  <c r="D65"/>
  <c r="D76" s="1"/>
  <c r="L65"/>
  <c r="L76" s="1"/>
  <c r="H65"/>
  <c r="H76" s="1"/>
  <c r="P65"/>
  <c r="P76" s="1"/>
  <c r="E65"/>
  <c r="E76" s="1"/>
  <c r="F87" l="1"/>
  <c r="F97"/>
  <c r="F109" s="1"/>
  <c r="P87"/>
  <c r="P97"/>
  <c r="P109" s="1"/>
  <c r="O87"/>
  <c r="O97"/>
  <c r="O109" s="1"/>
  <c r="E87"/>
  <c r="E97"/>
  <c r="E109" s="1"/>
  <c r="L97"/>
  <c r="L109" s="1"/>
  <c r="L87"/>
  <c r="N87"/>
  <c r="N97"/>
  <c r="N109" s="1"/>
  <c r="I87"/>
  <c r="I97"/>
  <c r="I109" s="1"/>
  <c r="C87"/>
  <c r="C37" i="1"/>
  <c r="C97" i="6"/>
  <c r="M87"/>
  <c r="M97"/>
  <c r="M109" s="1"/>
  <c r="H87"/>
  <c r="H97"/>
  <c r="H109" s="1"/>
  <c r="K97"/>
  <c r="K109" s="1"/>
  <c r="K87"/>
  <c r="G87"/>
  <c r="G97"/>
  <c r="G109" s="1"/>
  <c r="D87"/>
  <c r="D97"/>
  <c r="D109" s="1"/>
  <c r="Q87"/>
  <c r="Q97"/>
  <c r="Q109" s="1"/>
  <c r="J87"/>
  <c r="J97"/>
  <c r="J109" s="1"/>
  <c r="C109" l="1"/>
  <c r="C36" i="1"/>
</calcChain>
</file>

<file path=xl/comments1.xml><?xml version="1.0" encoding="utf-8"?>
<comments xmlns="http://schemas.openxmlformats.org/spreadsheetml/2006/main">
  <authors>
    <author>Will</author>
  </authors>
  <commentList>
    <comment ref="B3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</commentList>
</comments>
</file>

<file path=xl/comments2.xml><?xml version="1.0" encoding="utf-8"?>
<comments xmlns="http://schemas.openxmlformats.org/spreadsheetml/2006/main">
  <authors>
    <author>Will</author>
    <author>Author</author>
  </authors>
  <commentList>
    <comment ref="G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M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<sst xmlns="http://schemas.openxmlformats.org/spreadsheetml/2006/main" count="6957" uniqueCount="1240">
  <si>
    <t>Topic</t>
  </si>
  <si>
    <t>Name in code</t>
  </si>
  <si>
    <t>Tjeck</t>
  </si>
  <si>
    <t>Description</t>
  </si>
  <si>
    <t>Comment</t>
  </si>
  <si>
    <t>Reference</t>
  </si>
  <si>
    <t>Tab</t>
  </si>
  <si>
    <t>Note</t>
  </si>
  <si>
    <t>Folder name:</t>
  </si>
  <si>
    <t>C</t>
  </si>
  <si>
    <t>ok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</si>
  <si>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</si>
  <si>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</si>
  <si>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</si>
  <si>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</si>
  <si>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</si>
  <si>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</si>
  <si>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</si>
  <si>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Case names: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</si>
  <si>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</si>
  <si>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</si>
  <si>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</si>
  <si>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</si>
  <si>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</si>
  <si>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</si>
  <si>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Number of cases:</t>
  </si>
  <si>
    <t>X</t>
  </si>
  <si>
    <t>FLUE</t>
  </si>
  <si>
    <t>Nflue</t>
  </si>
  <si>
    <t>Number of flues</t>
  </si>
  <si>
    <t>Begin with ws2 file:</t>
  </si>
  <si>
    <t>Cflue</t>
  </si>
  <si>
    <t>0.0137(6m of 6' duct + loss in/out)</t>
  </si>
  <si>
    <t>Flue</t>
  </si>
  <si>
    <t>Flue height, m</t>
  </si>
  <si>
    <t>Geomtery</t>
  </si>
  <si>
    <t>Same weather file:</t>
  </si>
  <si>
    <t>Flue gas temperature</t>
  </si>
  <si>
    <t>Code -99: Temeprature will vary acc. T_in and T_out</t>
  </si>
  <si>
    <t>no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</si>
  <si>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</si>
  <si>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</si>
  <si>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</si>
  <si>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</si>
  <si>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</si>
  <si>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</si>
  <si>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</si>
  <si>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</si>
  <si>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</si>
  <si>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 xml:space="preserve"> -//-</t>
  </si>
  <si>
    <t>Fraction of leakage at floor level below wall 3</t>
  </si>
  <si>
    <t>Wind shelter for roof and flue (almost always =1)</t>
  </si>
  <si>
    <t>Npipe</t>
  </si>
  <si>
    <t>Number of passive vents</t>
  </si>
  <si>
    <t>[(#), wall, H, A, Swf, Swoff]</t>
  </si>
  <si>
    <t>BLDG</t>
  </si>
  <si>
    <t>Floor height above grade, m</t>
  </si>
  <si>
    <t>House site infor R= in a row of houses on a street, I= isolated house</t>
  </si>
  <si>
    <t>Building volume, m3</t>
  </si>
  <si>
    <t>Floor area , m2</t>
  </si>
  <si>
    <t>ACM p. 110</t>
  </si>
  <si>
    <t>Lhouse</t>
  </si>
  <si>
    <t>Length of house, m</t>
  </si>
  <si>
    <t>Whouse</t>
  </si>
  <si>
    <t>Width of house, m</t>
  </si>
  <si>
    <t>ACM p. 111</t>
  </si>
  <si>
    <t>Include: walls, windows, floor</t>
  </si>
  <si>
    <t>Res.com, p. 515-516 + ACM, p. 24</t>
  </si>
  <si>
    <t>UA</t>
  </si>
  <si>
    <t>Value changes with house Package and CZ</t>
  </si>
  <si>
    <t>VENTING</t>
  </si>
  <si>
    <t>Include: walls, windows</t>
  </si>
  <si>
    <t>Nwindoor</t>
  </si>
  <si>
    <t>Number of open windows and doors</t>
  </si>
  <si>
    <t>[(#),wall, high, wide, top, bottom]</t>
  </si>
  <si>
    <t>MECH.VENT</t>
  </si>
  <si>
    <t>Number of mechanical vent fans</t>
  </si>
  <si>
    <t>Bathroom fan</t>
  </si>
  <si>
    <t>Fans</t>
  </si>
  <si>
    <t>fan 1 Q, m^3/s</t>
  </si>
  <si>
    <t>Running REGCAP: p. 2</t>
  </si>
  <si>
    <t>Kitchen fan</t>
  </si>
  <si>
    <t>fan 2 Q, m^3/s</t>
  </si>
  <si>
    <t>62.2 fan OR Rivec fan</t>
  </si>
  <si>
    <t>Changes with number of bedrooms and fan.oper</t>
  </si>
  <si>
    <t>fan 3 Q, m^3/s</t>
  </si>
  <si>
    <t>Change by desired operation of the fan. 1=cont. Fan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</si>
  <si>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</si>
  <si>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</si>
  <si>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</si>
  <si>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</si>
  <si>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</si>
  <si>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</si>
  <si>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</si>
  <si>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</si>
  <si>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</si>
  <si>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</si>
  <si>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</si>
  <si>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</si>
  <si>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latload</t>
  </si>
  <si>
    <t>latent load, kg/s</t>
  </si>
  <si>
    <t>Int. gain</t>
  </si>
  <si>
    <t>Should it be diff.?</t>
  </si>
  <si>
    <t>intgain1</t>
  </si>
  <si>
    <t>Internal gains, W</t>
  </si>
  <si>
    <t>ATTIC</t>
  </si>
  <si>
    <t>Cattic</t>
  </si>
  <si>
    <t>Att. leakage coefficient, m3/sPAn</t>
  </si>
  <si>
    <t>Flow coeff. are distributed  as fractions of total leakage</t>
  </si>
  <si>
    <t>p. 14</t>
  </si>
  <si>
    <t>Attic</t>
  </si>
  <si>
    <t>Nattic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</si>
  <si>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</si>
  <si>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</si>
  <si>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</si>
  <si>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</si>
  <si>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</si>
  <si>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</si>
  <si>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</si>
  <si>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</si>
  <si>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</si>
  <si>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</si>
  <si>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</si>
  <si>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</si>
  <si>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</si>
  <si>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Navent</t>
  </si>
  <si>
    <t>Number of added attic vents</t>
  </si>
  <si>
    <t>Avent wall</t>
  </si>
  <si>
    <t>Placeringen af attic fan</t>
  </si>
  <si>
    <t>Avent height</t>
  </si>
  <si>
    <t>see tab: Geometry</t>
  </si>
  <si>
    <t>Avent area</t>
  </si>
  <si>
    <t>See tab: Attic</t>
  </si>
  <si>
    <t>Avent presssure exponent</t>
  </si>
  <si>
    <t>pitch</t>
  </si>
  <si>
    <t>Roof pitch, degrees</t>
  </si>
  <si>
    <t>pitch=4:12</t>
  </si>
  <si>
    <t>RR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</si>
  <si>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</si>
  <si>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</si>
  <si>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</si>
  <si>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</si>
  <si>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</si>
  <si>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</si>
  <si>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</si>
  <si>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</si>
  <si>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</si>
  <si>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</si>
  <si>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</si>
  <si>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</si>
  <si>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</si>
  <si>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supLF</t>
  </si>
  <si>
    <t>Typical leakage fraction for ducts</t>
  </si>
  <si>
    <t>retLF</t>
  </si>
  <si>
    <t>Return leakg fraction, % or decimal fraction</t>
  </si>
  <si>
    <t>suplength</t>
  </si>
  <si>
    <t>Supply ducts length,m</t>
  </si>
  <si>
    <t>retlength</t>
  </si>
  <si>
    <t>Retun ducts length,m</t>
  </si>
  <si>
    <t>supdiam</t>
  </si>
  <si>
    <t>Mean supply diameter, m</t>
  </si>
  <si>
    <t>retdiam</t>
  </si>
  <si>
    <t>cqah</t>
  </si>
  <si>
    <t>Heat-Cool</t>
  </si>
  <si>
    <t>Value changes with CZ</t>
  </si>
  <si>
    <t>hqah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</si>
  <si>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</si>
  <si>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</si>
  <si>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</si>
  <si>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</si>
  <si>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</si>
  <si>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</si>
  <si>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</si>
  <si>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</si>
  <si>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</si>
  <si>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burried</t>
  </si>
  <si>
    <t>Fraction of ducts burried in insulation</t>
  </si>
  <si>
    <t>Raw capacity, tons (really only applies to cooling)</t>
  </si>
  <si>
    <t>Must be changed when climate is changed</t>
  </si>
  <si>
    <t>Ari capacity cooling, kBtu/h</t>
  </si>
  <si>
    <t>EERari cooling (Energy Efficient Ratio) [Btu/Wh]</t>
  </si>
  <si>
    <t>Converts to COP by dividing by 3.41</t>
  </si>
  <si>
    <t>Heating capacity, kBtu/h</t>
  </si>
  <si>
    <t>hfanpow</t>
  </si>
  <si>
    <t>cfanpow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</si>
  <si>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</si>
  <si>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</si>
  <si>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</si>
  <si>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</si>
  <si>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</si>
  <si>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</si>
  <si>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</si>
  <si>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</si>
  <si>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</si>
  <si>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</si>
  <si>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</si>
  <si>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</si>
  <si>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</si>
  <si>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</si>
  <si>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</si>
  <si>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</si>
  <si>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</si>
  <si>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</si>
  <si>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</si>
  <si>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</si>
  <si>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</si>
  <si>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</si>
  <si>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</si>
  <si>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</si>
  <si>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</si>
  <si>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</si>
  <si>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</si>
  <si>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</si>
  <si>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</si>
  <si>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</si>
  <si>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</si>
  <si>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</si>
  <si>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</si>
  <si>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</si>
  <si>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</si>
  <si>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</si>
  <si>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</si>
  <si>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</si>
  <si>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</si>
  <si>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</si>
  <si>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</si>
  <si>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</si>
  <si>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</si>
  <si>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</si>
  <si>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</si>
  <si>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</si>
  <si>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</si>
  <si>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</si>
  <si>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</si>
  <si>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</si>
  <si>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</si>
  <si>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</si>
  <si>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</si>
  <si>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</si>
  <si>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</si>
  <si>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</si>
  <si>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</si>
  <si>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</si>
  <si>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</si>
  <si>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</si>
  <si>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</si>
  <si>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</si>
  <si>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</si>
  <si>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</si>
  <si>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</si>
  <si>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</si>
  <si>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</si>
  <si>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</si>
  <si>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</si>
  <si>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</si>
  <si>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</si>
  <si>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</si>
  <si>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</si>
  <si>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</si>
  <si>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</si>
  <si>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</si>
  <si>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</si>
  <si>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</si>
  <si>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</si>
  <si>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</si>
  <si>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</si>
  <si>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</si>
  <si>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</si>
  <si>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</si>
  <si>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</si>
  <si>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</si>
  <si>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</si>
  <si>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</si>
  <si>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</si>
  <si>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</si>
  <si>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</si>
  <si>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</si>
  <si>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</si>
  <si>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</si>
  <si>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</si>
  <si>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</si>
  <si>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</si>
  <si>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</si>
  <si>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Flue: yes\no?</t>
  </si>
  <si>
    <t>0=no, 1=yes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</si>
  <si>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</si>
  <si>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</si>
  <si>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</si>
  <si>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</si>
  <si>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</si>
  <si>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</si>
  <si>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</si>
  <si>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</si>
  <si>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</si>
  <si>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</si>
  <si>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</si>
  <si>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</si>
  <si>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</si>
  <si>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</si>
  <si>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</si>
  <si>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</si>
  <si>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</si>
  <si>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</si>
  <si>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</si>
  <si>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</si>
  <si>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</si>
  <si>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</si>
  <si>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</si>
  <si>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</si>
  <si>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</si>
  <si>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</si>
  <si>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</si>
  <si>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</si>
  <si>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</si>
  <si>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</si>
  <si>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</si>
  <si>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</si>
  <si>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</si>
  <si>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</si>
  <si>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</si>
  <si>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</si>
  <si>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</si>
  <si>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</si>
  <si>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</si>
  <si>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</si>
  <si>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</si>
  <si>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</si>
  <si>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</si>
  <si>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</si>
  <si>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</si>
  <si>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</si>
  <si>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</si>
  <si>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</si>
  <si>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</si>
  <si>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</si>
  <si>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</si>
  <si>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</si>
  <si>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</si>
  <si>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</si>
  <si>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</si>
  <si>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</si>
  <si>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</si>
  <si>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</si>
  <si>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</si>
  <si>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</si>
  <si>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</si>
  <si>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</si>
  <si>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</si>
  <si>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</si>
  <si>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</si>
  <si>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</si>
  <si>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</si>
  <si>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</si>
  <si>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</si>
  <si>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</si>
  <si>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</si>
  <si>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</si>
  <si>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</si>
  <si>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</si>
  <si>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</si>
  <si>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</si>
  <si>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</si>
  <si>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</si>
  <si>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</si>
  <si>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</si>
  <si>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</si>
  <si>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</si>
  <si>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</si>
  <si>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</si>
  <si>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</si>
  <si>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</si>
  <si>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</si>
  <si>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</si>
  <si>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</si>
  <si>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</si>
  <si>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</si>
  <si>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</si>
  <si>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</si>
  <si>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</si>
  <si>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</si>
  <si>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</si>
  <si>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</si>
  <si>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</si>
  <si>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</si>
  <si>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</si>
  <si>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</si>
  <si>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</si>
  <si>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</si>
  <si>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</si>
  <si>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</si>
  <si>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</si>
  <si>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</si>
  <si>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</si>
  <si>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</si>
  <si>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</si>
  <si>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</si>
  <si>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</si>
  <si>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</si>
  <si>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</si>
  <si>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</si>
  <si>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</si>
  <si>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kWh/day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</si>
  <si>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</si>
  <si>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</si>
  <si>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</si>
  <si>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</si>
  <si>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</si>
  <si>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</si>
  <si>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including deliberate vents) at 4 Pa is about 0.003m2/m2attic floor area (or ceiling area).</t>
  </si>
  <si>
    <t>A_attic, openings</t>
  </si>
  <si>
    <t>1ft2 pr.150ft2</t>
  </si>
  <si>
    <t>A_attic, leakage (AL4)</t>
  </si>
  <si>
    <t>Note from Iain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</si>
  <si>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</si>
  <si>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</si>
  <si>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</si>
  <si>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</si>
  <si>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</si>
  <si>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</si>
  <si>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</si>
  <si>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</si>
  <si>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</si>
  <si>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</si>
  <si>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</si>
  <si>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</si>
  <si>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</si>
  <si>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</si>
  <si>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</si>
  <si>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</si>
  <si>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</si>
  <si>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Area_supply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</si>
  <si>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</si>
  <si>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</si>
  <si>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</si>
  <si>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</si>
  <si>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</si>
  <si>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</si>
  <si>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</si>
  <si>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</si>
  <si>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</si>
  <si>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</si>
  <si>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</si>
  <si>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</si>
  <si>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</si>
  <si>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</si>
  <si>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</si>
  <si>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</si>
  <si>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</si>
  <si>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</si>
  <si>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</si>
  <si>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</si>
  <si>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</si>
  <si>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</si>
  <si>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</si>
  <si>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</si>
  <si>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</si>
  <si>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</si>
  <si>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</si>
  <si>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</si>
  <si>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</si>
  <si>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</si>
  <si>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</si>
  <si>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</si>
  <si>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</si>
  <si>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</si>
  <si>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</si>
  <si>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</si>
  <si>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</si>
  <si>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</si>
  <si>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</si>
  <si>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</si>
  <si>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</si>
  <si>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</si>
  <si>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</si>
  <si>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</si>
  <si>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</si>
  <si>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Raw</t>
  </si>
  <si>
    <t>tons</t>
  </si>
  <si>
    <t>Raw(round)</t>
  </si>
  <si>
    <t>Cap. Cool</t>
  </si>
  <si>
    <t>kBtu/h</t>
  </si>
  <si>
    <t>Cap. Heat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</si>
  <si>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</si>
  <si>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</si>
  <si>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</si>
  <si>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</si>
  <si>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</si>
  <si>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</si>
  <si>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</si>
  <si>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</si>
  <si>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</si>
  <si>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</si>
  <si>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</si>
  <si>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</si>
  <si>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</si>
  <si>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Tout</t>
  </si>
  <si>
    <t xml:space="preserve"> tpredattic</t>
  </si>
  <si>
    <t xml:space="preserve"> Tpredhouse</t>
  </si>
  <si>
    <t xml:space="preserve"> tpredsup</t>
  </si>
  <si>
    <t xml:space="preserve"> tpredret</t>
  </si>
  <si>
    <t xml:space="preserve"> ahflag</t>
  </si>
  <si>
    <t xml:space="preserve"> fanpow</t>
  </si>
  <si>
    <t xml:space="preserve"> hcap</t>
  </si>
  <si>
    <t xml:space="preserve"> powercomp</t>
  </si>
  <si>
    <t xml:space="preserve"> </t>
  </si>
  <si>
    <t xml:space="preserve"> mvpow</t>
  </si>
  <si>
    <t xml:space="preserve"> HR(4) * 1000</t>
  </si>
  <si>
    <t xml:space="preserve"> qhouse</t>
  </si>
  <si>
    <t xml:space="preserve"> achhouse</t>
  </si>
  <si>
    <t xml:space="preserve"> capacityc</t>
  </si>
  <si>
    <t xml:space="preserve"> SHR</t>
  </si>
  <si>
    <t xml:space="preserve"> Mcoil</t>
  </si>
  <si>
    <t xml:space="preserve"> theat(ttime)</t>
  </si>
  <si>
    <t xml:space="preserve"> Pint</t>
  </si>
  <si>
    <t xml:space="preserve"> turnover</t>
  </si>
  <si>
    <t xml:space="preserve"> relexp</t>
  </si>
  <si>
    <t xml:space="preserve"> reldose</t>
  </si>
  <si>
    <t xml:space="preserve"> fan(1).on</t>
  </si>
  <si>
    <t xml:space="preserve"> fan(2).on</t>
  </si>
  <si>
    <t xml:space="preserve"> fan(3).on</t>
  </si>
  <si>
    <t xml:space="preserve"> fan(4).on</t>
  </si>
  <si>
    <t xml:space="preserve"> norventsum</t>
  </si>
  <si>
    <t>Fraction of leakage in wall 1 - N</t>
  </si>
  <si>
    <t>Fraction of leakage in wall 2 - S</t>
  </si>
  <si>
    <t>Fraction of leakage in wall 3 - E</t>
  </si>
  <si>
    <t>Fraction of leakage in wall 4 - W</t>
  </si>
  <si>
    <t xml:space="preserve"> HR</t>
  </si>
  <si>
    <t xml:space="preserve"> hrtot</t>
  </si>
  <si>
    <t xml:space="preserve">  _</t>
  </si>
  <si>
    <t>fan(5).on</t>
  </si>
  <si>
    <t xml:space="preserve"> fan(6).on</t>
  </si>
  <si>
    <t xml:space="preserve"> ventsum</t>
  </si>
  <si>
    <t xml:space="preserve"> rivecoff</t>
  </si>
  <si>
    <t xml:space="preserve"> achflue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</si>
  <si>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</si>
  <si>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</si>
  <si>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</si>
  <si>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</si>
  <si>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</si>
  <si>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</si>
  <si>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</si>
  <si>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planarea</t>
  </si>
  <si>
    <t>FLOORAREA</t>
  </si>
  <si>
    <t>volume</t>
  </si>
  <si>
    <t>Hfloor</t>
  </si>
  <si>
    <t>Chim(i%).Cflue</t>
  </si>
  <si>
    <t>Chim(i%).Hflue</t>
  </si>
  <si>
    <t>Chim(i%).Fluetemp</t>
  </si>
  <si>
    <t>Wallfraction(i%)</t>
  </si>
  <si>
    <t>FloorFraction(i%)</t>
  </si>
  <si>
    <t>Swrfl</t>
  </si>
  <si>
    <t>row$</t>
  </si>
  <si>
    <t>UAh</t>
  </si>
  <si>
    <t>UAc</t>
  </si>
  <si>
    <t>fan(i%).power</t>
  </si>
  <si>
    <t>fan(i%).q</t>
  </si>
  <si>
    <t>fan(i%).oper</t>
  </si>
  <si>
    <t>Nfan%</t>
  </si>
  <si>
    <t>windowWE</t>
  </si>
  <si>
    <t>windowN</t>
  </si>
  <si>
    <t>windowS</t>
  </si>
  <si>
    <t>shadcoef</t>
  </si>
  <si>
    <t>rceilh</t>
  </si>
  <si>
    <t>rceilc</t>
  </si>
  <si>
    <t>Avent(i%).wall</t>
  </si>
  <si>
    <t>Avent(i%).h</t>
  </si>
  <si>
    <t>Avent(i%).a</t>
  </si>
  <si>
    <t>Avent(i%).n</t>
  </si>
  <si>
    <t>Soffitfraction(i%)</t>
  </si>
  <si>
    <t>Soffit(i%).h</t>
  </si>
  <si>
    <t>Nafans%</t>
  </si>
  <si>
    <t>rroof</t>
  </si>
  <si>
    <t>rooftype</t>
  </si>
  <si>
    <t>location</t>
  </si>
  <si>
    <t>supthick</t>
  </si>
  <si>
    <t>retthick</t>
  </si>
  <si>
    <t>EERari</t>
  </si>
  <si>
    <t xml:space="preserve">hcapacity </t>
  </si>
  <si>
    <t>capacityraw</t>
  </si>
  <si>
    <t>capacityari</t>
  </si>
  <si>
    <t>charge</t>
  </si>
  <si>
    <t>ATTICVOL</t>
  </si>
  <si>
    <t>overhang</t>
  </si>
  <si>
    <t>h</t>
  </si>
  <si>
    <t>For a house with gables: (W_houseSI + 2 * overhang) / 2 * (D25 - H_soffitSI) * L_houseSI. For a pyramid shaped roof: 1/3*A_ceil*h</t>
  </si>
  <si>
    <t>Hpeak</t>
  </si>
  <si>
    <t>Roof peak, m</t>
  </si>
  <si>
    <t>ACH-62.2</t>
  </si>
  <si>
    <t>ACH-62.2+infil</t>
  </si>
  <si>
    <t>Make a batch file!</t>
  </si>
  <si>
    <r>
      <t>m3/sPa</t>
    </r>
    <r>
      <rPr>
        <vertAlign val="superscript"/>
        <sz val="11"/>
        <color indexed="17"/>
        <rFont val="Calibri"/>
        <family val="2"/>
      </rPr>
      <t>n</t>
    </r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</si>
  <si>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</si>
  <si>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</si>
  <si>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</si>
  <si>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</si>
  <si>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</si>
  <si>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</si>
  <si>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</si>
  <si>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</si>
  <si>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</si>
  <si>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</si>
  <si>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</si>
  <si>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</si>
  <si>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</si>
  <si>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</si>
  <si>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</si>
  <si>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</si>
  <si>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</si>
  <si>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</si>
  <si>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</si>
  <si>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</si>
  <si>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</si>
  <si>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</si>
  <si>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r>
      <t>Envelope leakage coefficient, 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</si>
  <si>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</si>
  <si>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</si>
  <si>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</si>
  <si>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</si>
  <si>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</si>
  <si>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</si>
  <si>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</si>
  <si>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</si>
  <si>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</si>
  <si>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</si>
  <si>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</si>
  <si>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</si>
  <si>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</si>
  <si>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</si>
  <si>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</si>
  <si>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</si>
  <si>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</si>
  <si>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</si>
  <si>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</si>
  <si>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</si>
  <si>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</t>
  </si>
  <si>
    <t>AFUE efficiency</t>
  </si>
  <si>
    <t>Supply leak fraction, % or decimal fraction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</si>
  <si>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</si>
  <si>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</si>
  <si>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</si>
  <si>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</si>
  <si>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</si>
  <si>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</si>
  <si>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</si>
  <si>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</si>
  <si>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</si>
  <si>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</si>
  <si>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</si>
  <si>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</si>
  <si>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</si>
  <si>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</si>
  <si>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</si>
  <si>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</si>
  <si>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</si>
  <si>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</si>
  <si>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</si>
  <si>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</si>
  <si>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</si>
  <si>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</si>
  <si>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</si>
  <si>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</si>
  <si>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</si>
  <si>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</si>
  <si>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</si>
  <si>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</si>
  <si>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</si>
  <si>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</si>
  <si>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</si>
  <si>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</si>
  <si>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</si>
  <si>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</si>
  <si>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</si>
  <si>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</si>
  <si>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</si>
  <si>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</si>
  <si>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</si>
  <si>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</si>
  <si>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</si>
  <si>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</si>
  <si>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</si>
  <si>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</si>
  <si>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</si>
  <si>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</si>
  <si>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</si>
  <si>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</si>
  <si>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</si>
  <si>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</si>
  <si>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</si>
  <si>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</si>
  <si>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Heating house UA W/K</t>
  </si>
  <si>
    <t>Cooling house UA W/K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</si>
  <si>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</si>
  <si>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</si>
  <si>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</si>
  <si>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</si>
  <si>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</si>
  <si>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</si>
  <si>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</si>
  <si>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</si>
  <si>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</si>
  <si>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check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</si>
  <si>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</si>
  <si>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</si>
  <si>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</si>
  <si>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</si>
  <si>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</si>
  <si>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</si>
  <si>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</si>
  <si>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</si>
  <si>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</si>
  <si>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</si>
  <si>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</si>
  <si>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</si>
  <si>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</si>
  <si>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BATHROOMS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</si>
  <si>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</si>
  <si>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</si>
  <si>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</si>
  <si>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</si>
  <si>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</si>
  <si>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</si>
  <si>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 xml:space="preserve">CZ 1: Arcata </t>
  </si>
  <si>
    <t xml:space="preserve"> CZ 2: Santa Rosa </t>
  </si>
  <si>
    <t xml:space="preserve"> CZ 3: Oakland </t>
  </si>
  <si>
    <t xml:space="preserve"> CZ 4: Sunnyvale </t>
  </si>
  <si>
    <t xml:space="preserve"> CZ 5: Santa Maria </t>
  </si>
  <si>
    <t xml:space="preserve"> CZ 6: Los Angeles</t>
  </si>
  <si>
    <t xml:space="preserve"> CZ 7: San Diego</t>
  </si>
  <si>
    <t xml:space="preserve"> CZ 8: El Toro </t>
  </si>
  <si>
    <t xml:space="preserve"> CZ 9: Pasadena</t>
  </si>
  <si>
    <t xml:space="preserve"> CZ10: Riverside</t>
  </si>
  <si>
    <t xml:space="preserve"> CZ11: Red Bluff</t>
  </si>
  <si>
    <t xml:space="preserve"> CZ12: Sacramento</t>
  </si>
  <si>
    <t xml:space="preserve"> CZ13: Fresno</t>
  </si>
  <si>
    <t xml:space="preserve"> CZ14: China Lake</t>
  </si>
  <si>
    <t xml:space="preserve"> CZ15: El Centro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</si>
  <si>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</si>
  <si>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</si>
  <si>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</si>
  <si>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</si>
  <si>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</si>
  <si>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</si>
  <si>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</si>
  <si>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Number of Bedrooms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</si>
  <si>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</si>
  <si>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</si>
  <si>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</si>
  <si>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</si>
  <si>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</si>
  <si>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</si>
  <si>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</si>
  <si>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</si>
  <si>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</si>
  <si>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</si>
  <si>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</si>
  <si>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</si>
  <si>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</si>
  <si>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</si>
  <si>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</si>
  <si>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</si>
  <si>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</si>
  <si>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</si>
  <si>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</si>
  <si>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</si>
  <si>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</si>
  <si>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</si>
  <si>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</si>
  <si>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</si>
  <si>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</si>
  <si>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</si>
  <si>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</si>
  <si>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</si>
  <si>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</si>
  <si>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</si>
  <si>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</si>
  <si>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</si>
  <si>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</si>
  <si>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</si>
  <si>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</si>
  <si>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</si>
  <si>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</si>
  <si>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</si>
  <si>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</si>
  <si>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</si>
  <si>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</si>
  <si>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</si>
  <si>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</si>
  <si>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</si>
  <si>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</si>
  <si>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</si>
  <si>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</si>
  <si>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</si>
  <si>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</si>
  <si>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</si>
  <si>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</si>
  <si>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</si>
  <si>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</si>
  <si>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</si>
  <si>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</si>
  <si>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</si>
  <si>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r>
      <t>m</t>
    </r>
    <r>
      <rPr>
        <vertAlign val="superscript"/>
        <sz val="11"/>
        <color rgb="FF006100"/>
        <rFont val="Calibri"/>
        <family val="2"/>
        <scheme val="minor"/>
      </rPr>
      <t>3</t>
    </r>
    <r>
      <rPr>
        <sz val="11"/>
        <color rgb="FF006100"/>
        <rFont val="Calibri"/>
        <family val="2"/>
        <scheme val="minor"/>
      </rPr>
      <t>/sPa</t>
    </r>
    <r>
      <rPr>
        <vertAlign val="superscript"/>
        <sz val="11"/>
        <color rgb="FF006100"/>
        <rFont val="Calibri"/>
        <family val="2"/>
        <scheme val="minor"/>
      </rPr>
      <t>n</t>
    </r>
  </si>
  <si>
    <t>ACM, p. 3-59</t>
  </si>
  <si>
    <t>Name</t>
  </si>
  <si>
    <t>CZ</t>
  </si>
  <si>
    <t>kBtuh</t>
  </si>
  <si>
    <t>kW/100m2</t>
  </si>
  <si>
    <t>kBtuh/1000 sq ft</t>
  </si>
  <si>
    <t>CFA</t>
  </si>
  <si>
    <t>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</si>
  <si>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</si>
  <si>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</si>
  <si>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</si>
  <si>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</si>
  <si>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</si>
  <si>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</si>
  <si>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</si>
  <si>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</si>
  <si>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</si>
  <si>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bat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</si>
  <si>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</si>
  <si>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</si>
  <si>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</si>
  <si>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</si>
  <si>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</si>
  <si>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</si>
  <si>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</si>
  <si>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</si>
  <si>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</si>
  <si>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</si>
  <si>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</si>
  <si>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</si>
  <si>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</si>
  <si>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</si>
  <si>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</si>
  <si>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</si>
  <si>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</si>
  <si>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</si>
  <si>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</si>
  <si>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</si>
  <si>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bathroomSchedule</t>
  </si>
  <si>
    <t>Dynamic bathroom schedule (1 = small, 2 = med, 3 = large)</t>
  </si>
  <si>
    <t>BEDROOMS</t>
  </si>
  <si>
    <t>Nbedrooms</t>
  </si>
  <si>
    <t>Number of bedrooms in the building</t>
  </si>
  <si>
    <t>STOREYS</t>
  </si>
  <si>
    <t>WEATHER</t>
  </si>
  <si>
    <t>weatherFactor</t>
  </si>
  <si>
    <t>Infiltration Weather Factor</t>
  </si>
  <si>
    <t xml:space="preserve"> CZ16: Mount Shasta/Blue Canyon</t>
  </si>
  <si>
    <t>fan 7 power, W (bathroom 3)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</si>
  <si>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</si>
  <si>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</si>
  <si>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</si>
  <si>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</si>
  <si>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</si>
  <si>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</si>
  <si>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</si>
  <si>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</si>
  <si>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</si>
  <si>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</si>
  <si>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</si>
  <si>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</si>
  <si>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</si>
  <si>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</si>
  <si>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</si>
  <si>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</si>
  <si>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</si>
  <si>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</si>
  <si>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</si>
  <si>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</si>
  <si>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</si>
  <si>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</si>
  <si>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</si>
  <si>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</si>
  <si>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</si>
  <si>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</si>
  <si>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</si>
  <si>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</si>
  <si>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</si>
  <si>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</si>
  <si>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</si>
  <si>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</si>
  <si>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</si>
  <si>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</si>
  <si>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</si>
  <si>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</si>
  <si>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</si>
  <si>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</si>
  <si>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</si>
  <si>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</si>
  <si>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</si>
  <si>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</si>
  <si>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</si>
  <si>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</si>
  <si>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</si>
  <si>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</si>
  <si>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</si>
  <si>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</si>
  <si>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</si>
  <si>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</si>
  <si>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</si>
  <si>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</si>
  <si>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</si>
  <si>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</si>
  <si>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</si>
  <si>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</si>
  <si>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</si>
  <si>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</si>
  <si>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</si>
  <si>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</si>
  <si>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</si>
  <si>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</si>
  <si>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</si>
  <si>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</si>
  <si>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Nstory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</si>
  <si>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</si>
  <si>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</si>
  <si>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</si>
  <si>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</si>
  <si>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</si>
  <si>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</si>
  <si>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</si>
  <si>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</si>
  <si>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</si>
  <si>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</si>
  <si>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</si>
  <si>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</si>
  <si>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</si>
  <si>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</si>
  <si>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</si>
  <si>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</si>
  <si>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</si>
  <si>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</si>
  <si>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</si>
  <si>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</si>
  <si>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</si>
  <si>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</si>
  <si>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</si>
  <si>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</si>
  <si>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</si>
  <si>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</si>
  <si>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</si>
  <si>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</si>
  <si>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</si>
  <si>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</si>
  <si>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</si>
  <si>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</si>
  <si>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</si>
  <si>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</si>
  <si>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</si>
  <si>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</si>
  <si>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</si>
  <si>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</si>
  <si>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</si>
  <si>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</si>
  <si>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</si>
  <si>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</si>
  <si>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</si>
  <si>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</si>
  <si>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</si>
  <si>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</si>
  <si>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</si>
  <si>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</si>
  <si>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</si>
  <si>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</si>
  <si>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</si>
  <si>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</si>
  <si>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</si>
  <si>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</si>
  <si>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</si>
  <si>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</si>
  <si>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</si>
  <si>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</si>
  <si>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</si>
  <si>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</si>
  <si>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</si>
  <si>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</si>
  <si>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</si>
  <si>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</si>
  <si>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</si>
  <si>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</si>
  <si>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</si>
  <si>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</si>
  <si>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</si>
  <si>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</si>
  <si>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</si>
  <si>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</si>
  <si>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</si>
  <si>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</si>
  <si>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</si>
  <si>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</si>
  <si>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</si>
  <si>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</si>
  <si>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These are pulling from CZ 2B, for whatever reason</t>
  </si>
  <si>
    <t>Not clear why these are pulling from the CZ they are pulling from…</t>
  </si>
  <si>
    <t>Green cells vary by CZ</t>
  </si>
  <si>
    <t>DOE/IECC CZ</t>
  </si>
  <si>
    <t>????????????????????????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</si>
  <si>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</si>
  <si>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</si>
  <si>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</si>
  <si>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</si>
  <si>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</si>
  <si>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</si>
  <si>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</si>
  <si>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</si>
  <si>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</si>
  <si>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</si>
  <si>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</si>
  <si>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</si>
  <si>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</si>
  <si>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</si>
  <si>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</si>
  <si>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</si>
  <si>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</si>
  <si>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</si>
  <si>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</si>
  <si>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</si>
  <si>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</si>
  <si>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</si>
  <si>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</si>
  <si>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</si>
  <si>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</si>
  <si>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</si>
  <si>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</si>
  <si>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</si>
  <si>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</si>
  <si>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</si>
  <si>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</si>
  <si>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</si>
  <si>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These are pulling from CZ 2B, for whatever reason…seems fine in the input matrix on the right..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</si>
  <si>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</si>
  <si>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</si>
  <si>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</si>
  <si>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</si>
  <si>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</si>
  <si>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</si>
  <si>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</si>
  <si>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</si>
  <si>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</si>
  <si>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</si>
  <si>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</si>
  <si>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</si>
  <si>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</si>
  <si>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</si>
  <si>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</si>
  <si>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</si>
  <si>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</si>
  <si>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</si>
  <si>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</si>
  <si>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</si>
  <si>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</si>
  <si>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</si>
  <si>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</si>
  <si>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</si>
  <si>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</si>
  <si>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</si>
  <si>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</si>
  <si>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</si>
  <si>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</si>
  <si>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</si>
  <si>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</si>
  <si>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I don't understand these, need clarification.</t>
  </si>
  <si>
    <t>Fan power is estimated using the average Watts per l/s of the Panasonic fans in the exisitng list above (0.4361 W/l/s)</t>
  </si>
  <si>
    <t>Fan Power (w)</t>
  </si>
  <si>
    <t>Toggle this between 1 and 28, the latter for implimenting ventcutoff control</t>
  </si>
  <si>
    <t>Need to adjust flow rates by CZ and ACH50</t>
  </si>
  <si>
    <t>Vary this between the stack-only and wind+stack for each ACH50 level</t>
  </si>
  <si>
    <t>Need to change the file extension based on ACH50 and fan control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</si>
  <si>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</si>
  <si>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</si>
  <si>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</si>
  <si>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</si>
  <si>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</si>
  <si>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Infiltration</t>
  </si>
  <si>
    <t>Percentile</t>
  </si>
  <si>
    <t>5C</t>
  </si>
  <si>
    <t>10ACH</t>
  </si>
  <si>
    <t>New</t>
  </si>
  <si>
    <t>Crawlspace</t>
  </si>
  <si>
    <t>Existing</t>
  </si>
  <si>
    <t>7ACH</t>
  </si>
  <si>
    <t>5ACH</t>
  </si>
  <si>
    <t>3ACH</t>
  </si>
  <si>
    <t>1.5ACH</t>
  </si>
  <si>
    <t>0.6ACH</t>
  </si>
  <si>
    <t>new</t>
  </si>
  <si>
    <t>existing</t>
  </si>
  <si>
    <t>RunCode</t>
  </si>
  <si>
    <t>Fan Size (m3/s)</t>
  </si>
  <si>
    <t>Case</t>
  </si>
  <si>
    <t>622FanSize</t>
  </si>
  <si>
    <t>BaseAER</t>
  </si>
  <si>
    <t>BaseExp</t>
  </si>
  <si>
    <t>T1Savings</t>
  </si>
  <si>
    <t>T1AER</t>
  </si>
  <si>
    <t>T1Exp</t>
  </si>
  <si>
    <t>T1FanSize</t>
  </si>
  <si>
    <t>T1bAER</t>
  </si>
  <si>
    <t>T1bExp</t>
  </si>
  <si>
    <t>T1bSavings</t>
  </si>
  <si>
    <t>T2Savings</t>
  </si>
  <si>
    <t>T2AER</t>
  </si>
  <si>
    <t>T2Exp</t>
  </si>
  <si>
    <t>T2bFanSize</t>
  </si>
  <si>
    <t>T2bAER</t>
  </si>
  <si>
    <t>T2bExp</t>
  </si>
  <si>
    <t>T2bSavings</t>
  </si>
  <si>
    <t>BaseAERQuad</t>
  </si>
  <si>
    <t>BaseExpQuad</t>
  </si>
  <si>
    <t>T1SavingsQuad</t>
  </si>
  <si>
    <t>T1AERQuad</t>
  </si>
  <si>
    <t>T1ExpQuad</t>
  </si>
  <si>
    <t>T1FanSizeQuad</t>
  </si>
  <si>
    <t>T1bAERQuad</t>
  </si>
  <si>
    <t>T1bExpQuad</t>
  </si>
  <si>
    <t>T1bSavingsQuad</t>
  </si>
  <si>
    <t>T2SavingsQuad</t>
  </si>
  <si>
    <t>T2AERQuad</t>
  </si>
  <si>
    <t>T2ExpQuad</t>
  </si>
  <si>
    <t>T2bFanSizeQuad</t>
  </si>
  <si>
    <t>T2bAERQuad</t>
  </si>
  <si>
    <t>T2bExpQuad</t>
  </si>
  <si>
    <t>T2bSavingsQuad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</si>
  <si>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</si>
  <si>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</si>
  <si>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</si>
  <si>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</si>
  <si>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</si>
  <si>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</si>
  <si>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</si>
  <si>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</si>
  <si>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</si>
  <si>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</si>
  <si>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</si>
  <si>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</si>
  <si>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</si>
  <si>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</si>
  <si>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</si>
  <si>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</si>
  <si>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</si>
  <si>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</si>
  <si>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</si>
  <si>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</si>
  <si>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</si>
  <si>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</si>
  <si>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</si>
  <si>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</si>
  <si>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</si>
  <si>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</si>
  <si>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</si>
  <si>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Cooling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</si>
  <si>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</si>
  <si>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</si>
  <si>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</si>
  <si>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</si>
  <si>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</si>
  <si>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</si>
  <si>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</si>
  <si>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</si>
  <si>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</si>
  <si>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</si>
  <si>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</si>
  <si>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Base</t>
  </si>
  <si>
    <t>rivecFlagInd</t>
  </si>
  <si>
    <t>HumContType</t>
  </si>
  <si>
    <t>wCutoff</t>
  </si>
  <si>
    <t>Indicator variable that instructs fan codes 13 and 17 to use rivec controls</t>
  </si>
  <si>
    <t>Various types of humidity control strateges embedded within RIVEC, 1, 2, …n</t>
  </si>
  <si>
    <t>Humidity Ratio cut-off, based on annual percentile (i.e., 90th or 80th)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</si>
  <si>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</si>
  <si>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</si>
  <si>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</si>
  <si>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</si>
  <si>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</si>
  <si>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</si>
  <si>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</si>
  <si>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</si>
  <si>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</si>
  <si>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</si>
  <si>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Maximum indoor - outdoor humidity ratio diffrence, wIN &lt; wOUT</t>
  </si>
  <si>
    <t>Maximum indoor - outdoor humidity ratio diffrence, wIN &gt; wOUT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</si>
  <si>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</si>
  <si>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</si>
  <si>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</si>
  <si>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</si>
  <si>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</si>
  <si>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</si>
  <si>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</si>
  <si>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</si>
  <si>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</si>
  <si>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</si>
  <si>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</si>
  <si>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</si>
  <si>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</si>
  <si>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</si>
  <si>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</si>
  <si>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</si>
  <si>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W25_1</t>
  </si>
  <si>
    <t>W25_2</t>
  </si>
  <si>
    <t>W25_3</t>
  </si>
  <si>
    <t>W25_4</t>
  </si>
  <si>
    <t>W25_5</t>
  </si>
  <si>
    <t>W25_6</t>
  </si>
  <si>
    <t>W25_7</t>
  </si>
  <si>
    <t>W25_8</t>
  </si>
  <si>
    <t>W25_9</t>
  </si>
  <si>
    <t>W25_10</t>
  </si>
  <si>
    <t>W25_11</t>
  </si>
  <si>
    <t>W25_12</t>
  </si>
  <si>
    <t>W75_1</t>
  </si>
  <si>
    <t>W75_2</t>
  </si>
  <si>
    <t>W75_3</t>
  </si>
  <si>
    <t>W75_4</t>
  </si>
  <si>
    <t>W75_5</t>
  </si>
  <si>
    <t>W75_6</t>
  </si>
  <si>
    <t>W75_7</t>
  </si>
  <si>
    <t>W75_8</t>
  </si>
  <si>
    <t>W75_9</t>
  </si>
  <si>
    <t>W75_10</t>
  </si>
  <si>
    <t>W75_11</t>
  </si>
  <si>
    <t>W75_12</t>
  </si>
  <si>
    <t>25th percentile outdoor W value for January…Dec</t>
  </si>
  <si>
    <t>75th percentile outdoor  W value for January …Dec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</si>
  <si>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</si>
  <si>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</si>
  <si>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</si>
  <si>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</si>
  <si>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</si>
  <si>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</si>
  <si>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</si>
  <si>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</si>
  <si>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</si>
  <si>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</si>
  <si>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</si>
  <si>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</si>
  <si>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</si>
  <si>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</si>
  <si>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</si>
  <si>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THIS VALUE CURRENTLY DOES NOT USE B5 OR D5 CALCULATIONS.</t>
  </si>
</sst>
</file>

<file path=xl/styles.xml><?xml version="1.0" encoding="utf-8"?>
<styleSheet xmlns="http://schemas.openxmlformats.org/spreadsheetml/2006/main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.#"/>
    <numFmt numFmtId="169" formatCode="#,##0.0000000"/>
    <numFmt numFmtId="170" formatCode="#,##0.0"/>
    <numFmt numFmtId="171" formatCode="0.000000"/>
  </numFmts>
  <fonts count="59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8"/>
      <name val="Calibri"/>
      <family val="2"/>
      <scheme val="minor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indexed="17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u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b/>
      <sz val="14"/>
      <color indexed="8"/>
      <name val="Calibri"/>
      <family val="2"/>
    </font>
    <font>
      <sz val="14"/>
      <color indexed="8"/>
      <name val="Calibri"/>
      <family val="2"/>
    </font>
    <font>
      <sz val="11"/>
      <color rgb="FFFF0000"/>
      <name val="Calibri"/>
      <family val="2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7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5" fillId="0" borderId="0"/>
    <xf numFmtId="0" fontId="9" fillId="6" borderId="0"/>
    <xf numFmtId="0" fontId="10" fillId="0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5" fillId="18" borderId="0"/>
    <xf numFmtId="0" fontId="11" fillId="19" borderId="0"/>
    <xf numFmtId="0" fontId="11" fillId="20" borderId="0"/>
    <xf numFmtId="0" fontId="11" fillId="21" borderId="0"/>
    <xf numFmtId="0" fontId="11" fillId="22" borderId="0"/>
    <xf numFmtId="0" fontId="11" fillId="23" borderId="0"/>
    <xf numFmtId="0" fontId="11" fillId="24" borderId="0"/>
    <xf numFmtId="0" fontId="11" fillId="25" borderId="0"/>
    <xf numFmtId="0" fontId="11" fillId="26" borderId="0"/>
    <xf numFmtId="0" fontId="11" fillId="27" borderId="0"/>
    <xf numFmtId="0" fontId="11" fillId="28" borderId="0"/>
    <xf numFmtId="0" fontId="11" fillId="29" borderId="0"/>
    <xf numFmtId="0" fontId="11" fillId="30" borderId="0"/>
    <xf numFmtId="0" fontId="12" fillId="31" borderId="0"/>
    <xf numFmtId="0" fontId="13" fillId="32" borderId="3"/>
    <xf numFmtId="0" fontId="14" fillId="33" borderId="4"/>
    <xf numFmtId="0" fontId="15" fillId="0" borderId="0"/>
    <xf numFmtId="0" fontId="16" fillId="0" borderId="5"/>
    <xf numFmtId="0" fontId="17" fillId="0" borderId="6"/>
    <xf numFmtId="0" fontId="18" fillId="0" borderId="7"/>
    <xf numFmtId="0" fontId="18" fillId="0" borderId="0"/>
    <xf numFmtId="0" fontId="19" fillId="34" borderId="3"/>
    <xf numFmtId="0" fontId="20" fillId="0" borderId="8"/>
    <xf numFmtId="0" fontId="21" fillId="35" borderId="0"/>
    <xf numFmtId="0" fontId="5" fillId="36" borderId="9"/>
    <xf numFmtId="0" fontId="22" fillId="32" borderId="10"/>
    <xf numFmtId="0" fontId="23" fillId="0" borderId="0"/>
    <xf numFmtId="0" fontId="7" fillId="0" borderId="11"/>
    <xf numFmtId="0" fontId="24" fillId="0" borderId="0"/>
    <xf numFmtId="0" fontId="26" fillId="0" borderId="0"/>
    <xf numFmtId="9" fontId="26" fillId="0" borderId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9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</cellStyleXfs>
  <cellXfs count="457">
    <xf numFmtId="0" fontId="0" fillId="0" borderId="0" xfId="0"/>
    <xf numFmtId="0" fontId="5" fillId="0" borderId="0" xfId="5" applyFont="1"/>
    <xf numFmtId="0" fontId="5" fillId="0" borderId="0" xfId="5" applyAlignment="1">
      <alignment horizontal="center"/>
    </xf>
    <xf numFmtId="0" fontId="6" fillId="0" borderId="0" xfId="5" applyFont="1"/>
    <xf numFmtId="0" fontId="7" fillId="0" borderId="0" xfId="5" applyFont="1"/>
    <xf numFmtId="0" fontId="8" fillId="0" borderId="0" xfId="5" applyFont="1"/>
    <xf numFmtId="0" fontId="5" fillId="0" borderId="0" xfId="5"/>
    <xf numFmtId="164" fontId="9" fillId="6" borderId="0" xfId="6" applyNumberFormat="1" applyBorder="1" applyAlignment="1" applyProtection="1">
      <alignment horizontal="right"/>
    </xf>
    <xf numFmtId="0" fontId="10" fillId="0" borderId="0" xfId="7" applyNumberFormat="1" applyFont="1" applyFill="1" applyBorder="1" applyAlignment="1" applyProtection="1"/>
    <xf numFmtId="164" fontId="5" fillId="0" borderId="0" xfId="5" applyNumberFormat="1" applyAlignment="1">
      <alignment horizontal="right"/>
    </xf>
    <xf numFmtId="0" fontId="9" fillId="6" borderId="0" xfId="6" applyNumberFormat="1" applyBorder="1" applyAlignment="1" applyProtection="1">
      <alignment horizontal="right"/>
    </xf>
    <xf numFmtId="165" fontId="9" fillId="6" borderId="0" xfId="6" applyNumberFormat="1" applyBorder="1" applyAlignment="1" applyProtection="1">
      <alignment horizontal="right"/>
    </xf>
    <xf numFmtId="2" fontId="9" fillId="6" borderId="0" xfId="6" applyNumberFormat="1" applyBorder="1" applyAlignment="1" applyProtection="1">
      <alignment horizontal="right"/>
    </xf>
    <xf numFmtId="1" fontId="9" fillId="6" borderId="0" xfId="6" applyNumberFormat="1" applyBorder="1" applyAlignment="1" applyProtection="1">
      <alignment horizontal="right"/>
    </xf>
    <xf numFmtId="0" fontId="5" fillId="0" borderId="0" xfId="5" applyFont="1" applyAlignment="1">
      <alignment horizontal="center"/>
    </xf>
    <xf numFmtId="166" fontId="5" fillId="0" borderId="0" xfId="5" applyNumberFormat="1" applyAlignment="1">
      <alignment horizontal="right"/>
    </xf>
    <xf numFmtId="166" fontId="9" fillId="6" borderId="0" xfId="6" applyNumberFormat="1" applyBorder="1" applyAlignment="1" applyProtection="1">
      <alignment horizontal="right"/>
    </xf>
    <xf numFmtId="1" fontId="3" fillId="4" borderId="0" xfId="3" applyNumberFormat="1" applyAlignment="1">
      <alignment horizontal="right"/>
    </xf>
    <xf numFmtId="0" fontId="5" fillId="0" borderId="2" xfId="5" applyFont="1" applyBorder="1"/>
    <xf numFmtId="166" fontId="3" fillId="4" borderId="0" xfId="3" applyNumberFormat="1" applyAlignment="1">
      <alignment horizontal="right"/>
    </xf>
    <xf numFmtId="167" fontId="9" fillId="6" borderId="0" xfId="6" applyNumberFormat="1" applyBorder="1" applyAlignment="1" applyProtection="1">
      <alignment horizontal="right"/>
    </xf>
    <xf numFmtId="0" fontId="2" fillId="3" borderId="0" xfId="2"/>
    <xf numFmtId="20" fontId="5" fillId="0" borderId="0" xfId="5" applyNumberFormat="1" applyFont="1"/>
    <xf numFmtId="2" fontId="3" fillId="4" borderId="0" xfId="3" applyNumberFormat="1" applyAlignment="1">
      <alignment horizontal="right"/>
    </xf>
    <xf numFmtId="164" fontId="3" fillId="4" borderId="0" xfId="3" applyNumberFormat="1" applyAlignment="1">
      <alignment horizontal="right"/>
    </xf>
    <xf numFmtId="0" fontId="5" fillId="0" borderId="0" xfId="5" applyAlignment="1">
      <alignment horizontal="right"/>
    </xf>
    <xf numFmtId="0" fontId="25" fillId="0" borderId="0" xfId="5" applyFont="1"/>
    <xf numFmtId="166" fontId="5" fillId="0" borderId="0" xfId="5" applyNumberFormat="1"/>
    <xf numFmtId="1" fontId="5" fillId="0" borderId="0" xfId="5" applyNumberFormat="1"/>
    <xf numFmtId="2" fontId="5" fillId="0" borderId="0" xfId="5" applyNumberFormat="1"/>
    <xf numFmtId="166" fontId="5" fillId="0" borderId="0" xfId="5" applyNumberFormat="1" applyFont="1"/>
    <xf numFmtId="164" fontId="5" fillId="0" borderId="0" xfId="5" applyNumberFormat="1" applyFont="1"/>
    <xf numFmtId="0" fontId="5" fillId="0" borderId="0" xfId="5" applyFont="1" applyBorder="1"/>
    <xf numFmtId="0" fontId="27" fillId="0" borderId="0" xfId="48" applyFont="1"/>
    <xf numFmtId="165" fontId="5" fillId="0" borderId="0" xfId="5" applyNumberFormat="1" applyFont="1"/>
    <xf numFmtId="0" fontId="28" fillId="0" borderId="0" xfId="5" applyFont="1"/>
    <xf numFmtId="0" fontId="5" fillId="0" borderId="12" xfId="5" applyFont="1" applyBorder="1"/>
    <xf numFmtId="2" fontId="5" fillId="0" borderId="0" xfId="5" applyNumberFormat="1" applyFont="1"/>
    <xf numFmtId="164" fontId="27" fillId="0" borderId="0" xfId="48" applyNumberFormat="1" applyFont="1"/>
    <xf numFmtId="9" fontId="26" fillId="0" borderId="0" xfId="49" applyFont="1"/>
    <xf numFmtId="0" fontId="15" fillId="0" borderId="0" xfId="35" applyNumberFormat="1" applyFont="1" applyFill="1" applyBorder="1" applyAlignment="1" applyProtection="1"/>
    <xf numFmtId="164" fontId="5" fillId="0" borderId="0" xfId="5" applyNumberFormat="1"/>
    <xf numFmtId="165" fontId="5" fillId="0" borderId="0" xfId="5" applyNumberFormat="1"/>
    <xf numFmtId="0" fontId="9" fillId="6" borderId="0" xfId="6" applyNumberFormat="1" applyBorder="1" applyAlignment="1" applyProtection="1"/>
    <xf numFmtId="165" fontId="9" fillId="6" borderId="0" xfId="6" applyNumberFormat="1" applyBorder="1" applyAlignment="1" applyProtection="1"/>
    <xf numFmtId="0" fontId="26" fillId="0" borderId="0" xfId="48"/>
    <xf numFmtId="0" fontId="28" fillId="0" borderId="0" xfId="5" applyFont="1" applyAlignment="1">
      <alignment horizontal="left"/>
    </xf>
    <xf numFmtId="0" fontId="28" fillId="0" borderId="0" xfId="5" applyFont="1" applyAlignment="1">
      <alignment horizontal="center"/>
    </xf>
    <xf numFmtId="0" fontId="5" fillId="0" borderId="0" xfId="5" applyAlignment="1"/>
    <xf numFmtId="2" fontId="5" fillId="0" borderId="0" xfId="5" applyNumberFormat="1" applyAlignment="1"/>
    <xf numFmtId="1" fontId="5" fillId="0" borderId="0" xfId="5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9" fillId="0" borderId="0" xfId="50" applyAlignment="1" applyProtection="1"/>
    <xf numFmtId="0" fontId="5" fillId="0" borderId="0" xfId="5" applyNumberFormat="1" applyAlignment="1">
      <alignment horizontal="center"/>
    </xf>
    <xf numFmtId="2" fontId="5" fillId="0" borderId="0" xfId="5" applyNumberFormat="1" applyAlignment="1">
      <alignment horizontal="center"/>
    </xf>
    <xf numFmtId="166" fontId="5" fillId="0" borderId="0" xfId="5" applyNumberFormat="1" applyAlignment="1">
      <alignment horizontal="center"/>
    </xf>
    <xf numFmtId="2" fontId="5" fillId="0" borderId="0" xfId="5" applyNumberFormat="1" applyFont="1" applyAlignment="1">
      <alignment horizontal="center"/>
    </xf>
    <xf numFmtId="0" fontId="25" fillId="0" borderId="0" xfId="5" applyFont="1" applyAlignment="1">
      <alignment horizontal="center"/>
    </xf>
    <xf numFmtId="0" fontId="9" fillId="6" borderId="0" xfId="6" applyNumberFormat="1" applyBorder="1" applyAlignment="1" applyProtection="1">
      <alignment horizontal="center"/>
    </xf>
    <xf numFmtId="9" fontId="9" fillId="6" borderId="0" xfId="6" applyNumberFormat="1" applyBorder="1" applyAlignment="1" applyProtection="1">
      <alignment horizontal="center"/>
    </xf>
    <xf numFmtId="166" fontId="9" fillId="6" borderId="0" xfId="6" applyNumberFormat="1" applyBorder="1" applyAlignment="1" applyProtection="1">
      <alignment horizontal="center"/>
    </xf>
    <xf numFmtId="166" fontId="5" fillId="0" borderId="0" xfId="5" applyNumberFormat="1" applyFont="1" applyAlignment="1">
      <alignment horizontal="center"/>
    </xf>
    <xf numFmtId="0" fontId="5" fillId="0" borderId="2" xfId="5" applyFont="1" applyBorder="1" applyAlignment="1">
      <alignment horizontal="center"/>
    </xf>
    <xf numFmtId="0" fontId="5" fillId="0" borderId="0" xfId="5" applyFont="1" applyBorder="1" applyAlignment="1">
      <alignment horizontal="center"/>
    </xf>
    <xf numFmtId="0" fontId="5" fillId="0" borderId="0" xfId="5" applyFont="1" applyFill="1" applyBorder="1" applyAlignment="1">
      <alignment horizontal="center"/>
    </xf>
    <xf numFmtId="0" fontId="15" fillId="0" borderId="2" xfId="35" applyNumberFormat="1" applyFill="1" applyBorder="1" applyAlignment="1" applyProtection="1">
      <alignment horizontal="center"/>
    </xf>
    <xf numFmtId="0" fontId="15" fillId="0" borderId="0" xfId="35" applyNumberFormat="1" applyFill="1" applyBorder="1" applyAlignment="1" applyProtection="1">
      <alignment horizontal="center"/>
    </xf>
    <xf numFmtId="166" fontId="5" fillId="0" borderId="2" xfId="5" applyNumberFormat="1" applyFont="1" applyBorder="1" applyAlignment="1">
      <alignment horizontal="center"/>
    </xf>
    <xf numFmtId="0" fontId="5" fillId="0" borderId="2" xfId="5" applyBorder="1" applyAlignment="1">
      <alignment horizontal="center"/>
    </xf>
    <xf numFmtId="0" fontId="5" fillId="0" borderId="0" xfId="5" applyFont="1" applyAlignment="1">
      <alignment horizontal="left"/>
    </xf>
    <xf numFmtId="0" fontId="1" fillId="2" borderId="0" xfId="1"/>
    <xf numFmtId="166" fontId="1" fillId="2" borderId="0" xfId="1" applyNumberFormat="1"/>
    <xf numFmtId="9" fontId="5" fillId="0" borderId="0" xfId="5" applyNumberFormat="1"/>
    <xf numFmtId="0" fontId="5" fillId="0" borderId="0" xfId="5" applyFill="1"/>
    <xf numFmtId="167" fontId="5" fillId="0" borderId="0" xfId="5" applyNumberFormat="1" applyFill="1"/>
    <xf numFmtId="2" fontId="5" fillId="0" borderId="0" xfId="5" applyNumberFormat="1" applyFill="1"/>
    <xf numFmtId="164" fontId="5" fillId="0" borderId="0" xfId="5" applyNumberFormat="1" applyFill="1"/>
    <xf numFmtId="1" fontId="5" fillId="0" borderId="0" xfId="5" applyNumberFormat="1" applyFill="1"/>
    <xf numFmtId="1" fontId="1" fillId="2" borderId="0" xfId="1" applyNumberFormat="1"/>
    <xf numFmtId="0" fontId="31" fillId="0" borderId="0" xfId="48" applyFont="1"/>
    <xf numFmtId="165" fontId="1" fillId="2" borderId="0" xfId="1" applyNumberFormat="1"/>
    <xf numFmtId="0" fontId="32" fillId="0" borderId="0" xfId="48" applyFont="1"/>
    <xf numFmtId="0" fontId="7" fillId="0" borderId="0" xfId="5" applyFont="1" applyAlignment="1">
      <alignment horizontal="left"/>
    </xf>
    <xf numFmtId="9" fontId="5" fillId="0" borderId="0" xfId="51" applyFont="1"/>
    <xf numFmtId="0" fontId="29" fillId="0" borderId="0" xfId="50" applyNumberFormat="1" applyFill="1" applyBorder="1" applyAlignment="1" applyProtection="1"/>
    <xf numFmtId="0" fontId="0" fillId="0" borderId="0" xfId="0" applyAlignment="1">
      <alignment horizontal="left"/>
    </xf>
    <xf numFmtId="0" fontId="34" fillId="0" borderId="0" xfId="0" applyFont="1" applyAlignment="1">
      <alignment horizontal="left"/>
    </xf>
    <xf numFmtId="0" fontId="5" fillId="38" borderId="0" xfId="5" applyFill="1"/>
    <xf numFmtId="0" fontId="5" fillId="38" borderId="0" xfId="5" applyFont="1" applyFill="1"/>
    <xf numFmtId="0" fontId="5" fillId="0" borderId="0" xfId="5" applyFont="1" applyFill="1"/>
    <xf numFmtId="164" fontId="5" fillId="38" borderId="0" xfId="5" applyNumberFormat="1" applyFont="1" applyFill="1"/>
    <xf numFmtId="0" fontId="7" fillId="38" borderId="0" xfId="5" applyFont="1" applyFill="1"/>
    <xf numFmtId="0" fontId="25" fillId="38" borderId="0" xfId="5" applyFont="1" applyFill="1"/>
    <xf numFmtId="0" fontId="5" fillId="40" borderId="0" xfId="5" applyFont="1" applyFill="1"/>
    <xf numFmtId="1" fontId="5" fillId="40" borderId="0" xfId="5" applyNumberFormat="1" applyFont="1" applyFill="1"/>
    <xf numFmtId="164" fontId="5" fillId="40" borderId="0" xfId="5" applyNumberFormat="1" applyFont="1" applyFill="1"/>
    <xf numFmtId="0" fontId="5" fillId="40" borderId="0" xfId="5" quotePrefix="1" applyFont="1" applyFill="1"/>
    <xf numFmtId="166" fontId="5" fillId="40" borderId="0" xfId="5" applyNumberFormat="1" applyFont="1" applyFill="1"/>
    <xf numFmtId="0" fontId="28" fillId="0" borderId="13" xfId="5" applyFont="1" applyBorder="1" applyAlignment="1"/>
    <xf numFmtId="0" fontId="28" fillId="0" borderId="13" xfId="5" applyFont="1" applyBorder="1" applyAlignment="1">
      <alignment horizontal="center"/>
    </xf>
    <xf numFmtId="0" fontId="28" fillId="0" borderId="15" xfId="5" applyFont="1" applyBorder="1" applyAlignment="1">
      <alignment horizontal="center"/>
    </xf>
    <xf numFmtId="0" fontId="5" fillId="0" borderId="14" xfId="5" applyBorder="1" applyAlignment="1">
      <alignment horizontal="center"/>
    </xf>
    <xf numFmtId="0" fontId="5" fillId="0" borderId="14" xfId="5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5" fillId="0" borderId="0" xfId="5" applyBorder="1"/>
    <xf numFmtId="166" fontId="5" fillId="0" borderId="14" xfId="5" applyNumberFormat="1" applyBorder="1"/>
    <xf numFmtId="0" fontId="5" fillId="0" borderId="15" xfId="5" applyBorder="1"/>
    <xf numFmtId="0" fontId="28" fillId="0" borderId="22" xfId="5" applyFont="1" applyBorder="1"/>
    <xf numFmtId="0" fontId="28" fillId="0" borderId="23" xfId="5" applyFont="1" applyBorder="1"/>
    <xf numFmtId="0" fontId="28" fillId="0" borderId="16" xfId="5" applyFont="1" applyBorder="1"/>
    <xf numFmtId="0" fontId="5" fillId="0" borderId="24" xfId="5" applyBorder="1"/>
    <xf numFmtId="0" fontId="5" fillId="0" borderId="14" xfId="5" applyBorder="1"/>
    <xf numFmtId="0" fontId="5" fillId="0" borderId="19" xfId="5" applyBorder="1" applyAlignment="1">
      <alignment horizontal="center"/>
    </xf>
    <xf numFmtId="0" fontId="28" fillId="0" borderId="22" xfId="5" applyFont="1" applyBorder="1" applyAlignment="1">
      <alignment horizontal="center"/>
    </xf>
    <xf numFmtId="0" fontId="28" fillId="0" borderId="14" xfId="5" applyFont="1" applyBorder="1"/>
    <xf numFmtId="0" fontId="5" fillId="0" borderId="26" xfId="5" applyFont="1" applyBorder="1"/>
    <xf numFmtId="0" fontId="15" fillId="0" borderId="14" xfId="35" applyNumberFormat="1" applyFont="1" applyFill="1" applyBorder="1" applyAlignment="1" applyProtection="1"/>
    <xf numFmtId="0" fontId="5" fillId="0" borderId="14" xfId="5" applyFont="1" applyBorder="1"/>
    <xf numFmtId="0" fontId="15" fillId="0" borderId="26" xfId="35" applyNumberFormat="1" applyFont="1" applyFill="1" applyBorder="1" applyAlignment="1" applyProtection="1"/>
    <xf numFmtId="0" fontId="5" fillId="37" borderId="27" xfId="5" applyFont="1" applyFill="1" applyBorder="1" applyAlignment="1">
      <alignment horizontal="left"/>
    </xf>
    <xf numFmtId="0" fontId="29" fillId="0" borderId="0" xfId="50" applyNumberFormat="1" applyFill="1" applyBorder="1" applyAlignment="1" applyProtection="1">
      <alignment horizontal="center"/>
    </xf>
    <xf numFmtId="0" fontId="5" fillId="0" borderId="13" xfId="5" applyBorder="1"/>
    <xf numFmtId="0" fontId="5" fillId="38" borderId="14" xfId="5" applyFill="1" applyBorder="1" applyAlignment="1">
      <alignment horizontal="center"/>
    </xf>
    <xf numFmtId="0" fontId="5" fillId="38" borderId="14" xfId="5" applyFill="1" applyBorder="1"/>
    <xf numFmtId="0" fontId="7" fillId="0" borderId="15" xfId="5" applyFont="1" applyBorder="1"/>
    <xf numFmtId="0" fontId="28" fillId="0" borderId="15" xfId="5" applyFont="1" applyBorder="1"/>
    <xf numFmtId="0" fontId="28" fillId="0" borderId="13" xfId="5" applyFont="1" applyBorder="1"/>
    <xf numFmtId="0" fontId="28" fillId="38" borderId="15" xfId="5" applyFont="1" applyFill="1" applyBorder="1"/>
    <xf numFmtId="0" fontId="28" fillId="38" borderId="13" xfId="5" applyFont="1" applyFill="1" applyBorder="1"/>
    <xf numFmtId="0" fontId="5" fillId="0" borderId="19" xfId="5" applyBorder="1"/>
    <xf numFmtId="0" fontId="1" fillId="2" borderId="14" xfId="1" applyBorder="1"/>
    <xf numFmtId="0" fontId="5" fillId="0" borderId="18" xfId="5" applyBorder="1"/>
    <xf numFmtId="0" fontId="7" fillId="0" borderId="17" xfId="5" applyFont="1" applyBorder="1"/>
    <xf numFmtId="0" fontId="7" fillId="0" borderId="19" xfId="5" applyFont="1" applyBorder="1"/>
    <xf numFmtId="0" fontId="7" fillId="0" borderId="18" xfId="5" applyFont="1" applyBorder="1"/>
    <xf numFmtId="0" fontId="7" fillId="0" borderId="20" xfId="5" applyFont="1" applyBorder="1"/>
    <xf numFmtId="0" fontId="7" fillId="0" borderId="14" xfId="5" applyFont="1" applyBorder="1"/>
    <xf numFmtId="0" fontId="7" fillId="0" borderId="0" xfId="5" applyFont="1" applyBorder="1"/>
    <xf numFmtId="0" fontId="7" fillId="0" borderId="21" xfId="5" applyFont="1" applyBorder="1"/>
    <xf numFmtId="0" fontId="9" fillId="6" borderId="14" xfId="6" applyNumberFormat="1" applyBorder="1" applyAlignment="1" applyProtection="1"/>
    <xf numFmtId="0" fontId="25" fillId="0" borderId="14" xfId="5" applyFont="1" applyBorder="1"/>
    <xf numFmtId="0" fontId="5" fillId="0" borderId="15" xfId="5" applyFont="1" applyBorder="1"/>
    <xf numFmtId="0" fontId="5" fillId="0" borderId="13" xfId="5" applyFont="1" applyBorder="1"/>
    <xf numFmtId="0" fontId="5" fillId="0" borderId="14" xfId="5" applyFont="1" applyFill="1" applyBorder="1"/>
    <xf numFmtId="0" fontId="5" fillId="38" borderId="14" xfId="5" applyFont="1" applyFill="1" applyBorder="1"/>
    <xf numFmtId="0" fontId="5" fillId="40" borderId="14" xfId="5" applyFont="1" applyFill="1" applyBorder="1"/>
    <xf numFmtId="0" fontId="5" fillId="0" borderId="28" xfId="5" applyFont="1" applyBorder="1"/>
    <xf numFmtId="49" fontId="5" fillId="0" borderId="14" xfId="5" applyNumberFormat="1" applyFont="1" applyBorder="1" applyAlignment="1"/>
    <xf numFmtId="0" fontId="5" fillId="40" borderId="13" xfId="5" applyFont="1" applyFill="1" applyBorder="1"/>
    <xf numFmtId="0" fontId="28" fillId="40" borderId="15" xfId="5" quotePrefix="1" applyFont="1" applyFill="1" applyBorder="1"/>
    <xf numFmtId="0" fontId="0" fillId="40" borderId="14" xfId="0" applyFill="1" applyBorder="1"/>
    <xf numFmtId="0" fontId="5" fillId="0" borderId="0" xfId="5" applyBorder="1" applyAlignment="1">
      <alignment horizontal="center"/>
    </xf>
    <xf numFmtId="0" fontId="9" fillId="6" borderId="13" xfId="6" applyNumberFormat="1" applyBorder="1" applyAlignment="1" applyProtection="1">
      <alignment horizontal="right"/>
    </xf>
    <xf numFmtId="0" fontId="5" fillId="0" borderId="13" xfId="5" applyBorder="1" applyAlignment="1">
      <alignment horizontal="center"/>
    </xf>
    <xf numFmtId="0" fontId="9" fillId="6" borderId="18" xfId="6" applyNumberFormat="1" applyBorder="1" applyAlignment="1" applyProtection="1">
      <alignment horizontal="right"/>
    </xf>
    <xf numFmtId="0" fontId="5" fillId="0" borderId="18" xfId="5" applyFont="1" applyBorder="1" applyAlignment="1">
      <alignment horizontal="center"/>
    </xf>
    <xf numFmtId="0" fontId="7" fillId="0" borderId="13" xfId="5" applyFont="1" applyBorder="1"/>
    <xf numFmtId="0" fontId="7" fillId="0" borderId="22" xfId="5" applyFont="1" applyBorder="1"/>
    <xf numFmtId="0" fontId="7" fillId="0" borderId="22" xfId="5" applyFont="1" applyBorder="1" applyAlignment="1">
      <alignment horizontal="center"/>
    </xf>
    <xf numFmtId="1" fontId="9" fillId="6" borderId="18" xfId="6" applyNumberFormat="1" applyBorder="1" applyAlignment="1" applyProtection="1">
      <alignment horizontal="right"/>
    </xf>
    <xf numFmtId="0" fontId="5" fillId="0" borderId="18" xfId="5" applyBorder="1" applyAlignment="1">
      <alignment horizontal="center"/>
    </xf>
    <xf numFmtId="0" fontId="5" fillId="0" borderId="17" xfId="5" applyBorder="1"/>
    <xf numFmtId="0" fontId="5" fillId="0" borderId="20" xfId="5" applyBorder="1"/>
    <xf numFmtId="0" fontId="5" fillId="0" borderId="21" xfId="5" applyBorder="1"/>
    <xf numFmtId="2" fontId="9" fillId="6" borderId="18" xfId="6" applyNumberFormat="1" applyBorder="1" applyAlignment="1" applyProtection="1">
      <alignment horizontal="right"/>
    </xf>
    <xf numFmtId="0" fontId="5" fillId="0" borderId="18" xfId="5" applyFont="1" applyBorder="1"/>
    <xf numFmtId="0" fontId="7" fillId="0" borderId="22" xfId="5" applyFont="1" applyBorder="1" applyAlignment="1">
      <alignment horizontal="left"/>
    </xf>
    <xf numFmtId="0" fontId="4" fillId="41" borderId="1" xfId="4" applyFill="1"/>
    <xf numFmtId="1" fontId="9" fillId="6" borderId="13" xfId="6" applyNumberFormat="1" applyBorder="1" applyAlignment="1" applyProtection="1">
      <alignment horizontal="right"/>
    </xf>
    <xf numFmtId="0" fontId="5" fillId="0" borderId="13" xfId="5" applyFill="1" applyBorder="1"/>
    <xf numFmtId="0" fontId="5" fillId="0" borderId="0" xfId="5" applyFill="1" applyBorder="1"/>
    <xf numFmtId="0" fontId="5" fillId="42" borderId="0" xfId="5" applyFill="1" applyAlignment="1">
      <alignment horizontal="center"/>
    </xf>
    <xf numFmtId="0" fontId="5" fillId="0" borderId="22" xfId="5" applyBorder="1" applyAlignment="1">
      <alignment horizontal="center"/>
    </xf>
    <xf numFmtId="0" fontId="5" fillId="42" borderId="22" xfId="5" applyFill="1" applyBorder="1" applyAlignment="1">
      <alignment horizontal="center"/>
    </xf>
    <xf numFmtId="0" fontId="5" fillId="0" borderId="0" xfId="5"/>
    <xf numFmtId="166" fontId="5" fillId="0" borderId="0" xfId="5" applyNumberFormat="1"/>
    <xf numFmtId="0" fontId="0" fillId="0" borderId="0" xfId="0"/>
    <xf numFmtId="0" fontId="5" fillId="0" borderId="0" xfId="5"/>
    <xf numFmtId="0" fontId="7" fillId="0" borderId="0" xfId="5" applyFont="1"/>
    <xf numFmtId="0" fontId="25" fillId="0" borderId="0" xfId="5" applyFont="1"/>
    <xf numFmtId="0" fontId="29" fillId="0" borderId="0" xfId="50" applyAlignment="1" applyProtection="1"/>
    <xf numFmtId="0" fontId="25" fillId="0" borderId="0" xfId="5" applyFont="1"/>
    <xf numFmtId="0" fontId="42" fillId="0" borderId="0" xfId="5" applyFont="1"/>
    <xf numFmtId="1" fontId="5" fillId="0" borderId="0" xfId="5" applyNumberFormat="1" applyAlignment="1">
      <alignment horizontal="right"/>
    </xf>
    <xf numFmtId="0" fontId="5" fillId="0" borderId="19" xfId="5" applyFill="1" applyBorder="1"/>
    <xf numFmtId="0" fontId="5" fillId="0" borderId="14" xfId="5" applyFill="1" applyBorder="1"/>
    <xf numFmtId="0" fontId="5" fillId="0" borderId="15" xfId="5" applyFill="1" applyBorder="1"/>
    <xf numFmtId="0" fontId="39" fillId="0" borderId="0" xfId="0" applyFont="1" applyBorder="1" applyAlignment="1">
      <alignment vertical="center" wrapText="1"/>
    </xf>
    <xf numFmtId="0" fontId="43" fillId="0" borderId="13" xfId="0" applyFont="1" applyBorder="1" applyAlignment="1">
      <alignment vertical="center" wrapText="1"/>
    </xf>
    <xf numFmtId="0" fontId="43" fillId="0" borderId="25" xfId="0" applyFont="1" applyBorder="1" applyAlignment="1">
      <alignment vertical="center" wrapText="1"/>
    </xf>
    <xf numFmtId="0" fontId="39" fillId="0" borderId="24" xfId="0" applyFont="1" applyBorder="1" applyAlignment="1">
      <alignment horizontal="center" vertical="center" wrapText="1"/>
    </xf>
    <xf numFmtId="0" fontId="39" fillId="0" borderId="24" xfId="0" applyFont="1" applyBorder="1" applyAlignment="1">
      <alignment vertical="center" wrapText="1"/>
    </xf>
    <xf numFmtId="2" fontId="5" fillId="0" borderId="0" xfId="5" applyNumberFormat="1" applyFont="1" applyBorder="1"/>
    <xf numFmtId="1" fontId="5" fillId="38" borderId="0" xfId="5" applyNumberFormat="1" applyFont="1" applyFill="1"/>
    <xf numFmtId="0" fontId="5" fillId="0" borderId="16" xfId="5" applyBorder="1" applyAlignment="1">
      <alignment horizontal="center"/>
    </xf>
    <xf numFmtId="0" fontId="5" fillId="0" borderId="16" xfId="5" applyBorder="1"/>
    <xf numFmtId="0" fontId="45" fillId="0" borderId="0" xfId="0" applyFont="1"/>
    <xf numFmtId="0" fontId="49" fillId="0" borderId="0" xfId="0" quotePrefix="1" applyFont="1" applyBorder="1" applyAlignment="1">
      <alignment horizontal="left" vertical="center"/>
    </xf>
    <xf numFmtId="0" fontId="47" fillId="0" borderId="19" xfId="0" applyFont="1" applyBorder="1" applyAlignment="1">
      <alignment horizontal="center" vertical="center" wrapText="1"/>
    </xf>
    <xf numFmtId="0" fontId="47" fillId="0" borderId="14" xfId="0" applyFont="1" applyBorder="1" applyAlignment="1">
      <alignment horizontal="center" vertical="center" wrapText="1"/>
    </xf>
    <xf numFmtId="0" fontId="47" fillId="0" borderId="20" xfId="0" applyFont="1" applyBorder="1" applyAlignment="1">
      <alignment horizontal="center" vertical="center" wrapText="1"/>
    </xf>
    <xf numFmtId="0" fontId="47" fillId="0" borderId="21" xfId="0" applyFont="1" applyBorder="1" applyAlignment="1">
      <alignment horizontal="center" vertical="center" wrapText="1"/>
    </xf>
    <xf numFmtId="0" fontId="47" fillId="0" borderId="15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7" fillId="0" borderId="25" xfId="0" applyFont="1" applyBorder="1" applyAlignment="1">
      <alignment horizontal="center" vertical="center" wrapText="1"/>
    </xf>
    <xf numFmtId="0" fontId="47" fillId="0" borderId="24" xfId="0" applyFont="1" applyBorder="1" applyAlignment="1">
      <alignment horizontal="center" vertical="center" wrapText="1"/>
    </xf>
    <xf numFmtId="0" fontId="47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8" fillId="0" borderId="13" xfId="5" applyFont="1" applyBorder="1" applyAlignment="1">
      <alignment horizontal="left" vertical="center"/>
    </xf>
    <xf numFmtId="0" fontId="28" fillId="0" borderId="13" xfId="5" applyFont="1" applyBorder="1" applyAlignment="1">
      <alignment horizontal="center" vertical="center"/>
    </xf>
    <xf numFmtId="0" fontId="25" fillId="0" borderId="0" xfId="5" applyFont="1" applyAlignment="1">
      <alignment horizontal="left" vertical="center"/>
    </xf>
    <xf numFmtId="166" fontId="5" fillId="0" borderId="16" xfId="5" applyNumberFormat="1" applyBorder="1"/>
    <xf numFmtId="0" fontId="5" fillId="0" borderId="0" xfId="5" applyAlignment="1">
      <alignment horizontal="left" vertical="center"/>
    </xf>
    <xf numFmtId="0" fontId="5" fillId="0" borderId="19" xfId="5" applyBorder="1" applyAlignment="1">
      <alignment horizontal="left" vertical="center"/>
    </xf>
    <xf numFmtId="166" fontId="5" fillId="0" borderId="18" xfId="5" applyNumberFormat="1" applyBorder="1" applyAlignment="1">
      <alignment horizontal="center"/>
    </xf>
    <xf numFmtId="2" fontId="5" fillId="0" borderId="0" xfId="5" applyNumberFormat="1" applyAlignment="1">
      <alignment horizontal="right"/>
    </xf>
    <xf numFmtId="2" fontId="1" fillId="2" borderId="0" xfId="1" applyNumberFormat="1" applyAlignment="1">
      <alignment horizontal="right"/>
    </xf>
    <xf numFmtId="0" fontId="5" fillId="0" borderId="0" xfId="5" applyAlignment="1">
      <alignment horizontal="left"/>
    </xf>
    <xf numFmtId="166" fontId="5" fillId="0" borderId="14" xfId="5" applyNumberFormat="1" applyBorder="1" applyAlignment="1">
      <alignment horizontal="center"/>
    </xf>
    <xf numFmtId="0" fontId="28" fillId="0" borderId="0" xfId="5" applyFont="1" applyBorder="1" applyAlignment="1">
      <alignment horizontal="center"/>
    </xf>
    <xf numFmtId="0" fontId="5" fillId="0" borderId="13" xfId="5" applyBorder="1" applyAlignment="1">
      <alignment horizontal="left"/>
    </xf>
    <xf numFmtId="0" fontId="5" fillId="0" borderId="15" xfId="5" applyBorder="1" applyAlignment="1">
      <alignment horizontal="center"/>
    </xf>
    <xf numFmtId="166" fontId="5" fillId="0" borderId="19" xfId="5" applyNumberFormat="1" applyBorder="1" applyAlignment="1">
      <alignment horizontal="center"/>
    </xf>
    <xf numFmtId="3" fontId="5" fillId="0" borderId="0" xfId="5" applyNumberFormat="1" applyAlignment="1">
      <alignment horizontal="right"/>
    </xf>
    <xf numFmtId="0" fontId="5" fillId="0" borderId="25" xfId="5" applyFill="1" applyBorder="1"/>
    <xf numFmtId="0" fontId="5" fillId="0" borderId="24" xfId="5" applyFill="1" applyBorder="1"/>
    <xf numFmtId="0" fontId="5" fillId="0" borderId="18" xfId="5" applyFill="1" applyBorder="1"/>
    <xf numFmtId="0" fontId="5" fillId="0" borderId="18" xfId="5" applyFill="1" applyBorder="1" applyAlignment="1">
      <alignment horizontal="right"/>
    </xf>
    <xf numFmtId="0" fontId="5" fillId="0" borderId="18" xfId="5" applyFill="1" applyBorder="1" applyAlignment="1">
      <alignment horizontal="center"/>
    </xf>
    <xf numFmtId="0" fontId="5" fillId="0" borderId="0" xfId="5" applyFill="1" applyAlignment="1">
      <alignment horizontal="right"/>
    </xf>
    <xf numFmtId="0" fontId="5" fillId="0" borderId="0" xfId="5" applyFill="1" applyAlignment="1">
      <alignment horizontal="center"/>
    </xf>
    <xf numFmtId="166" fontId="5" fillId="0" borderId="0" xfId="5" applyNumberFormat="1" applyFill="1"/>
    <xf numFmtId="2" fontId="5" fillId="0" borderId="0" xfId="5" applyNumberFormat="1" applyFont="1" applyFill="1"/>
    <xf numFmtId="0" fontId="28" fillId="0" borderId="15" xfId="5" quotePrefix="1" applyFont="1" applyBorder="1" applyAlignment="1">
      <alignment horizontal="center"/>
    </xf>
    <xf numFmtId="2" fontId="5" fillId="39" borderId="0" xfId="5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quotePrefix="1"/>
    <xf numFmtId="0" fontId="0" fillId="0" borderId="14" xfId="0" applyBorder="1"/>
    <xf numFmtId="0" fontId="50" fillId="0" borderId="0" xfId="0" applyFont="1"/>
    <xf numFmtId="0" fontId="50" fillId="0" borderId="14" xfId="0" applyFont="1" applyBorder="1"/>
    <xf numFmtId="0" fontId="50" fillId="0" borderId="13" xfId="0" applyFont="1" applyBorder="1"/>
    <xf numFmtId="0" fontId="50" fillId="0" borderId="15" xfId="0" applyFont="1" applyBorder="1"/>
    <xf numFmtId="0" fontId="50" fillId="0" borderId="13" xfId="0" applyFont="1" applyBorder="1" applyAlignment="1">
      <alignment horizontal="center"/>
    </xf>
    <xf numFmtId="0" fontId="50" fillId="0" borderId="15" xfId="0" applyFont="1" applyBorder="1" applyAlignment="1">
      <alignment horizontal="center"/>
    </xf>
    <xf numFmtId="0" fontId="50" fillId="0" borderId="0" xfId="0" applyFont="1" applyBorder="1"/>
    <xf numFmtId="2" fontId="5" fillId="0" borderId="14" xfId="5" applyNumberFormat="1" applyBorder="1"/>
    <xf numFmtId="0" fontId="50" fillId="0" borderId="15" xfId="0" applyFont="1" applyBorder="1" applyAlignment="1">
      <alignment horizontal="left"/>
    </xf>
    <xf numFmtId="170" fontId="0" fillId="0" borderId="0" xfId="0" applyNumberFormat="1"/>
    <xf numFmtId="170" fontId="0" fillId="0" borderId="14" xfId="0" applyNumberFormat="1" applyBorder="1"/>
    <xf numFmtId="0" fontId="28" fillId="0" borderId="13" xfId="5" applyFont="1" applyBorder="1" applyAlignment="1">
      <alignment horizontal="left"/>
    </xf>
    <xf numFmtId="0" fontId="25" fillId="0" borderId="0" xfId="5" applyFont="1" applyAlignment="1">
      <alignment horizontal="left"/>
    </xf>
    <xf numFmtId="2" fontId="5" fillId="0" borderId="13" xfId="5" applyNumberFormat="1" applyBorder="1"/>
    <xf numFmtId="0" fontId="28" fillId="0" borderId="21" xfId="5" applyFont="1" applyBorder="1"/>
    <xf numFmtId="0" fontId="50" fillId="0" borderId="24" xfId="0" applyFont="1" applyBorder="1"/>
    <xf numFmtId="0" fontId="50" fillId="0" borderId="25" xfId="0" applyFont="1" applyBorder="1" applyAlignment="1">
      <alignment horizontal="center"/>
    </xf>
    <xf numFmtId="0" fontId="7" fillId="0" borderId="18" xfId="5" applyFont="1" applyFill="1" applyBorder="1"/>
    <xf numFmtId="0" fontId="7" fillId="0" borderId="0" xfId="5" applyFont="1" applyFill="1"/>
    <xf numFmtId="0" fontId="5" fillId="0" borderId="24" xfId="5" applyFont="1" applyBorder="1"/>
    <xf numFmtId="0" fontId="5" fillId="0" borderId="25" xfId="5" applyFont="1" applyBorder="1"/>
    <xf numFmtId="2" fontId="0" fillId="0" borderId="0" xfId="0" applyNumberFormat="1"/>
    <xf numFmtId="0" fontId="52" fillId="0" borderId="0" xfId="0" applyFont="1"/>
    <xf numFmtId="0" fontId="50" fillId="0" borderId="14" xfId="0" quotePrefix="1" applyFont="1" applyBorder="1"/>
    <xf numFmtId="2" fontId="0" fillId="0" borderId="0" xfId="0" applyNumberFormat="1" applyAlignment="1">
      <alignment horizontal="center"/>
    </xf>
    <xf numFmtId="0" fontId="50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5" applyNumberFormat="1" applyBorder="1" applyAlignment="1">
      <alignment horizontal="right"/>
    </xf>
    <xf numFmtId="164" fontId="5" fillId="0" borderId="0" xfId="5" applyNumberFormat="1" applyBorder="1" applyAlignment="1">
      <alignment horizontal="right"/>
    </xf>
    <xf numFmtId="0" fontId="52" fillId="0" borderId="0" xfId="0" applyFont="1" applyFill="1" applyBorder="1"/>
    <xf numFmtId="166" fontId="5" fillId="0" borderId="20" xfId="5" applyNumberFormat="1" applyFont="1" applyBorder="1" applyAlignment="1">
      <alignment horizontal="center"/>
    </xf>
    <xf numFmtId="166" fontId="9" fillId="6" borderId="18" xfId="6" applyNumberFormat="1" applyBorder="1" applyAlignment="1" applyProtection="1">
      <alignment horizontal="right"/>
    </xf>
    <xf numFmtId="167" fontId="5" fillId="0" borderId="0" xfId="5" applyNumberFormat="1" applyAlignment="1">
      <alignment horizontal="right"/>
    </xf>
    <xf numFmtId="166" fontId="5" fillId="0" borderId="18" xfId="5" applyNumberFormat="1" applyBorder="1" applyAlignment="1">
      <alignment horizontal="right"/>
    </xf>
    <xf numFmtId="2" fontId="7" fillId="0" borderId="0" xfId="5" applyNumberFormat="1" applyFont="1"/>
    <xf numFmtId="0" fontId="5" fillId="38" borderId="0" xfId="5" applyFont="1" applyFill="1" applyAlignment="1">
      <alignment horizontal="center"/>
    </xf>
    <xf numFmtId="1" fontId="5" fillId="0" borderId="2" xfId="5" applyNumberFormat="1" applyFont="1" applyBorder="1" applyAlignment="1">
      <alignment horizontal="center"/>
    </xf>
    <xf numFmtId="166" fontId="5" fillId="38" borderId="0" xfId="5" applyNumberFormat="1" applyFont="1" applyFill="1" applyAlignment="1">
      <alignment horizontal="center"/>
    </xf>
    <xf numFmtId="3" fontId="5" fillId="0" borderId="0" xfId="5" applyNumberFormat="1" applyFont="1" applyAlignment="1">
      <alignment horizontal="center"/>
    </xf>
    <xf numFmtId="166" fontId="5" fillId="0" borderId="0" xfId="5" applyNumberFormat="1" applyFont="1" applyFill="1"/>
    <xf numFmtId="165" fontId="9" fillId="6" borderId="18" xfId="6" applyNumberFormat="1" applyBorder="1" applyAlignment="1" applyProtection="1">
      <alignment horizontal="right"/>
    </xf>
    <xf numFmtId="165" fontId="5" fillId="0" borderId="0" xfId="5" applyNumberFormat="1" applyAlignment="1">
      <alignment horizontal="right"/>
    </xf>
    <xf numFmtId="165" fontId="5" fillId="0" borderId="0" xfId="5" applyNumberFormat="1" applyFont="1" applyBorder="1" applyAlignment="1">
      <alignment horizontal="center"/>
    </xf>
    <xf numFmtId="0" fontId="5" fillId="0" borderId="0" xfId="5" applyFont="1" applyAlignment="1">
      <alignment horizontal="center"/>
    </xf>
    <xf numFmtId="0" fontId="25" fillId="0" borderId="0" xfId="5" applyFont="1" applyAlignment="1">
      <alignment horizontal="center"/>
    </xf>
    <xf numFmtId="0" fontId="5" fillId="0" borderId="14" xfId="5" applyBorder="1"/>
    <xf numFmtId="0" fontId="5" fillId="38" borderId="14" xfId="5" applyFill="1" applyBorder="1"/>
    <xf numFmtId="0" fontId="5" fillId="0" borderId="19" xfId="5" applyFont="1" applyBorder="1"/>
    <xf numFmtId="0" fontId="5" fillId="38" borderId="15" xfId="5" applyFill="1" applyBorder="1"/>
    <xf numFmtId="165" fontId="5" fillId="0" borderId="0" xfId="5" applyNumberFormat="1" applyFont="1" applyAlignment="1">
      <alignment horizontal="center"/>
    </xf>
    <xf numFmtId="166" fontId="5" fillId="0" borderId="0" xfId="5" applyNumberFormat="1" applyFont="1" applyAlignment="1">
      <alignment horizontal="center"/>
    </xf>
    <xf numFmtId="0" fontId="28" fillId="0" borderId="13" xfId="5" applyFont="1" applyBorder="1" applyAlignment="1">
      <alignment horizontal="center"/>
    </xf>
    <xf numFmtId="165" fontId="5" fillId="38" borderId="0" xfId="5" applyNumberFormat="1" applyFont="1" applyFill="1" applyBorder="1" applyAlignment="1">
      <alignment horizontal="center"/>
    </xf>
    <xf numFmtId="165" fontId="5" fillId="0" borderId="0" xfId="5" applyNumberFormat="1" applyAlignment="1">
      <alignment horizontal="center"/>
    </xf>
    <xf numFmtId="0" fontId="28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28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28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5" fillId="0" borderId="0" xfId="5" applyAlignment="1">
      <alignment horizontal="center"/>
    </xf>
    <xf numFmtId="0" fontId="5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28" fillId="0" borderId="22" xfId="5" applyFont="1" applyBorder="1" applyAlignment="1">
      <alignment horizontal="center"/>
    </xf>
    <xf numFmtId="165" fontId="5" fillId="38" borderId="0" xfId="5" applyNumberFormat="1" applyFont="1" applyFill="1" applyBorder="1" applyAlignment="1">
      <alignment horizontal="center"/>
    </xf>
    <xf numFmtId="164" fontId="9" fillId="6" borderId="0" xfId="6" applyNumberFormat="1" applyBorder="1" applyAlignment="1" applyProtection="1">
      <alignment horizontal="right"/>
    </xf>
    <xf numFmtId="0" fontId="9" fillId="6" borderId="18" xfId="6" applyNumberFormat="1" applyBorder="1" applyAlignment="1" applyProtection="1">
      <alignment horizontal="right"/>
    </xf>
    <xf numFmtId="1" fontId="5" fillId="0" borderId="18" xfId="5" applyNumberFormat="1" applyBorder="1" applyAlignment="1">
      <alignment horizontal="right"/>
    </xf>
    <xf numFmtId="0" fontId="28" fillId="38" borderId="13" xfId="5" applyFont="1" applyFill="1" applyBorder="1" applyAlignment="1"/>
    <xf numFmtId="0" fontId="5" fillId="38" borderId="0" xfId="5" applyFill="1" applyAlignment="1"/>
    <xf numFmtId="1" fontId="5" fillId="38" borderId="0" xfId="5" applyNumberFormat="1" applyFill="1" applyAlignment="1">
      <alignment horizontal="right"/>
    </xf>
    <xf numFmtId="1" fontId="5" fillId="38" borderId="0" xfId="5" applyNumberFormat="1" applyFill="1" applyAlignment="1"/>
    <xf numFmtId="1" fontId="1" fillId="38" borderId="0" xfId="1" applyNumberFormat="1" applyFill="1" applyAlignment="1"/>
    <xf numFmtId="0" fontId="5" fillId="38" borderId="0" xfId="5" applyFill="1" applyAlignment="1">
      <alignment horizontal="center"/>
    </xf>
    <xf numFmtId="0" fontId="5" fillId="38" borderId="0" xfId="5" applyFill="1" applyAlignment="1">
      <alignment horizontal="right"/>
    </xf>
    <xf numFmtId="2" fontId="1" fillId="38" borderId="0" xfId="1" applyNumberFormat="1" applyFill="1" applyAlignment="1">
      <alignment horizontal="right"/>
    </xf>
    <xf numFmtId="0" fontId="28" fillId="38" borderId="13" xfId="5" applyFont="1" applyFill="1" applyBorder="1" applyAlignment="1">
      <alignment horizontal="center"/>
    </xf>
    <xf numFmtId="2" fontId="5" fillId="38" borderId="0" xfId="5" applyNumberFormat="1" applyFill="1" applyAlignment="1">
      <alignment horizontal="right"/>
    </xf>
    <xf numFmtId="0" fontId="0" fillId="38" borderId="0" xfId="0" applyFill="1" applyAlignment="1">
      <alignment horizontal="right"/>
    </xf>
    <xf numFmtId="166" fontId="5" fillId="38" borderId="0" xfId="5" applyNumberFormat="1" applyFill="1" applyAlignment="1">
      <alignment horizontal="right"/>
    </xf>
    <xf numFmtId="166" fontId="5" fillId="38" borderId="13" xfId="5" applyNumberFormat="1" applyFill="1" applyBorder="1" applyAlignment="1">
      <alignment horizontal="right"/>
    </xf>
    <xf numFmtId="0" fontId="0" fillId="38" borderId="0" xfId="0" applyFill="1" applyBorder="1"/>
    <xf numFmtId="3" fontId="5" fillId="38" borderId="0" xfId="5" applyNumberFormat="1" applyFill="1" applyAlignment="1">
      <alignment horizontal="right"/>
    </xf>
    <xf numFmtId="2" fontId="5" fillId="0" borderId="0" xfId="5" applyNumberFormat="1" applyFill="1" applyAlignment="1">
      <alignment horizontal="right"/>
    </xf>
    <xf numFmtId="0" fontId="0" fillId="0" borderId="0" xfId="0" applyFill="1" applyBorder="1"/>
    <xf numFmtId="166" fontId="5" fillId="0" borderId="0" xfId="5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8" fillId="0" borderId="13" xfId="5" applyFont="1" applyFill="1" applyBorder="1" applyAlignment="1"/>
    <xf numFmtId="1" fontId="5" fillId="0" borderId="0" xfId="5" applyNumberFormat="1" applyFill="1" applyAlignment="1">
      <alignment horizontal="right"/>
    </xf>
    <xf numFmtId="0" fontId="28" fillId="0" borderId="0" xfId="5" applyFont="1" applyFill="1" applyAlignment="1">
      <alignment horizontal="left"/>
    </xf>
    <xf numFmtId="2" fontId="5" fillId="0" borderId="0" xfId="5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66" fontId="5" fillId="0" borderId="13" xfId="5" applyNumberFormat="1" applyFill="1" applyBorder="1" applyAlignment="1">
      <alignment horizontal="right"/>
    </xf>
    <xf numFmtId="3" fontId="5" fillId="0" borderId="0" xfId="5" applyNumberFormat="1" applyFill="1" applyAlignment="1">
      <alignment horizontal="right"/>
    </xf>
    <xf numFmtId="2" fontId="1" fillId="2" borderId="0" xfId="1" applyNumberFormat="1" applyAlignment="1"/>
    <xf numFmtId="1" fontId="5" fillId="0" borderId="0" xfId="5" applyNumberFormat="1" applyFill="1" applyAlignment="1"/>
    <xf numFmtId="0" fontId="5" fillId="0" borderId="0" xfId="5" applyAlignment="1"/>
    <xf numFmtId="166" fontId="5" fillId="0" borderId="0" xfId="5" applyNumberFormat="1" applyAlignment="1"/>
    <xf numFmtId="0" fontId="5" fillId="0" borderId="0" xfId="5" applyAlignment="1">
      <alignment horizontal="right"/>
    </xf>
    <xf numFmtId="166" fontId="5" fillId="0" borderId="0" xfId="5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5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2" fontId="5" fillId="0" borderId="0" xfId="5" applyNumberFormat="1" applyAlignment="1">
      <alignment horizontal="center"/>
    </xf>
    <xf numFmtId="0" fontId="25" fillId="0" borderId="0" xfId="5" applyFont="1" applyFill="1"/>
    <xf numFmtId="170" fontId="0" fillId="0" borderId="17" xfId="0" applyNumberFormat="1" applyBorder="1"/>
    <xf numFmtId="166" fontId="5" fillId="0" borderId="0" xfId="5" applyNumberFormat="1" applyFill="1" applyBorder="1"/>
    <xf numFmtId="0" fontId="5" fillId="0" borderId="0" xfId="5" applyFill="1" applyAlignment="1"/>
    <xf numFmtId="0" fontId="0" fillId="0" borderId="0" xfId="0"/>
    <xf numFmtId="0" fontId="5" fillId="0" borderId="0" xfId="5" applyFill="1"/>
    <xf numFmtId="1" fontId="5" fillId="0" borderId="0" xfId="5" applyNumberFormat="1" applyFill="1"/>
    <xf numFmtId="0" fontId="5" fillId="0" borderId="0" xfId="5" applyFill="1" applyBorder="1"/>
    <xf numFmtId="166" fontId="5" fillId="0" borderId="0" xfId="5" applyNumberFormat="1" applyFill="1"/>
    <xf numFmtId="0" fontId="0" fillId="0" borderId="0" xfId="0"/>
    <xf numFmtId="0" fontId="5" fillId="0" borderId="0" xfId="5"/>
    <xf numFmtId="20" fontId="5" fillId="0" borderId="0" xfId="5" applyNumberFormat="1" applyFont="1"/>
    <xf numFmtId="1" fontId="5" fillId="0" borderId="0" xfId="5" applyNumberFormat="1"/>
    <xf numFmtId="1" fontId="1" fillId="2" borderId="0" xfId="1" applyNumberFormat="1" applyAlignment="1"/>
    <xf numFmtId="2" fontId="1" fillId="2" borderId="0" xfId="1" applyNumberFormat="1"/>
    <xf numFmtId="166" fontId="5" fillId="0" borderId="0" xfId="5" applyNumberFormat="1" applyFont="1" applyAlignment="1">
      <alignment horizontal="center"/>
    </xf>
    <xf numFmtId="0" fontId="28" fillId="0" borderId="13" xfId="5" applyFont="1" applyBorder="1" applyAlignment="1"/>
    <xf numFmtId="0" fontId="28" fillId="0" borderId="13" xfId="5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5" fillId="0" borderId="0" xfId="5" applyFill="1" applyAlignment="1">
      <alignment horizontal="center"/>
    </xf>
    <xf numFmtId="0" fontId="0" fillId="0" borderId="14" xfId="0" applyBorder="1" applyAlignment="1">
      <alignment horizontal="center"/>
    </xf>
    <xf numFmtId="170" fontId="0" fillId="0" borderId="0" xfId="0" applyNumberFormat="1"/>
    <xf numFmtId="170" fontId="0" fillId="0" borderId="14" xfId="0" applyNumberFormat="1" applyBorder="1" applyAlignment="1">
      <alignment horizontal="center"/>
    </xf>
    <xf numFmtId="170" fontId="0" fillId="0" borderId="14" xfId="0" quotePrefix="1" applyNumberFormat="1" applyBorder="1" applyAlignment="1">
      <alignment horizontal="center"/>
    </xf>
    <xf numFmtId="0" fontId="5" fillId="0" borderId="0" xfId="5"/>
    <xf numFmtId="0" fontId="28" fillId="0" borderId="13" xfId="5" applyFont="1" applyBorder="1" applyAlignment="1"/>
    <xf numFmtId="0" fontId="5" fillId="0" borderId="24" xfId="5" applyBorder="1"/>
    <xf numFmtId="0" fontId="50" fillId="0" borderId="15" xfId="0" applyFont="1" applyBorder="1"/>
    <xf numFmtId="170" fontId="0" fillId="0" borderId="0" xfId="0" applyNumberFormat="1"/>
    <xf numFmtId="170" fontId="0" fillId="0" borderId="14" xfId="0" applyNumberFormat="1" applyBorder="1"/>
    <xf numFmtId="170" fontId="0" fillId="0" borderId="14" xfId="0" applyNumberFormat="1" applyBorder="1" applyAlignment="1">
      <alignment horizontal="center"/>
    </xf>
    <xf numFmtId="166" fontId="5" fillId="0" borderId="0" xfId="5" applyNumberFormat="1"/>
    <xf numFmtId="0" fontId="5" fillId="0" borderId="0" xfId="5" applyFill="1"/>
    <xf numFmtId="0" fontId="28" fillId="0" borderId="13" xfId="5" applyFont="1" applyBorder="1" applyAlignment="1"/>
    <xf numFmtId="166" fontId="5" fillId="0" borderId="14" xfId="5" applyNumberFormat="1" applyBorder="1"/>
    <xf numFmtId="0" fontId="50" fillId="0" borderId="14" xfId="0" applyFont="1" applyBorder="1"/>
    <xf numFmtId="170" fontId="0" fillId="0" borderId="0" xfId="0" applyNumberFormat="1"/>
    <xf numFmtId="2" fontId="0" fillId="0" borderId="0" xfId="0" applyNumberFormat="1" applyAlignment="1">
      <alignment horizontal="center"/>
    </xf>
    <xf numFmtId="2" fontId="31" fillId="0" borderId="0" xfId="1" applyNumberFormat="1" applyFont="1" applyFill="1"/>
    <xf numFmtId="1" fontId="5" fillId="0" borderId="0" xfId="5" applyNumberFormat="1" applyFill="1" applyBorder="1"/>
    <xf numFmtId="2" fontId="5" fillId="0" borderId="0" xfId="5" applyNumberFormat="1" applyBorder="1" applyAlignment="1">
      <alignment horizontal="right"/>
    </xf>
    <xf numFmtId="1" fontId="3" fillId="43" borderId="0" xfId="3" applyNumberFormat="1" applyFill="1" applyAlignment="1">
      <alignment horizontal="right"/>
    </xf>
    <xf numFmtId="1" fontId="3" fillId="44" borderId="0" xfId="3" applyNumberFormat="1" applyFill="1" applyAlignment="1">
      <alignment horizontal="right"/>
    </xf>
    <xf numFmtId="2" fontId="3" fillId="44" borderId="0" xfId="3" applyNumberFormat="1" applyFill="1" applyAlignment="1">
      <alignment horizontal="right"/>
    </xf>
    <xf numFmtId="2" fontId="3" fillId="43" borderId="0" xfId="3" applyNumberFormat="1" applyFill="1" applyAlignment="1">
      <alignment horizontal="right"/>
    </xf>
    <xf numFmtId="164" fontId="5" fillId="45" borderId="0" xfId="5" applyNumberFormat="1" applyFont="1" applyFill="1"/>
    <xf numFmtId="0" fontId="0" fillId="45" borderId="0" xfId="0" applyFill="1"/>
    <xf numFmtId="0" fontId="5" fillId="45" borderId="0" xfId="5" applyFill="1"/>
    <xf numFmtId="166" fontId="5" fillId="45" borderId="0" xfId="5" applyNumberFormat="1" applyFill="1"/>
    <xf numFmtId="1" fontId="5" fillId="45" borderId="0" xfId="5" applyNumberFormat="1" applyFill="1"/>
    <xf numFmtId="0" fontId="0" fillId="0" borderId="0" xfId="0" applyFill="1"/>
    <xf numFmtId="16" fontId="5" fillId="0" borderId="0" xfId="5" applyNumberFormat="1" applyAlignment="1">
      <alignment horizontal="center"/>
    </xf>
    <xf numFmtId="0" fontId="7" fillId="0" borderId="0" xfId="5" applyFont="1" applyAlignment="1">
      <alignment horizontal="center"/>
    </xf>
    <xf numFmtId="0" fontId="39" fillId="0" borderId="0" xfId="0" applyFont="1"/>
    <xf numFmtId="164" fontId="5" fillId="0" borderId="0" xfId="5" applyNumberFormat="1" applyAlignment="1">
      <alignment horizontal="center"/>
    </xf>
    <xf numFmtId="0" fontId="53" fillId="0" borderId="0" xfId="0" applyFont="1"/>
    <xf numFmtId="43" fontId="5" fillId="0" borderId="0" xfId="52" applyFont="1"/>
    <xf numFmtId="169" fontId="5" fillId="46" borderId="0" xfId="5" applyNumberFormat="1" applyFill="1"/>
    <xf numFmtId="166" fontId="5" fillId="46" borderId="0" xfId="5" applyNumberFormat="1" applyFill="1"/>
    <xf numFmtId="0" fontId="1" fillId="46" borderId="0" xfId="1" applyFill="1"/>
    <xf numFmtId="0" fontId="0" fillId="38" borderId="0" xfId="0" applyFill="1"/>
    <xf numFmtId="0" fontId="54" fillId="0" borderId="0" xfId="0" applyFont="1"/>
    <xf numFmtId="0" fontId="7" fillId="38" borderId="0" xfId="5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0" fontId="5" fillId="47" borderId="0" xfId="5" applyFill="1"/>
    <xf numFmtId="0" fontId="9" fillId="0" borderId="18" xfId="6" applyNumberFormat="1" applyFill="1" applyBorder="1" applyAlignment="1" applyProtection="1">
      <alignment horizontal="right"/>
    </xf>
    <xf numFmtId="49" fontId="0" fillId="0" borderId="0" xfId="0" applyNumberFormat="1" applyAlignment="1">
      <alignment horizontal="left"/>
    </xf>
    <xf numFmtId="0" fontId="5" fillId="38" borderId="0" xfId="5" applyFont="1" applyFill="1" applyBorder="1"/>
    <xf numFmtId="0" fontId="5" fillId="46" borderId="0" xfId="5" applyFont="1" applyFill="1"/>
    <xf numFmtId="166" fontId="5" fillId="46" borderId="0" xfId="5" applyNumberFormat="1" applyFont="1" applyFill="1"/>
    <xf numFmtId="0" fontId="5" fillId="46" borderId="0" xfId="5" applyFont="1" applyFill="1" applyAlignment="1">
      <alignment horizontal="center"/>
    </xf>
    <xf numFmtId="0" fontId="56" fillId="0" borderId="0" xfId="5" applyFont="1"/>
    <xf numFmtId="0" fontId="57" fillId="0" borderId="0" xfId="5" applyFont="1"/>
    <xf numFmtId="0" fontId="57" fillId="0" borderId="0" xfId="5" applyFont="1" applyAlignment="1">
      <alignment horizontal="right"/>
    </xf>
    <xf numFmtId="0" fontId="57" fillId="0" borderId="0" xfId="5" applyFont="1" applyAlignment="1">
      <alignment horizontal="center"/>
    </xf>
    <xf numFmtId="164" fontId="5" fillId="0" borderId="0" xfId="5" applyNumberFormat="1" applyFont="1" applyAlignment="1">
      <alignment horizontal="center"/>
    </xf>
    <xf numFmtId="2" fontId="5" fillId="46" borderId="0" xfId="5" applyNumberFormat="1" applyFill="1"/>
    <xf numFmtId="0" fontId="34" fillId="0" borderId="0" xfId="0" applyFont="1"/>
    <xf numFmtId="0" fontId="28" fillId="0" borderId="0" xfId="5" applyFont="1" applyFill="1" applyBorder="1" applyAlignment="1"/>
    <xf numFmtId="0" fontId="0" fillId="0" borderId="0" xfId="0" applyNumberFormat="1" applyAlignment="1">
      <alignment horizontal="left"/>
    </xf>
    <xf numFmtId="3" fontId="58" fillId="0" borderId="0" xfId="5" applyNumberFormat="1" applyFont="1"/>
    <xf numFmtId="168" fontId="58" fillId="0" borderId="0" xfId="5" applyNumberFormat="1" applyFont="1"/>
    <xf numFmtId="0" fontId="5" fillId="0" borderId="0" xfId="5" applyNumberFormat="1" applyAlignment="1">
      <alignment horizontal="right"/>
    </xf>
    <xf numFmtId="0" fontId="28" fillId="0" borderId="0" xfId="5" applyFont="1" applyBorder="1" applyAlignment="1"/>
    <xf numFmtId="0" fontId="0" fillId="0" borderId="0" xfId="0" applyFont="1" applyFill="1" applyBorder="1"/>
    <xf numFmtId="171" fontId="0" fillId="0" borderId="0" xfId="0" applyNumberFormat="1"/>
    <xf numFmtId="0" fontId="28" fillId="0" borderId="13" xfId="5" applyFont="1" applyBorder="1" applyAlignment="1">
      <alignment horizontal="left" vertical="center"/>
    </xf>
    <xf numFmtId="0" fontId="50" fillId="0" borderId="13" xfId="0" applyFont="1" applyBorder="1" applyAlignment="1">
      <alignment horizontal="left" vertical="center"/>
    </xf>
    <xf numFmtId="0" fontId="50" fillId="0" borderId="15" xfId="0" applyFont="1" applyBorder="1" applyAlignment="1">
      <alignment horizontal="left" vertical="center"/>
    </xf>
    <xf numFmtId="0" fontId="5" fillId="0" borderId="0" xfId="5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8" fillId="0" borderId="21" xfId="5" quotePrefix="1" applyFont="1" applyBorder="1" applyAlignment="1">
      <alignment horizontal="left" vertical="center"/>
    </xf>
    <xf numFmtId="0" fontId="50" fillId="0" borderId="13" xfId="0" applyFont="1" applyBorder="1" applyAlignment="1">
      <alignment vertical="center"/>
    </xf>
    <xf numFmtId="0" fontId="50" fillId="0" borderId="15" xfId="0" applyFont="1" applyBorder="1" applyAlignment="1">
      <alignment vertical="center"/>
    </xf>
    <xf numFmtId="0" fontId="5" fillId="0" borderId="20" xfId="5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0" borderId="0" xfId="5" applyAlignment="1">
      <alignment horizontal="center" vertical="center"/>
    </xf>
    <xf numFmtId="0" fontId="47" fillId="0" borderId="17" xfId="0" applyFont="1" applyBorder="1" applyAlignment="1">
      <alignment horizontal="center" vertical="center" wrapText="1"/>
    </xf>
    <xf numFmtId="0" fontId="47" fillId="0" borderId="21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7" fillId="0" borderId="25" xfId="0" applyFont="1" applyBorder="1" applyAlignment="1">
      <alignment horizontal="center" vertical="center" wrapText="1"/>
    </xf>
    <xf numFmtId="0" fontId="25" fillId="46" borderId="0" xfId="5" applyFont="1" applyFill="1" applyAlignment="1">
      <alignment horizontal="center"/>
    </xf>
    <xf numFmtId="164" fontId="5" fillId="46" borderId="0" xfId="5" applyNumberFormat="1" applyFont="1" applyFill="1" applyAlignment="1">
      <alignment horizontal="center"/>
    </xf>
    <xf numFmtId="166" fontId="5" fillId="46" borderId="0" xfId="5" applyNumberFormat="1" applyFont="1" applyFill="1" applyAlignment="1">
      <alignment horizontal="center"/>
    </xf>
  </cellXfs>
  <cellStyles count="77">
    <cellStyle name="Bad" xfId="2" builtinId="27"/>
    <cellStyle name="Check Cell" xfId="4" builtinId="23"/>
    <cellStyle name="Comma" xfId="52" builtinId="3"/>
    <cellStyle name="Excel Built-in 20% - Accent1" xfId="8"/>
    <cellStyle name="Excel Built-in 20% - Accent2" xfId="9"/>
    <cellStyle name="Excel Built-in 20% - Accent3" xfId="10"/>
    <cellStyle name="Excel Built-in 20% - Accent4" xfId="11"/>
    <cellStyle name="Excel Built-in 20% - Accent5" xfId="12"/>
    <cellStyle name="Excel Built-in 20% - Accent6" xfId="13"/>
    <cellStyle name="Excel Built-in 40% - Accent1" xfId="14"/>
    <cellStyle name="Excel Built-in 40% - Accent2" xfId="15"/>
    <cellStyle name="Excel Built-in 40% - Accent3" xfId="16"/>
    <cellStyle name="Excel Built-in 40% - Accent4" xfId="17"/>
    <cellStyle name="Excel Built-in 40% - Accent5" xfId="18"/>
    <cellStyle name="Excel Built-in 40% - Accent6" xfId="19"/>
    <cellStyle name="Excel Built-in 60% - Accent1" xfId="20"/>
    <cellStyle name="Excel Built-in 60% - Accent2" xfId="21"/>
    <cellStyle name="Excel Built-in 60% - Accent3" xfId="22"/>
    <cellStyle name="Excel Built-in 60% - Accent4" xfId="23"/>
    <cellStyle name="Excel Built-in 60% - Accent5" xfId="24"/>
    <cellStyle name="Excel Built-in 60% - Accent6" xfId="25"/>
    <cellStyle name="Excel Built-in Accent1" xfId="26"/>
    <cellStyle name="Excel Built-in Accent2" xfId="27"/>
    <cellStyle name="Excel Built-in Accent3" xfId="28"/>
    <cellStyle name="Excel Built-in Accent4" xfId="29"/>
    <cellStyle name="Excel Built-in Accent5" xfId="30"/>
    <cellStyle name="Excel Built-in Accent6" xfId="31"/>
    <cellStyle name="Excel Built-in Bad" xfId="32"/>
    <cellStyle name="Excel Built-in Calculation" xfId="33"/>
    <cellStyle name="Excel Built-in Check Cell" xfId="34"/>
    <cellStyle name="Excel Built-in Explanatory Text" xfId="35"/>
    <cellStyle name="Excel Built-in Good" xfId="6"/>
    <cellStyle name="Excel Built-in Heading 1" xfId="36"/>
    <cellStyle name="Excel Built-in Heading 2" xfId="37"/>
    <cellStyle name="Excel Built-in Heading 3" xfId="38"/>
    <cellStyle name="Excel Built-in Heading 4" xfId="39"/>
    <cellStyle name="Excel Built-in Hyperlink" xfId="7"/>
    <cellStyle name="Excel Built-in Input" xfId="40"/>
    <cellStyle name="Excel Built-in Linked Cell" xfId="41"/>
    <cellStyle name="Excel Built-in Neutral" xfId="42"/>
    <cellStyle name="Excel Built-in Normal" xfId="5"/>
    <cellStyle name="Excel Built-in Note" xfId="43"/>
    <cellStyle name="Excel Built-in Output" xfId="44"/>
    <cellStyle name="Excel Built-in Title" xfId="45"/>
    <cellStyle name="Excel Built-in Total" xfId="46"/>
    <cellStyle name="Excel Built-in Warning Text" xfId="47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Good" xfId="1" builtinId="26"/>
    <cellStyle name="Hyperlink" xfId="50" builtinId="8"/>
    <cellStyle name="Neutral" xfId="3" builtinId="28"/>
    <cellStyle name="Normal" xfId="0" builtinId="0"/>
    <cellStyle name="Normal 2" xfId="48"/>
    <cellStyle name="Percent" xfId="51" builtinId="5"/>
    <cellStyle name="Percent 2" xfId="49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178594</xdr:colOff>
      <xdr:row>12</xdr:row>
      <xdr:rowOff>107157</xdr:rowOff>
    </xdr:from>
    <xdr:to>
      <xdr:col>10</xdr:col>
      <xdr:colOff>1250157</xdr:colOff>
      <xdr:row>15</xdr:row>
      <xdr:rowOff>130969</xdr:rowOff>
    </xdr:to>
    <xdr:sp macro="[0]!Regcap_input_new" textlink="">
      <xdr:nvSpPr>
        <xdr:cNvPr id="2" name="Rectangle 1"/>
        <xdr:cNvSpPr/>
      </xdr:nvSpPr>
      <xdr:spPr bwMode="auto">
        <a:xfrm>
          <a:off x="9239250" y="2405063"/>
          <a:ext cx="1071563" cy="595312"/>
        </a:xfrm>
        <a:prstGeom prst="rect">
          <a:avLst/>
        </a:prstGeom>
        <a:gradFill>
          <a:gsLst>
            <a:gs pos="0">
              <a:srgbClr val="00B050"/>
            </a:gs>
            <a:gs pos="73000">
              <a:srgbClr val="92D050"/>
            </a:gs>
            <a:gs pos="100000">
              <a:srgbClr val="FFFF00"/>
            </a:gs>
          </a:gsLst>
        </a:gra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Make </a:t>
          </a:r>
        </a:p>
        <a:p>
          <a:pPr algn="ctr"/>
          <a:r>
            <a:rPr lang="en-GB" sz="1100">
              <a:solidFill>
                <a:sysClr val="windowText" lastClr="000000"/>
              </a:solidFill>
            </a:rPr>
            <a:t>batch file</a:t>
          </a:r>
        </a:p>
      </xdr:txBody>
    </xdr:sp>
    <xdr:clientData/>
  </xdr:twoCellAnchor>
  <xdr:twoCellAnchor>
    <xdr:from>
      <xdr:col>10</xdr:col>
      <xdr:colOff>130969</xdr:colOff>
      <xdr:row>35</xdr:row>
      <xdr:rowOff>0</xdr:rowOff>
    </xdr:from>
    <xdr:to>
      <xdr:col>10</xdr:col>
      <xdr:colOff>1333500</xdr:colOff>
      <xdr:row>37</xdr:row>
      <xdr:rowOff>142875</xdr:rowOff>
    </xdr:to>
    <xdr:sp macro="[0]!Regcap_input_cz.Regcap_input_cz" textlink="">
      <xdr:nvSpPr>
        <xdr:cNvPr id="3" name="Rectangle 2"/>
        <xdr:cNvSpPr/>
      </xdr:nvSpPr>
      <xdr:spPr>
        <a:xfrm>
          <a:off x="11191875" y="6667500"/>
          <a:ext cx="1202531" cy="52387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/>
            <a:t>CZ batch file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output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../../../AppData/Users/wjnturner/Dropbox/Users/wjnturner/AppData/Roaming/Microsoft/Regcap%20Documents/Housing%20characteristics/CEC-2009%20resacm.pdf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hyperlink" Target="http://www.the-engineering-page.com/conv/u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>
    <tabColor rgb="FF00B050"/>
  </sheetPr>
  <dimension ref="A1:AK185"/>
  <sheetViews>
    <sheetView zoomScale="85" zoomScaleNormal="85" zoomScalePageLayoutView="85" workbookViewId="0">
      <selection activeCell="C29" sqref="C29"/>
    </sheetView>
  </sheetViews>
  <sheetFormatPr defaultColWidth="8.7109375" defaultRowHeight="15" customHeight="1" outlineLevelCol="1"/>
  <cols>
    <col min="1" max="1" width="15.28515625" style="4" customWidth="1"/>
    <col min="2" max="2" width="20" style="6" bestFit="1" customWidth="1"/>
    <col min="3" max="3" width="8.85546875" style="25" bestFit="1" customWidth="1"/>
    <col min="4" max="4" width="16.28515625" style="2" customWidth="1"/>
    <col min="5" max="5" width="67.85546875" style="6" customWidth="1"/>
    <col min="6" max="6" width="40" style="6" hidden="1" customWidth="1" outlineLevel="1"/>
    <col min="7" max="7" width="19.42578125" style="6" hidden="1" customWidth="1" outlineLevel="1"/>
    <col min="8" max="8" width="10.85546875" style="3" hidden="1" customWidth="1" outlineLevel="1"/>
    <col min="9" max="9" width="52.85546875" style="6" hidden="1" customWidth="1" outlineLevel="1"/>
    <col min="10" max="10" width="20.140625" style="6" customWidth="1" collapsed="1"/>
    <col min="11" max="11" width="98.140625" style="6" customWidth="1" outlineLevel="1"/>
    <col min="12" max="12" width="9" style="25" customWidth="1" outlineLevel="1"/>
    <col min="13" max="13" width="8.140625" style="25" customWidth="1" outlineLevel="1"/>
    <col min="14" max="18" width="8.42578125" style="25" customWidth="1" outlineLevel="1"/>
    <col min="19" max="19" width="30.42578125" style="25" customWidth="1" outlineLevel="1"/>
    <col min="20" max="20" width="8.42578125" style="25" customWidth="1" outlineLevel="1"/>
    <col min="21" max="21" width="28.140625" style="25" customWidth="1" outlineLevel="1"/>
    <col min="22" max="22" width="8.42578125" style="25" customWidth="1" outlineLevel="1"/>
    <col min="23" max="25" width="8.42578125" style="232" customWidth="1" outlineLevel="1"/>
    <col min="26" max="26" width="9.42578125" style="232" customWidth="1" outlineLevel="1"/>
    <col min="27" max="27" width="8" style="232" customWidth="1" outlineLevel="1"/>
    <col min="28" max="28" width="8.28515625" style="232" customWidth="1" outlineLevel="1"/>
    <col min="29" max="29" width="39.85546875" style="87" customWidth="1" outlineLevel="1"/>
    <col min="30" max="30" width="3.42578125" style="6" customWidth="1" outlineLevel="1"/>
    <col min="31" max="31" width="8.85546875" style="87" customWidth="1" outlineLevel="1"/>
    <col min="32" max="32" width="8.7109375" style="6" customWidth="1" outlineLevel="1"/>
    <col min="33" max="16384" width="8.7109375" style="6"/>
  </cols>
  <sheetData>
    <row r="1" spans="1:37" s="1" customFormat="1" ht="49.5" customHeight="1">
      <c r="A1" s="423" t="s">
        <v>1127</v>
      </c>
      <c r="B1" s="424" t="s">
        <v>1133</v>
      </c>
      <c r="C1" s="425">
        <v>2</v>
      </c>
      <c r="D1" s="426">
        <v>0.5</v>
      </c>
      <c r="E1" s="1" t="s">
        <v>1086</v>
      </c>
      <c r="H1" s="3"/>
      <c r="J1" s="375" t="s">
        <v>1155</v>
      </c>
      <c r="K1" s="181">
        <v>20</v>
      </c>
      <c r="L1" s="14">
        <v>1</v>
      </c>
      <c r="M1" s="14">
        <v>2</v>
      </c>
      <c r="N1" s="14">
        <v>3</v>
      </c>
      <c r="O1" s="14">
        <v>4</v>
      </c>
      <c r="P1" s="14">
        <v>5</v>
      </c>
      <c r="Q1" s="14">
        <v>6</v>
      </c>
      <c r="R1" s="14">
        <v>7</v>
      </c>
      <c r="S1" s="14">
        <v>8</v>
      </c>
      <c r="T1" s="14">
        <v>9</v>
      </c>
      <c r="U1" s="14">
        <v>10</v>
      </c>
      <c r="V1" s="14">
        <v>11</v>
      </c>
      <c r="W1" s="14">
        <v>12</v>
      </c>
      <c r="X1" s="14">
        <v>13</v>
      </c>
      <c r="Y1" s="14">
        <v>14</v>
      </c>
      <c r="Z1" s="14">
        <v>15</v>
      </c>
      <c r="AA1" s="307" t="s">
        <v>1144</v>
      </c>
      <c r="AB1" s="307" t="s">
        <v>1143</v>
      </c>
      <c r="AC1" s="87" t="s">
        <v>818</v>
      </c>
      <c r="AE1" s="87" t="s">
        <v>818</v>
      </c>
      <c r="AG1" s="6" t="s">
        <v>589</v>
      </c>
      <c r="AK1" s="1" t="s">
        <v>721</v>
      </c>
    </row>
    <row r="2" spans="1:37" s="4" customFormat="1" ht="15.75" thickBot="1">
      <c r="A2" s="160" t="s">
        <v>0</v>
      </c>
      <c r="B2" s="160" t="s">
        <v>1</v>
      </c>
      <c r="C2" s="169" t="s">
        <v>684</v>
      </c>
      <c r="D2" s="161" t="s">
        <v>2</v>
      </c>
      <c r="E2" s="160" t="s">
        <v>3</v>
      </c>
      <c r="F2" s="4" t="s">
        <v>4</v>
      </c>
      <c r="G2" s="4" t="s">
        <v>5</v>
      </c>
      <c r="H2" s="5" t="s">
        <v>6</v>
      </c>
      <c r="I2" s="4" t="s">
        <v>7</v>
      </c>
      <c r="K2" s="4" t="s">
        <v>8</v>
      </c>
      <c r="L2" s="84" t="str">
        <f>$K$3&amp;$K$5&amp;L1&amp;".csv"</f>
        <v>Z:\humidity_bdless\newRHfix\50%FlowRateFix\Small Low 2 0.5 new CFIS 20 1.csv</v>
      </c>
      <c r="M2" s="84" t="str">
        <f t="shared" ref="M2:AB2" si="0">$K$3&amp;$K$5&amp;M1&amp;".csv"</f>
        <v>Z:\humidity_bdless\newRHfix\50%FlowRateFix\Small Low 2 0.5 new CFIS 20 2.csv</v>
      </c>
      <c r="N2" s="84" t="str">
        <f t="shared" si="0"/>
        <v>Z:\humidity_bdless\newRHfix\50%FlowRateFix\Small Low 2 0.5 new CFIS 20 3.csv</v>
      </c>
      <c r="O2" s="84" t="str">
        <f t="shared" si="0"/>
        <v>Z:\humidity_bdless\newRHfix\50%FlowRateFix\Small Low 2 0.5 new CFIS 20 4.csv</v>
      </c>
      <c r="P2" s="84" t="str">
        <f t="shared" si="0"/>
        <v>Z:\humidity_bdless\newRHfix\50%FlowRateFix\Small Low 2 0.5 new CFIS 20 5.csv</v>
      </c>
      <c r="Q2" s="84" t="str">
        <f t="shared" si="0"/>
        <v>Z:\humidity_bdless\newRHfix\50%FlowRateFix\Small Low 2 0.5 new CFIS 20 6.csv</v>
      </c>
      <c r="R2" s="84" t="str">
        <f t="shared" si="0"/>
        <v>Z:\humidity_bdless\newRHfix\50%FlowRateFix\Small Low 2 0.5 new CFIS 20 7.csv</v>
      </c>
      <c r="S2" s="84" t="str">
        <f t="shared" si="0"/>
        <v>Z:\humidity_bdless\newRHfix\50%FlowRateFix\Small Low 2 0.5 new CFIS 20 8.csv</v>
      </c>
      <c r="T2" s="84" t="str">
        <f t="shared" si="0"/>
        <v>Z:\humidity_bdless\newRHfix\50%FlowRateFix\Small Low 2 0.5 new CFIS 20 9.csv</v>
      </c>
      <c r="U2" s="84" t="str">
        <f t="shared" si="0"/>
        <v>Z:\humidity_bdless\newRHfix\50%FlowRateFix\Small Low 2 0.5 new CFIS 20 10.csv</v>
      </c>
      <c r="V2" s="84" t="str">
        <f t="shared" si="0"/>
        <v>Z:\humidity_bdless\newRHfix\50%FlowRateFix\Small Low 2 0.5 new CFIS 20 11.csv</v>
      </c>
      <c r="W2" s="84" t="str">
        <f t="shared" si="0"/>
        <v>Z:\humidity_bdless\newRHfix\50%FlowRateFix\Small Low 2 0.5 new CFIS 20 12.csv</v>
      </c>
      <c r="X2" s="84" t="str">
        <f t="shared" si="0"/>
        <v>Z:\humidity_bdless\newRHfix\50%FlowRateFix\Small Low 2 0.5 new CFIS 20 13.csv</v>
      </c>
      <c r="Y2" s="84" t="str">
        <f t="shared" si="0"/>
        <v>Z:\humidity_bdless\newRHfix\50%FlowRateFix\Small Low 2 0.5 new CFIS 20 14.csv</v>
      </c>
      <c r="Z2" s="84" t="str">
        <f t="shared" si="0"/>
        <v>Z:\humidity_bdless\newRHfix\50%FlowRateFix\Small Low 2 0.5 new CFIS 20 15.csv</v>
      </c>
      <c r="AA2" s="84" t="str">
        <f t="shared" si="0"/>
        <v>Z:\humidity_bdless\newRHfix\50%FlowRateFix\Small Low 2 0.5 new CFIS 20 Orlando.csv</v>
      </c>
      <c r="AB2" s="84" t="str">
        <f t="shared" si="0"/>
        <v>Z:\humidity_bdless\newRHfix\50%FlowRateFix\Small Low 2 0.5 new CFIS 20 Charleston.csv</v>
      </c>
      <c r="AC2" s="84" t="str">
        <f>$K$3&amp;AC1&amp;".csv"</f>
        <v>Z:\humidity_bdless\newRHfix\50%FlowRateFix\bat.csv</v>
      </c>
      <c r="AE2" s="88" t="str">
        <f>AE1&amp;".csv"</f>
        <v>bat.csv</v>
      </c>
      <c r="AK2" s="1" t="s">
        <v>722</v>
      </c>
    </row>
    <row r="3" spans="1:37" ht="15" customHeight="1" thickTop="1" thickBot="1">
      <c r="B3" s="6" t="s">
        <v>9</v>
      </c>
      <c r="C3" s="7" t="e">
        <f>Leakage!D13</f>
        <v>#N/A</v>
      </c>
      <c r="D3" s="2" t="s">
        <v>10</v>
      </c>
      <c r="E3" s="6" t="s">
        <v>613</v>
      </c>
      <c r="F3" s="6" t="s">
        <v>11</v>
      </c>
      <c r="G3" s="8" t="s">
        <v>12</v>
      </c>
      <c r="H3" s="3" t="s">
        <v>13</v>
      </c>
      <c r="J3" s="93" t="s">
        <v>1068</v>
      </c>
      <c r="K3" s="170" t="str">
        <f>"Z:\humidity_bdless\newRHfix\50%FlowRateFix\"</f>
        <v>Z:\humidity_bdless\newRHfix\50%FlowRateFix\</v>
      </c>
      <c r="L3" s="9">
        <f>Leakage!H32</f>
        <v>3.0346158521586643E-2</v>
      </c>
      <c r="M3" s="9">
        <f>Leakage!I32</f>
        <v>3.0346158521586643E-2</v>
      </c>
      <c r="N3" s="9">
        <f>Leakage!J32</f>
        <v>3.0346158521586643E-2</v>
      </c>
      <c r="O3" s="9">
        <f>Leakage!K32</f>
        <v>2.5288465434655537E-2</v>
      </c>
      <c r="P3" s="9">
        <f>Leakage!L32</f>
        <v>2.5288465434655537E-2</v>
      </c>
      <c r="Q3" s="9">
        <f>Leakage!M32</f>
        <v>2.5288465434655537E-2</v>
      </c>
      <c r="R3" s="9">
        <f>Leakage!N32</f>
        <v>2.5288465434655537E-2</v>
      </c>
      <c r="S3" s="9">
        <f>Leakage!O32</f>
        <v>2.5288465434655537E-2</v>
      </c>
      <c r="T3" s="9">
        <f>Leakage!P32</f>
        <v>2.5288465434655537E-2</v>
      </c>
      <c r="U3" s="9">
        <f>Leakage!Q32</f>
        <v>2.023077234772443E-2</v>
      </c>
      <c r="V3" s="9">
        <f>Leakage!R32</f>
        <v>2.023077234772443E-2</v>
      </c>
      <c r="W3" s="9">
        <f>Leakage!S32</f>
        <v>2.023077234772443E-2</v>
      </c>
      <c r="X3" s="9">
        <f>Leakage!T32</f>
        <v>2.023077234772443E-2</v>
      </c>
      <c r="Y3" s="9">
        <f>Leakage!U32</f>
        <v>2.023077234772443E-2</v>
      </c>
      <c r="Z3" s="9">
        <f>Leakage!V32</f>
        <v>1.5173079260793322E-2</v>
      </c>
      <c r="AA3" s="9">
        <f>Leakage!W32</f>
        <v>3.0346158521586643E-2</v>
      </c>
      <c r="AB3" s="9">
        <f>Leakage!X32</f>
        <v>2.5288465434655537E-2</v>
      </c>
      <c r="AC3" s="418">
        <f>C_no</f>
        <v>17</v>
      </c>
      <c r="AE3" s="87">
        <f>COUNT(K19:K34)</f>
        <v>0</v>
      </c>
      <c r="AF3" s="6">
        <f>IF(L3=Z3,0,1)</f>
        <v>1</v>
      </c>
      <c r="AK3" s="6" t="s">
        <v>723</v>
      </c>
    </row>
    <row r="4" spans="1:37" ht="15" customHeight="1" thickTop="1" thickBot="1">
      <c r="B4" s="6" t="s">
        <v>14</v>
      </c>
      <c r="C4" s="10">
        <v>0.67</v>
      </c>
      <c r="D4" s="2" t="s">
        <v>10</v>
      </c>
      <c r="E4" s="6" t="s">
        <v>15</v>
      </c>
      <c r="F4" s="6" t="s">
        <v>16</v>
      </c>
      <c r="H4" s="3" t="s">
        <v>17</v>
      </c>
      <c r="K4" s="4" t="s">
        <v>18</v>
      </c>
      <c r="L4" s="218">
        <f>Leakage!H33</f>
        <v>0.67</v>
      </c>
      <c r="M4" s="218">
        <f>Leakage!I33</f>
        <v>0.67</v>
      </c>
      <c r="N4" s="218">
        <f>Leakage!J33</f>
        <v>0.67</v>
      </c>
      <c r="O4" s="218">
        <f>Leakage!K33</f>
        <v>0.67</v>
      </c>
      <c r="P4" s="218">
        <f>Leakage!L33</f>
        <v>0.67</v>
      </c>
      <c r="Q4" s="218">
        <f>Leakage!M33</f>
        <v>0.67</v>
      </c>
      <c r="R4" s="218">
        <f>Leakage!N33</f>
        <v>0.67</v>
      </c>
      <c r="S4" s="218">
        <f>Leakage!O33</f>
        <v>0.67</v>
      </c>
      <c r="T4" s="218">
        <f>Leakage!P33</f>
        <v>0.67</v>
      </c>
      <c r="U4" s="218">
        <f>Leakage!Q33</f>
        <v>0.67</v>
      </c>
      <c r="V4" s="218">
        <f>Leakage!R33</f>
        <v>0.67</v>
      </c>
      <c r="W4" s="218">
        <f>Leakage!S33</f>
        <v>0.67</v>
      </c>
      <c r="X4" s="218">
        <f>Leakage!T33</f>
        <v>0.67</v>
      </c>
      <c r="Y4" s="218">
        <f>Leakage!U33</f>
        <v>0.67</v>
      </c>
      <c r="Z4" s="218">
        <f>Leakage!V33</f>
        <v>0.67</v>
      </c>
      <c r="AA4" s="218">
        <f>Leakage!W33</f>
        <v>0.67</v>
      </c>
      <c r="AB4" s="218">
        <f>Leakage!X33</f>
        <v>0.67</v>
      </c>
      <c r="AC4" s="418" t="str">
        <f>IF($K$7&gt;=AD4,C_name&amp;AD4+$K$9-1,"")</f>
        <v>Small Low 2 0.5 new CFIS 20 1</v>
      </c>
      <c r="AD4" s="6">
        <v>1</v>
      </c>
      <c r="AE4" s="87" t="str">
        <f>IF(K19&lt;&gt;"",C_name&amp;$K$19,"")</f>
        <v/>
      </c>
      <c r="AF4" s="375">
        <f t="shared" ref="AF4:AF67" si="1">IF(L4=Z4,0,1)</f>
        <v>0</v>
      </c>
      <c r="AK4" s="6" t="s">
        <v>724</v>
      </c>
    </row>
    <row r="5" spans="1:37" ht="15" customHeight="1" thickTop="1" thickBot="1">
      <c r="B5" s="6" t="s">
        <v>583</v>
      </c>
      <c r="C5" s="10">
        <f>C76</f>
        <v>5.6</v>
      </c>
      <c r="D5" s="2" t="s">
        <v>10</v>
      </c>
      <c r="E5" s="6" t="s">
        <v>19</v>
      </c>
      <c r="F5" s="6" t="s">
        <v>20</v>
      </c>
      <c r="H5" s="3" t="s">
        <v>21</v>
      </c>
      <c r="J5" s="89" t="s">
        <v>1068</v>
      </c>
      <c r="K5" s="170" t="str">
        <f>CONCATENATE(A1," ",B1," ",C1," ",D1," ",E1," ",J1," ",K1," ")</f>
        <v xml:space="preserve">Small Low 2 0.5 new CFIS 20 </v>
      </c>
      <c r="L5" s="218">
        <f t="shared" ref="L5:L53" si="2">C5</f>
        <v>5.6</v>
      </c>
      <c r="M5" s="218">
        <f t="shared" ref="M5:AB18" si="3">L5</f>
        <v>5.6</v>
      </c>
      <c r="N5" s="218">
        <f t="shared" si="3"/>
        <v>5.6</v>
      </c>
      <c r="O5" s="218">
        <f t="shared" si="3"/>
        <v>5.6</v>
      </c>
      <c r="P5" s="218">
        <f t="shared" si="3"/>
        <v>5.6</v>
      </c>
      <c r="Q5" s="218">
        <f t="shared" si="3"/>
        <v>5.6</v>
      </c>
      <c r="R5" s="218">
        <f t="shared" si="3"/>
        <v>5.6</v>
      </c>
      <c r="S5" s="218">
        <f t="shared" si="3"/>
        <v>5.6</v>
      </c>
      <c r="T5" s="218">
        <f t="shared" si="3"/>
        <v>5.6</v>
      </c>
      <c r="U5" s="218">
        <f t="shared" si="3"/>
        <v>5.6</v>
      </c>
      <c r="V5" s="218">
        <f t="shared" si="3"/>
        <v>5.6</v>
      </c>
      <c r="W5" s="218">
        <f t="shared" si="3"/>
        <v>5.6</v>
      </c>
      <c r="X5" s="218">
        <f t="shared" si="3"/>
        <v>5.6</v>
      </c>
      <c r="Y5" s="218">
        <f t="shared" si="3"/>
        <v>5.6</v>
      </c>
      <c r="Z5" s="218">
        <f t="shared" si="3"/>
        <v>5.6</v>
      </c>
      <c r="AA5" s="218">
        <f t="shared" si="3"/>
        <v>5.6</v>
      </c>
      <c r="AB5" s="218">
        <f t="shared" si="3"/>
        <v>5.6</v>
      </c>
      <c r="AC5" s="418" t="str">
        <f>IF(AND($K$11="yes",$K$7&gt;=AD5),IF($K$9&lt;10,"0"&amp;+$K$9,$K$9),IF($K$7&gt;=AD5,IF((AD5+$K$9-1)&lt;10,"0"&amp;AD5+$K$9-1,AD6+$K$9-1),""))</f>
        <v>01</v>
      </c>
      <c r="AD5" s="6">
        <v>1</v>
      </c>
      <c r="AE5" s="87">
        <f>IF(AND(K19&lt;&gt;"",K19&lt;10),"0"&amp;K19,K19)</f>
        <v>0</v>
      </c>
      <c r="AF5" s="375">
        <f t="shared" si="1"/>
        <v>0</v>
      </c>
      <c r="AK5" s="6" t="s">
        <v>725</v>
      </c>
    </row>
    <row r="6" spans="1:37" ht="15" customHeight="1" thickTop="1" thickBot="1">
      <c r="B6" s="6" t="s">
        <v>22</v>
      </c>
      <c r="C6" s="10">
        <f>Leakage!H10</f>
        <v>0.5</v>
      </c>
      <c r="D6" s="2" t="s">
        <v>10</v>
      </c>
      <c r="E6" s="75" t="s">
        <v>640</v>
      </c>
      <c r="G6" s="8" t="s">
        <v>23</v>
      </c>
      <c r="H6" s="3" t="s">
        <v>13</v>
      </c>
      <c r="I6" s="6" t="s">
        <v>24</v>
      </c>
      <c r="K6" s="4" t="s">
        <v>25</v>
      </c>
      <c r="L6" s="218">
        <f t="shared" si="2"/>
        <v>0.5</v>
      </c>
      <c r="M6" s="218">
        <f t="shared" si="3"/>
        <v>0.5</v>
      </c>
      <c r="N6" s="218">
        <f t="shared" si="3"/>
        <v>0.5</v>
      </c>
      <c r="O6" s="218">
        <f t="shared" si="3"/>
        <v>0.5</v>
      </c>
      <c r="P6" s="218">
        <f t="shared" si="3"/>
        <v>0.5</v>
      </c>
      <c r="Q6" s="218">
        <f t="shared" si="3"/>
        <v>0.5</v>
      </c>
      <c r="R6" s="218">
        <f t="shared" si="3"/>
        <v>0.5</v>
      </c>
      <c r="S6" s="218">
        <f t="shared" si="3"/>
        <v>0.5</v>
      </c>
      <c r="T6" s="218">
        <f t="shared" si="3"/>
        <v>0.5</v>
      </c>
      <c r="U6" s="218">
        <f t="shared" si="3"/>
        <v>0.5</v>
      </c>
      <c r="V6" s="218">
        <f t="shared" si="3"/>
        <v>0.5</v>
      </c>
      <c r="W6" s="218">
        <f t="shared" si="3"/>
        <v>0.5</v>
      </c>
      <c r="X6" s="218">
        <f t="shared" si="3"/>
        <v>0.5</v>
      </c>
      <c r="Y6" s="218">
        <f t="shared" si="3"/>
        <v>0.5</v>
      </c>
      <c r="Z6" s="218">
        <f t="shared" si="3"/>
        <v>0.5</v>
      </c>
      <c r="AA6" s="218">
        <f t="shared" si="3"/>
        <v>0.5</v>
      </c>
      <c r="AB6" s="218">
        <f t="shared" si="3"/>
        <v>0.5</v>
      </c>
      <c r="AC6" s="418" t="str">
        <f>IF($K$7&gt;=AD6,C_name&amp;AD6+$K$9-1,"")</f>
        <v>Small Low 2 0.5 new CFIS 20 1</v>
      </c>
      <c r="AD6" s="6">
        <v>1</v>
      </c>
      <c r="AE6" s="87" t="str">
        <f>IF(K19&lt;&gt;"",C_name&amp;$K$19,"")</f>
        <v/>
      </c>
      <c r="AF6" s="375">
        <f t="shared" si="1"/>
        <v>0</v>
      </c>
      <c r="AK6" s="6" t="s">
        <v>726</v>
      </c>
    </row>
    <row r="7" spans="1:37" ht="15" customHeight="1" thickTop="1" thickBot="1">
      <c r="A7" s="159"/>
      <c r="B7" s="124" t="s">
        <v>26</v>
      </c>
      <c r="C7" s="155">
        <f>Leakage!H11</f>
        <v>0</v>
      </c>
      <c r="D7" s="156" t="s">
        <v>10</v>
      </c>
      <c r="E7" s="172" t="s">
        <v>641</v>
      </c>
      <c r="G7" s="8" t="s">
        <v>23</v>
      </c>
      <c r="H7" s="3" t="s">
        <v>13</v>
      </c>
      <c r="K7" s="170">
        <v>17</v>
      </c>
      <c r="L7" s="218">
        <f t="shared" si="2"/>
        <v>0</v>
      </c>
      <c r="M7" s="218">
        <f t="shared" si="3"/>
        <v>0</v>
      </c>
      <c r="N7" s="218">
        <f t="shared" si="3"/>
        <v>0</v>
      </c>
      <c r="O7" s="218">
        <f t="shared" si="3"/>
        <v>0</v>
      </c>
      <c r="P7" s="218">
        <f t="shared" si="3"/>
        <v>0</v>
      </c>
      <c r="Q7" s="218">
        <f t="shared" si="3"/>
        <v>0</v>
      </c>
      <c r="R7" s="218">
        <f t="shared" si="3"/>
        <v>0</v>
      </c>
      <c r="S7" s="218">
        <f t="shared" si="3"/>
        <v>0</v>
      </c>
      <c r="T7" s="218">
        <f t="shared" si="3"/>
        <v>0</v>
      </c>
      <c r="U7" s="218">
        <f t="shared" si="3"/>
        <v>0</v>
      </c>
      <c r="V7" s="218">
        <f t="shared" si="3"/>
        <v>0</v>
      </c>
      <c r="W7" s="218">
        <f t="shared" si="3"/>
        <v>0</v>
      </c>
      <c r="X7" s="218">
        <f t="shared" si="3"/>
        <v>0</v>
      </c>
      <c r="Y7" s="218">
        <f t="shared" si="3"/>
        <v>0</v>
      </c>
      <c r="Z7" s="218">
        <f t="shared" si="3"/>
        <v>0</v>
      </c>
      <c r="AA7" s="218">
        <f t="shared" si="3"/>
        <v>0</v>
      </c>
      <c r="AB7" s="218">
        <f t="shared" si="3"/>
        <v>0</v>
      </c>
      <c r="AC7" s="418" t="str">
        <f>IF($K$7&gt;=AD7,C_name&amp;AD7+$K$9-1,"")</f>
        <v>Small Low 2 0.5 new CFIS 20 2</v>
      </c>
      <c r="AD7" s="6">
        <f>AD4+1</f>
        <v>2</v>
      </c>
      <c r="AE7" s="87" t="str">
        <f>IF(K20&lt;&gt;"",C_name&amp;$K$20,"")</f>
        <v/>
      </c>
      <c r="AF7" s="375">
        <f t="shared" si="1"/>
        <v>0</v>
      </c>
      <c r="AK7" s="6" t="s">
        <v>727</v>
      </c>
    </row>
    <row r="8" spans="1:37" ht="15" customHeight="1" thickTop="1" thickBot="1">
      <c r="A8" s="4" t="s">
        <v>27</v>
      </c>
      <c r="B8" s="6" t="s">
        <v>28</v>
      </c>
      <c r="C8" s="10">
        <v>0</v>
      </c>
      <c r="D8" s="2" t="s">
        <v>10</v>
      </c>
      <c r="E8" s="75" t="s">
        <v>29</v>
      </c>
      <c r="G8" s="8"/>
      <c r="H8" s="3" t="s">
        <v>17</v>
      </c>
      <c r="K8" s="4" t="s">
        <v>30</v>
      </c>
      <c r="L8" s="186">
        <f t="shared" si="2"/>
        <v>0</v>
      </c>
      <c r="M8" s="186">
        <f t="shared" si="3"/>
        <v>0</v>
      </c>
      <c r="N8" s="186">
        <f t="shared" si="3"/>
        <v>0</v>
      </c>
      <c r="O8" s="186">
        <f t="shared" si="3"/>
        <v>0</v>
      </c>
      <c r="P8" s="186">
        <f t="shared" si="3"/>
        <v>0</v>
      </c>
      <c r="Q8" s="186">
        <f t="shared" si="3"/>
        <v>0</v>
      </c>
      <c r="R8" s="186">
        <f t="shared" si="3"/>
        <v>0</v>
      </c>
      <c r="S8" s="186">
        <f t="shared" si="3"/>
        <v>0</v>
      </c>
      <c r="T8" s="186">
        <f t="shared" si="3"/>
        <v>0</v>
      </c>
      <c r="U8" s="186">
        <f t="shared" si="3"/>
        <v>0</v>
      </c>
      <c r="V8" s="186">
        <f t="shared" si="3"/>
        <v>0</v>
      </c>
      <c r="W8" s="186">
        <f t="shared" si="3"/>
        <v>0</v>
      </c>
      <c r="X8" s="186">
        <f t="shared" si="3"/>
        <v>0</v>
      </c>
      <c r="Y8" s="186">
        <f t="shared" si="3"/>
        <v>0</v>
      </c>
      <c r="Z8" s="186">
        <f t="shared" si="3"/>
        <v>0</v>
      </c>
      <c r="AA8" s="186">
        <f t="shared" si="3"/>
        <v>0</v>
      </c>
      <c r="AB8" s="186">
        <f t="shared" si="3"/>
        <v>0</v>
      </c>
      <c r="AC8" s="418" t="str">
        <f>IF(AND($K$11="yes",$K$7&gt;=AD8),IF($K$9&lt;10,"0"&amp;+$K$9,$K$9),IF($K$7&gt;=AD8,IF((AD8+$K$9-1)&lt;10,"0"&amp;AD8+$K$9-1,AD9+$K$9-1),""))</f>
        <v>02</v>
      </c>
      <c r="AD8" s="6">
        <f t="shared" ref="AD8:AD51" si="4">AD5+1</f>
        <v>2</v>
      </c>
      <c r="AE8" s="87">
        <f>IF(AND(K20&lt;&gt;"",K20&lt;10),"0"&amp;K20,K20)</f>
        <v>0</v>
      </c>
      <c r="AF8" s="375">
        <f t="shared" si="1"/>
        <v>0</v>
      </c>
      <c r="AK8" s="6" t="s">
        <v>728</v>
      </c>
    </row>
    <row r="9" spans="1:37" ht="15" customHeight="1" thickTop="1" thickBot="1">
      <c r="B9" s="164" t="s">
        <v>545</v>
      </c>
      <c r="C9" s="284">
        <f>C_flueSI</f>
        <v>1.9281086206186945E-2</v>
      </c>
      <c r="D9" s="163" t="s">
        <v>10</v>
      </c>
      <c r="E9" s="187" t="s">
        <v>31</v>
      </c>
      <c r="F9" s="6" t="s">
        <v>32</v>
      </c>
      <c r="G9" s="8" t="s">
        <v>23</v>
      </c>
      <c r="H9" s="3" t="s">
        <v>33</v>
      </c>
      <c r="K9" s="170">
        <v>1</v>
      </c>
      <c r="L9" s="285">
        <f t="shared" si="2"/>
        <v>1.9281086206186945E-2</v>
      </c>
      <c r="M9" s="285">
        <f t="shared" si="3"/>
        <v>1.9281086206186945E-2</v>
      </c>
      <c r="N9" s="285">
        <f t="shared" si="3"/>
        <v>1.9281086206186945E-2</v>
      </c>
      <c r="O9" s="285">
        <f t="shared" si="3"/>
        <v>1.9281086206186945E-2</v>
      </c>
      <c r="P9" s="285">
        <f t="shared" si="3"/>
        <v>1.9281086206186945E-2</v>
      </c>
      <c r="Q9" s="285">
        <f t="shared" si="3"/>
        <v>1.9281086206186945E-2</v>
      </c>
      <c r="R9" s="285">
        <f t="shared" si="3"/>
        <v>1.9281086206186945E-2</v>
      </c>
      <c r="S9" s="285">
        <f t="shared" si="3"/>
        <v>1.9281086206186945E-2</v>
      </c>
      <c r="T9" s="285">
        <f t="shared" si="3"/>
        <v>1.9281086206186945E-2</v>
      </c>
      <c r="U9" s="285">
        <f t="shared" si="3"/>
        <v>1.9281086206186945E-2</v>
      </c>
      <c r="V9" s="285">
        <f t="shared" si="3"/>
        <v>1.9281086206186945E-2</v>
      </c>
      <c r="W9" s="285">
        <f t="shared" si="3"/>
        <v>1.9281086206186945E-2</v>
      </c>
      <c r="X9" s="285">
        <f t="shared" si="3"/>
        <v>1.9281086206186945E-2</v>
      </c>
      <c r="Y9" s="285">
        <f t="shared" si="3"/>
        <v>1.9281086206186945E-2</v>
      </c>
      <c r="Z9" s="285">
        <f t="shared" si="3"/>
        <v>1.9281086206186945E-2</v>
      </c>
      <c r="AA9" s="285">
        <f t="shared" si="3"/>
        <v>1.9281086206186945E-2</v>
      </c>
      <c r="AB9" s="285">
        <f t="shared" si="3"/>
        <v>1.9281086206186945E-2</v>
      </c>
      <c r="AC9" s="418" t="str">
        <f>IF($K$7&gt;=AD9,C_name&amp;AD9+$K$9-1,"")</f>
        <v>Small Low 2 0.5 new CFIS 20 2</v>
      </c>
      <c r="AD9" s="6">
        <f t="shared" si="4"/>
        <v>2</v>
      </c>
      <c r="AE9" s="87" t="str">
        <f>IF(K20&lt;&gt;"",C_name&amp;$K$20,"")</f>
        <v/>
      </c>
      <c r="AF9" s="375">
        <f t="shared" si="1"/>
        <v>0</v>
      </c>
      <c r="AK9" s="6" t="s">
        <v>729</v>
      </c>
    </row>
    <row r="10" spans="1:37" ht="15" customHeight="1" thickTop="1" thickBot="1">
      <c r="B10" s="165" t="s">
        <v>546</v>
      </c>
      <c r="C10" s="12">
        <f>H_flueSI</f>
        <v>6.7783333333333324</v>
      </c>
      <c r="D10" s="154" t="s">
        <v>10</v>
      </c>
      <c r="E10" s="188" t="s">
        <v>34</v>
      </c>
      <c r="H10" s="3" t="s">
        <v>35</v>
      </c>
      <c r="K10" s="4" t="s">
        <v>36</v>
      </c>
      <c r="L10" s="218">
        <f t="shared" si="2"/>
        <v>6.7783333333333324</v>
      </c>
      <c r="M10" s="218">
        <f t="shared" si="3"/>
        <v>6.7783333333333324</v>
      </c>
      <c r="N10" s="218">
        <f t="shared" si="3"/>
        <v>6.7783333333333324</v>
      </c>
      <c r="O10" s="218">
        <f t="shared" si="3"/>
        <v>6.7783333333333324</v>
      </c>
      <c r="P10" s="218">
        <f t="shared" si="3"/>
        <v>6.7783333333333324</v>
      </c>
      <c r="Q10" s="218">
        <f t="shared" si="3"/>
        <v>6.7783333333333324</v>
      </c>
      <c r="R10" s="218">
        <f t="shared" si="3"/>
        <v>6.7783333333333324</v>
      </c>
      <c r="S10" s="218">
        <f t="shared" si="3"/>
        <v>6.7783333333333324</v>
      </c>
      <c r="T10" s="218">
        <f t="shared" si="3"/>
        <v>6.7783333333333324</v>
      </c>
      <c r="U10" s="218">
        <f t="shared" si="3"/>
        <v>6.7783333333333324</v>
      </c>
      <c r="V10" s="218">
        <f t="shared" si="3"/>
        <v>6.7783333333333324</v>
      </c>
      <c r="W10" s="218">
        <f t="shared" si="3"/>
        <v>6.7783333333333324</v>
      </c>
      <c r="X10" s="218">
        <f t="shared" si="3"/>
        <v>6.7783333333333324</v>
      </c>
      <c r="Y10" s="218">
        <f t="shared" si="3"/>
        <v>6.7783333333333324</v>
      </c>
      <c r="Z10" s="218">
        <f t="shared" si="3"/>
        <v>6.7783333333333324</v>
      </c>
      <c r="AA10" s="218">
        <f t="shared" si="3"/>
        <v>6.7783333333333324</v>
      </c>
      <c r="AB10" s="218">
        <f t="shared" si="3"/>
        <v>6.7783333333333324</v>
      </c>
      <c r="AC10" s="418" t="str">
        <f>IF($K$7&gt;=AD10,C_name&amp;AD10+$K$9-1,"")</f>
        <v>Small Low 2 0.5 new CFIS 20 4</v>
      </c>
      <c r="AD10" s="6">
        <f>AD7+2</f>
        <v>4</v>
      </c>
      <c r="AE10" s="87" t="str">
        <f>IF(K21&lt;&gt;"",C_name&amp;$K$21,"")</f>
        <v/>
      </c>
      <c r="AF10" s="375">
        <f t="shared" si="1"/>
        <v>0</v>
      </c>
      <c r="AK10" s="6" t="s">
        <v>730</v>
      </c>
    </row>
    <row r="11" spans="1:37" ht="15" customHeight="1" thickTop="1" thickBot="1">
      <c r="B11" s="166" t="s">
        <v>547</v>
      </c>
      <c r="C11" s="171">
        <v>-99</v>
      </c>
      <c r="D11" s="156" t="s">
        <v>10</v>
      </c>
      <c r="E11" s="189" t="s">
        <v>595</v>
      </c>
      <c r="F11" s="6" t="s">
        <v>38</v>
      </c>
      <c r="H11" s="3" t="s">
        <v>17</v>
      </c>
      <c r="K11" s="170" t="s">
        <v>39</v>
      </c>
      <c r="L11" s="186">
        <f t="shared" si="2"/>
        <v>-99</v>
      </c>
      <c r="M11" s="186">
        <f t="shared" si="3"/>
        <v>-99</v>
      </c>
      <c r="N11" s="186">
        <f t="shared" si="3"/>
        <v>-99</v>
      </c>
      <c r="O11" s="186">
        <f t="shared" si="3"/>
        <v>-99</v>
      </c>
      <c r="P11" s="186">
        <f t="shared" si="3"/>
        <v>-99</v>
      </c>
      <c r="Q11" s="186">
        <f t="shared" si="3"/>
        <v>-99</v>
      </c>
      <c r="R11" s="186">
        <f t="shared" si="3"/>
        <v>-99</v>
      </c>
      <c r="S11" s="186">
        <f t="shared" si="3"/>
        <v>-99</v>
      </c>
      <c r="T11" s="186">
        <f t="shared" si="3"/>
        <v>-99</v>
      </c>
      <c r="U11" s="186">
        <f t="shared" si="3"/>
        <v>-99</v>
      </c>
      <c r="V11" s="186">
        <f t="shared" si="3"/>
        <v>-99</v>
      </c>
      <c r="W11" s="186">
        <f t="shared" si="3"/>
        <v>-99</v>
      </c>
      <c r="X11" s="186">
        <f t="shared" si="3"/>
        <v>-99</v>
      </c>
      <c r="Y11" s="186">
        <f t="shared" si="3"/>
        <v>-99</v>
      </c>
      <c r="Z11" s="186">
        <f t="shared" si="3"/>
        <v>-99</v>
      </c>
      <c r="AA11" s="186">
        <f t="shared" si="3"/>
        <v>-99</v>
      </c>
      <c r="AB11" s="186">
        <f t="shared" si="3"/>
        <v>-99</v>
      </c>
      <c r="AC11" s="418" t="str">
        <f>IF(AND($K$11="yes",$K$7&gt;=AD11),IF($K$9&lt;10,"0"&amp;+$K$9,$K$9),IF($K$7&gt;=AD11,IF((AD11+$K$9-1)&lt;10,"0"&amp;AD11+$K$9-1,AD12+$K$9-1),""))</f>
        <v>04</v>
      </c>
      <c r="AD11" s="375">
        <f>AD8+2</f>
        <v>4</v>
      </c>
      <c r="AE11" s="87">
        <f>IF(AND(K21&lt;&gt;"",K21&lt;10),"0"&amp;K21,K21)</f>
        <v>0</v>
      </c>
      <c r="AF11" s="375">
        <f t="shared" si="1"/>
        <v>0</v>
      </c>
      <c r="AK11" s="6" t="s">
        <v>731</v>
      </c>
    </row>
    <row r="12" spans="1:37" ht="15" customHeight="1" thickTop="1">
      <c r="B12" s="164" t="s">
        <v>545</v>
      </c>
      <c r="C12" s="167">
        <v>0</v>
      </c>
      <c r="D12" s="163" t="s">
        <v>10</v>
      </c>
      <c r="E12" s="132" t="s">
        <v>31</v>
      </c>
      <c r="F12" s="6" t="s">
        <v>691</v>
      </c>
      <c r="H12" s="3" t="s">
        <v>33</v>
      </c>
      <c r="I12" s="6" t="str">
        <f>L2</f>
        <v>Z:\humidity_bdless\newRHfix\50%FlowRateFix\Small Low 2 0.5 new CFIS 20 1.csv</v>
      </c>
      <c r="K12" s="6" t="str">
        <f>"C:\RC++\in\VentilationTempControl\UpsizedFans\"&amp;"bat"&amp;".csv"</f>
        <v>C:\RC++\in\VentilationTempControl\UpsizedFans\bat.csv</v>
      </c>
      <c r="L12" s="218">
        <f t="shared" si="2"/>
        <v>0</v>
      </c>
      <c r="M12" s="218">
        <f t="shared" si="3"/>
        <v>0</v>
      </c>
      <c r="N12" s="218">
        <f t="shared" si="3"/>
        <v>0</v>
      </c>
      <c r="O12" s="218">
        <f t="shared" si="3"/>
        <v>0</v>
      </c>
      <c r="P12" s="218">
        <f t="shared" si="3"/>
        <v>0</v>
      </c>
      <c r="Q12" s="218">
        <f t="shared" si="3"/>
        <v>0</v>
      </c>
      <c r="R12" s="218">
        <f t="shared" si="3"/>
        <v>0</v>
      </c>
      <c r="S12" s="218">
        <f t="shared" si="3"/>
        <v>0</v>
      </c>
      <c r="T12" s="218">
        <f t="shared" si="3"/>
        <v>0</v>
      </c>
      <c r="U12" s="218">
        <f t="shared" si="3"/>
        <v>0</v>
      </c>
      <c r="V12" s="218">
        <f t="shared" si="3"/>
        <v>0</v>
      </c>
      <c r="W12" s="218">
        <f t="shared" si="3"/>
        <v>0</v>
      </c>
      <c r="X12" s="218">
        <f t="shared" si="3"/>
        <v>0</v>
      </c>
      <c r="Y12" s="218">
        <f t="shared" si="3"/>
        <v>0</v>
      </c>
      <c r="Z12" s="218">
        <f t="shared" si="3"/>
        <v>0</v>
      </c>
      <c r="AA12" s="218">
        <f t="shared" si="3"/>
        <v>0</v>
      </c>
      <c r="AB12" s="218">
        <f t="shared" si="3"/>
        <v>0</v>
      </c>
      <c r="AC12" s="418" t="str">
        <f>IF($K$7&gt;=AD12,C_name&amp;AD12+$K$9-1,"")</f>
        <v>Small Low 2 0.5 new CFIS 20 4</v>
      </c>
      <c r="AD12" s="375">
        <f>AD9+2</f>
        <v>4</v>
      </c>
      <c r="AE12" s="87" t="str">
        <f>IF(K21&lt;&gt;"",C_name&amp;$K$21,"")</f>
        <v/>
      </c>
      <c r="AF12" s="375">
        <f t="shared" si="1"/>
        <v>0</v>
      </c>
      <c r="AK12" s="6" t="s">
        <v>732</v>
      </c>
    </row>
    <row r="13" spans="1:37" ht="15" customHeight="1">
      <c r="B13" s="165" t="s">
        <v>546</v>
      </c>
      <c r="C13" s="12">
        <f>C10</f>
        <v>6.7783333333333324</v>
      </c>
      <c r="D13" s="154" t="s">
        <v>10</v>
      </c>
      <c r="E13" s="114" t="s">
        <v>34</v>
      </c>
      <c r="H13" s="3" t="s">
        <v>35</v>
      </c>
      <c r="L13" s="218">
        <f t="shared" si="2"/>
        <v>6.7783333333333324</v>
      </c>
      <c r="M13" s="218">
        <f t="shared" si="3"/>
        <v>6.7783333333333324</v>
      </c>
      <c r="N13" s="218">
        <f t="shared" si="3"/>
        <v>6.7783333333333324</v>
      </c>
      <c r="O13" s="218">
        <f t="shared" si="3"/>
        <v>6.7783333333333324</v>
      </c>
      <c r="P13" s="218">
        <f t="shared" si="3"/>
        <v>6.7783333333333324</v>
      </c>
      <c r="Q13" s="218">
        <f t="shared" si="3"/>
        <v>6.7783333333333324</v>
      </c>
      <c r="R13" s="218">
        <f t="shared" si="3"/>
        <v>6.7783333333333324</v>
      </c>
      <c r="S13" s="218">
        <f t="shared" si="3"/>
        <v>6.7783333333333324</v>
      </c>
      <c r="T13" s="218">
        <f t="shared" si="3"/>
        <v>6.7783333333333324</v>
      </c>
      <c r="U13" s="218">
        <f t="shared" si="3"/>
        <v>6.7783333333333324</v>
      </c>
      <c r="V13" s="218">
        <f t="shared" si="3"/>
        <v>6.7783333333333324</v>
      </c>
      <c r="W13" s="218">
        <f t="shared" si="3"/>
        <v>6.7783333333333324</v>
      </c>
      <c r="X13" s="218">
        <f t="shared" si="3"/>
        <v>6.7783333333333324</v>
      </c>
      <c r="Y13" s="218">
        <f t="shared" si="3"/>
        <v>6.7783333333333324</v>
      </c>
      <c r="Z13" s="218">
        <f t="shared" si="3"/>
        <v>6.7783333333333324</v>
      </c>
      <c r="AA13" s="218">
        <f t="shared" si="3"/>
        <v>6.7783333333333324</v>
      </c>
      <c r="AB13" s="218">
        <f t="shared" si="3"/>
        <v>6.7783333333333324</v>
      </c>
      <c r="AC13" s="418" t="str">
        <f>IF($K$7&gt;=AD13,C_name&amp;AD13+$K$9-1,"")</f>
        <v>Small Low 2 0.5 new CFIS 20 7</v>
      </c>
      <c r="AD13" s="6">
        <f>AD10+3</f>
        <v>7</v>
      </c>
      <c r="AE13" s="87" t="str">
        <f>IF(K22&lt;&gt;"",C_name&amp;$K$22,"")</f>
        <v/>
      </c>
      <c r="AF13" s="375">
        <f t="shared" si="1"/>
        <v>0</v>
      </c>
      <c r="AK13" s="6" t="s">
        <v>733</v>
      </c>
    </row>
    <row r="14" spans="1:37" ht="15" customHeight="1">
      <c r="B14" s="166" t="s">
        <v>547</v>
      </c>
      <c r="C14" s="171">
        <f>C11</f>
        <v>-99</v>
      </c>
      <c r="D14" s="156" t="s">
        <v>10</v>
      </c>
      <c r="E14" s="109" t="s">
        <v>37</v>
      </c>
      <c r="H14" s="3" t="s">
        <v>17</v>
      </c>
      <c r="L14" s="186">
        <f t="shared" si="2"/>
        <v>-99</v>
      </c>
      <c r="M14" s="186">
        <f t="shared" si="3"/>
        <v>-99</v>
      </c>
      <c r="N14" s="186">
        <f t="shared" si="3"/>
        <v>-99</v>
      </c>
      <c r="O14" s="186">
        <f t="shared" si="3"/>
        <v>-99</v>
      </c>
      <c r="P14" s="186">
        <f t="shared" si="3"/>
        <v>-99</v>
      </c>
      <c r="Q14" s="186">
        <f t="shared" si="3"/>
        <v>-99</v>
      </c>
      <c r="R14" s="186">
        <f t="shared" si="3"/>
        <v>-99</v>
      </c>
      <c r="S14" s="186">
        <f t="shared" si="3"/>
        <v>-99</v>
      </c>
      <c r="T14" s="186">
        <f t="shared" si="3"/>
        <v>-99</v>
      </c>
      <c r="U14" s="186">
        <f t="shared" si="3"/>
        <v>-99</v>
      </c>
      <c r="V14" s="186">
        <f t="shared" si="3"/>
        <v>-99</v>
      </c>
      <c r="W14" s="186">
        <f t="shared" si="3"/>
        <v>-99</v>
      </c>
      <c r="X14" s="186">
        <f t="shared" si="3"/>
        <v>-99</v>
      </c>
      <c r="Y14" s="186">
        <f t="shared" si="3"/>
        <v>-99</v>
      </c>
      <c r="Z14" s="186">
        <f t="shared" si="3"/>
        <v>-99</v>
      </c>
      <c r="AA14" s="186">
        <f t="shared" si="3"/>
        <v>-99</v>
      </c>
      <c r="AB14" s="186">
        <f t="shared" si="3"/>
        <v>-99</v>
      </c>
      <c r="AC14" s="418" t="str">
        <f>IF(AND($K$11="yes",$K$7&gt;=AD14),IF($K$9&lt;10,"0"&amp;+$K$9,$K$9),IF($K$7&gt;=AD14,IF((AD14+$K$9-1)&lt;10,"0"&amp;AD14+$K$9-1,AD15+$K$9-1),""))</f>
        <v>07</v>
      </c>
      <c r="AD14" s="375">
        <f>AD11+3</f>
        <v>7</v>
      </c>
      <c r="AE14" s="87">
        <f>IF(AND(K22&lt;&gt;"",K22&lt;10),"0"&amp;K22,K22)</f>
        <v>0</v>
      </c>
      <c r="AF14" s="375">
        <f t="shared" si="1"/>
        <v>0</v>
      </c>
      <c r="AK14" s="6" t="s">
        <v>734</v>
      </c>
    </row>
    <row r="15" spans="1:37" ht="15" customHeight="1">
      <c r="A15" s="137" t="s">
        <v>40</v>
      </c>
      <c r="B15" s="134" t="s">
        <v>548</v>
      </c>
      <c r="C15" s="167">
        <f>Leakage!M5</f>
        <v>0.33333333333333331</v>
      </c>
      <c r="D15" s="158" t="s">
        <v>10</v>
      </c>
      <c r="E15" s="134" t="s">
        <v>522</v>
      </c>
      <c r="F15" s="6" t="s">
        <v>42</v>
      </c>
      <c r="H15" s="3" t="s">
        <v>13</v>
      </c>
      <c r="L15" s="218">
        <f t="shared" si="2"/>
        <v>0.33333333333333331</v>
      </c>
      <c r="M15" s="218">
        <f t="shared" si="3"/>
        <v>0.33333333333333331</v>
      </c>
      <c r="N15" s="218">
        <f t="shared" si="3"/>
        <v>0.33333333333333331</v>
      </c>
      <c r="O15" s="218">
        <f t="shared" si="3"/>
        <v>0.33333333333333331</v>
      </c>
      <c r="P15" s="218">
        <f t="shared" si="3"/>
        <v>0.33333333333333331</v>
      </c>
      <c r="Q15" s="218">
        <f t="shared" si="3"/>
        <v>0.33333333333333331</v>
      </c>
      <c r="R15" s="218">
        <f t="shared" si="3"/>
        <v>0.33333333333333331</v>
      </c>
      <c r="S15" s="218">
        <f t="shared" si="3"/>
        <v>0.33333333333333331</v>
      </c>
      <c r="T15" s="218">
        <f t="shared" si="3"/>
        <v>0.33333333333333331</v>
      </c>
      <c r="U15" s="218">
        <f t="shared" si="3"/>
        <v>0.33333333333333331</v>
      </c>
      <c r="V15" s="218">
        <f t="shared" si="3"/>
        <v>0.33333333333333331</v>
      </c>
      <c r="W15" s="218">
        <f t="shared" si="3"/>
        <v>0.33333333333333331</v>
      </c>
      <c r="X15" s="218">
        <f t="shared" si="3"/>
        <v>0.33333333333333331</v>
      </c>
      <c r="Y15" s="218">
        <f t="shared" si="3"/>
        <v>0.33333333333333331</v>
      </c>
      <c r="Z15" s="218">
        <f t="shared" si="3"/>
        <v>0.33333333333333331</v>
      </c>
      <c r="AA15" s="218">
        <f t="shared" si="3"/>
        <v>0.33333333333333331</v>
      </c>
      <c r="AB15" s="218">
        <f t="shared" si="3"/>
        <v>0.33333333333333331</v>
      </c>
      <c r="AC15" s="418" t="str">
        <f>IF($K$7&gt;=AD15,C_name&amp;AD15+$K$9-1,"")</f>
        <v>Small Low 2 0.5 new CFIS 20 7</v>
      </c>
      <c r="AD15" s="375">
        <f>AD12+3</f>
        <v>7</v>
      </c>
      <c r="AE15" s="87" t="str">
        <f>IF(K22&lt;&gt;"",C_name&amp;$K$22,"")</f>
        <v/>
      </c>
      <c r="AF15" s="375">
        <f t="shared" si="1"/>
        <v>0</v>
      </c>
      <c r="AK15" s="6" t="s">
        <v>735</v>
      </c>
    </row>
    <row r="16" spans="1:37" ht="15" customHeight="1">
      <c r="A16" s="140"/>
      <c r="B16" s="107" t="s">
        <v>548</v>
      </c>
      <c r="C16" s="12">
        <f>C15</f>
        <v>0.33333333333333331</v>
      </c>
      <c r="D16" s="154" t="s">
        <v>10</v>
      </c>
      <c r="E16" s="107" t="s">
        <v>523</v>
      </c>
      <c r="H16" s="3" t="s">
        <v>13</v>
      </c>
      <c r="L16" s="218">
        <f t="shared" si="2"/>
        <v>0.33333333333333331</v>
      </c>
      <c r="M16" s="218">
        <f t="shared" si="3"/>
        <v>0.33333333333333331</v>
      </c>
      <c r="N16" s="218">
        <f t="shared" si="3"/>
        <v>0.33333333333333331</v>
      </c>
      <c r="O16" s="218">
        <f t="shared" si="3"/>
        <v>0.33333333333333331</v>
      </c>
      <c r="P16" s="218">
        <f t="shared" si="3"/>
        <v>0.33333333333333331</v>
      </c>
      <c r="Q16" s="218">
        <f t="shared" si="3"/>
        <v>0.33333333333333331</v>
      </c>
      <c r="R16" s="218">
        <f t="shared" si="3"/>
        <v>0.33333333333333331</v>
      </c>
      <c r="S16" s="218">
        <f t="shared" si="3"/>
        <v>0.33333333333333331</v>
      </c>
      <c r="T16" s="218">
        <f t="shared" si="3"/>
        <v>0.33333333333333331</v>
      </c>
      <c r="U16" s="218">
        <f t="shared" si="3"/>
        <v>0.33333333333333331</v>
      </c>
      <c r="V16" s="218">
        <f t="shared" si="3"/>
        <v>0.33333333333333331</v>
      </c>
      <c r="W16" s="218">
        <f t="shared" si="3"/>
        <v>0.33333333333333331</v>
      </c>
      <c r="X16" s="218">
        <f t="shared" si="3"/>
        <v>0.33333333333333331</v>
      </c>
      <c r="Y16" s="218">
        <f t="shared" si="3"/>
        <v>0.33333333333333331</v>
      </c>
      <c r="Z16" s="218">
        <f t="shared" si="3"/>
        <v>0.33333333333333331</v>
      </c>
      <c r="AA16" s="218">
        <f t="shared" si="3"/>
        <v>0.33333333333333331</v>
      </c>
      <c r="AB16" s="218">
        <f t="shared" si="3"/>
        <v>0.33333333333333331</v>
      </c>
      <c r="AC16" s="431" t="str">
        <f>C_name&amp;AA1</f>
        <v>Small Low 2 0.5 new CFIS 20 Orlando</v>
      </c>
      <c r="AD16" s="6">
        <f>AD13+9</f>
        <v>16</v>
      </c>
      <c r="AE16" s="87" t="str">
        <f>IF(K23&lt;&gt;"",C_name&amp;$K$23,"")</f>
        <v/>
      </c>
      <c r="AF16" s="375">
        <f t="shared" si="1"/>
        <v>0</v>
      </c>
      <c r="AK16" s="6" t="s">
        <v>848</v>
      </c>
    </row>
    <row r="17" spans="1:33" ht="15" customHeight="1">
      <c r="A17" s="140"/>
      <c r="B17" s="107" t="s">
        <v>548</v>
      </c>
      <c r="C17" s="12">
        <f>Leakage!M6</f>
        <v>0.16666666666666666</v>
      </c>
      <c r="D17" s="154" t="s">
        <v>10</v>
      </c>
      <c r="E17" s="107" t="s">
        <v>524</v>
      </c>
      <c r="H17" s="3" t="s">
        <v>13</v>
      </c>
      <c r="L17" s="218">
        <f t="shared" si="2"/>
        <v>0.16666666666666666</v>
      </c>
      <c r="M17" s="218">
        <f t="shared" si="3"/>
        <v>0.16666666666666666</v>
      </c>
      <c r="N17" s="218">
        <f t="shared" si="3"/>
        <v>0.16666666666666666</v>
      </c>
      <c r="O17" s="218">
        <f t="shared" si="3"/>
        <v>0.16666666666666666</v>
      </c>
      <c r="P17" s="218">
        <f t="shared" si="3"/>
        <v>0.16666666666666666</v>
      </c>
      <c r="Q17" s="218">
        <f t="shared" si="3"/>
        <v>0.16666666666666666</v>
      </c>
      <c r="R17" s="218">
        <f t="shared" si="3"/>
        <v>0.16666666666666666</v>
      </c>
      <c r="S17" s="218">
        <f t="shared" si="3"/>
        <v>0.16666666666666666</v>
      </c>
      <c r="T17" s="218">
        <f t="shared" si="3"/>
        <v>0.16666666666666666</v>
      </c>
      <c r="U17" s="218">
        <f t="shared" si="3"/>
        <v>0.16666666666666666</v>
      </c>
      <c r="V17" s="218">
        <f t="shared" si="3"/>
        <v>0.16666666666666666</v>
      </c>
      <c r="W17" s="218">
        <f t="shared" si="3"/>
        <v>0.16666666666666666</v>
      </c>
      <c r="X17" s="218">
        <f t="shared" si="3"/>
        <v>0.16666666666666666</v>
      </c>
      <c r="Y17" s="218">
        <f t="shared" si="3"/>
        <v>0.16666666666666666</v>
      </c>
      <c r="Z17" s="218">
        <f t="shared" si="3"/>
        <v>0.16666666666666666</v>
      </c>
      <c r="AA17" s="218">
        <f t="shared" si="3"/>
        <v>0.16666666666666666</v>
      </c>
      <c r="AB17" s="218">
        <f t="shared" si="3"/>
        <v>0.16666666666666666</v>
      </c>
      <c r="AC17" s="431" t="str">
        <f>AA1</f>
        <v>Orlando</v>
      </c>
      <c r="AD17" s="375">
        <f>AD14+9</f>
        <v>16</v>
      </c>
      <c r="AE17" s="87">
        <f>IF(AND(K23&lt;&gt;"",K23&lt;10),"0"&amp;K23,K23)</f>
        <v>0</v>
      </c>
      <c r="AF17" s="375">
        <f t="shared" si="1"/>
        <v>0</v>
      </c>
    </row>
    <row r="18" spans="1:33" ht="15" customHeight="1" thickBot="1">
      <c r="A18" s="140"/>
      <c r="B18" s="107" t="s">
        <v>548</v>
      </c>
      <c r="C18" s="12">
        <f>C17</f>
        <v>0.16666666666666666</v>
      </c>
      <c r="D18" s="154" t="s">
        <v>10</v>
      </c>
      <c r="E18" s="107" t="s">
        <v>525</v>
      </c>
      <c r="H18" s="3" t="s">
        <v>13</v>
      </c>
      <c r="K18" s="4" t="s">
        <v>308</v>
      </c>
      <c r="L18" s="218">
        <f t="shared" si="2"/>
        <v>0.16666666666666666</v>
      </c>
      <c r="M18" s="218">
        <f t="shared" si="3"/>
        <v>0.16666666666666666</v>
      </c>
      <c r="N18" s="218">
        <f t="shared" si="3"/>
        <v>0.16666666666666666</v>
      </c>
      <c r="O18" s="218">
        <f t="shared" si="3"/>
        <v>0.16666666666666666</v>
      </c>
      <c r="P18" s="218">
        <f t="shared" si="3"/>
        <v>0.16666666666666666</v>
      </c>
      <c r="Q18" s="218">
        <f t="shared" si="3"/>
        <v>0.16666666666666666</v>
      </c>
      <c r="R18" s="218">
        <f t="shared" si="3"/>
        <v>0.16666666666666666</v>
      </c>
      <c r="S18" s="218">
        <f t="shared" si="3"/>
        <v>0.16666666666666666</v>
      </c>
      <c r="T18" s="218">
        <f t="shared" si="3"/>
        <v>0.16666666666666666</v>
      </c>
      <c r="U18" s="218">
        <f t="shared" si="3"/>
        <v>0.16666666666666666</v>
      </c>
      <c r="V18" s="218">
        <f t="shared" si="3"/>
        <v>0.16666666666666666</v>
      </c>
      <c r="W18" s="218">
        <f t="shared" si="3"/>
        <v>0.16666666666666666</v>
      </c>
      <c r="X18" s="218">
        <f t="shared" si="3"/>
        <v>0.16666666666666666</v>
      </c>
      <c r="Y18" s="218">
        <f t="shared" si="3"/>
        <v>0.16666666666666666</v>
      </c>
      <c r="Z18" s="218">
        <f t="shared" si="3"/>
        <v>0.16666666666666666</v>
      </c>
      <c r="AA18" s="218">
        <f t="shared" si="3"/>
        <v>0.16666666666666666</v>
      </c>
      <c r="AB18" s="218">
        <f t="shared" si="3"/>
        <v>0.16666666666666666</v>
      </c>
      <c r="AC18" s="431" t="str">
        <f>C_name&amp;AA1</f>
        <v>Small Low 2 0.5 new CFIS 20 Orlando</v>
      </c>
      <c r="AD18" s="375">
        <f>AD15+9</f>
        <v>16</v>
      </c>
      <c r="AE18" s="87" t="str">
        <f>IF(K23&lt;&gt;"",C_name&amp;$K$23,"")</f>
        <v/>
      </c>
      <c r="AF18" s="375">
        <f t="shared" si="1"/>
        <v>0</v>
      </c>
    </row>
    <row r="19" spans="1:33" ht="15" customHeight="1" thickTop="1" thickBot="1">
      <c r="A19" s="140"/>
      <c r="B19" s="107" t="s">
        <v>549</v>
      </c>
      <c r="C19" s="12">
        <f>C15</f>
        <v>0.33333333333333331</v>
      </c>
      <c r="D19" s="154" t="s">
        <v>10</v>
      </c>
      <c r="E19" s="107" t="s">
        <v>46</v>
      </c>
      <c r="F19" s="6" t="s">
        <v>47</v>
      </c>
      <c r="H19" s="3" t="s">
        <v>13</v>
      </c>
      <c r="K19" s="170"/>
      <c r="L19" s="218">
        <f t="shared" si="2"/>
        <v>0.33333333333333331</v>
      </c>
      <c r="M19" s="218">
        <f t="shared" ref="M19:AB31" si="5">L19</f>
        <v>0.33333333333333331</v>
      </c>
      <c r="N19" s="218">
        <f t="shared" si="5"/>
        <v>0.33333333333333331</v>
      </c>
      <c r="O19" s="218">
        <f t="shared" si="5"/>
        <v>0.33333333333333331</v>
      </c>
      <c r="P19" s="218">
        <f t="shared" si="5"/>
        <v>0.33333333333333331</v>
      </c>
      <c r="Q19" s="218">
        <f t="shared" si="5"/>
        <v>0.33333333333333331</v>
      </c>
      <c r="R19" s="218">
        <f t="shared" si="5"/>
        <v>0.33333333333333331</v>
      </c>
      <c r="S19" s="218">
        <f t="shared" si="5"/>
        <v>0.33333333333333331</v>
      </c>
      <c r="T19" s="218">
        <f t="shared" si="5"/>
        <v>0.33333333333333331</v>
      </c>
      <c r="U19" s="218">
        <f t="shared" si="5"/>
        <v>0.33333333333333331</v>
      </c>
      <c r="V19" s="218">
        <f t="shared" si="5"/>
        <v>0.33333333333333331</v>
      </c>
      <c r="W19" s="218">
        <f t="shared" si="5"/>
        <v>0.33333333333333331</v>
      </c>
      <c r="X19" s="218">
        <f t="shared" si="5"/>
        <v>0.33333333333333331</v>
      </c>
      <c r="Y19" s="218">
        <f t="shared" si="5"/>
        <v>0.33333333333333331</v>
      </c>
      <c r="Z19" s="218">
        <f t="shared" si="5"/>
        <v>0.33333333333333331</v>
      </c>
      <c r="AA19" s="218">
        <f t="shared" si="5"/>
        <v>0.33333333333333331</v>
      </c>
      <c r="AB19" s="218">
        <f t="shared" si="5"/>
        <v>0.33333333333333331</v>
      </c>
      <c r="AC19" s="431" t="str">
        <f>C_name&amp;AB1</f>
        <v>Small Low 2 0.5 new CFIS 20 Charleston</v>
      </c>
      <c r="AD19" s="6">
        <f t="shared" ref="AD19:AD24" si="6">AD16+2</f>
        <v>18</v>
      </c>
      <c r="AE19" s="87" t="str">
        <f>IF(K24&lt;&gt;"",C_name&amp;$K$24,"")</f>
        <v/>
      </c>
      <c r="AF19" s="375">
        <f t="shared" si="1"/>
        <v>0</v>
      </c>
    </row>
    <row r="20" spans="1:33" ht="15" customHeight="1" thickTop="1" thickBot="1">
      <c r="A20" s="140"/>
      <c r="B20" s="107" t="s">
        <v>549</v>
      </c>
      <c r="C20" s="12">
        <f>C16</f>
        <v>0.33333333333333331</v>
      </c>
      <c r="D20" s="154" t="s">
        <v>10</v>
      </c>
      <c r="E20" s="107" t="s">
        <v>48</v>
      </c>
      <c r="F20" s="6" t="s">
        <v>49</v>
      </c>
      <c r="H20" s="3" t="s">
        <v>13</v>
      </c>
      <c r="K20" s="170"/>
      <c r="L20" s="218">
        <f t="shared" si="2"/>
        <v>0.33333333333333331</v>
      </c>
      <c r="M20" s="218">
        <f t="shared" si="5"/>
        <v>0.33333333333333331</v>
      </c>
      <c r="N20" s="218">
        <f t="shared" si="5"/>
        <v>0.33333333333333331</v>
      </c>
      <c r="O20" s="218">
        <f t="shared" si="5"/>
        <v>0.33333333333333331</v>
      </c>
      <c r="P20" s="218">
        <f t="shared" si="5"/>
        <v>0.33333333333333331</v>
      </c>
      <c r="Q20" s="218">
        <f t="shared" si="5"/>
        <v>0.33333333333333331</v>
      </c>
      <c r="R20" s="218">
        <f t="shared" si="5"/>
        <v>0.33333333333333331</v>
      </c>
      <c r="S20" s="218">
        <f t="shared" si="5"/>
        <v>0.33333333333333331</v>
      </c>
      <c r="T20" s="218">
        <f t="shared" si="5"/>
        <v>0.33333333333333331</v>
      </c>
      <c r="U20" s="218">
        <f t="shared" si="5"/>
        <v>0.33333333333333331</v>
      </c>
      <c r="V20" s="218">
        <f t="shared" si="5"/>
        <v>0.33333333333333331</v>
      </c>
      <c r="W20" s="218">
        <f t="shared" si="5"/>
        <v>0.33333333333333331</v>
      </c>
      <c r="X20" s="218">
        <f t="shared" si="5"/>
        <v>0.33333333333333331</v>
      </c>
      <c r="Y20" s="218">
        <f t="shared" si="5"/>
        <v>0.33333333333333331</v>
      </c>
      <c r="Z20" s="218">
        <f t="shared" si="5"/>
        <v>0.33333333333333331</v>
      </c>
      <c r="AA20" s="218">
        <f t="shared" si="5"/>
        <v>0.33333333333333331</v>
      </c>
      <c r="AB20" s="218">
        <f t="shared" si="5"/>
        <v>0.33333333333333331</v>
      </c>
      <c r="AC20" s="431" t="str">
        <f>AB1</f>
        <v>Charleston</v>
      </c>
      <c r="AD20" s="375">
        <f t="shared" si="6"/>
        <v>18</v>
      </c>
      <c r="AE20" s="87">
        <f>IF(AND(K24&lt;&gt;"",K24&lt;10),"0"&amp;K24,K24)</f>
        <v>0</v>
      </c>
      <c r="AF20" s="375">
        <f t="shared" si="1"/>
        <v>0</v>
      </c>
    </row>
    <row r="21" spans="1:33" ht="15" customHeight="1" thickTop="1" thickBot="1">
      <c r="A21" s="140"/>
      <c r="B21" s="107" t="s">
        <v>549</v>
      </c>
      <c r="C21" s="12">
        <f>C17</f>
        <v>0.16666666666666666</v>
      </c>
      <c r="D21" s="154" t="s">
        <v>10</v>
      </c>
      <c r="E21" s="107" t="s">
        <v>50</v>
      </c>
      <c r="F21" s="6" t="s">
        <v>49</v>
      </c>
      <c r="H21" s="3" t="s">
        <v>13</v>
      </c>
      <c r="K21" s="170"/>
      <c r="L21" s="218">
        <f t="shared" si="2"/>
        <v>0.16666666666666666</v>
      </c>
      <c r="M21" s="218">
        <f t="shared" si="5"/>
        <v>0.16666666666666666</v>
      </c>
      <c r="N21" s="218">
        <f t="shared" si="5"/>
        <v>0.16666666666666666</v>
      </c>
      <c r="O21" s="218">
        <f t="shared" si="5"/>
        <v>0.16666666666666666</v>
      </c>
      <c r="P21" s="218">
        <f t="shared" si="5"/>
        <v>0.16666666666666666</v>
      </c>
      <c r="Q21" s="218">
        <f t="shared" si="5"/>
        <v>0.16666666666666666</v>
      </c>
      <c r="R21" s="218">
        <f t="shared" si="5"/>
        <v>0.16666666666666666</v>
      </c>
      <c r="S21" s="218">
        <f t="shared" si="5"/>
        <v>0.16666666666666666</v>
      </c>
      <c r="T21" s="218">
        <f t="shared" si="5"/>
        <v>0.16666666666666666</v>
      </c>
      <c r="U21" s="218">
        <f t="shared" si="5"/>
        <v>0.16666666666666666</v>
      </c>
      <c r="V21" s="218">
        <f t="shared" si="5"/>
        <v>0.16666666666666666</v>
      </c>
      <c r="W21" s="218">
        <f t="shared" si="5"/>
        <v>0.16666666666666666</v>
      </c>
      <c r="X21" s="218">
        <f t="shared" si="5"/>
        <v>0.16666666666666666</v>
      </c>
      <c r="Y21" s="218">
        <f t="shared" si="5"/>
        <v>0.16666666666666666</v>
      </c>
      <c r="Z21" s="218">
        <f t="shared" si="5"/>
        <v>0.16666666666666666</v>
      </c>
      <c r="AA21" s="218">
        <f t="shared" si="5"/>
        <v>0.16666666666666666</v>
      </c>
      <c r="AB21" s="218">
        <f t="shared" si="5"/>
        <v>0.16666666666666666</v>
      </c>
      <c r="AC21" s="431" t="str">
        <f>C_name&amp;AB1</f>
        <v>Small Low 2 0.5 new CFIS 20 Charleston</v>
      </c>
      <c r="AD21" s="375">
        <f t="shared" si="6"/>
        <v>18</v>
      </c>
      <c r="AE21" s="87" t="str">
        <f>IF(K24&lt;&gt;"",C_name&amp;$K$24,"")</f>
        <v/>
      </c>
      <c r="AF21" s="375">
        <f t="shared" si="1"/>
        <v>0</v>
      </c>
    </row>
    <row r="22" spans="1:33" ht="15" customHeight="1" thickTop="1" thickBot="1">
      <c r="A22" s="140"/>
      <c r="B22" s="107" t="s">
        <v>549</v>
      </c>
      <c r="C22" s="12">
        <f>C18</f>
        <v>0.16666666666666666</v>
      </c>
      <c r="D22" s="154" t="s">
        <v>10</v>
      </c>
      <c r="E22" s="107" t="s">
        <v>50</v>
      </c>
      <c r="F22" s="6" t="s">
        <v>49</v>
      </c>
      <c r="H22" s="3" t="s">
        <v>13</v>
      </c>
      <c r="K22" s="170"/>
      <c r="L22" s="218">
        <f t="shared" si="2"/>
        <v>0.16666666666666666</v>
      </c>
      <c r="M22" s="218">
        <f t="shared" si="5"/>
        <v>0.16666666666666666</v>
      </c>
      <c r="N22" s="218">
        <f t="shared" si="5"/>
        <v>0.16666666666666666</v>
      </c>
      <c r="O22" s="218">
        <f t="shared" si="5"/>
        <v>0.16666666666666666</v>
      </c>
      <c r="P22" s="218">
        <f t="shared" si="5"/>
        <v>0.16666666666666666</v>
      </c>
      <c r="Q22" s="218">
        <f t="shared" si="5"/>
        <v>0.16666666666666666</v>
      </c>
      <c r="R22" s="218">
        <f t="shared" si="5"/>
        <v>0.16666666666666666</v>
      </c>
      <c r="S22" s="218">
        <f t="shared" si="5"/>
        <v>0.16666666666666666</v>
      </c>
      <c r="T22" s="218">
        <f t="shared" si="5"/>
        <v>0.16666666666666666</v>
      </c>
      <c r="U22" s="218">
        <f t="shared" si="5"/>
        <v>0.16666666666666666</v>
      </c>
      <c r="V22" s="218">
        <f t="shared" si="5"/>
        <v>0.16666666666666666</v>
      </c>
      <c r="W22" s="218">
        <f t="shared" si="5"/>
        <v>0.16666666666666666</v>
      </c>
      <c r="X22" s="218">
        <f t="shared" si="5"/>
        <v>0.16666666666666666</v>
      </c>
      <c r="Y22" s="218">
        <f t="shared" si="5"/>
        <v>0.16666666666666666</v>
      </c>
      <c r="Z22" s="218">
        <f t="shared" si="5"/>
        <v>0.16666666666666666</v>
      </c>
      <c r="AA22" s="218">
        <f t="shared" si="5"/>
        <v>0.16666666666666666</v>
      </c>
      <c r="AB22" s="218">
        <f t="shared" si="5"/>
        <v>0.16666666666666666</v>
      </c>
      <c r="AC22" s="418"/>
      <c r="AD22" s="6">
        <f t="shared" si="6"/>
        <v>20</v>
      </c>
      <c r="AE22" s="87" t="str">
        <f>IF(K25&lt;&gt;"",C_name&amp;$K$25,"")</f>
        <v/>
      </c>
      <c r="AF22" s="375">
        <f t="shared" si="1"/>
        <v>0</v>
      </c>
    </row>
    <row r="23" spans="1:33" ht="15" customHeight="1" thickTop="1" thickBot="1">
      <c r="A23" s="140"/>
      <c r="B23" s="107" t="s">
        <v>550</v>
      </c>
      <c r="C23" s="10">
        <v>1</v>
      </c>
      <c r="D23" s="154" t="s">
        <v>10</v>
      </c>
      <c r="E23" s="107" t="s">
        <v>51</v>
      </c>
      <c r="H23" s="3" t="s">
        <v>17</v>
      </c>
      <c r="K23" s="170"/>
      <c r="L23" s="186">
        <f t="shared" si="2"/>
        <v>1</v>
      </c>
      <c r="M23" s="186">
        <f t="shared" si="5"/>
        <v>1</v>
      </c>
      <c r="N23" s="186">
        <f t="shared" si="5"/>
        <v>1</v>
      </c>
      <c r="O23" s="186">
        <f t="shared" si="5"/>
        <v>1</v>
      </c>
      <c r="P23" s="186">
        <f t="shared" si="5"/>
        <v>1</v>
      </c>
      <c r="Q23" s="186">
        <f t="shared" si="5"/>
        <v>1</v>
      </c>
      <c r="R23" s="186">
        <f t="shared" si="5"/>
        <v>1</v>
      </c>
      <c r="S23" s="186">
        <f t="shared" si="5"/>
        <v>1</v>
      </c>
      <c r="T23" s="186">
        <f t="shared" si="5"/>
        <v>1</v>
      </c>
      <c r="U23" s="186">
        <f t="shared" si="5"/>
        <v>1</v>
      </c>
      <c r="V23" s="186">
        <f t="shared" si="5"/>
        <v>1</v>
      </c>
      <c r="W23" s="186">
        <f t="shared" si="5"/>
        <v>1</v>
      </c>
      <c r="X23" s="186">
        <f t="shared" si="5"/>
        <v>1</v>
      </c>
      <c r="Y23" s="186">
        <f t="shared" si="5"/>
        <v>1</v>
      </c>
      <c r="Z23" s="186">
        <f t="shared" si="5"/>
        <v>1</v>
      </c>
      <c r="AA23" s="186">
        <f t="shared" si="5"/>
        <v>1</v>
      </c>
      <c r="AB23" s="186">
        <f t="shared" si="5"/>
        <v>1</v>
      </c>
      <c r="AC23" s="418"/>
      <c r="AD23" s="375">
        <f t="shared" si="6"/>
        <v>20</v>
      </c>
      <c r="AE23" s="87">
        <f>IF(AND(K25&lt;&gt;"",K25&lt;10),"0"&amp;K25,K25)</f>
        <v>0</v>
      </c>
      <c r="AF23" s="375">
        <f t="shared" si="1"/>
        <v>0</v>
      </c>
    </row>
    <row r="24" spans="1:33" ht="15" customHeight="1" thickTop="1" thickBot="1">
      <c r="A24" s="159"/>
      <c r="B24" s="124" t="s">
        <v>52</v>
      </c>
      <c r="C24" s="155">
        <v>0</v>
      </c>
      <c r="D24" s="156" t="s">
        <v>10</v>
      </c>
      <c r="E24" s="124" t="s">
        <v>53</v>
      </c>
      <c r="F24" s="6" t="s">
        <v>54</v>
      </c>
      <c r="H24" s="3" t="s">
        <v>17</v>
      </c>
      <c r="K24" s="170"/>
      <c r="L24" s="186">
        <f t="shared" si="2"/>
        <v>0</v>
      </c>
      <c r="M24" s="186">
        <f t="shared" si="5"/>
        <v>0</v>
      </c>
      <c r="N24" s="186">
        <f t="shared" si="5"/>
        <v>0</v>
      </c>
      <c r="O24" s="186">
        <f t="shared" si="5"/>
        <v>0</v>
      </c>
      <c r="P24" s="186">
        <f t="shared" si="5"/>
        <v>0</v>
      </c>
      <c r="Q24" s="186">
        <f t="shared" si="5"/>
        <v>0</v>
      </c>
      <c r="R24" s="186">
        <f t="shared" si="5"/>
        <v>0</v>
      </c>
      <c r="S24" s="186">
        <f t="shared" si="5"/>
        <v>0</v>
      </c>
      <c r="T24" s="186">
        <f t="shared" si="5"/>
        <v>0</v>
      </c>
      <c r="U24" s="186">
        <f t="shared" si="5"/>
        <v>0</v>
      </c>
      <c r="V24" s="186">
        <f t="shared" si="5"/>
        <v>0</v>
      </c>
      <c r="W24" s="186">
        <f t="shared" si="5"/>
        <v>0</v>
      </c>
      <c r="X24" s="186">
        <f t="shared" si="5"/>
        <v>0</v>
      </c>
      <c r="Y24" s="186">
        <f t="shared" si="5"/>
        <v>0</v>
      </c>
      <c r="Z24" s="186">
        <f t="shared" si="5"/>
        <v>0</v>
      </c>
      <c r="AA24" s="186">
        <f t="shared" si="5"/>
        <v>0</v>
      </c>
      <c r="AB24" s="186">
        <f t="shared" si="5"/>
        <v>0</v>
      </c>
      <c r="AC24" s="418"/>
      <c r="AD24" s="375">
        <f t="shared" si="6"/>
        <v>20</v>
      </c>
      <c r="AE24" s="87" t="str">
        <f>IF(K25&lt;&gt;"",C_name&amp;$K$25,"")</f>
        <v/>
      </c>
      <c r="AF24" s="375">
        <f t="shared" si="1"/>
        <v>0</v>
      </c>
    </row>
    <row r="25" spans="1:33" ht="15" customHeight="1" thickTop="1" thickBot="1">
      <c r="A25" s="4" t="s">
        <v>55</v>
      </c>
      <c r="B25" s="6" t="s">
        <v>544</v>
      </c>
      <c r="C25" s="10">
        <f>Geometry!D12</f>
        <v>0.30000000000000004</v>
      </c>
      <c r="D25" s="2" t="s">
        <v>10</v>
      </c>
      <c r="E25" s="6" t="s">
        <v>56</v>
      </c>
      <c r="H25" s="3" t="s">
        <v>21</v>
      </c>
      <c r="K25" s="170"/>
      <c r="L25" s="15">
        <f t="shared" si="2"/>
        <v>0.30000000000000004</v>
      </c>
      <c r="M25" s="15">
        <f t="shared" si="5"/>
        <v>0.30000000000000004</v>
      </c>
      <c r="N25" s="15">
        <f t="shared" si="5"/>
        <v>0.30000000000000004</v>
      </c>
      <c r="O25" s="15">
        <f t="shared" si="5"/>
        <v>0.30000000000000004</v>
      </c>
      <c r="P25" s="15">
        <f t="shared" si="5"/>
        <v>0.30000000000000004</v>
      </c>
      <c r="Q25" s="15">
        <f t="shared" si="5"/>
        <v>0.30000000000000004</v>
      </c>
      <c r="R25" s="15">
        <f t="shared" si="5"/>
        <v>0.30000000000000004</v>
      </c>
      <c r="S25" s="15">
        <f t="shared" si="5"/>
        <v>0.30000000000000004</v>
      </c>
      <c r="T25" s="15">
        <f t="shared" si="5"/>
        <v>0.30000000000000004</v>
      </c>
      <c r="U25" s="15">
        <f t="shared" si="5"/>
        <v>0.30000000000000004</v>
      </c>
      <c r="V25" s="15">
        <f t="shared" si="5"/>
        <v>0.30000000000000004</v>
      </c>
      <c r="W25" s="15">
        <f t="shared" si="5"/>
        <v>0.30000000000000004</v>
      </c>
      <c r="X25" s="15">
        <f t="shared" si="5"/>
        <v>0.30000000000000004</v>
      </c>
      <c r="Y25" s="15">
        <f t="shared" si="5"/>
        <v>0.30000000000000004</v>
      </c>
      <c r="Z25" s="15">
        <f t="shared" si="5"/>
        <v>0.30000000000000004</v>
      </c>
      <c r="AA25" s="15">
        <f t="shared" si="5"/>
        <v>0.30000000000000004</v>
      </c>
      <c r="AB25" s="345">
        <f t="shared" si="5"/>
        <v>0.30000000000000004</v>
      </c>
      <c r="AC25" s="418"/>
      <c r="AD25" s="6">
        <f t="shared" si="4"/>
        <v>21</v>
      </c>
      <c r="AE25" s="87" t="str">
        <f>IF(K26&lt;&gt;"",C_name&amp;$K$26,"")</f>
        <v/>
      </c>
      <c r="AF25" s="375">
        <f t="shared" si="1"/>
        <v>0</v>
      </c>
    </row>
    <row r="26" spans="1:33" ht="15" customHeight="1" thickTop="1" thickBot="1">
      <c r="B26" s="6" t="s">
        <v>551</v>
      </c>
      <c r="C26" s="10" t="s">
        <v>1070</v>
      </c>
      <c r="D26" s="2" t="s">
        <v>10</v>
      </c>
      <c r="E26" s="6" t="s">
        <v>57</v>
      </c>
      <c r="H26" s="3" t="s">
        <v>17</v>
      </c>
      <c r="K26" s="170"/>
      <c r="L26" s="9" t="str">
        <f t="shared" si="2"/>
        <v>I</v>
      </c>
      <c r="M26" s="9" t="str">
        <f t="shared" si="5"/>
        <v>I</v>
      </c>
      <c r="N26" s="9" t="str">
        <f t="shared" si="5"/>
        <v>I</v>
      </c>
      <c r="O26" s="9" t="str">
        <f t="shared" si="5"/>
        <v>I</v>
      </c>
      <c r="P26" s="9" t="str">
        <f t="shared" si="5"/>
        <v>I</v>
      </c>
      <c r="Q26" s="9" t="str">
        <f t="shared" si="5"/>
        <v>I</v>
      </c>
      <c r="R26" s="9" t="str">
        <f t="shared" si="5"/>
        <v>I</v>
      </c>
      <c r="S26" s="9" t="str">
        <f t="shared" si="5"/>
        <v>I</v>
      </c>
      <c r="T26" s="9" t="str">
        <f t="shared" si="5"/>
        <v>I</v>
      </c>
      <c r="U26" s="9" t="str">
        <f t="shared" si="5"/>
        <v>I</v>
      </c>
      <c r="V26" s="9" t="str">
        <f t="shared" si="5"/>
        <v>I</v>
      </c>
      <c r="W26" s="9" t="str">
        <f t="shared" si="5"/>
        <v>I</v>
      </c>
      <c r="X26" s="9" t="str">
        <f t="shared" si="5"/>
        <v>I</v>
      </c>
      <c r="Y26" s="9" t="str">
        <f t="shared" si="5"/>
        <v>I</v>
      </c>
      <c r="Z26" s="9" t="str">
        <f t="shared" si="5"/>
        <v>I</v>
      </c>
      <c r="AA26" s="9" t="str">
        <f t="shared" si="5"/>
        <v>I</v>
      </c>
      <c r="AB26" s="9" t="str">
        <f t="shared" si="5"/>
        <v>I</v>
      </c>
      <c r="AC26" s="418"/>
      <c r="AD26" s="6">
        <f t="shared" si="4"/>
        <v>21</v>
      </c>
      <c r="AE26" s="87">
        <f>IF(AND(K26&lt;&gt;"",K26&lt;10),"0"&amp;K26,K26)</f>
        <v>0</v>
      </c>
      <c r="AF26" s="375">
        <f t="shared" si="1"/>
        <v>0</v>
      </c>
    </row>
    <row r="27" spans="1:33" ht="15" customHeight="1" thickTop="1" thickBot="1">
      <c r="B27" s="6" t="s">
        <v>543</v>
      </c>
      <c r="C27" s="16">
        <f>V_houseSI</f>
        <v>499.84900000000005</v>
      </c>
      <c r="D27" s="2" t="s">
        <v>10</v>
      </c>
      <c r="E27" s="6" t="s">
        <v>58</v>
      </c>
      <c r="H27" s="3" t="s">
        <v>21</v>
      </c>
      <c r="K27" s="170"/>
      <c r="L27" s="15">
        <f t="shared" si="2"/>
        <v>499.84900000000005</v>
      </c>
      <c r="M27" s="15">
        <f t="shared" si="5"/>
        <v>499.84900000000005</v>
      </c>
      <c r="N27" s="15">
        <f t="shared" si="5"/>
        <v>499.84900000000005</v>
      </c>
      <c r="O27" s="15">
        <f t="shared" si="5"/>
        <v>499.84900000000005</v>
      </c>
      <c r="P27" s="15">
        <f t="shared" si="5"/>
        <v>499.84900000000005</v>
      </c>
      <c r="Q27" s="15">
        <f t="shared" si="5"/>
        <v>499.84900000000005</v>
      </c>
      <c r="R27" s="15">
        <f t="shared" si="5"/>
        <v>499.84900000000005</v>
      </c>
      <c r="S27" s="15">
        <f t="shared" si="5"/>
        <v>499.84900000000005</v>
      </c>
      <c r="T27" s="15">
        <f t="shared" si="5"/>
        <v>499.84900000000005</v>
      </c>
      <c r="U27" s="15">
        <f t="shared" si="5"/>
        <v>499.84900000000005</v>
      </c>
      <c r="V27" s="15">
        <f t="shared" si="5"/>
        <v>499.84900000000005</v>
      </c>
      <c r="W27" s="15">
        <f t="shared" si="5"/>
        <v>499.84900000000005</v>
      </c>
      <c r="X27" s="15">
        <f t="shared" si="5"/>
        <v>499.84900000000005</v>
      </c>
      <c r="Y27" s="15">
        <f t="shared" si="5"/>
        <v>499.84900000000005</v>
      </c>
      <c r="Z27" s="15">
        <f t="shared" si="5"/>
        <v>499.84900000000005</v>
      </c>
      <c r="AA27" s="15">
        <f t="shared" si="5"/>
        <v>499.84900000000005</v>
      </c>
      <c r="AB27" s="345">
        <f t="shared" si="5"/>
        <v>499.84900000000005</v>
      </c>
      <c r="AC27" s="418"/>
      <c r="AD27" s="6">
        <f t="shared" si="4"/>
        <v>21</v>
      </c>
      <c r="AE27" s="87" t="str">
        <f>IF(K26&lt;&gt;"",C_name&amp;$K$26,"")</f>
        <v/>
      </c>
      <c r="AF27" s="375">
        <f t="shared" si="1"/>
        <v>0</v>
      </c>
    </row>
    <row r="28" spans="1:33" ht="15" customHeight="1" thickTop="1" thickBot="1">
      <c r="B28" s="6" t="s">
        <v>542</v>
      </c>
      <c r="C28" s="16">
        <f>A_houseSI</f>
        <v>199.93960000000001</v>
      </c>
      <c r="D28" s="2" t="s">
        <v>10</v>
      </c>
      <c r="E28" s="6" t="s">
        <v>59</v>
      </c>
      <c r="F28" s="6" t="str">
        <f>"="&amp;A_houseFT &amp;" sq-ft"</f>
        <v>=2152.20236813778 sq-ft</v>
      </c>
      <c r="G28" s="86" t="s">
        <v>60</v>
      </c>
      <c r="H28" s="3" t="s">
        <v>21</v>
      </c>
      <c r="K28" s="170"/>
      <c r="L28" s="15">
        <f t="shared" si="2"/>
        <v>199.93960000000001</v>
      </c>
      <c r="M28" s="15">
        <f>L28</f>
        <v>199.93960000000001</v>
      </c>
      <c r="N28" s="15">
        <f t="shared" si="5"/>
        <v>199.93960000000001</v>
      </c>
      <c r="O28" s="15">
        <f t="shared" si="5"/>
        <v>199.93960000000001</v>
      </c>
      <c r="P28" s="15">
        <f t="shared" si="5"/>
        <v>199.93960000000001</v>
      </c>
      <c r="Q28" s="15">
        <f t="shared" si="5"/>
        <v>199.93960000000001</v>
      </c>
      <c r="R28" s="15">
        <f t="shared" si="5"/>
        <v>199.93960000000001</v>
      </c>
      <c r="S28" s="15">
        <f t="shared" si="5"/>
        <v>199.93960000000001</v>
      </c>
      <c r="T28" s="15">
        <f t="shared" si="5"/>
        <v>199.93960000000001</v>
      </c>
      <c r="U28" s="15">
        <f t="shared" si="5"/>
        <v>199.93960000000001</v>
      </c>
      <c r="V28" s="15">
        <f t="shared" si="5"/>
        <v>199.93960000000001</v>
      </c>
      <c r="W28" s="15">
        <f t="shared" si="5"/>
        <v>199.93960000000001</v>
      </c>
      <c r="X28" s="15">
        <f t="shared" si="5"/>
        <v>199.93960000000001</v>
      </c>
      <c r="Y28" s="15">
        <f t="shared" si="5"/>
        <v>199.93960000000001</v>
      </c>
      <c r="Z28" s="15">
        <f t="shared" si="5"/>
        <v>199.93960000000001</v>
      </c>
      <c r="AA28" s="15">
        <f t="shared" si="5"/>
        <v>199.93960000000001</v>
      </c>
      <c r="AB28" s="345">
        <f t="shared" si="5"/>
        <v>199.93960000000001</v>
      </c>
      <c r="AC28" s="418"/>
      <c r="AD28" s="6">
        <f t="shared" si="4"/>
        <v>22</v>
      </c>
      <c r="AE28" s="87" t="str">
        <f>IF(K27&lt;&gt;"",C_name&amp;$K$27,"")</f>
        <v/>
      </c>
      <c r="AF28" s="375">
        <f t="shared" si="1"/>
        <v>0</v>
      </c>
    </row>
    <row r="29" spans="1:33" ht="15" customHeight="1" thickTop="1" thickBot="1">
      <c r="B29" s="6" t="s">
        <v>541</v>
      </c>
      <c r="C29" s="16">
        <f>planareaSI</f>
        <v>99.969800000000006</v>
      </c>
      <c r="D29" s="2" t="s">
        <v>10</v>
      </c>
      <c r="E29" s="6" t="s">
        <v>540</v>
      </c>
      <c r="G29" s="8"/>
      <c r="H29" s="3" t="s">
        <v>21</v>
      </c>
      <c r="K29" s="170"/>
      <c r="L29" s="15">
        <f t="shared" si="2"/>
        <v>99.969800000000006</v>
      </c>
      <c r="M29" s="15">
        <f>L29</f>
        <v>99.969800000000006</v>
      </c>
      <c r="N29" s="15">
        <f t="shared" si="5"/>
        <v>99.969800000000006</v>
      </c>
      <c r="O29" s="15">
        <f t="shared" si="5"/>
        <v>99.969800000000006</v>
      </c>
      <c r="P29" s="15">
        <f t="shared" si="5"/>
        <v>99.969800000000006</v>
      </c>
      <c r="Q29" s="15">
        <f t="shared" si="5"/>
        <v>99.969800000000006</v>
      </c>
      <c r="R29" s="15">
        <f t="shared" si="5"/>
        <v>99.969800000000006</v>
      </c>
      <c r="S29" s="15">
        <f t="shared" si="5"/>
        <v>99.969800000000006</v>
      </c>
      <c r="T29" s="15">
        <f t="shared" si="5"/>
        <v>99.969800000000006</v>
      </c>
      <c r="U29" s="15">
        <f t="shared" si="5"/>
        <v>99.969800000000006</v>
      </c>
      <c r="V29" s="15">
        <f t="shared" si="5"/>
        <v>99.969800000000006</v>
      </c>
      <c r="W29" s="15">
        <f t="shared" si="5"/>
        <v>99.969800000000006</v>
      </c>
      <c r="X29" s="15">
        <f t="shared" si="5"/>
        <v>99.969800000000006</v>
      </c>
      <c r="Y29" s="15">
        <f t="shared" si="5"/>
        <v>99.969800000000006</v>
      </c>
      <c r="Z29" s="15">
        <f t="shared" si="5"/>
        <v>99.969800000000006</v>
      </c>
      <c r="AA29" s="15">
        <f t="shared" si="5"/>
        <v>99.969800000000006</v>
      </c>
      <c r="AB29" s="345">
        <f t="shared" si="5"/>
        <v>99.969800000000006</v>
      </c>
      <c r="AC29" s="418"/>
      <c r="AD29" s="6">
        <f t="shared" si="4"/>
        <v>22</v>
      </c>
      <c r="AE29" s="87">
        <f>IF(AND(K27&lt;&gt;"",K27&lt;10),"0"&amp;K27,K27)</f>
        <v>0</v>
      </c>
      <c r="AF29" s="375">
        <f t="shared" si="1"/>
        <v>0</v>
      </c>
    </row>
    <row r="30" spans="1:33" ht="15" customHeight="1" thickTop="1" thickBot="1">
      <c r="B30" s="6" t="s">
        <v>61</v>
      </c>
      <c r="C30" s="16">
        <f>L_houseSI</f>
        <v>14.14</v>
      </c>
      <c r="D30" s="2" t="s">
        <v>10</v>
      </c>
      <c r="E30" s="6" t="s">
        <v>62</v>
      </c>
      <c r="G30" s="8"/>
      <c r="H30" s="3" t="s">
        <v>21</v>
      </c>
      <c r="K30" s="170"/>
      <c r="L30" s="15">
        <f t="shared" si="2"/>
        <v>14.14</v>
      </c>
      <c r="M30" s="15">
        <f t="shared" si="5"/>
        <v>14.14</v>
      </c>
      <c r="N30" s="15">
        <f t="shared" si="5"/>
        <v>14.14</v>
      </c>
      <c r="O30" s="15">
        <f t="shared" si="5"/>
        <v>14.14</v>
      </c>
      <c r="P30" s="15">
        <f t="shared" si="5"/>
        <v>14.14</v>
      </c>
      <c r="Q30" s="15">
        <f t="shared" si="5"/>
        <v>14.14</v>
      </c>
      <c r="R30" s="15">
        <f t="shared" si="5"/>
        <v>14.14</v>
      </c>
      <c r="S30" s="15">
        <f t="shared" si="5"/>
        <v>14.14</v>
      </c>
      <c r="T30" s="15">
        <f t="shared" si="5"/>
        <v>14.14</v>
      </c>
      <c r="U30" s="15">
        <f t="shared" si="5"/>
        <v>14.14</v>
      </c>
      <c r="V30" s="15">
        <f t="shared" si="5"/>
        <v>14.14</v>
      </c>
      <c r="W30" s="15">
        <f t="shared" si="5"/>
        <v>14.14</v>
      </c>
      <c r="X30" s="15">
        <f t="shared" si="5"/>
        <v>14.14</v>
      </c>
      <c r="Y30" s="15">
        <f t="shared" si="5"/>
        <v>14.14</v>
      </c>
      <c r="Z30" s="15">
        <f t="shared" si="5"/>
        <v>14.14</v>
      </c>
      <c r="AA30" s="15">
        <f t="shared" si="5"/>
        <v>14.14</v>
      </c>
      <c r="AB30" s="345">
        <f t="shared" si="5"/>
        <v>14.14</v>
      </c>
      <c r="AC30" s="418"/>
      <c r="AD30" s="6">
        <f t="shared" si="4"/>
        <v>22</v>
      </c>
      <c r="AE30" s="87" t="str">
        <f>IF(K27&lt;&gt;"",C_name&amp;$K$27,"")</f>
        <v/>
      </c>
      <c r="AF30" s="375">
        <f t="shared" si="1"/>
        <v>0</v>
      </c>
    </row>
    <row r="31" spans="1:33" ht="15" customHeight="1" thickTop="1" thickBot="1">
      <c r="B31" s="6" t="s">
        <v>63</v>
      </c>
      <c r="C31" s="16">
        <f>W_houseSI</f>
        <v>7.07</v>
      </c>
      <c r="D31" s="2" t="s">
        <v>10</v>
      </c>
      <c r="E31" s="6" t="s">
        <v>64</v>
      </c>
      <c r="G31" s="8" t="s">
        <v>65</v>
      </c>
      <c r="H31" s="3" t="s">
        <v>21</v>
      </c>
      <c r="K31" s="170"/>
      <c r="L31" s="15">
        <f t="shared" si="2"/>
        <v>7.07</v>
      </c>
      <c r="M31" s="15">
        <f t="shared" si="5"/>
        <v>7.07</v>
      </c>
      <c r="N31" s="15">
        <f t="shared" si="5"/>
        <v>7.07</v>
      </c>
      <c r="O31" s="15">
        <f t="shared" si="5"/>
        <v>7.07</v>
      </c>
      <c r="P31" s="15">
        <f t="shared" si="5"/>
        <v>7.07</v>
      </c>
      <c r="Q31" s="15">
        <f t="shared" si="5"/>
        <v>7.07</v>
      </c>
      <c r="R31" s="15">
        <f t="shared" si="5"/>
        <v>7.07</v>
      </c>
      <c r="S31" s="15">
        <f t="shared" si="5"/>
        <v>7.07</v>
      </c>
      <c r="T31" s="15">
        <f t="shared" si="5"/>
        <v>7.07</v>
      </c>
      <c r="U31" s="15">
        <f t="shared" si="5"/>
        <v>7.07</v>
      </c>
      <c r="V31" s="15">
        <f t="shared" si="5"/>
        <v>7.07</v>
      </c>
      <c r="W31" s="15">
        <f t="shared" si="5"/>
        <v>7.07</v>
      </c>
      <c r="X31" s="15">
        <f t="shared" si="5"/>
        <v>7.07</v>
      </c>
      <c r="Y31" s="15">
        <f t="shared" si="5"/>
        <v>7.07</v>
      </c>
      <c r="Z31" s="15">
        <f t="shared" si="5"/>
        <v>7.07</v>
      </c>
      <c r="AA31" s="15">
        <f t="shared" si="5"/>
        <v>7.07</v>
      </c>
      <c r="AB31" s="345">
        <f t="shared" si="5"/>
        <v>7.07</v>
      </c>
      <c r="AC31" s="418"/>
      <c r="AD31" s="6">
        <f t="shared" si="4"/>
        <v>23</v>
      </c>
      <c r="AE31" s="87" t="str">
        <f>IF(K28&lt;&gt;"",C_name&amp;$K$28,"")</f>
        <v/>
      </c>
      <c r="AF31" s="375">
        <f t="shared" si="1"/>
        <v>0</v>
      </c>
    </row>
    <row r="32" spans="1:33" ht="15" customHeight="1" thickTop="1" thickBot="1">
      <c r="B32" s="107" t="s">
        <v>552</v>
      </c>
      <c r="C32" s="13">
        <f>UA!H14</f>
        <v>229.80253109193848</v>
      </c>
      <c r="D32" s="154" t="s">
        <v>10</v>
      </c>
      <c r="E32" s="173" t="s">
        <v>689</v>
      </c>
      <c r="F32" s="6" t="s">
        <v>66</v>
      </c>
      <c r="G32" s="8" t="s">
        <v>67</v>
      </c>
      <c r="H32" s="3" t="s">
        <v>68</v>
      </c>
      <c r="I32" s="6" t="s">
        <v>69</v>
      </c>
      <c r="J32" s="89" t="s">
        <v>1030</v>
      </c>
      <c r="K32" s="170"/>
      <c r="L32" s="17">
        <f>UA!F14</f>
        <v>229.80700986080001</v>
      </c>
      <c r="M32" s="17">
        <f>UA!G14</f>
        <v>229.80253109193848</v>
      </c>
      <c r="N32" s="17">
        <f>UA!H14</f>
        <v>229.80253109193848</v>
      </c>
      <c r="O32" s="17">
        <f>UA!I14</f>
        <v>163.63998510273683</v>
      </c>
      <c r="P32" s="17">
        <f>UA!J14</f>
        <v>163.63998510273683</v>
      </c>
      <c r="Q32" s="17">
        <f>UA!K14</f>
        <v>163.63998510273683</v>
      </c>
      <c r="R32" s="17">
        <f>UA!L14</f>
        <v>163.63998510273683</v>
      </c>
      <c r="S32" s="17">
        <f>UA!M14</f>
        <v>163.63998510273683</v>
      </c>
      <c r="T32" s="17">
        <f>UA!N14</f>
        <v>145.87420812853333</v>
      </c>
      <c r="U32" s="17">
        <f>UA!O14</f>
        <v>145.87420812853333</v>
      </c>
      <c r="V32" s="17">
        <f>UA!P14</f>
        <v>145.87420812853333</v>
      </c>
      <c r="W32" s="17">
        <f>UA!Q14</f>
        <v>134.85434663701335</v>
      </c>
      <c r="X32" s="17">
        <f>UA!R14</f>
        <v>134.85434663701335</v>
      </c>
      <c r="Y32" s="17">
        <f>UA!S14</f>
        <v>130.87098857104843</v>
      </c>
      <c r="Z32" s="17">
        <f>UA!T14</f>
        <v>130.87098857104843</v>
      </c>
      <c r="AA32" s="17">
        <f>UA!U14</f>
        <v>229.80253109193848</v>
      </c>
      <c r="AB32" s="17">
        <f>UA!V14</f>
        <v>163.63998510273683</v>
      </c>
      <c r="AC32" s="418"/>
      <c r="AD32" s="6">
        <f t="shared" si="4"/>
        <v>23</v>
      </c>
      <c r="AE32" s="87">
        <f>IF(AND(K28&lt;&gt;"",K28&lt;10),"0"&amp;K28,K28)</f>
        <v>0</v>
      </c>
      <c r="AF32" s="375">
        <f t="shared" si="1"/>
        <v>1</v>
      </c>
      <c r="AG32" s="375" t="s">
        <v>995</v>
      </c>
    </row>
    <row r="33" spans="1:32" ht="15" customHeight="1" thickTop="1" thickBot="1">
      <c r="B33" s="124" t="s">
        <v>553</v>
      </c>
      <c r="C33" s="171">
        <f>UA!H15</f>
        <v>186.13879844578463</v>
      </c>
      <c r="D33" s="156" t="s">
        <v>10</v>
      </c>
      <c r="E33" s="172" t="s">
        <v>690</v>
      </c>
      <c r="F33" s="6" t="s">
        <v>71</v>
      </c>
      <c r="G33" s="8" t="s">
        <v>67</v>
      </c>
      <c r="H33" s="3" t="s">
        <v>68</v>
      </c>
      <c r="I33" s="6" t="s">
        <v>69</v>
      </c>
      <c r="J33" s="89" t="s">
        <v>993</v>
      </c>
      <c r="K33" s="170"/>
      <c r="L33" s="17">
        <f>UA!F15</f>
        <v>186.14327721464616</v>
      </c>
      <c r="M33" s="17">
        <f>UA!G15</f>
        <v>186.13879844578463</v>
      </c>
      <c r="N33" s="17">
        <f>UA!H15</f>
        <v>186.13879844578463</v>
      </c>
      <c r="O33" s="17">
        <f>UA!I15</f>
        <v>133.764799608</v>
      </c>
      <c r="P33" s="17">
        <f>UA!J15</f>
        <v>133.764799608</v>
      </c>
      <c r="Q33" s="17">
        <f>UA!K15</f>
        <v>133.764799608</v>
      </c>
      <c r="R33" s="17">
        <f>UA!L15</f>
        <v>133.764799608</v>
      </c>
      <c r="S33" s="17">
        <f>UA!M15</f>
        <v>133.764799608</v>
      </c>
      <c r="T33" s="17">
        <f>UA!N15</f>
        <v>126.95325731520001</v>
      </c>
      <c r="U33" s="17">
        <f>UA!O15</f>
        <v>126.95325731520001</v>
      </c>
      <c r="V33" s="17">
        <f>UA!P15</f>
        <v>126.95325731520001</v>
      </c>
      <c r="W33" s="17">
        <f>UA!Q15</f>
        <v>115.93339582368</v>
      </c>
      <c r="X33" s="17">
        <f>UA!R15</f>
        <v>115.93339582368</v>
      </c>
      <c r="Y33" s="17">
        <f>UA!S15</f>
        <v>115.93339582368</v>
      </c>
      <c r="Z33" s="17">
        <f>UA!T15</f>
        <v>115.93339582368</v>
      </c>
      <c r="AA33" s="17">
        <f>UA!U15</f>
        <v>186.13879844578463</v>
      </c>
      <c r="AB33" s="17">
        <f>UA!V15</f>
        <v>133.764799608</v>
      </c>
      <c r="AC33" s="418"/>
      <c r="AD33" s="6">
        <f t="shared" si="4"/>
        <v>23</v>
      </c>
      <c r="AE33" s="87" t="str">
        <f>IF(K28&lt;&gt;"",C_name&amp;$K$28,"")</f>
        <v/>
      </c>
      <c r="AF33" s="375">
        <f t="shared" si="1"/>
        <v>1</v>
      </c>
    </row>
    <row r="34" spans="1:32" ht="15" customHeight="1" thickTop="1" thickBot="1">
      <c r="A34" s="137" t="s">
        <v>70</v>
      </c>
      <c r="B34" s="6" t="s">
        <v>72</v>
      </c>
      <c r="C34" s="10">
        <v>0</v>
      </c>
      <c r="D34" s="175" t="s">
        <v>10</v>
      </c>
      <c r="E34" s="6" t="s">
        <v>73</v>
      </c>
      <c r="F34" s="6" t="s">
        <v>74</v>
      </c>
      <c r="G34" s="8"/>
      <c r="H34" s="3" t="s">
        <v>17</v>
      </c>
      <c r="K34" s="170"/>
      <c r="L34" s="9">
        <f t="shared" si="2"/>
        <v>0</v>
      </c>
      <c r="M34" s="9">
        <f t="shared" ref="M34:AB49" si="7">L34</f>
        <v>0</v>
      </c>
      <c r="N34" s="9">
        <f t="shared" si="7"/>
        <v>0</v>
      </c>
      <c r="O34" s="9">
        <f t="shared" si="7"/>
        <v>0</v>
      </c>
      <c r="P34" s="9">
        <f t="shared" si="7"/>
        <v>0</v>
      </c>
      <c r="Q34" s="9">
        <f t="shared" si="7"/>
        <v>0</v>
      </c>
      <c r="R34" s="9">
        <f t="shared" si="7"/>
        <v>0</v>
      </c>
      <c r="S34" s="9">
        <f t="shared" si="7"/>
        <v>0</v>
      </c>
      <c r="T34" s="9">
        <f t="shared" si="7"/>
        <v>0</v>
      </c>
      <c r="U34" s="9">
        <f t="shared" si="7"/>
        <v>0</v>
      </c>
      <c r="V34" s="9">
        <f t="shared" si="7"/>
        <v>0</v>
      </c>
      <c r="W34" s="9">
        <f t="shared" si="7"/>
        <v>0</v>
      </c>
      <c r="X34" s="9">
        <f t="shared" si="7"/>
        <v>0</v>
      </c>
      <c r="Y34" s="9">
        <f t="shared" si="7"/>
        <v>0</v>
      </c>
      <c r="Z34" s="9">
        <f t="shared" si="7"/>
        <v>0</v>
      </c>
      <c r="AA34" s="9">
        <f t="shared" si="7"/>
        <v>0</v>
      </c>
      <c r="AB34" s="9">
        <f t="shared" si="7"/>
        <v>0</v>
      </c>
      <c r="AC34" s="418"/>
      <c r="AD34" s="6">
        <f t="shared" si="4"/>
        <v>24</v>
      </c>
      <c r="AE34" s="87" t="str">
        <f>IF(K29&lt;&gt;"",C_name&amp;$K$29,"")</f>
        <v/>
      </c>
      <c r="AF34" s="375">
        <f t="shared" si="1"/>
        <v>0</v>
      </c>
    </row>
    <row r="35" spans="1:32" ht="15" customHeight="1" thickTop="1">
      <c r="A35" s="137" t="s">
        <v>75</v>
      </c>
      <c r="B35" s="134" t="s">
        <v>557</v>
      </c>
      <c r="C35" s="157">
        <v>6</v>
      </c>
      <c r="D35" s="176" t="s">
        <v>700</v>
      </c>
      <c r="E35" s="134" t="s">
        <v>76</v>
      </c>
      <c r="H35" s="3" t="s">
        <v>17</v>
      </c>
      <c r="L35" s="186">
        <f t="shared" si="2"/>
        <v>6</v>
      </c>
      <c r="M35" s="186">
        <f t="shared" si="7"/>
        <v>6</v>
      </c>
      <c r="N35" s="186">
        <f t="shared" si="7"/>
        <v>6</v>
      </c>
      <c r="O35" s="186">
        <f t="shared" si="7"/>
        <v>6</v>
      </c>
      <c r="P35" s="186">
        <f t="shared" si="7"/>
        <v>6</v>
      </c>
      <c r="Q35" s="186">
        <f t="shared" si="7"/>
        <v>6</v>
      </c>
      <c r="R35" s="186">
        <f t="shared" si="7"/>
        <v>6</v>
      </c>
      <c r="S35" s="186">
        <f t="shared" si="7"/>
        <v>6</v>
      </c>
      <c r="T35" s="186">
        <f t="shared" si="7"/>
        <v>6</v>
      </c>
      <c r="U35" s="186">
        <f t="shared" si="7"/>
        <v>6</v>
      </c>
      <c r="V35" s="186">
        <f t="shared" si="7"/>
        <v>6</v>
      </c>
      <c r="W35" s="186">
        <f t="shared" si="7"/>
        <v>6</v>
      </c>
      <c r="X35" s="186">
        <f t="shared" si="7"/>
        <v>6</v>
      </c>
      <c r="Y35" s="186">
        <f t="shared" si="7"/>
        <v>6</v>
      </c>
      <c r="Z35" s="186">
        <f t="shared" si="7"/>
        <v>6</v>
      </c>
      <c r="AA35" s="186">
        <f t="shared" si="7"/>
        <v>6</v>
      </c>
      <c r="AB35" s="186">
        <f t="shared" si="7"/>
        <v>6</v>
      </c>
      <c r="AC35" s="418"/>
      <c r="AD35" s="6">
        <f t="shared" si="4"/>
        <v>24</v>
      </c>
      <c r="AE35" s="87">
        <f>IF(AND(K29&lt;&gt;"",K29&lt;10),"0"&amp;K29,K29)</f>
        <v>0</v>
      </c>
      <c r="AF35" s="375">
        <f t="shared" si="1"/>
        <v>0</v>
      </c>
    </row>
    <row r="36" spans="1:32" ht="15" customHeight="1">
      <c r="B36" s="164" t="s">
        <v>554</v>
      </c>
      <c r="C36" s="157">
        <f>Fans!C97</f>
        <v>16.131748934000001</v>
      </c>
      <c r="D36" s="174" t="s">
        <v>700</v>
      </c>
      <c r="E36" s="291" t="s">
        <v>869</v>
      </c>
      <c r="F36" s="18" t="s">
        <v>77</v>
      </c>
      <c r="H36" s="3" t="s">
        <v>78</v>
      </c>
      <c r="J36" s="93" t="s">
        <v>1066</v>
      </c>
      <c r="L36" s="417">
        <f>IF($J$1="CFIS",0,0.566*L37*-1000)</f>
        <v>0</v>
      </c>
      <c r="M36" s="417">
        <f t="shared" ref="M36:AB36" si="8">IF($J$1="CFIS",0,0.566*M37*-1000)</f>
        <v>0</v>
      </c>
      <c r="N36" s="417">
        <f t="shared" si="8"/>
        <v>0</v>
      </c>
      <c r="O36" s="417">
        <f t="shared" si="8"/>
        <v>0</v>
      </c>
      <c r="P36" s="417">
        <f t="shared" si="8"/>
        <v>0</v>
      </c>
      <c r="Q36" s="417">
        <f t="shared" si="8"/>
        <v>0</v>
      </c>
      <c r="R36" s="417">
        <f t="shared" si="8"/>
        <v>0</v>
      </c>
      <c r="S36" s="417">
        <f t="shared" si="8"/>
        <v>0</v>
      </c>
      <c r="T36" s="417">
        <f t="shared" si="8"/>
        <v>0</v>
      </c>
      <c r="U36" s="417">
        <f t="shared" si="8"/>
        <v>0</v>
      </c>
      <c r="V36" s="417">
        <f t="shared" si="8"/>
        <v>0</v>
      </c>
      <c r="W36" s="417">
        <f t="shared" si="8"/>
        <v>0</v>
      </c>
      <c r="X36" s="417">
        <f t="shared" si="8"/>
        <v>0</v>
      </c>
      <c r="Y36" s="417">
        <f t="shared" si="8"/>
        <v>0</v>
      </c>
      <c r="Z36" s="417">
        <f t="shared" si="8"/>
        <v>0</v>
      </c>
      <c r="AA36" s="417">
        <f t="shared" si="8"/>
        <v>0</v>
      </c>
      <c r="AB36" s="417">
        <f t="shared" si="8"/>
        <v>0</v>
      </c>
      <c r="AC36" s="418"/>
      <c r="AD36" s="6">
        <f t="shared" si="4"/>
        <v>24</v>
      </c>
      <c r="AE36" s="87" t="str">
        <f>IF(K29&lt;&gt;"",C_name&amp;$K$29,"")</f>
        <v/>
      </c>
      <c r="AF36" s="375">
        <f t="shared" si="1"/>
        <v>0</v>
      </c>
    </row>
    <row r="37" spans="1:32" ht="15" customHeight="1">
      <c r="B37" s="165" t="s">
        <v>555</v>
      </c>
      <c r="C37" s="7">
        <f>Fans!C76/1000*-1</f>
        <v>-3.699094E-2</v>
      </c>
      <c r="D37" s="174" t="s">
        <v>700</v>
      </c>
      <c r="E37" s="289" t="s">
        <v>79</v>
      </c>
      <c r="H37" s="3" t="s">
        <v>78</v>
      </c>
      <c r="L37" s="417">
        <f>IF($J$1="CFIS",3*Fans!B10/-1000,3*Fans!B10/-1000)</f>
        <v>-3.8324069507229212E-2</v>
      </c>
      <c r="M37" s="417">
        <f>IF($J$1="CFIS",3*Fans!C10/-1000,3*Fans!C10/-1000)</f>
        <v>-3.7905475836673828E-2</v>
      </c>
      <c r="N37" s="417">
        <f>IF($J$1="CFIS",3*Fans!D10/-1000,3*Fans!D10/-1000)</f>
        <v>-3.7486882166118445E-2</v>
      </c>
      <c r="O37" s="417">
        <f>IF($J$1="CFIS",3*Fans!E10/-1000,3*Fans!E10/-1000)</f>
        <v>-3.9440319295376912E-2</v>
      </c>
      <c r="P37" s="417">
        <f>IF($J$1="CFIS",3*Fans!F10/-1000,3*Fans!F10/-1000)</f>
        <v>-3.8742663177784589E-2</v>
      </c>
      <c r="Q37" s="417">
        <f>IF($J$1="CFIS",3*Fans!G10/-1000,3*Fans!G10/-1000)</f>
        <v>-3.4556726472230744E-2</v>
      </c>
      <c r="R37" s="417">
        <f>IF($J$1="CFIS",3*Fans!H10/-1000,3*Fans!H10/-1000)</f>
        <v>-3.8045007060192287E-2</v>
      </c>
      <c r="S37" s="417">
        <f>IF($J$1="CFIS",3*Fans!I10/-1000,3*Fans!I10/-1000)</f>
        <v>-3.664969482500767E-2</v>
      </c>
      <c r="T37" s="417">
        <f>IF($J$1="CFIS",3*Fans!J10/-1000,3*Fans!J10/-1000)</f>
        <v>-3.6300866766211512E-2</v>
      </c>
      <c r="U37" s="417">
        <f>IF($J$1="CFIS",3*Fans!K10/-1000,3*Fans!K10/-1000)</f>
        <v>-3.8742663177784589E-2</v>
      </c>
      <c r="V37" s="417">
        <f>IF($J$1="CFIS",3*Fans!L10/-1000,3*Fans!L10/-1000)</f>
        <v>-3.9858912965932289E-2</v>
      </c>
      <c r="W37" s="417">
        <f>IF($J$1="CFIS",3*Fans!M10/-1000,3*Fans!M10/-1000)</f>
        <v>-3.8463600730747671E-2</v>
      </c>
      <c r="X37" s="417">
        <f>IF($J$1="CFIS",3*Fans!N10/-1000,3*Fans!N10/-1000)</f>
        <v>-3.7905475836673821E-2</v>
      </c>
      <c r="Y37" s="417">
        <f>IF($J$1="CFIS",3*Fans!O10/-1000,3*Fans!O10/-1000)</f>
        <v>-3.5952038707415354E-2</v>
      </c>
      <c r="Z37" s="417">
        <f>IF($J$1="CFIS",3*Fans!P10/-1000,3*Fans!P10/-1000)</f>
        <v>-4.0835631530561529E-2</v>
      </c>
      <c r="AA37" s="417">
        <f>IF($J$1="CFIS",3*Fans!Q10/-1000,3*Fans!Q10/-1000)</f>
        <v>-3.9579850518895371E-2</v>
      </c>
      <c r="AB37" s="417">
        <f>IF($J$1="CFIS",3*Fans!R10/-1000,3*Fans!R10/-1000)</f>
        <v>-4.0486803471765372E-2</v>
      </c>
      <c r="AC37" s="418"/>
      <c r="AD37" s="6">
        <f t="shared" si="4"/>
        <v>25</v>
      </c>
      <c r="AE37" s="87" t="str">
        <f>IF(K30&lt;&gt;"",C_name&amp;$K$30,"")</f>
        <v/>
      </c>
      <c r="AF37" s="375">
        <f t="shared" si="1"/>
        <v>1</v>
      </c>
    </row>
    <row r="38" spans="1:32" ht="15" customHeight="1">
      <c r="B38" s="166" t="s">
        <v>556</v>
      </c>
      <c r="C38" s="155">
        <v>1</v>
      </c>
      <c r="D38" s="174" t="s">
        <v>700</v>
      </c>
      <c r="E38" s="292" t="s">
        <v>870</v>
      </c>
      <c r="G38" s="8" t="s">
        <v>80</v>
      </c>
      <c r="H38" s="3" t="s">
        <v>78</v>
      </c>
      <c r="J38" s="93" t="s">
        <v>1065</v>
      </c>
      <c r="L38" s="271">
        <f t="shared" ref="L38:AB38" si="9">VLOOKUP($J$1,$J$164:$K$168,2,FALSE)</f>
        <v>13</v>
      </c>
      <c r="M38" s="271">
        <f t="shared" si="9"/>
        <v>13</v>
      </c>
      <c r="N38" s="271">
        <f t="shared" si="9"/>
        <v>13</v>
      </c>
      <c r="O38" s="271">
        <f t="shared" si="9"/>
        <v>13</v>
      </c>
      <c r="P38" s="271">
        <f t="shared" si="9"/>
        <v>13</v>
      </c>
      <c r="Q38" s="271">
        <f t="shared" si="9"/>
        <v>13</v>
      </c>
      <c r="R38" s="271">
        <f t="shared" si="9"/>
        <v>13</v>
      </c>
      <c r="S38" s="271">
        <f t="shared" si="9"/>
        <v>13</v>
      </c>
      <c r="T38" s="271">
        <f t="shared" si="9"/>
        <v>13</v>
      </c>
      <c r="U38" s="271">
        <f t="shared" si="9"/>
        <v>13</v>
      </c>
      <c r="V38" s="271">
        <f t="shared" si="9"/>
        <v>13</v>
      </c>
      <c r="W38" s="271">
        <f t="shared" si="9"/>
        <v>13</v>
      </c>
      <c r="X38" s="271">
        <f t="shared" si="9"/>
        <v>13</v>
      </c>
      <c r="Y38" s="271">
        <f t="shared" si="9"/>
        <v>13</v>
      </c>
      <c r="Z38" s="271">
        <f t="shared" si="9"/>
        <v>13</v>
      </c>
      <c r="AA38" s="271">
        <f t="shared" si="9"/>
        <v>13</v>
      </c>
      <c r="AB38" s="271">
        <f t="shared" si="9"/>
        <v>13</v>
      </c>
      <c r="AC38" s="418"/>
      <c r="AD38" s="6">
        <f t="shared" si="4"/>
        <v>25</v>
      </c>
      <c r="AE38" s="87">
        <f>IF(AND(K30&lt;&gt;"",K30&lt;10),"0"&amp;K30,K30)</f>
        <v>0</v>
      </c>
      <c r="AF38" s="375">
        <f t="shared" si="1"/>
        <v>0</v>
      </c>
    </row>
    <row r="39" spans="1:32" ht="15" customHeight="1">
      <c r="B39" s="164" t="s">
        <v>554</v>
      </c>
      <c r="C39" s="157">
        <v>0</v>
      </c>
      <c r="D39" s="174" t="s">
        <v>700</v>
      </c>
      <c r="E39" s="291" t="s">
        <v>871</v>
      </c>
      <c r="F39" s="18" t="s">
        <v>81</v>
      </c>
      <c r="H39" s="3" t="s">
        <v>78</v>
      </c>
      <c r="L39" s="15">
        <f t="shared" si="2"/>
        <v>0</v>
      </c>
      <c r="M39" s="15">
        <f t="shared" si="7"/>
        <v>0</v>
      </c>
      <c r="N39" s="15">
        <f t="shared" si="7"/>
        <v>0</v>
      </c>
      <c r="O39" s="15">
        <f t="shared" si="7"/>
        <v>0</v>
      </c>
      <c r="P39" s="15">
        <f t="shared" si="7"/>
        <v>0</v>
      </c>
      <c r="Q39" s="15">
        <f t="shared" si="7"/>
        <v>0</v>
      </c>
      <c r="R39" s="15">
        <f t="shared" si="7"/>
        <v>0</v>
      </c>
      <c r="S39" s="15">
        <f t="shared" si="7"/>
        <v>0</v>
      </c>
      <c r="T39" s="15">
        <f t="shared" si="7"/>
        <v>0</v>
      </c>
      <c r="U39" s="15">
        <f t="shared" si="7"/>
        <v>0</v>
      </c>
      <c r="V39" s="15">
        <f t="shared" si="7"/>
        <v>0</v>
      </c>
      <c r="W39" s="15">
        <f t="shared" si="7"/>
        <v>0</v>
      </c>
      <c r="X39" s="15">
        <f t="shared" si="7"/>
        <v>0</v>
      </c>
      <c r="Y39" s="15">
        <f t="shared" si="7"/>
        <v>0</v>
      </c>
      <c r="Z39" s="15">
        <f t="shared" si="7"/>
        <v>0</v>
      </c>
      <c r="AA39" s="15">
        <f t="shared" si="7"/>
        <v>0</v>
      </c>
      <c r="AB39" s="345">
        <f t="shared" si="7"/>
        <v>0</v>
      </c>
      <c r="AC39" s="418"/>
      <c r="AD39" s="6">
        <f t="shared" si="4"/>
        <v>25</v>
      </c>
      <c r="AE39" s="87" t="str">
        <f>IF(K30&lt;&gt;"",C_name&amp;$K$30,"")</f>
        <v/>
      </c>
      <c r="AF39" s="375">
        <f t="shared" si="1"/>
        <v>0</v>
      </c>
    </row>
    <row r="40" spans="1:32" ht="15" customHeight="1">
      <c r="B40" s="165" t="s">
        <v>555</v>
      </c>
      <c r="C40" s="7">
        <f>Fans!C18</f>
        <v>-7.0788107597923547E-2</v>
      </c>
      <c r="D40" s="174" t="s">
        <v>700</v>
      </c>
      <c r="E40" s="289" t="s">
        <v>82</v>
      </c>
      <c r="H40" s="3" t="s">
        <v>78</v>
      </c>
      <c r="L40" s="9">
        <f t="shared" si="2"/>
        <v>-7.0788107597923547E-2</v>
      </c>
      <c r="M40" s="9">
        <f t="shared" si="7"/>
        <v>-7.0788107597923547E-2</v>
      </c>
      <c r="N40" s="9">
        <f t="shared" si="7"/>
        <v>-7.0788107597923547E-2</v>
      </c>
      <c r="O40" s="9">
        <f t="shared" si="7"/>
        <v>-7.0788107597923547E-2</v>
      </c>
      <c r="P40" s="9">
        <f t="shared" si="7"/>
        <v>-7.0788107597923547E-2</v>
      </c>
      <c r="Q40" s="9">
        <f t="shared" si="7"/>
        <v>-7.0788107597923547E-2</v>
      </c>
      <c r="R40" s="9">
        <f t="shared" si="7"/>
        <v>-7.0788107597923547E-2</v>
      </c>
      <c r="S40" s="9">
        <f t="shared" si="7"/>
        <v>-7.0788107597923547E-2</v>
      </c>
      <c r="T40" s="9">
        <f t="shared" si="7"/>
        <v>-7.0788107597923547E-2</v>
      </c>
      <c r="U40" s="9">
        <f t="shared" si="7"/>
        <v>-7.0788107597923547E-2</v>
      </c>
      <c r="V40" s="9">
        <f t="shared" si="7"/>
        <v>-7.0788107597923547E-2</v>
      </c>
      <c r="W40" s="9">
        <f t="shared" si="7"/>
        <v>-7.0788107597923547E-2</v>
      </c>
      <c r="X40" s="9">
        <f t="shared" si="7"/>
        <v>-7.0788107597923547E-2</v>
      </c>
      <c r="Y40" s="9">
        <f t="shared" si="7"/>
        <v>-7.0788107597923547E-2</v>
      </c>
      <c r="Z40" s="9">
        <f t="shared" si="7"/>
        <v>-7.0788107597923547E-2</v>
      </c>
      <c r="AA40" s="9">
        <f t="shared" si="7"/>
        <v>-7.0788107597923547E-2</v>
      </c>
      <c r="AB40" s="9">
        <f t="shared" si="7"/>
        <v>-7.0788107597923547E-2</v>
      </c>
      <c r="AC40" s="418"/>
      <c r="AD40" s="6">
        <f t="shared" si="4"/>
        <v>26</v>
      </c>
      <c r="AE40" s="87" t="str">
        <f>IF(K31&lt;&gt;"",C_name&amp;$K$31,"")</f>
        <v/>
      </c>
      <c r="AF40" s="375">
        <f t="shared" si="1"/>
        <v>0</v>
      </c>
    </row>
    <row r="41" spans="1:32" ht="15" customHeight="1">
      <c r="B41" s="166" t="s">
        <v>556</v>
      </c>
      <c r="C41" s="155">
        <v>23</v>
      </c>
      <c r="D41" s="174" t="s">
        <v>700</v>
      </c>
      <c r="E41" s="292" t="s">
        <v>872</v>
      </c>
      <c r="H41" s="3" t="s">
        <v>78</v>
      </c>
      <c r="L41" s="186">
        <f t="shared" si="2"/>
        <v>23</v>
      </c>
      <c r="M41" s="186">
        <f t="shared" si="7"/>
        <v>23</v>
      </c>
      <c r="N41" s="186">
        <f t="shared" si="7"/>
        <v>23</v>
      </c>
      <c r="O41" s="186">
        <f t="shared" si="7"/>
        <v>23</v>
      </c>
      <c r="P41" s="186">
        <f t="shared" si="7"/>
        <v>23</v>
      </c>
      <c r="Q41" s="186">
        <f t="shared" si="7"/>
        <v>23</v>
      </c>
      <c r="R41" s="186">
        <f t="shared" si="7"/>
        <v>23</v>
      </c>
      <c r="S41" s="186">
        <f t="shared" si="7"/>
        <v>23</v>
      </c>
      <c r="T41" s="186">
        <f t="shared" si="7"/>
        <v>23</v>
      </c>
      <c r="U41" s="186">
        <f t="shared" si="7"/>
        <v>23</v>
      </c>
      <c r="V41" s="186">
        <f t="shared" si="7"/>
        <v>23</v>
      </c>
      <c r="W41" s="186">
        <f t="shared" si="7"/>
        <v>23</v>
      </c>
      <c r="X41" s="186">
        <f t="shared" si="7"/>
        <v>23</v>
      </c>
      <c r="Y41" s="186">
        <f t="shared" si="7"/>
        <v>23</v>
      </c>
      <c r="Z41" s="186">
        <f t="shared" si="7"/>
        <v>23</v>
      </c>
      <c r="AA41" s="186">
        <f t="shared" si="7"/>
        <v>23</v>
      </c>
      <c r="AB41" s="186">
        <f t="shared" si="7"/>
        <v>23</v>
      </c>
      <c r="AC41" s="418"/>
      <c r="AD41" s="6">
        <f t="shared" si="4"/>
        <v>26</v>
      </c>
      <c r="AE41" s="87">
        <f>IF(AND(K31&lt;&gt;"",K31&lt;10),"0"&amp;K31,K31)</f>
        <v>0</v>
      </c>
      <c r="AF41" s="375">
        <f t="shared" si="1"/>
        <v>0</v>
      </c>
    </row>
    <row r="42" spans="1:32" ht="15" customHeight="1">
      <c r="A42" s="278"/>
      <c r="B42" s="164" t="s">
        <v>554</v>
      </c>
      <c r="C42" s="162">
        <f>Fans!I16</f>
        <v>37.200000000000003</v>
      </c>
      <c r="D42" s="174" t="s">
        <v>700</v>
      </c>
      <c r="E42" s="291" t="s">
        <v>873</v>
      </c>
      <c r="F42" s="18" t="s">
        <v>83</v>
      </c>
      <c r="H42" s="3" t="s">
        <v>78</v>
      </c>
      <c r="I42" s="6" t="s">
        <v>84</v>
      </c>
      <c r="L42" s="277">
        <f t="shared" si="2"/>
        <v>37.200000000000003</v>
      </c>
      <c r="M42" s="277">
        <f t="shared" si="7"/>
        <v>37.200000000000003</v>
      </c>
      <c r="N42" s="277">
        <f t="shared" si="7"/>
        <v>37.200000000000003</v>
      </c>
      <c r="O42" s="277">
        <f t="shared" si="7"/>
        <v>37.200000000000003</v>
      </c>
      <c r="P42" s="277">
        <f t="shared" si="7"/>
        <v>37.200000000000003</v>
      </c>
      <c r="Q42" s="277">
        <f t="shared" si="7"/>
        <v>37.200000000000003</v>
      </c>
      <c r="R42" s="277">
        <f t="shared" si="7"/>
        <v>37.200000000000003</v>
      </c>
      <c r="S42" s="277">
        <f t="shared" si="7"/>
        <v>37.200000000000003</v>
      </c>
      <c r="T42" s="277">
        <f t="shared" si="7"/>
        <v>37.200000000000003</v>
      </c>
      <c r="U42" s="277">
        <f t="shared" si="7"/>
        <v>37.200000000000003</v>
      </c>
      <c r="V42" s="277">
        <f t="shared" si="7"/>
        <v>37.200000000000003</v>
      </c>
      <c r="W42" s="277">
        <f t="shared" si="7"/>
        <v>37.200000000000003</v>
      </c>
      <c r="X42" s="277">
        <f t="shared" si="7"/>
        <v>37.200000000000003</v>
      </c>
      <c r="Y42" s="277">
        <f t="shared" si="7"/>
        <v>37.200000000000003</v>
      </c>
      <c r="Z42" s="277">
        <f t="shared" si="7"/>
        <v>37.200000000000003</v>
      </c>
      <c r="AA42" s="277">
        <f t="shared" si="7"/>
        <v>37.200000000000003</v>
      </c>
      <c r="AB42" s="277">
        <f t="shared" si="7"/>
        <v>37.200000000000003</v>
      </c>
      <c r="AC42" s="418"/>
      <c r="AD42" s="6">
        <f t="shared" si="4"/>
        <v>26</v>
      </c>
      <c r="AE42" s="87" t="str">
        <f>IF(K31&lt;&gt;"",C_name&amp;$K$31,"")</f>
        <v/>
      </c>
      <c r="AF42" s="375">
        <f t="shared" si="1"/>
        <v>0</v>
      </c>
    </row>
    <row r="43" spans="1:32" ht="15" customHeight="1">
      <c r="A43" s="278"/>
      <c r="B43" s="165" t="s">
        <v>555</v>
      </c>
      <c r="C43" s="7">
        <f>Fans!C16</f>
        <v>-4.7192071731949031E-2</v>
      </c>
      <c r="D43" s="174" t="s">
        <v>700</v>
      </c>
      <c r="E43" s="289" t="s">
        <v>85</v>
      </c>
      <c r="H43" s="3" t="s">
        <v>78</v>
      </c>
      <c r="I43" s="6" t="s">
        <v>84</v>
      </c>
      <c r="L43" s="272">
        <f t="shared" si="2"/>
        <v>-4.7192071731949031E-2</v>
      </c>
      <c r="M43" s="272">
        <f t="shared" si="7"/>
        <v>-4.7192071731949031E-2</v>
      </c>
      <c r="N43" s="272">
        <f t="shared" si="7"/>
        <v>-4.7192071731949031E-2</v>
      </c>
      <c r="O43" s="272">
        <f t="shared" si="7"/>
        <v>-4.7192071731949031E-2</v>
      </c>
      <c r="P43" s="272">
        <f t="shared" si="7"/>
        <v>-4.7192071731949031E-2</v>
      </c>
      <c r="Q43" s="272">
        <f t="shared" si="7"/>
        <v>-4.7192071731949031E-2</v>
      </c>
      <c r="R43" s="272">
        <f t="shared" si="7"/>
        <v>-4.7192071731949031E-2</v>
      </c>
      <c r="S43" s="272">
        <f t="shared" si="7"/>
        <v>-4.7192071731949031E-2</v>
      </c>
      <c r="T43" s="272">
        <f t="shared" si="7"/>
        <v>-4.7192071731949031E-2</v>
      </c>
      <c r="U43" s="272">
        <f t="shared" si="7"/>
        <v>-4.7192071731949031E-2</v>
      </c>
      <c r="V43" s="272">
        <f t="shared" si="7"/>
        <v>-4.7192071731949031E-2</v>
      </c>
      <c r="W43" s="272">
        <f t="shared" si="7"/>
        <v>-4.7192071731949031E-2</v>
      </c>
      <c r="X43" s="272">
        <f t="shared" si="7"/>
        <v>-4.7192071731949031E-2</v>
      </c>
      <c r="Y43" s="272">
        <f t="shared" si="7"/>
        <v>-4.7192071731949031E-2</v>
      </c>
      <c r="Z43" s="272">
        <f t="shared" si="7"/>
        <v>-4.7192071731949031E-2</v>
      </c>
      <c r="AA43" s="272">
        <f t="shared" si="7"/>
        <v>-4.7192071731949031E-2</v>
      </c>
      <c r="AB43" s="272">
        <f t="shared" si="7"/>
        <v>-4.7192071731949031E-2</v>
      </c>
      <c r="AC43" s="418"/>
      <c r="AD43" s="6">
        <f t="shared" si="4"/>
        <v>27</v>
      </c>
      <c r="AE43" s="87" t="str">
        <f>IF(K32&lt;&gt;"",C_name&amp;$K$32,"")</f>
        <v/>
      </c>
      <c r="AF43" s="375">
        <f t="shared" si="1"/>
        <v>0</v>
      </c>
    </row>
    <row r="44" spans="1:32" ht="15" customHeight="1">
      <c r="A44" s="278"/>
      <c r="B44" s="166" t="s">
        <v>556</v>
      </c>
      <c r="C44" s="155">
        <v>24</v>
      </c>
      <c r="D44" s="174" t="s">
        <v>700</v>
      </c>
      <c r="E44" s="292" t="s">
        <v>874</v>
      </c>
      <c r="H44" s="3" t="s">
        <v>78</v>
      </c>
      <c r="I44" s="6" t="s">
        <v>86</v>
      </c>
      <c r="L44" s="271">
        <f t="shared" si="2"/>
        <v>24</v>
      </c>
      <c r="M44" s="271">
        <f t="shared" si="7"/>
        <v>24</v>
      </c>
      <c r="N44" s="271">
        <f t="shared" si="7"/>
        <v>24</v>
      </c>
      <c r="O44" s="271">
        <f t="shared" si="7"/>
        <v>24</v>
      </c>
      <c r="P44" s="271">
        <f t="shared" si="7"/>
        <v>24</v>
      </c>
      <c r="Q44" s="271">
        <f t="shared" si="7"/>
        <v>24</v>
      </c>
      <c r="R44" s="271">
        <f t="shared" si="7"/>
        <v>24</v>
      </c>
      <c r="S44" s="271">
        <f t="shared" si="7"/>
        <v>24</v>
      </c>
      <c r="T44" s="271">
        <f t="shared" si="7"/>
        <v>24</v>
      </c>
      <c r="U44" s="271">
        <f t="shared" si="7"/>
        <v>24</v>
      </c>
      <c r="V44" s="271">
        <f t="shared" si="7"/>
        <v>24</v>
      </c>
      <c r="W44" s="271">
        <f t="shared" si="7"/>
        <v>24</v>
      </c>
      <c r="X44" s="271">
        <f t="shared" si="7"/>
        <v>24</v>
      </c>
      <c r="Y44" s="271">
        <f t="shared" si="7"/>
        <v>24</v>
      </c>
      <c r="Z44" s="271">
        <f t="shared" si="7"/>
        <v>24</v>
      </c>
      <c r="AA44" s="271">
        <f t="shared" si="7"/>
        <v>24</v>
      </c>
      <c r="AB44" s="271">
        <f t="shared" si="7"/>
        <v>24</v>
      </c>
      <c r="AC44" s="418"/>
      <c r="AD44" s="6">
        <f>AD41+1</f>
        <v>27</v>
      </c>
      <c r="AE44" s="87">
        <f>IF(AND(K32&lt;&gt;"",K32&lt;10),"0"&amp;K32,K32)</f>
        <v>0</v>
      </c>
      <c r="AF44" s="375">
        <f t="shared" si="1"/>
        <v>0</v>
      </c>
    </row>
    <row r="45" spans="1:32" ht="15" customHeight="1">
      <c r="A45" s="278"/>
      <c r="B45" s="164" t="s">
        <v>554</v>
      </c>
      <c r="C45" s="157">
        <f>IF(Fans!B6&gt;0,Fans!I15,0)</f>
        <v>10.199999999999999</v>
      </c>
      <c r="D45" s="174" t="s">
        <v>700</v>
      </c>
      <c r="E45" s="291" t="s">
        <v>875</v>
      </c>
      <c r="F45" s="18" t="s">
        <v>87</v>
      </c>
      <c r="H45" s="3" t="s">
        <v>78</v>
      </c>
      <c r="L45" s="15">
        <f t="shared" si="2"/>
        <v>10.199999999999999</v>
      </c>
      <c r="M45" s="15">
        <f t="shared" si="7"/>
        <v>10.199999999999999</v>
      </c>
      <c r="N45" s="15">
        <f t="shared" si="7"/>
        <v>10.199999999999999</v>
      </c>
      <c r="O45" s="15">
        <f t="shared" si="7"/>
        <v>10.199999999999999</v>
      </c>
      <c r="P45" s="15">
        <f t="shared" si="7"/>
        <v>10.199999999999999</v>
      </c>
      <c r="Q45" s="15">
        <f t="shared" si="7"/>
        <v>10.199999999999999</v>
      </c>
      <c r="R45" s="15">
        <f t="shared" si="7"/>
        <v>10.199999999999999</v>
      </c>
      <c r="S45" s="15">
        <f t="shared" si="7"/>
        <v>10.199999999999999</v>
      </c>
      <c r="T45" s="15">
        <f t="shared" si="7"/>
        <v>10.199999999999999</v>
      </c>
      <c r="U45" s="15">
        <f t="shared" si="7"/>
        <v>10.199999999999999</v>
      </c>
      <c r="V45" s="15">
        <f t="shared" si="7"/>
        <v>10.199999999999999</v>
      </c>
      <c r="W45" s="15">
        <f t="shared" si="7"/>
        <v>10.199999999999999</v>
      </c>
      <c r="X45" s="15">
        <f t="shared" si="7"/>
        <v>10.199999999999999</v>
      </c>
      <c r="Y45" s="15">
        <f t="shared" si="7"/>
        <v>10.199999999999999</v>
      </c>
      <c r="Z45" s="15">
        <f t="shared" si="7"/>
        <v>10.199999999999999</v>
      </c>
      <c r="AA45" s="15">
        <f t="shared" si="7"/>
        <v>10.199999999999999</v>
      </c>
      <c r="AB45" s="345">
        <f t="shared" si="7"/>
        <v>10.199999999999999</v>
      </c>
      <c r="AC45" s="418"/>
      <c r="AD45" s="6">
        <f t="shared" si="4"/>
        <v>27</v>
      </c>
      <c r="AE45" s="87" t="str">
        <f>IF(K32&lt;&gt;"",C_name&amp;$K$32,"")</f>
        <v/>
      </c>
      <c r="AF45" s="375">
        <f t="shared" si="1"/>
        <v>0</v>
      </c>
    </row>
    <row r="46" spans="1:32" ht="15" customHeight="1">
      <c r="A46" s="278"/>
      <c r="B46" s="165" t="s">
        <v>555</v>
      </c>
      <c r="C46" s="7">
        <f>IF(Fans!B6&gt;0,Fans!C15,0)</f>
        <v>-2.3596035865974516E-2</v>
      </c>
      <c r="D46" s="174" t="s">
        <v>700</v>
      </c>
      <c r="E46" s="289" t="s">
        <v>88</v>
      </c>
      <c r="H46" s="3" t="s">
        <v>78</v>
      </c>
      <c r="L46" s="9">
        <f t="shared" si="2"/>
        <v>-2.3596035865974516E-2</v>
      </c>
      <c r="M46" s="9">
        <f t="shared" si="7"/>
        <v>-2.3596035865974516E-2</v>
      </c>
      <c r="N46" s="9">
        <f t="shared" si="7"/>
        <v>-2.3596035865974516E-2</v>
      </c>
      <c r="O46" s="9">
        <f t="shared" si="7"/>
        <v>-2.3596035865974516E-2</v>
      </c>
      <c r="P46" s="9">
        <f t="shared" si="7"/>
        <v>-2.3596035865974516E-2</v>
      </c>
      <c r="Q46" s="9">
        <f t="shared" si="7"/>
        <v>-2.3596035865974516E-2</v>
      </c>
      <c r="R46" s="9">
        <f t="shared" si="7"/>
        <v>-2.3596035865974516E-2</v>
      </c>
      <c r="S46" s="9">
        <f t="shared" si="7"/>
        <v>-2.3596035865974516E-2</v>
      </c>
      <c r="T46" s="9">
        <f t="shared" si="7"/>
        <v>-2.3596035865974516E-2</v>
      </c>
      <c r="U46" s="9">
        <f t="shared" si="7"/>
        <v>-2.3596035865974516E-2</v>
      </c>
      <c r="V46" s="9">
        <f t="shared" si="7"/>
        <v>-2.3596035865974516E-2</v>
      </c>
      <c r="W46" s="9">
        <f t="shared" si="7"/>
        <v>-2.3596035865974516E-2</v>
      </c>
      <c r="X46" s="9">
        <f t="shared" si="7"/>
        <v>-2.3596035865974516E-2</v>
      </c>
      <c r="Y46" s="9">
        <f t="shared" si="7"/>
        <v>-2.3596035865974516E-2</v>
      </c>
      <c r="Z46" s="9">
        <f t="shared" si="7"/>
        <v>-2.3596035865974516E-2</v>
      </c>
      <c r="AA46" s="9">
        <f t="shared" si="7"/>
        <v>-2.3596035865974516E-2</v>
      </c>
      <c r="AB46" s="9">
        <f t="shared" si="7"/>
        <v>-2.3596035865974516E-2</v>
      </c>
      <c r="AC46" s="418"/>
      <c r="AD46" s="6">
        <f t="shared" si="4"/>
        <v>28</v>
      </c>
      <c r="AE46" s="87" t="str">
        <f>IF(K33&lt;&gt;"",C_name&amp;$K$33,"")</f>
        <v/>
      </c>
      <c r="AF46" s="375">
        <f t="shared" si="1"/>
        <v>0</v>
      </c>
    </row>
    <row r="47" spans="1:32" ht="15" customHeight="1">
      <c r="B47" s="165" t="s">
        <v>556</v>
      </c>
      <c r="C47" s="10">
        <v>25</v>
      </c>
      <c r="D47" s="174" t="s">
        <v>700</v>
      </c>
      <c r="E47" s="290" t="s">
        <v>876</v>
      </c>
      <c r="H47" s="3" t="s">
        <v>78</v>
      </c>
      <c r="L47" s="186">
        <f t="shared" si="2"/>
        <v>25</v>
      </c>
      <c r="M47" s="186">
        <f t="shared" si="7"/>
        <v>25</v>
      </c>
      <c r="N47" s="186">
        <f t="shared" si="7"/>
        <v>25</v>
      </c>
      <c r="O47" s="186">
        <f t="shared" si="7"/>
        <v>25</v>
      </c>
      <c r="P47" s="186">
        <f t="shared" si="7"/>
        <v>25</v>
      </c>
      <c r="Q47" s="186">
        <f t="shared" si="7"/>
        <v>25</v>
      </c>
      <c r="R47" s="186">
        <f t="shared" si="7"/>
        <v>25</v>
      </c>
      <c r="S47" s="186">
        <f t="shared" si="7"/>
        <v>25</v>
      </c>
      <c r="T47" s="186">
        <f t="shared" si="7"/>
        <v>25</v>
      </c>
      <c r="U47" s="186">
        <f t="shared" si="7"/>
        <v>25</v>
      </c>
      <c r="V47" s="186">
        <f t="shared" si="7"/>
        <v>25</v>
      </c>
      <c r="W47" s="186">
        <f t="shared" si="7"/>
        <v>25</v>
      </c>
      <c r="X47" s="186">
        <f t="shared" si="7"/>
        <v>25</v>
      </c>
      <c r="Y47" s="186">
        <f t="shared" si="7"/>
        <v>25</v>
      </c>
      <c r="Z47" s="186">
        <f t="shared" si="7"/>
        <v>25</v>
      </c>
      <c r="AA47" s="186">
        <f t="shared" si="7"/>
        <v>25</v>
      </c>
      <c r="AB47" s="186">
        <f t="shared" si="7"/>
        <v>25</v>
      </c>
      <c r="AC47" s="418"/>
      <c r="AD47" s="6">
        <f t="shared" si="4"/>
        <v>28</v>
      </c>
      <c r="AE47" s="87">
        <f>IF(AND(K33&lt;&gt;"",K33&lt;10),"0"&amp;K33,K33)</f>
        <v>0</v>
      </c>
      <c r="AF47" s="375">
        <f t="shared" si="1"/>
        <v>0</v>
      </c>
    </row>
    <row r="48" spans="1:32" ht="15" customHeight="1">
      <c r="B48" s="164" t="s">
        <v>554</v>
      </c>
      <c r="C48" s="312">
        <f>IF(Fans!B6&gt;1,Fans!I15,0)</f>
        <v>0</v>
      </c>
      <c r="D48" s="174" t="s">
        <v>700</v>
      </c>
      <c r="E48" s="291" t="s">
        <v>713</v>
      </c>
      <c r="L48" s="277">
        <f t="shared" si="2"/>
        <v>0</v>
      </c>
      <c r="M48" s="277">
        <f t="shared" si="7"/>
        <v>0</v>
      </c>
      <c r="N48" s="277">
        <f t="shared" si="7"/>
        <v>0</v>
      </c>
      <c r="O48" s="277">
        <f t="shared" si="7"/>
        <v>0</v>
      </c>
      <c r="P48" s="277">
        <f t="shared" si="7"/>
        <v>0</v>
      </c>
      <c r="Q48" s="277">
        <f t="shared" si="7"/>
        <v>0</v>
      </c>
      <c r="R48" s="277">
        <f t="shared" si="7"/>
        <v>0</v>
      </c>
      <c r="S48" s="277">
        <f t="shared" si="7"/>
        <v>0</v>
      </c>
      <c r="T48" s="277">
        <f t="shared" si="7"/>
        <v>0</v>
      </c>
      <c r="U48" s="277">
        <f t="shared" si="7"/>
        <v>0</v>
      </c>
      <c r="V48" s="277">
        <f t="shared" si="7"/>
        <v>0</v>
      </c>
      <c r="W48" s="277">
        <f t="shared" si="7"/>
        <v>0</v>
      </c>
      <c r="X48" s="277">
        <f t="shared" si="7"/>
        <v>0</v>
      </c>
      <c r="Y48" s="277">
        <f t="shared" si="7"/>
        <v>0</v>
      </c>
      <c r="Z48" s="277">
        <f t="shared" si="7"/>
        <v>0</v>
      </c>
      <c r="AA48" s="277">
        <f t="shared" si="7"/>
        <v>0</v>
      </c>
      <c r="AB48" s="277">
        <f t="shared" si="7"/>
        <v>0</v>
      </c>
      <c r="AC48" s="418"/>
      <c r="AD48" s="6">
        <f t="shared" si="4"/>
        <v>28</v>
      </c>
      <c r="AE48" s="87" t="str">
        <f>IF(K33&lt;&gt;"",C_name&amp;$K$33,"")</f>
        <v/>
      </c>
      <c r="AF48" s="375">
        <f t="shared" si="1"/>
        <v>0</v>
      </c>
    </row>
    <row r="49" spans="1:32" ht="15" customHeight="1">
      <c r="B49" s="165" t="s">
        <v>555</v>
      </c>
      <c r="C49" s="311">
        <f>IF(Fans!B6&gt;1,Fans!C15,0)</f>
        <v>0</v>
      </c>
      <c r="D49" s="174" t="s">
        <v>700</v>
      </c>
      <c r="E49" s="289" t="s">
        <v>711</v>
      </c>
      <c r="L49" s="272">
        <f t="shared" si="2"/>
        <v>0</v>
      </c>
      <c r="M49" s="272">
        <f t="shared" si="7"/>
        <v>0</v>
      </c>
      <c r="N49" s="272">
        <f t="shared" si="7"/>
        <v>0</v>
      </c>
      <c r="O49" s="272">
        <f t="shared" si="7"/>
        <v>0</v>
      </c>
      <c r="P49" s="272">
        <f t="shared" si="7"/>
        <v>0</v>
      </c>
      <c r="Q49" s="272">
        <f t="shared" si="7"/>
        <v>0</v>
      </c>
      <c r="R49" s="272">
        <f t="shared" si="7"/>
        <v>0</v>
      </c>
      <c r="S49" s="272">
        <f t="shared" si="7"/>
        <v>0</v>
      </c>
      <c r="T49" s="272">
        <f t="shared" si="7"/>
        <v>0</v>
      </c>
      <c r="U49" s="272">
        <f t="shared" si="7"/>
        <v>0</v>
      </c>
      <c r="V49" s="272">
        <f t="shared" si="7"/>
        <v>0</v>
      </c>
      <c r="W49" s="272">
        <f t="shared" si="7"/>
        <v>0</v>
      </c>
      <c r="X49" s="272">
        <f t="shared" si="7"/>
        <v>0</v>
      </c>
      <c r="Y49" s="272">
        <f t="shared" si="7"/>
        <v>0</v>
      </c>
      <c r="Z49" s="272">
        <f t="shared" si="7"/>
        <v>0</v>
      </c>
      <c r="AA49" s="272">
        <f t="shared" si="7"/>
        <v>0</v>
      </c>
      <c r="AB49" s="272">
        <f t="shared" si="7"/>
        <v>0</v>
      </c>
      <c r="AD49" s="6">
        <f>AD46+1</f>
        <v>29</v>
      </c>
      <c r="AE49" s="87" t="str">
        <f>IF(K34&lt;&gt;"",C_name&amp;$K$34,"")</f>
        <v/>
      </c>
      <c r="AF49" s="375">
        <f t="shared" si="1"/>
        <v>0</v>
      </c>
    </row>
    <row r="50" spans="1:32" ht="15" customHeight="1">
      <c r="B50" s="166" t="s">
        <v>556</v>
      </c>
      <c r="C50" s="155">
        <v>26</v>
      </c>
      <c r="D50" s="174" t="s">
        <v>700</v>
      </c>
      <c r="E50" s="292" t="s">
        <v>877</v>
      </c>
      <c r="L50" s="271">
        <f t="shared" si="2"/>
        <v>26</v>
      </c>
      <c r="M50" s="271">
        <f t="shared" ref="M50:AB59" si="10">L50</f>
        <v>26</v>
      </c>
      <c r="N50" s="271">
        <f t="shared" si="10"/>
        <v>26</v>
      </c>
      <c r="O50" s="271">
        <f t="shared" si="10"/>
        <v>26</v>
      </c>
      <c r="P50" s="271">
        <f t="shared" si="10"/>
        <v>26</v>
      </c>
      <c r="Q50" s="271">
        <f t="shared" si="10"/>
        <v>26</v>
      </c>
      <c r="R50" s="271">
        <f t="shared" si="10"/>
        <v>26</v>
      </c>
      <c r="S50" s="271">
        <f t="shared" si="10"/>
        <v>26</v>
      </c>
      <c r="T50" s="271">
        <f t="shared" si="10"/>
        <v>26</v>
      </c>
      <c r="U50" s="271">
        <f t="shared" si="10"/>
        <v>26</v>
      </c>
      <c r="V50" s="271">
        <f t="shared" si="10"/>
        <v>26</v>
      </c>
      <c r="W50" s="271">
        <f t="shared" si="10"/>
        <v>26</v>
      </c>
      <c r="X50" s="271">
        <f t="shared" si="10"/>
        <v>26</v>
      </c>
      <c r="Y50" s="271">
        <f t="shared" si="10"/>
        <v>26</v>
      </c>
      <c r="Z50" s="271">
        <f t="shared" si="10"/>
        <v>26</v>
      </c>
      <c r="AA50" s="271">
        <f t="shared" si="10"/>
        <v>26</v>
      </c>
      <c r="AB50" s="271">
        <f t="shared" si="10"/>
        <v>26</v>
      </c>
      <c r="AD50" s="6">
        <f t="shared" si="4"/>
        <v>29</v>
      </c>
      <c r="AE50" s="87">
        <f>IF(AND(K34&lt;&gt;"",K34&lt;10),"0"&amp;K34,K34)</f>
        <v>0</v>
      </c>
      <c r="AF50" s="375">
        <f t="shared" si="1"/>
        <v>0</v>
      </c>
    </row>
    <row r="51" spans="1:32" ht="15" customHeight="1">
      <c r="B51" s="164" t="s">
        <v>554</v>
      </c>
      <c r="C51" s="312">
        <f>IF(Fans!B6&gt;2,Fans!I15,0)</f>
        <v>0</v>
      </c>
      <c r="D51" s="174" t="s">
        <v>700</v>
      </c>
      <c r="E51" s="291" t="s">
        <v>878</v>
      </c>
      <c r="L51" s="15">
        <f t="shared" si="2"/>
        <v>0</v>
      </c>
      <c r="M51" s="15">
        <f t="shared" si="10"/>
        <v>0</v>
      </c>
      <c r="N51" s="15">
        <f t="shared" si="10"/>
        <v>0</v>
      </c>
      <c r="O51" s="15">
        <f t="shared" si="10"/>
        <v>0</v>
      </c>
      <c r="P51" s="15">
        <f t="shared" si="10"/>
        <v>0</v>
      </c>
      <c r="Q51" s="15">
        <f t="shared" si="10"/>
        <v>0</v>
      </c>
      <c r="R51" s="15">
        <f t="shared" si="10"/>
        <v>0</v>
      </c>
      <c r="S51" s="15">
        <f t="shared" si="10"/>
        <v>0</v>
      </c>
      <c r="T51" s="15">
        <f t="shared" si="10"/>
        <v>0</v>
      </c>
      <c r="U51" s="15">
        <f t="shared" si="10"/>
        <v>0</v>
      </c>
      <c r="V51" s="15">
        <f t="shared" si="10"/>
        <v>0</v>
      </c>
      <c r="W51" s="15">
        <f t="shared" si="10"/>
        <v>0</v>
      </c>
      <c r="X51" s="15">
        <f t="shared" si="10"/>
        <v>0</v>
      </c>
      <c r="Y51" s="15">
        <f t="shared" si="10"/>
        <v>0</v>
      </c>
      <c r="Z51" s="15">
        <f t="shared" si="10"/>
        <v>0</v>
      </c>
      <c r="AA51" s="15">
        <f t="shared" si="10"/>
        <v>0</v>
      </c>
      <c r="AB51" s="345">
        <f t="shared" si="10"/>
        <v>0</v>
      </c>
      <c r="AD51" s="6">
        <f t="shared" si="4"/>
        <v>29</v>
      </c>
      <c r="AE51" s="87" t="str">
        <f>IF(K34&lt;&gt;"",C_name&amp;$K$34,"")</f>
        <v/>
      </c>
      <c r="AF51" s="375">
        <f t="shared" si="1"/>
        <v>0</v>
      </c>
    </row>
    <row r="52" spans="1:32" ht="15" customHeight="1">
      <c r="B52" s="165" t="s">
        <v>555</v>
      </c>
      <c r="C52" s="311">
        <f>IF(Fans!B6&gt;2,Fans!C15,0)</f>
        <v>0</v>
      </c>
      <c r="D52" s="174" t="s">
        <v>700</v>
      </c>
      <c r="E52" s="289" t="s">
        <v>712</v>
      </c>
      <c r="L52" s="9">
        <f t="shared" si="2"/>
        <v>0</v>
      </c>
      <c r="M52" s="9">
        <f t="shared" si="10"/>
        <v>0</v>
      </c>
      <c r="N52" s="9">
        <f t="shared" si="10"/>
        <v>0</v>
      </c>
      <c r="O52" s="9">
        <f t="shared" si="10"/>
        <v>0</v>
      </c>
      <c r="P52" s="9">
        <f t="shared" si="10"/>
        <v>0</v>
      </c>
      <c r="Q52" s="9">
        <f t="shared" si="10"/>
        <v>0</v>
      </c>
      <c r="R52" s="9">
        <f t="shared" si="10"/>
        <v>0</v>
      </c>
      <c r="S52" s="9">
        <f t="shared" si="10"/>
        <v>0</v>
      </c>
      <c r="T52" s="9">
        <f t="shared" si="10"/>
        <v>0</v>
      </c>
      <c r="U52" s="9">
        <f t="shared" si="10"/>
        <v>0</v>
      </c>
      <c r="V52" s="9">
        <f t="shared" si="10"/>
        <v>0</v>
      </c>
      <c r="W52" s="9">
        <f t="shared" si="10"/>
        <v>0</v>
      </c>
      <c r="X52" s="9">
        <f t="shared" si="10"/>
        <v>0</v>
      </c>
      <c r="Y52" s="9">
        <f t="shared" si="10"/>
        <v>0</v>
      </c>
      <c r="Z52" s="9">
        <f t="shared" si="10"/>
        <v>0</v>
      </c>
      <c r="AA52" s="9">
        <f t="shared" si="10"/>
        <v>0</v>
      </c>
      <c r="AB52" s="9">
        <f t="shared" si="10"/>
        <v>0</v>
      </c>
      <c r="AF52" s="375">
        <f t="shared" si="1"/>
        <v>0</v>
      </c>
    </row>
    <row r="53" spans="1:32" ht="15" customHeight="1">
      <c r="B53" s="166" t="s">
        <v>556</v>
      </c>
      <c r="C53" s="155">
        <v>27</v>
      </c>
      <c r="D53" s="174" t="s">
        <v>700</v>
      </c>
      <c r="E53" s="292" t="s">
        <v>879</v>
      </c>
      <c r="L53" s="186">
        <f t="shared" si="2"/>
        <v>27</v>
      </c>
      <c r="M53" s="186">
        <f t="shared" si="10"/>
        <v>27</v>
      </c>
      <c r="N53" s="186">
        <f t="shared" si="10"/>
        <v>27</v>
      </c>
      <c r="O53" s="186">
        <f t="shared" si="10"/>
        <v>27</v>
      </c>
      <c r="P53" s="186">
        <f t="shared" si="10"/>
        <v>27</v>
      </c>
      <c r="Q53" s="186">
        <f t="shared" si="10"/>
        <v>27</v>
      </c>
      <c r="R53" s="186">
        <f t="shared" si="10"/>
        <v>27</v>
      </c>
      <c r="S53" s="186">
        <f t="shared" si="10"/>
        <v>27</v>
      </c>
      <c r="T53" s="186">
        <f t="shared" si="10"/>
        <v>27</v>
      </c>
      <c r="U53" s="186">
        <f t="shared" si="10"/>
        <v>27</v>
      </c>
      <c r="V53" s="186">
        <f t="shared" si="10"/>
        <v>27</v>
      </c>
      <c r="W53" s="186">
        <f t="shared" si="10"/>
        <v>27</v>
      </c>
      <c r="X53" s="186">
        <f t="shared" si="10"/>
        <v>27</v>
      </c>
      <c r="Y53" s="186">
        <f t="shared" si="10"/>
        <v>27</v>
      </c>
      <c r="Z53" s="186">
        <f t="shared" si="10"/>
        <v>27</v>
      </c>
      <c r="AA53" s="186">
        <f t="shared" si="10"/>
        <v>27</v>
      </c>
      <c r="AB53" s="186">
        <f t="shared" si="10"/>
        <v>27</v>
      </c>
      <c r="AF53" s="375">
        <f t="shared" si="1"/>
        <v>0</v>
      </c>
    </row>
    <row r="54" spans="1:32" s="180" customFormat="1" ht="15" customHeight="1">
      <c r="A54" s="181"/>
      <c r="B54" s="164" t="s">
        <v>554</v>
      </c>
      <c r="C54" s="162">
        <v>0</v>
      </c>
      <c r="D54" s="174" t="s">
        <v>700</v>
      </c>
      <c r="E54" s="291" t="s">
        <v>849</v>
      </c>
      <c r="H54" s="3"/>
      <c r="L54" s="313">
        <f>IF(L117&lt;L118,L117,L118)</f>
        <v>16.39607890329988</v>
      </c>
      <c r="M54" s="313">
        <f t="shared" ref="M54:AA54" si="11">IF(M117&lt;M118,M117,M118)</f>
        <v>37.85279986712461</v>
      </c>
      <c r="N54" s="313" t="e">
        <f t="shared" si="11"/>
        <v>#N/A</v>
      </c>
      <c r="O54" s="313">
        <f t="shared" si="11"/>
        <v>47.000754946791098</v>
      </c>
      <c r="P54" s="313" t="e">
        <f t="shared" si="11"/>
        <v>#N/A</v>
      </c>
      <c r="Q54" s="313" t="e">
        <f t="shared" si="11"/>
        <v>#N/A</v>
      </c>
      <c r="R54" s="313">
        <f t="shared" si="11"/>
        <v>54.834214104589606</v>
      </c>
      <c r="S54" s="313" t="e">
        <f t="shared" si="11"/>
        <v>#N/A</v>
      </c>
      <c r="T54" s="313" t="e">
        <f t="shared" si="11"/>
        <v>#N/A</v>
      </c>
      <c r="U54" s="313" t="e">
        <f t="shared" si="11"/>
        <v>#N/A</v>
      </c>
      <c r="V54" s="313" t="e">
        <f t="shared" si="11"/>
        <v>#N/A</v>
      </c>
      <c r="W54" s="313" t="e">
        <f t="shared" si="11"/>
        <v>#N/A</v>
      </c>
      <c r="X54" s="313" t="e">
        <f t="shared" si="11"/>
        <v>#N/A</v>
      </c>
      <c r="Y54" s="313" t="e">
        <f t="shared" si="11"/>
        <v>#N/A</v>
      </c>
      <c r="Z54" s="313" t="e">
        <f t="shared" si="11"/>
        <v>#N/A</v>
      </c>
      <c r="AA54" s="313">
        <f t="shared" si="11"/>
        <v>27.53417411912784</v>
      </c>
      <c r="AB54" s="313">
        <f>IF(AB117&lt;AB118,AB117,AB118)</f>
        <v>38.15717424089047</v>
      </c>
      <c r="AC54" s="87"/>
      <c r="AE54" s="87"/>
      <c r="AF54" s="375" t="e">
        <f t="shared" si="1"/>
        <v>#N/A</v>
      </c>
    </row>
    <row r="55" spans="1:32" s="180" customFormat="1" ht="15" customHeight="1">
      <c r="A55" s="181"/>
      <c r="B55" s="165" t="s">
        <v>555</v>
      </c>
      <c r="C55" s="311">
        <v>0</v>
      </c>
      <c r="D55" s="174" t="s">
        <v>700</v>
      </c>
      <c r="E55" s="289" t="s">
        <v>712</v>
      </c>
      <c r="H55" s="3"/>
      <c r="L55" s="391">
        <f>IF(L106&lt;L107,L106,L107)</f>
        <v>7.7380875169178395E-2</v>
      </c>
      <c r="M55" s="391">
        <f t="shared" ref="M55:AA55" si="12">IF(M106&lt;M107,M106,M107)</f>
        <v>0.17864532115250759</v>
      </c>
      <c r="N55" s="391" t="e">
        <f t="shared" si="12"/>
        <v>#N/A</v>
      </c>
      <c r="O55" s="391">
        <f t="shared" si="12"/>
        <v>0.22181886125607814</v>
      </c>
      <c r="P55" s="391" t="e">
        <f t="shared" si="12"/>
        <v>#N/A</v>
      </c>
      <c r="Q55" s="391" t="e">
        <f t="shared" si="12"/>
        <v>#N/A</v>
      </c>
      <c r="R55" s="391">
        <f t="shared" si="12"/>
        <v>0.25878867146542445</v>
      </c>
      <c r="S55" s="391" t="e">
        <f t="shared" si="12"/>
        <v>#N/A</v>
      </c>
      <c r="T55" s="391" t="e">
        <f t="shared" si="12"/>
        <v>#N/A</v>
      </c>
      <c r="U55" s="391" t="e">
        <f t="shared" si="12"/>
        <v>#N/A</v>
      </c>
      <c r="V55" s="391" t="e">
        <f t="shared" si="12"/>
        <v>#N/A</v>
      </c>
      <c r="W55" s="391" t="e">
        <f t="shared" si="12"/>
        <v>#N/A</v>
      </c>
      <c r="X55" s="391" t="e">
        <f t="shared" si="12"/>
        <v>#N/A</v>
      </c>
      <c r="Y55" s="391" t="e">
        <f t="shared" si="12"/>
        <v>#N/A</v>
      </c>
      <c r="Z55" s="391" t="e">
        <f t="shared" si="12"/>
        <v>#N/A</v>
      </c>
      <c r="AA55" s="272">
        <f t="shared" si="12"/>
        <v>0.12994683076145996</v>
      </c>
      <c r="AB55" s="272">
        <f>IF(AB106&lt;AB107,AB106,AB107)</f>
        <v>0.18008180822725159</v>
      </c>
      <c r="AC55" s="87"/>
      <c r="AE55" s="87"/>
      <c r="AF55" s="375" t="e">
        <f t="shared" si="1"/>
        <v>#N/A</v>
      </c>
    </row>
    <row r="56" spans="1:32" s="180" customFormat="1" ht="15" customHeight="1">
      <c r="A56" s="181"/>
      <c r="B56" s="166" t="s">
        <v>556</v>
      </c>
      <c r="C56" s="155">
        <v>0</v>
      </c>
      <c r="D56" s="174" t="s">
        <v>700</v>
      </c>
      <c r="E56" s="292" t="s">
        <v>715</v>
      </c>
      <c r="H56" s="3"/>
      <c r="L56" s="271">
        <f t="shared" ref="L56:L62" si="13">C56</f>
        <v>0</v>
      </c>
      <c r="M56" s="271">
        <f t="shared" si="10"/>
        <v>0</v>
      </c>
      <c r="N56" s="271">
        <f t="shared" si="10"/>
        <v>0</v>
      </c>
      <c r="O56" s="271">
        <f t="shared" si="10"/>
        <v>0</v>
      </c>
      <c r="P56" s="271">
        <f t="shared" si="10"/>
        <v>0</v>
      </c>
      <c r="Q56" s="271">
        <f t="shared" si="10"/>
        <v>0</v>
      </c>
      <c r="R56" s="271">
        <f t="shared" si="10"/>
        <v>0</v>
      </c>
      <c r="S56" s="271">
        <f t="shared" si="10"/>
        <v>0</v>
      </c>
      <c r="T56" s="271">
        <f t="shared" si="10"/>
        <v>0</v>
      </c>
      <c r="U56" s="271">
        <f t="shared" si="10"/>
        <v>0</v>
      </c>
      <c r="V56" s="271">
        <f t="shared" si="10"/>
        <v>0</v>
      </c>
      <c r="W56" s="271">
        <f t="shared" si="10"/>
        <v>0</v>
      </c>
      <c r="X56" s="271">
        <f t="shared" si="10"/>
        <v>0</v>
      </c>
      <c r="Y56" s="271">
        <f t="shared" si="10"/>
        <v>0</v>
      </c>
      <c r="Z56" s="271">
        <f t="shared" si="10"/>
        <v>0</v>
      </c>
      <c r="AA56" s="271">
        <f t="shared" si="10"/>
        <v>0</v>
      </c>
      <c r="AB56" s="271">
        <f t="shared" si="10"/>
        <v>0</v>
      </c>
      <c r="AC56" s="87"/>
      <c r="AE56" s="87"/>
      <c r="AF56" s="375">
        <f t="shared" si="1"/>
        <v>0</v>
      </c>
    </row>
    <row r="57" spans="1:32" s="180" customFormat="1" ht="15" customHeight="1">
      <c r="A57" s="181"/>
      <c r="B57" s="164" t="s">
        <v>554</v>
      </c>
      <c r="C57" s="162">
        <v>0</v>
      </c>
      <c r="D57" s="174" t="s">
        <v>700</v>
      </c>
      <c r="E57" s="291" t="s">
        <v>849</v>
      </c>
      <c r="H57" s="3"/>
      <c r="L57" s="277">
        <f t="shared" si="13"/>
        <v>0</v>
      </c>
      <c r="M57" s="277">
        <f t="shared" si="10"/>
        <v>0</v>
      </c>
      <c r="N57" s="277">
        <f t="shared" ref="N57:Z57" si="14">M57</f>
        <v>0</v>
      </c>
      <c r="O57" s="277">
        <f t="shared" si="14"/>
        <v>0</v>
      </c>
      <c r="P57" s="277">
        <f t="shared" si="14"/>
        <v>0</v>
      </c>
      <c r="Q57" s="277">
        <f t="shared" si="14"/>
        <v>0</v>
      </c>
      <c r="R57" s="277">
        <f t="shared" si="14"/>
        <v>0</v>
      </c>
      <c r="S57" s="277">
        <f t="shared" si="14"/>
        <v>0</v>
      </c>
      <c r="T57" s="277">
        <f t="shared" si="14"/>
        <v>0</v>
      </c>
      <c r="U57" s="277">
        <f t="shared" si="14"/>
        <v>0</v>
      </c>
      <c r="V57" s="277">
        <f t="shared" si="14"/>
        <v>0</v>
      </c>
      <c r="W57" s="277">
        <f t="shared" si="14"/>
        <v>0</v>
      </c>
      <c r="X57" s="277">
        <f t="shared" si="14"/>
        <v>0</v>
      </c>
      <c r="Y57" s="277">
        <f t="shared" si="14"/>
        <v>0</v>
      </c>
      <c r="Z57" s="277">
        <f t="shared" si="14"/>
        <v>0</v>
      </c>
      <c r="AA57" s="277">
        <f t="shared" ref="AA57:AB59" si="15">Z57</f>
        <v>0</v>
      </c>
      <c r="AB57" s="277">
        <f t="shared" si="15"/>
        <v>0</v>
      </c>
      <c r="AC57" s="87"/>
      <c r="AE57" s="87"/>
      <c r="AF57" s="375">
        <f t="shared" si="1"/>
        <v>0</v>
      </c>
    </row>
    <row r="58" spans="1:32" s="180" customFormat="1" ht="15" customHeight="1">
      <c r="A58" s="181"/>
      <c r="B58" s="165" t="s">
        <v>555</v>
      </c>
      <c r="C58" s="7">
        <v>0</v>
      </c>
      <c r="D58" s="174" t="s">
        <v>700</v>
      </c>
      <c r="E58" s="289" t="s">
        <v>712</v>
      </c>
      <c r="H58" s="3"/>
      <c r="L58" s="272">
        <f t="shared" si="13"/>
        <v>0</v>
      </c>
      <c r="M58" s="272">
        <f t="shared" si="10"/>
        <v>0</v>
      </c>
      <c r="N58" s="272">
        <f t="shared" si="10"/>
        <v>0</v>
      </c>
      <c r="O58" s="272">
        <f t="shared" si="10"/>
        <v>0</v>
      </c>
      <c r="P58" s="272">
        <f t="shared" si="10"/>
        <v>0</v>
      </c>
      <c r="Q58" s="272">
        <f t="shared" si="10"/>
        <v>0</v>
      </c>
      <c r="R58" s="272">
        <f t="shared" si="10"/>
        <v>0</v>
      </c>
      <c r="S58" s="272">
        <f t="shared" si="10"/>
        <v>0</v>
      </c>
      <c r="T58" s="272">
        <f t="shared" si="10"/>
        <v>0</v>
      </c>
      <c r="U58" s="272">
        <f t="shared" si="10"/>
        <v>0</v>
      </c>
      <c r="V58" s="272">
        <f t="shared" si="10"/>
        <v>0</v>
      </c>
      <c r="W58" s="272">
        <f t="shared" si="10"/>
        <v>0</v>
      </c>
      <c r="X58" s="272">
        <f t="shared" si="10"/>
        <v>0</v>
      </c>
      <c r="Y58" s="272">
        <f t="shared" si="10"/>
        <v>0</v>
      </c>
      <c r="Z58" s="272">
        <f t="shared" si="10"/>
        <v>0</v>
      </c>
      <c r="AA58" s="272">
        <f t="shared" si="15"/>
        <v>0</v>
      </c>
      <c r="AB58" s="272">
        <f t="shared" si="15"/>
        <v>0</v>
      </c>
      <c r="AC58" s="87"/>
      <c r="AE58" s="87"/>
      <c r="AF58" s="375">
        <f t="shared" si="1"/>
        <v>0</v>
      </c>
    </row>
    <row r="59" spans="1:32" s="180" customFormat="1" ht="15" customHeight="1">
      <c r="A59" s="181"/>
      <c r="B59" s="166" t="s">
        <v>556</v>
      </c>
      <c r="C59" s="155">
        <v>0</v>
      </c>
      <c r="D59" s="174" t="s">
        <v>700</v>
      </c>
      <c r="E59" s="292" t="s">
        <v>715</v>
      </c>
      <c r="H59" s="3"/>
      <c r="L59" s="271">
        <f t="shared" si="13"/>
        <v>0</v>
      </c>
      <c r="M59" s="271">
        <f t="shared" si="10"/>
        <v>0</v>
      </c>
      <c r="N59" s="271">
        <f t="shared" si="10"/>
        <v>0</v>
      </c>
      <c r="O59" s="271">
        <f t="shared" si="10"/>
        <v>0</v>
      </c>
      <c r="P59" s="271">
        <f t="shared" si="10"/>
        <v>0</v>
      </c>
      <c r="Q59" s="271">
        <f t="shared" si="10"/>
        <v>0</v>
      </c>
      <c r="R59" s="271">
        <f t="shared" si="10"/>
        <v>0</v>
      </c>
      <c r="S59" s="271">
        <f t="shared" si="10"/>
        <v>0</v>
      </c>
      <c r="T59" s="271">
        <f t="shared" si="10"/>
        <v>0</v>
      </c>
      <c r="U59" s="271">
        <f t="shared" si="10"/>
        <v>0</v>
      </c>
      <c r="V59" s="271">
        <f t="shared" si="10"/>
        <v>0</v>
      </c>
      <c r="W59" s="271">
        <f t="shared" si="10"/>
        <v>0</v>
      </c>
      <c r="X59" s="271">
        <f t="shared" si="10"/>
        <v>0</v>
      </c>
      <c r="Y59" s="271">
        <f t="shared" si="10"/>
        <v>0</v>
      </c>
      <c r="Z59" s="271">
        <f t="shared" si="10"/>
        <v>0</v>
      </c>
      <c r="AA59" s="271">
        <f t="shared" si="15"/>
        <v>0</v>
      </c>
      <c r="AB59" s="271">
        <f t="shared" si="15"/>
        <v>0</v>
      </c>
      <c r="AC59" s="87"/>
      <c r="AE59" s="87"/>
      <c r="AF59" s="375">
        <f t="shared" si="1"/>
        <v>0</v>
      </c>
    </row>
    <row r="60" spans="1:32" ht="15" customHeight="1">
      <c r="A60" s="137" t="s">
        <v>89</v>
      </c>
      <c r="B60" s="134" t="s">
        <v>558</v>
      </c>
      <c r="C60" s="12">
        <f>A_windowSI/4*2</f>
        <v>19.993960000000001</v>
      </c>
      <c r="D60" s="163" t="s">
        <v>10</v>
      </c>
      <c r="E60" s="168" t="s">
        <v>90</v>
      </c>
      <c r="F60" s="18" t="s">
        <v>91</v>
      </c>
      <c r="H60" s="3" t="s">
        <v>21</v>
      </c>
      <c r="L60" s="218">
        <f t="shared" si="13"/>
        <v>19.993960000000001</v>
      </c>
      <c r="M60" s="218">
        <f t="shared" ref="M60:AB60" si="16">L60</f>
        <v>19.993960000000001</v>
      </c>
      <c r="N60" s="218">
        <f t="shared" si="16"/>
        <v>19.993960000000001</v>
      </c>
      <c r="O60" s="218">
        <f t="shared" si="16"/>
        <v>19.993960000000001</v>
      </c>
      <c r="P60" s="218">
        <f t="shared" si="16"/>
        <v>19.993960000000001</v>
      </c>
      <c r="Q60" s="218">
        <f t="shared" si="16"/>
        <v>19.993960000000001</v>
      </c>
      <c r="R60" s="218">
        <f t="shared" si="16"/>
        <v>19.993960000000001</v>
      </c>
      <c r="S60" s="218">
        <f t="shared" si="16"/>
        <v>19.993960000000001</v>
      </c>
      <c r="T60" s="218">
        <f t="shared" si="16"/>
        <v>19.993960000000001</v>
      </c>
      <c r="U60" s="218">
        <f t="shared" si="16"/>
        <v>19.993960000000001</v>
      </c>
      <c r="V60" s="218">
        <f t="shared" si="16"/>
        <v>19.993960000000001</v>
      </c>
      <c r="W60" s="218">
        <f t="shared" si="16"/>
        <v>19.993960000000001</v>
      </c>
      <c r="X60" s="218">
        <f t="shared" si="16"/>
        <v>19.993960000000001</v>
      </c>
      <c r="Y60" s="218">
        <f t="shared" si="16"/>
        <v>19.993960000000001</v>
      </c>
      <c r="Z60" s="218">
        <f t="shared" si="16"/>
        <v>19.993960000000001</v>
      </c>
      <c r="AA60" s="218">
        <f t="shared" si="16"/>
        <v>19.993960000000001</v>
      </c>
      <c r="AB60" s="218">
        <f t="shared" si="16"/>
        <v>19.993960000000001</v>
      </c>
      <c r="AF60" s="375">
        <f t="shared" si="1"/>
        <v>0</v>
      </c>
    </row>
    <row r="61" spans="1:32" ht="15" customHeight="1">
      <c r="B61" s="6" t="s">
        <v>559</v>
      </c>
      <c r="C61" s="12">
        <f>A_windowSI/4</f>
        <v>9.9969800000000006</v>
      </c>
      <c r="D61" s="2" t="s">
        <v>10</v>
      </c>
      <c r="E61" s="6" t="s">
        <v>92</v>
      </c>
      <c r="F61" s="6" t="s">
        <v>93</v>
      </c>
      <c r="H61" s="3" t="s">
        <v>21</v>
      </c>
      <c r="L61" s="218">
        <f t="shared" si="13"/>
        <v>9.9969800000000006</v>
      </c>
      <c r="M61" s="218">
        <f t="shared" ref="M61:AB61" si="17">L61</f>
        <v>9.9969800000000006</v>
      </c>
      <c r="N61" s="218">
        <f t="shared" si="17"/>
        <v>9.9969800000000006</v>
      </c>
      <c r="O61" s="218">
        <f t="shared" si="17"/>
        <v>9.9969800000000006</v>
      </c>
      <c r="P61" s="218">
        <f t="shared" si="17"/>
        <v>9.9969800000000006</v>
      </c>
      <c r="Q61" s="218">
        <f t="shared" si="17"/>
        <v>9.9969800000000006</v>
      </c>
      <c r="R61" s="218">
        <f t="shared" si="17"/>
        <v>9.9969800000000006</v>
      </c>
      <c r="S61" s="218">
        <f t="shared" si="17"/>
        <v>9.9969800000000006</v>
      </c>
      <c r="T61" s="218">
        <f t="shared" si="17"/>
        <v>9.9969800000000006</v>
      </c>
      <c r="U61" s="218">
        <f t="shared" si="17"/>
        <v>9.9969800000000006</v>
      </c>
      <c r="V61" s="218">
        <f t="shared" si="17"/>
        <v>9.9969800000000006</v>
      </c>
      <c r="W61" s="218">
        <f t="shared" si="17"/>
        <v>9.9969800000000006</v>
      </c>
      <c r="X61" s="218">
        <f t="shared" si="17"/>
        <v>9.9969800000000006</v>
      </c>
      <c r="Y61" s="218">
        <f t="shared" si="17"/>
        <v>9.9969800000000006</v>
      </c>
      <c r="Z61" s="218">
        <f t="shared" si="17"/>
        <v>9.9969800000000006</v>
      </c>
      <c r="AA61" s="218">
        <f t="shared" si="17"/>
        <v>9.9969800000000006</v>
      </c>
      <c r="AB61" s="218">
        <f t="shared" si="17"/>
        <v>9.9969800000000006</v>
      </c>
      <c r="AF61" s="375">
        <f t="shared" si="1"/>
        <v>0</v>
      </c>
    </row>
    <row r="62" spans="1:32" ht="15" customHeight="1">
      <c r="B62" s="6" t="s">
        <v>560</v>
      </c>
      <c r="C62" s="12">
        <f>A_windowSI/4</f>
        <v>9.9969800000000006</v>
      </c>
      <c r="D62" s="2" t="s">
        <v>10</v>
      </c>
      <c r="E62" s="6" t="s">
        <v>685</v>
      </c>
      <c r="F62" s="6" t="s">
        <v>94</v>
      </c>
      <c r="H62" s="3" t="s">
        <v>21</v>
      </c>
      <c r="L62" s="218">
        <f t="shared" si="13"/>
        <v>9.9969800000000006</v>
      </c>
      <c r="M62" s="218">
        <f t="shared" ref="M62:AB78" si="18">L62</f>
        <v>9.9969800000000006</v>
      </c>
      <c r="N62" s="218">
        <f t="shared" si="18"/>
        <v>9.9969800000000006</v>
      </c>
      <c r="O62" s="218">
        <f t="shared" si="18"/>
        <v>9.9969800000000006</v>
      </c>
      <c r="P62" s="218">
        <f t="shared" si="18"/>
        <v>9.9969800000000006</v>
      </c>
      <c r="Q62" s="218">
        <f t="shared" si="18"/>
        <v>9.9969800000000006</v>
      </c>
      <c r="R62" s="218">
        <f t="shared" si="18"/>
        <v>9.9969800000000006</v>
      </c>
      <c r="S62" s="218">
        <f t="shared" si="18"/>
        <v>9.9969800000000006</v>
      </c>
      <c r="T62" s="218">
        <f t="shared" si="18"/>
        <v>9.9969800000000006</v>
      </c>
      <c r="U62" s="218">
        <f t="shared" si="18"/>
        <v>9.9969800000000006</v>
      </c>
      <c r="V62" s="218">
        <f t="shared" si="18"/>
        <v>9.9969800000000006</v>
      </c>
      <c r="W62" s="218">
        <f t="shared" si="18"/>
        <v>9.9969800000000006</v>
      </c>
      <c r="X62" s="218">
        <f t="shared" si="18"/>
        <v>9.9969800000000006</v>
      </c>
      <c r="Y62" s="218">
        <f t="shared" si="18"/>
        <v>9.9969800000000006</v>
      </c>
      <c r="Z62" s="218">
        <f t="shared" si="18"/>
        <v>9.9969800000000006</v>
      </c>
      <c r="AA62" s="218">
        <f t="shared" si="18"/>
        <v>9.9969800000000006</v>
      </c>
      <c r="AB62" s="218">
        <f t="shared" si="18"/>
        <v>9.9969800000000006</v>
      </c>
      <c r="AF62" s="375">
        <f t="shared" si="1"/>
        <v>0</v>
      </c>
    </row>
    <row r="63" spans="1:32" ht="15" customHeight="1">
      <c r="B63" s="6" t="s">
        <v>561</v>
      </c>
      <c r="C63" s="12">
        <f>UA!H28</f>
        <v>0.25</v>
      </c>
      <c r="D63" s="14" t="s">
        <v>10</v>
      </c>
      <c r="E63" s="6" t="s">
        <v>95</v>
      </c>
      <c r="G63" s="8" t="s">
        <v>96</v>
      </c>
      <c r="H63" s="3" t="s">
        <v>68</v>
      </c>
      <c r="J63" s="89" t="s">
        <v>993</v>
      </c>
      <c r="L63" s="237">
        <f>UA!F28</f>
        <v>0.25</v>
      </c>
      <c r="M63" s="237">
        <f>UA!G28</f>
        <v>0.25</v>
      </c>
      <c r="N63" s="237">
        <f>UA!H28</f>
        <v>0.25</v>
      </c>
      <c r="O63" s="237">
        <f>UA!I28</f>
        <v>0.27</v>
      </c>
      <c r="P63" s="237">
        <f>UA!J28</f>
        <v>0.27</v>
      </c>
      <c r="Q63" s="237">
        <f>UA!K28</f>
        <v>0.27</v>
      </c>
      <c r="R63" s="237">
        <f>UA!L28</f>
        <v>0.27</v>
      </c>
      <c r="S63" s="237">
        <f>UA!M28</f>
        <v>0.27</v>
      </c>
      <c r="T63" s="237">
        <f>UA!N28</f>
        <v>0.3</v>
      </c>
      <c r="U63" s="237">
        <f>UA!O28</f>
        <v>0.3</v>
      </c>
      <c r="V63" s="237">
        <f>UA!P28</f>
        <v>0.3</v>
      </c>
      <c r="W63" s="237">
        <f>UA!Q28</f>
        <v>0.3</v>
      </c>
      <c r="X63" s="237">
        <f>UA!R28</f>
        <v>0.3</v>
      </c>
      <c r="Y63" s="237">
        <f>UA!S28</f>
        <v>0.3</v>
      </c>
      <c r="Z63" s="237">
        <f>UA!T28</f>
        <v>0.35</v>
      </c>
      <c r="AA63" s="237">
        <f>UA!U28</f>
        <v>0.25</v>
      </c>
      <c r="AB63" s="237">
        <f>UA!V28</f>
        <v>0.27</v>
      </c>
      <c r="AF63" s="375">
        <f t="shared" si="1"/>
        <v>1</v>
      </c>
    </row>
    <row r="64" spans="1:32" ht="15" customHeight="1">
      <c r="B64" s="6" t="s">
        <v>562</v>
      </c>
      <c r="C64" s="16">
        <f>UA!H21</f>
        <v>3.8025553171731401</v>
      </c>
      <c r="D64" s="2" t="s">
        <v>10</v>
      </c>
      <c r="E64" s="6" t="s">
        <v>97</v>
      </c>
      <c r="F64" s="6" t="str">
        <f>"U-value= " &amp;TEXT(C64^-1,"0.00") &amp;"W/m2K"</f>
        <v>U-value= 0.26W/m2K</v>
      </c>
      <c r="G64" s="8" t="s">
        <v>96</v>
      </c>
      <c r="H64" s="3" t="s">
        <v>68</v>
      </c>
      <c r="I64" s="6" t="s">
        <v>69</v>
      </c>
      <c r="J64" s="89"/>
      <c r="L64" s="19">
        <f>UA!F21</f>
        <v>3.3022190912293063</v>
      </c>
      <c r="M64" s="19">
        <f>UA!G21</f>
        <v>3.8025553171731401</v>
      </c>
      <c r="N64" s="19">
        <f>UA!H21</f>
        <v>3.8025553171731401</v>
      </c>
      <c r="O64" s="19">
        <f>UA!I21</f>
        <v>3.8025553171731401</v>
      </c>
      <c r="P64" s="19">
        <f>UA!J21</f>
        <v>3.8025553171731401</v>
      </c>
      <c r="Q64" s="19">
        <f>UA!K21</f>
        <v>3.8025553171731401</v>
      </c>
      <c r="R64" s="19">
        <f>UA!L21</f>
        <v>4.358484457110734</v>
      </c>
      <c r="S64" s="19">
        <f>UA!M21</f>
        <v>4.358484457110734</v>
      </c>
      <c r="T64" s="19">
        <f>UA!N21</f>
        <v>4.358484457110734</v>
      </c>
      <c r="U64" s="19">
        <f>UA!O21</f>
        <v>4.358484457110734</v>
      </c>
      <c r="V64" s="19">
        <f>UA!P21</f>
        <v>4.358484457110734</v>
      </c>
      <c r="W64" s="19">
        <f>UA!Q21</f>
        <v>4.358484457110734</v>
      </c>
      <c r="X64" s="19">
        <f>UA!R21</f>
        <v>4.358484457110734</v>
      </c>
      <c r="Y64" s="19">
        <f>UA!S21</f>
        <v>4.358484457110734</v>
      </c>
      <c r="Z64" s="19">
        <f>UA!T21</f>
        <v>4.358484457110734</v>
      </c>
      <c r="AA64" s="19">
        <f>UA!U21</f>
        <v>3.8025553171731401</v>
      </c>
      <c r="AB64" s="19">
        <f>UA!V21</f>
        <v>3.8025553171731401</v>
      </c>
      <c r="AF64" s="375">
        <f t="shared" si="1"/>
        <v>1</v>
      </c>
    </row>
    <row r="65" spans="1:32" ht="15" customHeight="1">
      <c r="B65" s="6" t="s">
        <v>563</v>
      </c>
      <c r="C65" s="16">
        <f>UA!H22</f>
        <v>5.6239473598527123</v>
      </c>
      <c r="D65" s="2" t="s">
        <v>10</v>
      </c>
      <c r="E65" s="6" t="s">
        <v>98</v>
      </c>
      <c r="F65" s="6" t="str">
        <f>"U-value= " &amp;TEXT(C65^-1,"0.00") &amp;"W/m2K"</f>
        <v>U-value= 0.18W/m2K</v>
      </c>
      <c r="H65" s="3" t="s">
        <v>68</v>
      </c>
      <c r="I65" s="6" t="s">
        <v>69</v>
      </c>
      <c r="J65" s="89"/>
      <c r="L65" s="19">
        <f>UA!F22</f>
        <v>4.5943917791016435</v>
      </c>
      <c r="M65" s="19">
        <f>UA!G22</f>
        <v>5.6239473598527123</v>
      </c>
      <c r="N65" s="19">
        <f>UA!H22</f>
        <v>5.6239473598527123</v>
      </c>
      <c r="O65" s="19">
        <f>UA!I22</f>
        <v>5.6239473598527123</v>
      </c>
      <c r="P65" s="19">
        <f>UA!J22</f>
        <v>5.6239473598527123</v>
      </c>
      <c r="Q65" s="19">
        <f>UA!K22</f>
        <v>5.6239473598527123</v>
      </c>
      <c r="R65" s="19">
        <f>UA!L22</f>
        <v>6.931565642633938</v>
      </c>
      <c r="S65" s="19">
        <f>UA!M22</f>
        <v>6.931565642633938</v>
      </c>
      <c r="T65" s="19">
        <f>UA!N22</f>
        <v>6.931565642633938</v>
      </c>
      <c r="U65" s="19">
        <f>UA!O22</f>
        <v>6.931565642633938</v>
      </c>
      <c r="V65" s="19">
        <f>UA!P22</f>
        <v>6.931565642633938</v>
      </c>
      <c r="W65" s="19">
        <f>UA!Q22</f>
        <v>6.931565642633938</v>
      </c>
      <c r="X65" s="19">
        <f>UA!R22</f>
        <v>6.931565642633938</v>
      </c>
      <c r="Y65" s="19">
        <f>UA!S22</f>
        <v>6.931565642633938</v>
      </c>
      <c r="Z65" s="19">
        <f>UA!T22</f>
        <v>6.931565642633938</v>
      </c>
      <c r="AA65" s="19">
        <f>UA!U22</f>
        <v>5.6239473598527123</v>
      </c>
      <c r="AB65" s="19">
        <f>UA!V22</f>
        <v>5.6239473598527123</v>
      </c>
      <c r="AF65" s="375">
        <f t="shared" si="1"/>
        <v>1</v>
      </c>
    </row>
    <row r="66" spans="1:32" ht="15" customHeight="1">
      <c r="B66" s="6" t="s">
        <v>99</v>
      </c>
      <c r="C66" s="20">
        <f>'Internal gains'!D12</f>
        <v>3.4722222222222222E-5</v>
      </c>
      <c r="D66" s="2" t="s">
        <v>10</v>
      </c>
      <c r="E66" s="6" t="s">
        <v>100</v>
      </c>
      <c r="F66" s="6" t="str">
        <f>"Lat.load= " &amp;TEXT(C66*3600*1000,"0.00") &amp;"g/h OR " &amp;TEXT(C66*3600*24,"0.0") &amp; "kg/day"</f>
        <v>Lat.load= 125.00g/h OR 3.0kg/day</v>
      </c>
      <c r="H66" s="3" t="s">
        <v>101</v>
      </c>
      <c r="I66" s="21" t="s">
        <v>102</v>
      </c>
      <c r="J66"/>
      <c r="L66" s="276">
        <f t="shared" ref="L66:L95" si="19">C66</f>
        <v>3.4722222222222222E-5</v>
      </c>
      <c r="M66" s="276">
        <f t="shared" ref="M66:M82" si="20">L66</f>
        <v>3.4722222222222222E-5</v>
      </c>
      <c r="N66" s="276">
        <f t="shared" si="18"/>
        <v>3.4722222222222222E-5</v>
      </c>
      <c r="O66" s="276">
        <f t="shared" si="18"/>
        <v>3.4722222222222222E-5</v>
      </c>
      <c r="P66" s="276">
        <f t="shared" si="18"/>
        <v>3.4722222222222222E-5</v>
      </c>
      <c r="Q66" s="276">
        <f t="shared" si="18"/>
        <v>3.4722222222222222E-5</v>
      </c>
      <c r="R66" s="276">
        <f t="shared" si="18"/>
        <v>3.4722222222222222E-5</v>
      </c>
      <c r="S66" s="276">
        <f t="shared" si="18"/>
        <v>3.4722222222222222E-5</v>
      </c>
      <c r="T66" s="276">
        <f t="shared" si="18"/>
        <v>3.4722222222222222E-5</v>
      </c>
      <c r="U66" s="276">
        <f t="shared" si="18"/>
        <v>3.4722222222222222E-5</v>
      </c>
      <c r="V66" s="276">
        <f t="shared" si="18"/>
        <v>3.4722222222222222E-5</v>
      </c>
      <c r="W66" s="276">
        <f t="shared" si="18"/>
        <v>3.4722222222222222E-5</v>
      </c>
      <c r="X66" s="276">
        <f t="shared" si="18"/>
        <v>3.4722222222222222E-5</v>
      </c>
      <c r="Y66" s="276">
        <f t="shared" si="18"/>
        <v>3.4722222222222222E-5</v>
      </c>
      <c r="Z66" s="276">
        <f t="shared" si="18"/>
        <v>3.4722222222222222E-5</v>
      </c>
      <c r="AA66" s="276">
        <f t="shared" si="18"/>
        <v>3.4722222222222222E-5</v>
      </c>
      <c r="AB66" s="276">
        <f t="shared" si="18"/>
        <v>3.4722222222222222E-5</v>
      </c>
      <c r="AF66" s="375">
        <f t="shared" si="1"/>
        <v>0</v>
      </c>
    </row>
    <row r="67" spans="1:32" ht="15" customHeight="1">
      <c r="B67" s="6" t="s">
        <v>103</v>
      </c>
      <c r="C67" s="16">
        <f>'Internal gains'!D6</f>
        <v>705.30462253361054</v>
      </c>
      <c r="D67" s="2" t="s">
        <v>10</v>
      </c>
      <c r="E67" s="6" t="s">
        <v>104</v>
      </c>
      <c r="H67" s="3" t="s">
        <v>101</v>
      </c>
      <c r="L67" s="15">
        <f t="shared" si="19"/>
        <v>705.30462253361054</v>
      </c>
      <c r="M67" s="15">
        <f t="shared" si="20"/>
        <v>705.30462253361054</v>
      </c>
      <c r="N67" s="15">
        <f t="shared" si="18"/>
        <v>705.30462253361054</v>
      </c>
      <c r="O67" s="15">
        <f t="shared" si="18"/>
        <v>705.30462253361054</v>
      </c>
      <c r="P67" s="15">
        <f t="shared" si="18"/>
        <v>705.30462253361054</v>
      </c>
      <c r="Q67" s="15">
        <f t="shared" si="18"/>
        <v>705.30462253361054</v>
      </c>
      <c r="R67" s="15">
        <f t="shared" si="18"/>
        <v>705.30462253361054</v>
      </c>
      <c r="S67" s="15">
        <f t="shared" si="18"/>
        <v>705.30462253361054</v>
      </c>
      <c r="T67" s="15">
        <f t="shared" si="18"/>
        <v>705.30462253361054</v>
      </c>
      <c r="U67" s="15">
        <f t="shared" si="18"/>
        <v>705.30462253361054</v>
      </c>
      <c r="V67" s="15">
        <f t="shared" si="18"/>
        <v>705.30462253361054</v>
      </c>
      <c r="W67" s="15">
        <f t="shared" si="18"/>
        <v>705.30462253361054</v>
      </c>
      <c r="X67" s="15">
        <f t="shared" si="18"/>
        <v>705.30462253361054</v>
      </c>
      <c r="Y67" s="15">
        <f t="shared" si="18"/>
        <v>705.30462253361054</v>
      </c>
      <c r="Z67" s="15">
        <f t="shared" si="18"/>
        <v>705.30462253361054</v>
      </c>
      <c r="AA67" s="15">
        <f t="shared" si="18"/>
        <v>705.30462253361054</v>
      </c>
      <c r="AB67" s="345">
        <f t="shared" si="18"/>
        <v>705.30462253361054</v>
      </c>
      <c r="AF67" s="375">
        <f t="shared" si="1"/>
        <v>0</v>
      </c>
    </row>
    <row r="68" spans="1:32" ht="15" customHeight="1">
      <c r="A68" s="137" t="s">
        <v>105</v>
      </c>
      <c r="B68" s="134" t="s">
        <v>581</v>
      </c>
      <c r="C68" s="275">
        <f>Geometry!D24</f>
        <v>58.898873833333326</v>
      </c>
      <c r="D68" s="163" t="s">
        <v>10</v>
      </c>
      <c r="E68" s="134" t="s">
        <v>686</v>
      </c>
      <c r="L68" s="15">
        <f t="shared" si="19"/>
        <v>58.898873833333326</v>
      </c>
      <c r="M68" s="15">
        <f t="shared" si="20"/>
        <v>58.898873833333326</v>
      </c>
      <c r="N68" s="15">
        <f t="shared" si="18"/>
        <v>58.898873833333326</v>
      </c>
      <c r="O68" s="15">
        <f t="shared" si="18"/>
        <v>58.898873833333326</v>
      </c>
      <c r="P68" s="15">
        <f t="shared" si="18"/>
        <v>58.898873833333326</v>
      </c>
      <c r="Q68" s="15">
        <f t="shared" si="18"/>
        <v>58.898873833333326</v>
      </c>
      <c r="R68" s="15">
        <f t="shared" si="18"/>
        <v>58.898873833333326</v>
      </c>
      <c r="S68" s="15">
        <f t="shared" si="18"/>
        <v>58.898873833333326</v>
      </c>
      <c r="T68" s="15">
        <f t="shared" si="18"/>
        <v>58.898873833333326</v>
      </c>
      <c r="U68" s="15">
        <f t="shared" si="18"/>
        <v>58.898873833333326</v>
      </c>
      <c r="V68" s="15">
        <f t="shared" si="18"/>
        <v>58.898873833333326</v>
      </c>
      <c r="W68" s="15">
        <f t="shared" si="18"/>
        <v>58.898873833333326</v>
      </c>
      <c r="X68" s="15">
        <f t="shared" si="18"/>
        <v>58.898873833333326</v>
      </c>
      <c r="Y68" s="15">
        <f t="shared" si="18"/>
        <v>58.898873833333326</v>
      </c>
      <c r="Z68" s="15">
        <f t="shared" si="18"/>
        <v>58.898873833333326</v>
      </c>
      <c r="AA68" s="15">
        <f t="shared" si="18"/>
        <v>58.898873833333326</v>
      </c>
      <c r="AB68" s="345">
        <f t="shared" si="18"/>
        <v>58.898873833333326</v>
      </c>
      <c r="AF68" s="375">
        <f t="shared" ref="AF68:AF124" si="21">IF(L68=Z68,0,1)</f>
        <v>0</v>
      </c>
    </row>
    <row r="69" spans="1:32" ht="15" customHeight="1">
      <c r="B69" s="107" t="s">
        <v>106</v>
      </c>
      <c r="C69" s="12">
        <f>Attic!D14</f>
        <v>0.18869339761941342</v>
      </c>
      <c r="D69" s="154" t="s">
        <v>10</v>
      </c>
      <c r="E69" s="107" t="s">
        <v>107</v>
      </c>
      <c r="F69" s="6" t="s">
        <v>108</v>
      </c>
      <c r="G69" s="8" t="s">
        <v>109</v>
      </c>
      <c r="H69" s="3" t="s">
        <v>110</v>
      </c>
      <c r="L69" s="218">
        <f t="shared" si="19"/>
        <v>0.18869339761941342</v>
      </c>
      <c r="M69" s="218">
        <f t="shared" si="20"/>
        <v>0.18869339761941342</v>
      </c>
      <c r="N69" s="218">
        <f t="shared" si="18"/>
        <v>0.18869339761941342</v>
      </c>
      <c r="O69" s="218">
        <f t="shared" si="18"/>
        <v>0.18869339761941342</v>
      </c>
      <c r="P69" s="218">
        <f t="shared" si="18"/>
        <v>0.18869339761941342</v>
      </c>
      <c r="Q69" s="218">
        <f t="shared" si="18"/>
        <v>0.18869339761941342</v>
      </c>
      <c r="R69" s="218">
        <f t="shared" si="18"/>
        <v>0.18869339761941342</v>
      </c>
      <c r="S69" s="218">
        <f t="shared" si="18"/>
        <v>0.18869339761941342</v>
      </c>
      <c r="T69" s="218">
        <f t="shared" si="18"/>
        <v>0.18869339761941342</v>
      </c>
      <c r="U69" s="218">
        <f t="shared" si="18"/>
        <v>0.18869339761941342</v>
      </c>
      <c r="V69" s="218">
        <f t="shared" si="18"/>
        <v>0.18869339761941342</v>
      </c>
      <c r="W69" s="218">
        <f t="shared" si="18"/>
        <v>0.18869339761941342</v>
      </c>
      <c r="X69" s="218">
        <f t="shared" si="18"/>
        <v>0.18869339761941342</v>
      </c>
      <c r="Y69" s="218">
        <f t="shared" si="18"/>
        <v>0.18869339761941342</v>
      </c>
      <c r="Z69" s="218">
        <f t="shared" si="18"/>
        <v>0.18869339761941342</v>
      </c>
      <c r="AA69" s="218">
        <f t="shared" si="18"/>
        <v>0.18869339761941342</v>
      </c>
      <c r="AB69" s="218">
        <f t="shared" si="18"/>
        <v>0.18869339761941342</v>
      </c>
      <c r="AF69" s="375">
        <f t="shared" si="21"/>
        <v>0</v>
      </c>
    </row>
    <row r="70" spans="1:32" ht="15" customHeight="1">
      <c r="B70" s="107" t="s">
        <v>111</v>
      </c>
      <c r="C70" s="10">
        <v>0.65</v>
      </c>
      <c r="D70" s="154" t="s">
        <v>10</v>
      </c>
      <c r="E70" s="107" t="s">
        <v>112</v>
      </c>
      <c r="F70" s="6" t="s">
        <v>113</v>
      </c>
      <c r="G70" s="8" t="s">
        <v>109</v>
      </c>
      <c r="H70" s="3" t="s">
        <v>17</v>
      </c>
      <c r="L70" s="218">
        <f t="shared" si="19"/>
        <v>0.65</v>
      </c>
      <c r="M70" s="218">
        <f t="shared" si="20"/>
        <v>0.65</v>
      </c>
      <c r="N70" s="218">
        <f t="shared" si="18"/>
        <v>0.65</v>
      </c>
      <c r="O70" s="218">
        <f t="shared" si="18"/>
        <v>0.65</v>
      </c>
      <c r="P70" s="218">
        <f t="shared" si="18"/>
        <v>0.65</v>
      </c>
      <c r="Q70" s="218">
        <f t="shared" si="18"/>
        <v>0.65</v>
      </c>
      <c r="R70" s="218">
        <f t="shared" si="18"/>
        <v>0.65</v>
      </c>
      <c r="S70" s="218">
        <f t="shared" si="18"/>
        <v>0.65</v>
      </c>
      <c r="T70" s="218">
        <f t="shared" si="18"/>
        <v>0.65</v>
      </c>
      <c r="U70" s="218">
        <f t="shared" si="18"/>
        <v>0.65</v>
      </c>
      <c r="V70" s="218">
        <f t="shared" si="18"/>
        <v>0.65</v>
      </c>
      <c r="W70" s="218">
        <f t="shared" si="18"/>
        <v>0.65</v>
      </c>
      <c r="X70" s="218">
        <f t="shared" si="18"/>
        <v>0.65</v>
      </c>
      <c r="Y70" s="218">
        <f t="shared" si="18"/>
        <v>0.65</v>
      </c>
      <c r="Z70" s="218">
        <f t="shared" si="18"/>
        <v>0.65</v>
      </c>
      <c r="AA70" s="218">
        <f t="shared" si="18"/>
        <v>0.65</v>
      </c>
      <c r="AB70" s="218">
        <f t="shared" si="18"/>
        <v>0.65</v>
      </c>
      <c r="AF70" s="375">
        <f t="shared" si="21"/>
        <v>0</v>
      </c>
    </row>
    <row r="71" spans="1:32" ht="15" customHeight="1">
      <c r="B71" s="6" t="s">
        <v>568</v>
      </c>
      <c r="C71" s="10">
        <f>Attic!D18</f>
        <v>0.35</v>
      </c>
      <c r="D71" s="2" t="s">
        <v>10</v>
      </c>
      <c r="E71" s="6" t="s">
        <v>115</v>
      </c>
      <c r="F71" s="6" t="s">
        <v>41</v>
      </c>
      <c r="H71" s="3" t="s">
        <v>110</v>
      </c>
      <c r="L71" s="218">
        <f t="shared" si="19"/>
        <v>0.35</v>
      </c>
      <c r="M71" s="218">
        <f t="shared" si="20"/>
        <v>0.35</v>
      </c>
      <c r="N71" s="218">
        <f t="shared" si="18"/>
        <v>0.35</v>
      </c>
      <c r="O71" s="218">
        <f t="shared" si="18"/>
        <v>0.35</v>
      </c>
      <c r="P71" s="218">
        <f t="shared" si="18"/>
        <v>0.35</v>
      </c>
      <c r="Q71" s="218">
        <f t="shared" si="18"/>
        <v>0.35</v>
      </c>
      <c r="R71" s="218">
        <f t="shared" si="18"/>
        <v>0.35</v>
      </c>
      <c r="S71" s="218">
        <f t="shared" si="18"/>
        <v>0.35</v>
      </c>
      <c r="T71" s="218">
        <f t="shared" si="18"/>
        <v>0.35</v>
      </c>
      <c r="U71" s="218">
        <f t="shared" si="18"/>
        <v>0.35</v>
      </c>
      <c r="V71" s="218">
        <f t="shared" si="18"/>
        <v>0.35</v>
      </c>
      <c r="W71" s="218">
        <f t="shared" si="18"/>
        <v>0.35</v>
      </c>
      <c r="X71" s="218">
        <f t="shared" si="18"/>
        <v>0.35</v>
      </c>
      <c r="Y71" s="218">
        <f t="shared" si="18"/>
        <v>0.35</v>
      </c>
      <c r="Z71" s="218">
        <f t="shared" si="18"/>
        <v>0.35</v>
      </c>
      <c r="AA71" s="218">
        <f t="shared" si="18"/>
        <v>0.35</v>
      </c>
      <c r="AB71" s="218">
        <f t="shared" si="18"/>
        <v>0.35</v>
      </c>
      <c r="AF71" s="375">
        <f t="shared" si="21"/>
        <v>0</v>
      </c>
    </row>
    <row r="72" spans="1:32" ht="15.75" customHeight="1">
      <c r="B72" s="6" t="s">
        <v>568</v>
      </c>
      <c r="C72" s="10">
        <f>Attic!D19</f>
        <v>0.35</v>
      </c>
      <c r="D72" s="2" t="s">
        <v>10</v>
      </c>
      <c r="E72" s="6" t="s">
        <v>116</v>
      </c>
      <c r="F72" s="6" t="s">
        <v>43</v>
      </c>
      <c r="H72" s="3" t="s">
        <v>110</v>
      </c>
      <c r="L72" s="218">
        <f t="shared" si="19"/>
        <v>0.35</v>
      </c>
      <c r="M72" s="218">
        <f t="shared" si="20"/>
        <v>0.35</v>
      </c>
      <c r="N72" s="218">
        <f t="shared" si="18"/>
        <v>0.35</v>
      </c>
      <c r="O72" s="218">
        <f t="shared" si="18"/>
        <v>0.35</v>
      </c>
      <c r="P72" s="218">
        <f t="shared" si="18"/>
        <v>0.35</v>
      </c>
      <c r="Q72" s="218">
        <f t="shared" si="18"/>
        <v>0.35</v>
      </c>
      <c r="R72" s="218">
        <f t="shared" si="18"/>
        <v>0.35</v>
      </c>
      <c r="S72" s="218">
        <f t="shared" si="18"/>
        <v>0.35</v>
      </c>
      <c r="T72" s="218">
        <f t="shared" si="18"/>
        <v>0.35</v>
      </c>
      <c r="U72" s="218">
        <f t="shared" si="18"/>
        <v>0.35</v>
      </c>
      <c r="V72" s="218">
        <f t="shared" si="18"/>
        <v>0.35</v>
      </c>
      <c r="W72" s="218">
        <f t="shared" si="18"/>
        <v>0.35</v>
      </c>
      <c r="X72" s="218">
        <f t="shared" si="18"/>
        <v>0.35</v>
      </c>
      <c r="Y72" s="218">
        <f t="shared" si="18"/>
        <v>0.35</v>
      </c>
      <c r="Z72" s="218">
        <f t="shared" si="18"/>
        <v>0.35</v>
      </c>
      <c r="AA72" s="218">
        <f t="shared" si="18"/>
        <v>0.35</v>
      </c>
      <c r="AB72" s="218">
        <f t="shared" si="18"/>
        <v>0.35</v>
      </c>
      <c r="AF72" s="375">
        <f t="shared" si="21"/>
        <v>0</v>
      </c>
    </row>
    <row r="73" spans="1:32" ht="15" customHeight="1">
      <c r="B73" s="6" t="s">
        <v>568</v>
      </c>
      <c r="C73" s="10">
        <f>Attic!D20</f>
        <v>0.1</v>
      </c>
      <c r="D73" s="2" t="s">
        <v>10</v>
      </c>
      <c r="E73" s="6" t="s">
        <v>117</v>
      </c>
      <c r="F73" s="6" t="s">
        <v>44</v>
      </c>
      <c r="H73" s="3" t="s">
        <v>110</v>
      </c>
      <c r="L73" s="218">
        <f t="shared" si="19"/>
        <v>0.1</v>
      </c>
      <c r="M73" s="218">
        <f t="shared" si="20"/>
        <v>0.1</v>
      </c>
      <c r="N73" s="218">
        <f t="shared" si="18"/>
        <v>0.1</v>
      </c>
      <c r="O73" s="218">
        <f t="shared" si="18"/>
        <v>0.1</v>
      </c>
      <c r="P73" s="218">
        <f t="shared" si="18"/>
        <v>0.1</v>
      </c>
      <c r="Q73" s="218">
        <f t="shared" si="18"/>
        <v>0.1</v>
      </c>
      <c r="R73" s="218">
        <f t="shared" si="18"/>
        <v>0.1</v>
      </c>
      <c r="S73" s="218">
        <f t="shared" si="18"/>
        <v>0.1</v>
      </c>
      <c r="T73" s="218">
        <f t="shared" si="18"/>
        <v>0.1</v>
      </c>
      <c r="U73" s="218">
        <f t="shared" si="18"/>
        <v>0.1</v>
      </c>
      <c r="V73" s="218">
        <f t="shared" si="18"/>
        <v>0.1</v>
      </c>
      <c r="W73" s="218">
        <f t="shared" si="18"/>
        <v>0.1</v>
      </c>
      <c r="X73" s="218">
        <f t="shared" si="18"/>
        <v>0.1</v>
      </c>
      <c r="Y73" s="218">
        <f t="shared" si="18"/>
        <v>0.1</v>
      </c>
      <c r="Z73" s="218">
        <f t="shared" si="18"/>
        <v>0.1</v>
      </c>
      <c r="AA73" s="218">
        <f t="shared" si="18"/>
        <v>0.1</v>
      </c>
      <c r="AB73" s="218">
        <f t="shared" si="18"/>
        <v>0.1</v>
      </c>
      <c r="AF73" s="375">
        <f t="shared" si="21"/>
        <v>0</v>
      </c>
    </row>
    <row r="74" spans="1:32" ht="15" customHeight="1">
      <c r="B74" s="6" t="s">
        <v>568</v>
      </c>
      <c r="C74" s="10">
        <f>Attic!D21</f>
        <v>0.1</v>
      </c>
      <c r="D74" s="2" t="s">
        <v>10</v>
      </c>
      <c r="E74" s="6" t="s">
        <v>118</v>
      </c>
      <c r="F74" s="6" t="s">
        <v>45</v>
      </c>
      <c r="H74" s="3" t="s">
        <v>110</v>
      </c>
      <c r="L74" s="218">
        <f t="shared" si="19"/>
        <v>0.1</v>
      </c>
      <c r="M74" s="218">
        <f t="shared" si="20"/>
        <v>0.1</v>
      </c>
      <c r="N74" s="218">
        <f t="shared" si="18"/>
        <v>0.1</v>
      </c>
      <c r="O74" s="218">
        <f t="shared" si="18"/>
        <v>0.1</v>
      </c>
      <c r="P74" s="218">
        <f t="shared" si="18"/>
        <v>0.1</v>
      </c>
      <c r="Q74" s="218">
        <f t="shared" si="18"/>
        <v>0.1</v>
      </c>
      <c r="R74" s="218">
        <f t="shared" si="18"/>
        <v>0.1</v>
      </c>
      <c r="S74" s="218">
        <f t="shared" si="18"/>
        <v>0.1</v>
      </c>
      <c r="T74" s="218">
        <f t="shared" si="18"/>
        <v>0.1</v>
      </c>
      <c r="U74" s="218">
        <f t="shared" si="18"/>
        <v>0.1</v>
      </c>
      <c r="V74" s="218">
        <f t="shared" si="18"/>
        <v>0.1</v>
      </c>
      <c r="W74" s="218">
        <f t="shared" si="18"/>
        <v>0.1</v>
      </c>
      <c r="X74" s="218">
        <f t="shared" si="18"/>
        <v>0.1</v>
      </c>
      <c r="Y74" s="218">
        <f t="shared" si="18"/>
        <v>0.1</v>
      </c>
      <c r="Z74" s="218">
        <f t="shared" si="18"/>
        <v>0.1</v>
      </c>
      <c r="AA74" s="218">
        <f t="shared" si="18"/>
        <v>0.1</v>
      </c>
      <c r="AB74" s="218">
        <f t="shared" si="18"/>
        <v>0.1</v>
      </c>
      <c r="AF74" s="375">
        <f t="shared" si="21"/>
        <v>0</v>
      </c>
    </row>
    <row r="75" spans="1:32" ht="15" customHeight="1">
      <c r="B75" s="6" t="s">
        <v>568</v>
      </c>
      <c r="C75" s="10">
        <f>Attic!D22</f>
        <v>0.1</v>
      </c>
      <c r="D75" s="2" t="s">
        <v>10</v>
      </c>
      <c r="E75" s="6" t="s">
        <v>119</v>
      </c>
      <c r="H75" s="3" t="s">
        <v>110</v>
      </c>
      <c r="L75" s="218">
        <f t="shared" si="19"/>
        <v>0.1</v>
      </c>
      <c r="M75" s="218">
        <f t="shared" si="20"/>
        <v>0.1</v>
      </c>
      <c r="N75" s="218">
        <f t="shared" si="18"/>
        <v>0.1</v>
      </c>
      <c r="O75" s="218">
        <f t="shared" si="18"/>
        <v>0.1</v>
      </c>
      <c r="P75" s="218">
        <f t="shared" si="18"/>
        <v>0.1</v>
      </c>
      <c r="Q75" s="218">
        <f t="shared" si="18"/>
        <v>0.1</v>
      </c>
      <c r="R75" s="218">
        <f t="shared" si="18"/>
        <v>0.1</v>
      </c>
      <c r="S75" s="218">
        <f t="shared" si="18"/>
        <v>0.1</v>
      </c>
      <c r="T75" s="218">
        <f t="shared" si="18"/>
        <v>0.1</v>
      </c>
      <c r="U75" s="218">
        <f t="shared" si="18"/>
        <v>0.1</v>
      </c>
      <c r="V75" s="218">
        <f t="shared" si="18"/>
        <v>0.1</v>
      </c>
      <c r="W75" s="218">
        <f t="shared" si="18"/>
        <v>0.1</v>
      </c>
      <c r="X75" s="218">
        <f t="shared" si="18"/>
        <v>0.1</v>
      </c>
      <c r="Y75" s="218">
        <f t="shared" si="18"/>
        <v>0.1</v>
      </c>
      <c r="Z75" s="218">
        <f t="shared" si="18"/>
        <v>0.1</v>
      </c>
      <c r="AA75" s="218">
        <f t="shared" si="18"/>
        <v>0.1</v>
      </c>
      <c r="AB75" s="218">
        <f t="shared" si="18"/>
        <v>0.1</v>
      </c>
      <c r="AF75" s="375">
        <f t="shared" si="21"/>
        <v>0</v>
      </c>
    </row>
    <row r="76" spans="1:32" ht="15" customHeight="1">
      <c r="B76" s="6" t="s">
        <v>569</v>
      </c>
      <c r="C76" s="10">
        <f>Geometry!D15</f>
        <v>5.6</v>
      </c>
      <c r="D76" s="2" t="s">
        <v>10</v>
      </c>
      <c r="E76" s="6" t="s">
        <v>120</v>
      </c>
      <c r="H76" s="3" t="s">
        <v>21</v>
      </c>
      <c r="L76" s="218">
        <f t="shared" si="19"/>
        <v>5.6</v>
      </c>
      <c r="M76" s="218">
        <f t="shared" si="20"/>
        <v>5.6</v>
      </c>
      <c r="N76" s="218">
        <f t="shared" si="18"/>
        <v>5.6</v>
      </c>
      <c r="O76" s="218">
        <f t="shared" si="18"/>
        <v>5.6</v>
      </c>
      <c r="P76" s="218">
        <f t="shared" si="18"/>
        <v>5.6</v>
      </c>
      <c r="Q76" s="218">
        <f t="shared" si="18"/>
        <v>5.6</v>
      </c>
      <c r="R76" s="218">
        <f t="shared" si="18"/>
        <v>5.6</v>
      </c>
      <c r="S76" s="218">
        <f t="shared" si="18"/>
        <v>5.6</v>
      </c>
      <c r="T76" s="218">
        <f t="shared" si="18"/>
        <v>5.6</v>
      </c>
      <c r="U76" s="218">
        <f t="shared" si="18"/>
        <v>5.6</v>
      </c>
      <c r="V76" s="218">
        <f t="shared" si="18"/>
        <v>5.6</v>
      </c>
      <c r="W76" s="218">
        <f t="shared" si="18"/>
        <v>5.6</v>
      </c>
      <c r="X76" s="218">
        <f t="shared" si="18"/>
        <v>5.6</v>
      </c>
      <c r="Y76" s="218">
        <f t="shared" si="18"/>
        <v>5.6</v>
      </c>
      <c r="Z76" s="218">
        <f t="shared" si="18"/>
        <v>5.6</v>
      </c>
      <c r="AA76" s="218">
        <f t="shared" si="18"/>
        <v>5.6</v>
      </c>
      <c r="AB76" s="218">
        <f t="shared" si="18"/>
        <v>5.6</v>
      </c>
      <c r="AF76" s="375">
        <f t="shared" si="21"/>
        <v>0</v>
      </c>
    </row>
    <row r="77" spans="1:32" ht="15" customHeight="1">
      <c r="B77" s="6" t="s">
        <v>569</v>
      </c>
      <c r="C77" s="10">
        <f>Geometry!D15</f>
        <v>5.6</v>
      </c>
      <c r="D77" s="2" t="s">
        <v>10</v>
      </c>
      <c r="E77" s="6" t="s">
        <v>121</v>
      </c>
      <c r="H77" s="3" t="s">
        <v>21</v>
      </c>
      <c r="L77" s="218">
        <f t="shared" si="19"/>
        <v>5.6</v>
      </c>
      <c r="M77" s="218">
        <f t="shared" si="20"/>
        <v>5.6</v>
      </c>
      <c r="N77" s="218">
        <f t="shared" si="18"/>
        <v>5.6</v>
      </c>
      <c r="O77" s="218">
        <f t="shared" si="18"/>
        <v>5.6</v>
      </c>
      <c r="P77" s="218">
        <f t="shared" si="18"/>
        <v>5.6</v>
      </c>
      <c r="Q77" s="218">
        <f t="shared" si="18"/>
        <v>5.6</v>
      </c>
      <c r="R77" s="218">
        <f t="shared" si="18"/>
        <v>5.6</v>
      </c>
      <c r="S77" s="218">
        <f t="shared" si="18"/>
        <v>5.6</v>
      </c>
      <c r="T77" s="218">
        <f t="shared" si="18"/>
        <v>5.6</v>
      </c>
      <c r="U77" s="218">
        <f t="shared" si="18"/>
        <v>5.6</v>
      </c>
      <c r="V77" s="218">
        <f t="shared" si="18"/>
        <v>5.6</v>
      </c>
      <c r="W77" s="218">
        <f t="shared" si="18"/>
        <v>5.6</v>
      </c>
      <c r="X77" s="218">
        <f t="shared" si="18"/>
        <v>5.6</v>
      </c>
      <c r="Y77" s="218">
        <f t="shared" si="18"/>
        <v>5.6</v>
      </c>
      <c r="Z77" s="218">
        <f t="shared" si="18"/>
        <v>5.6</v>
      </c>
      <c r="AA77" s="218">
        <f t="shared" si="18"/>
        <v>5.6</v>
      </c>
      <c r="AB77" s="218">
        <f t="shared" si="18"/>
        <v>5.6</v>
      </c>
      <c r="AF77" s="375">
        <f t="shared" si="21"/>
        <v>0</v>
      </c>
    </row>
    <row r="78" spans="1:32" ht="15" customHeight="1">
      <c r="B78" s="6" t="s">
        <v>569</v>
      </c>
      <c r="C78" s="10">
        <f>Geometry!D15</f>
        <v>5.6</v>
      </c>
      <c r="D78" s="2" t="s">
        <v>10</v>
      </c>
      <c r="E78" s="6" t="s">
        <v>122</v>
      </c>
      <c r="H78" s="3" t="s">
        <v>21</v>
      </c>
      <c r="L78" s="218">
        <f t="shared" si="19"/>
        <v>5.6</v>
      </c>
      <c r="M78" s="218">
        <f t="shared" si="20"/>
        <v>5.6</v>
      </c>
      <c r="N78" s="218">
        <f t="shared" si="18"/>
        <v>5.6</v>
      </c>
      <c r="O78" s="218">
        <f t="shared" si="18"/>
        <v>5.6</v>
      </c>
      <c r="P78" s="218">
        <f t="shared" si="18"/>
        <v>5.6</v>
      </c>
      <c r="Q78" s="218">
        <f t="shared" si="18"/>
        <v>5.6</v>
      </c>
      <c r="R78" s="218">
        <f t="shared" si="18"/>
        <v>5.6</v>
      </c>
      <c r="S78" s="218">
        <f t="shared" si="18"/>
        <v>5.6</v>
      </c>
      <c r="T78" s="218">
        <f t="shared" si="18"/>
        <v>5.6</v>
      </c>
      <c r="U78" s="218">
        <f t="shared" si="18"/>
        <v>5.6</v>
      </c>
      <c r="V78" s="218">
        <f t="shared" si="18"/>
        <v>5.6</v>
      </c>
      <c r="W78" s="218">
        <f t="shared" si="18"/>
        <v>5.6</v>
      </c>
      <c r="X78" s="218">
        <f t="shared" si="18"/>
        <v>5.6</v>
      </c>
      <c r="Y78" s="218">
        <f t="shared" si="18"/>
        <v>5.6</v>
      </c>
      <c r="Z78" s="218">
        <f t="shared" si="18"/>
        <v>5.6</v>
      </c>
      <c r="AA78" s="218">
        <f t="shared" si="18"/>
        <v>5.6</v>
      </c>
      <c r="AB78" s="218">
        <f t="shared" si="18"/>
        <v>5.6</v>
      </c>
      <c r="AF78" s="375">
        <f t="shared" si="21"/>
        <v>0</v>
      </c>
    </row>
    <row r="79" spans="1:32" ht="15" customHeight="1">
      <c r="B79" s="6" t="s">
        <v>569</v>
      </c>
      <c r="C79" s="10">
        <f>Geometry!D15</f>
        <v>5.6</v>
      </c>
      <c r="D79" s="156" t="s">
        <v>10</v>
      </c>
      <c r="E79" s="6" t="s">
        <v>123</v>
      </c>
      <c r="H79" s="3" t="s">
        <v>21</v>
      </c>
      <c r="L79" s="218">
        <f t="shared" si="19"/>
        <v>5.6</v>
      </c>
      <c r="M79" s="218">
        <f t="shared" si="20"/>
        <v>5.6</v>
      </c>
      <c r="N79" s="218">
        <f t="shared" ref="N79:AB79" si="22">M79</f>
        <v>5.6</v>
      </c>
      <c r="O79" s="218">
        <f t="shared" si="22"/>
        <v>5.6</v>
      </c>
      <c r="P79" s="218">
        <f t="shared" si="22"/>
        <v>5.6</v>
      </c>
      <c r="Q79" s="218">
        <f t="shared" si="22"/>
        <v>5.6</v>
      </c>
      <c r="R79" s="218">
        <f t="shared" si="22"/>
        <v>5.6</v>
      </c>
      <c r="S79" s="218">
        <f t="shared" si="22"/>
        <v>5.6</v>
      </c>
      <c r="T79" s="218">
        <f t="shared" si="22"/>
        <v>5.6</v>
      </c>
      <c r="U79" s="218">
        <f t="shared" si="22"/>
        <v>5.6</v>
      </c>
      <c r="V79" s="218">
        <f t="shared" si="22"/>
        <v>5.6</v>
      </c>
      <c r="W79" s="218">
        <f t="shared" si="22"/>
        <v>5.6</v>
      </c>
      <c r="X79" s="218">
        <f t="shared" si="22"/>
        <v>5.6</v>
      </c>
      <c r="Y79" s="218">
        <f t="shared" si="22"/>
        <v>5.6</v>
      </c>
      <c r="Z79" s="218">
        <f t="shared" si="22"/>
        <v>5.6</v>
      </c>
      <c r="AA79" s="218">
        <f t="shared" si="22"/>
        <v>5.6</v>
      </c>
      <c r="AB79" s="218">
        <f t="shared" si="22"/>
        <v>5.6</v>
      </c>
      <c r="AF79" s="375">
        <f t="shared" si="21"/>
        <v>0</v>
      </c>
    </row>
    <row r="80" spans="1:32" ht="15" customHeight="1">
      <c r="A80" s="137" t="s">
        <v>124</v>
      </c>
      <c r="B80" s="134" t="s">
        <v>125</v>
      </c>
      <c r="C80" s="157">
        <v>2</v>
      </c>
      <c r="D80" s="156" t="s">
        <v>10</v>
      </c>
      <c r="E80" s="134" t="s">
        <v>126</v>
      </c>
      <c r="H80" s="3" t="s">
        <v>17</v>
      </c>
      <c r="L80" s="186">
        <f t="shared" si="19"/>
        <v>2</v>
      </c>
      <c r="M80" s="186">
        <f t="shared" si="20"/>
        <v>2</v>
      </c>
      <c r="N80" s="186">
        <f t="shared" ref="N80:AB80" si="23">M80</f>
        <v>2</v>
      </c>
      <c r="O80" s="186">
        <f t="shared" si="23"/>
        <v>2</v>
      </c>
      <c r="P80" s="186">
        <f t="shared" si="23"/>
        <v>2</v>
      </c>
      <c r="Q80" s="186">
        <f t="shared" si="23"/>
        <v>2</v>
      </c>
      <c r="R80" s="186">
        <f t="shared" si="23"/>
        <v>2</v>
      </c>
      <c r="S80" s="186">
        <f t="shared" si="23"/>
        <v>2</v>
      </c>
      <c r="T80" s="186">
        <f t="shared" si="23"/>
        <v>2</v>
      </c>
      <c r="U80" s="186">
        <f t="shared" si="23"/>
        <v>2</v>
      </c>
      <c r="V80" s="186">
        <f t="shared" si="23"/>
        <v>2</v>
      </c>
      <c r="W80" s="186">
        <f t="shared" si="23"/>
        <v>2</v>
      </c>
      <c r="X80" s="186">
        <f t="shared" si="23"/>
        <v>2</v>
      </c>
      <c r="Y80" s="186">
        <f t="shared" si="23"/>
        <v>2</v>
      </c>
      <c r="Z80" s="186">
        <f t="shared" si="23"/>
        <v>2</v>
      </c>
      <c r="AA80" s="186">
        <f t="shared" si="23"/>
        <v>2</v>
      </c>
      <c r="AB80" s="186">
        <f t="shared" si="23"/>
        <v>2</v>
      </c>
      <c r="AF80" s="375">
        <f t="shared" si="21"/>
        <v>0</v>
      </c>
    </row>
    <row r="81" spans="1:32" ht="15" customHeight="1">
      <c r="B81" s="164" t="s">
        <v>564</v>
      </c>
      <c r="C81" s="157">
        <v>1</v>
      </c>
      <c r="D81" s="2" t="s">
        <v>10</v>
      </c>
      <c r="E81" s="132" t="s">
        <v>127</v>
      </c>
      <c r="F81" s="6" t="s">
        <v>128</v>
      </c>
      <c r="H81" s="3" t="s">
        <v>110</v>
      </c>
      <c r="L81" s="9">
        <f t="shared" si="19"/>
        <v>1</v>
      </c>
      <c r="M81" s="9">
        <f t="shared" si="20"/>
        <v>1</v>
      </c>
      <c r="N81" s="9">
        <f t="shared" ref="N81:AB81" si="24">M81</f>
        <v>1</v>
      </c>
      <c r="O81" s="9">
        <f t="shared" si="24"/>
        <v>1</v>
      </c>
      <c r="P81" s="9">
        <f t="shared" si="24"/>
        <v>1</v>
      </c>
      <c r="Q81" s="9">
        <f t="shared" si="24"/>
        <v>1</v>
      </c>
      <c r="R81" s="9">
        <f t="shared" si="24"/>
        <v>1</v>
      </c>
      <c r="S81" s="9">
        <f t="shared" si="24"/>
        <v>1</v>
      </c>
      <c r="T81" s="9">
        <f t="shared" si="24"/>
        <v>1</v>
      </c>
      <c r="U81" s="9">
        <f t="shared" si="24"/>
        <v>1</v>
      </c>
      <c r="V81" s="9">
        <f t="shared" si="24"/>
        <v>1</v>
      </c>
      <c r="W81" s="9">
        <f t="shared" si="24"/>
        <v>1</v>
      </c>
      <c r="X81" s="9">
        <f t="shared" si="24"/>
        <v>1</v>
      </c>
      <c r="Y81" s="9">
        <f t="shared" si="24"/>
        <v>1</v>
      </c>
      <c r="Z81" s="9">
        <f t="shared" si="24"/>
        <v>1</v>
      </c>
      <c r="AA81" s="9">
        <f t="shared" si="24"/>
        <v>1</v>
      </c>
      <c r="AB81" s="9">
        <f t="shared" si="24"/>
        <v>1</v>
      </c>
      <c r="AF81" s="375">
        <f t="shared" si="21"/>
        <v>0</v>
      </c>
    </row>
    <row r="82" spans="1:32" ht="15" customHeight="1">
      <c r="B82" s="165" t="s">
        <v>565</v>
      </c>
      <c r="C82" s="12">
        <f>H_attic.ventSI</f>
        <v>6.189166666666666</v>
      </c>
      <c r="D82" s="2" t="s">
        <v>10</v>
      </c>
      <c r="E82" s="114" t="s">
        <v>129</v>
      </c>
      <c r="G82" s="6" t="s">
        <v>130</v>
      </c>
      <c r="H82" s="3" t="s">
        <v>110</v>
      </c>
      <c r="L82" s="9">
        <f t="shared" si="19"/>
        <v>6.189166666666666</v>
      </c>
      <c r="M82" s="9">
        <f t="shared" si="20"/>
        <v>6.189166666666666</v>
      </c>
      <c r="N82" s="9">
        <f t="shared" ref="N82:AB82" si="25">M82</f>
        <v>6.189166666666666</v>
      </c>
      <c r="O82" s="9">
        <f t="shared" si="25"/>
        <v>6.189166666666666</v>
      </c>
      <c r="P82" s="9">
        <f t="shared" si="25"/>
        <v>6.189166666666666</v>
      </c>
      <c r="Q82" s="9">
        <f t="shared" si="25"/>
        <v>6.189166666666666</v>
      </c>
      <c r="R82" s="9">
        <f t="shared" si="25"/>
        <v>6.189166666666666</v>
      </c>
      <c r="S82" s="9">
        <f t="shared" si="25"/>
        <v>6.189166666666666</v>
      </c>
      <c r="T82" s="9">
        <f t="shared" si="25"/>
        <v>6.189166666666666</v>
      </c>
      <c r="U82" s="9">
        <f t="shared" si="25"/>
        <v>6.189166666666666</v>
      </c>
      <c r="V82" s="9">
        <f t="shared" si="25"/>
        <v>6.189166666666666</v>
      </c>
      <c r="W82" s="9">
        <f t="shared" si="25"/>
        <v>6.189166666666666</v>
      </c>
      <c r="X82" s="9">
        <f t="shared" si="25"/>
        <v>6.189166666666666</v>
      </c>
      <c r="Y82" s="9">
        <f t="shared" si="25"/>
        <v>6.189166666666666</v>
      </c>
      <c r="Z82" s="9">
        <f t="shared" si="25"/>
        <v>6.189166666666666</v>
      </c>
      <c r="AA82" s="9">
        <f t="shared" si="25"/>
        <v>6.189166666666666</v>
      </c>
      <c r="AB82" s="9">
        <f t="shared" si="25"/>
        <v>6.189166666666666</v>
      </c>
      <c r="AF82" s="375">
        <f t="shared" si="21"/>
        <v>0</v>
      </c>
    </row>
    <row r="83" spans="1:32" ht="15" customHeight="1">
      <c r="B83" s="165" t="s">
        <v>566</v>
      </c>
      <c r="C83" s="12">
        <f>Attic!D12*Attic!D18*2</f>
        <v>2.332628666666664E-2</v>
      </c>
      <c r="D83" s="2" t="s">
        <v>10</v>
      </c>
      <c r="E83" s="114" t="s">
        <v>131</v>
      </c>
      <c r="G83" s="6" t="s">
        <v>132</v>
      </c>
      <c r="H83" s="3" t="s">
        <v>110</v>
      </c>
      <c r="L83" s="9">
        <f t="shared" si="19"/>
        <v>2.332628666666664E-2</v>
      </c>
      <c r="M83" s="9">
        <f t="shared" ref="M83:AB95" si="26">L83</f>
        <v>2.332628666666664E-2</v>
      </c>
      <c r="N83" s="9">
        <f t="shared" si="26"/>
        <v>2.332628666666664E-2</v>
      </c>
      <c r="O83" s="9">
        <f t="shared" si="26"/>
        <v>2.332628666666664E-2</v>
      </c>
      <c r="P83" s="9">
        <f t="shared" si="26"/>
        <v>2.332628666666664E-2</v>
      </c>
      <c r="Q83" s="9">
        <f t="shared" si="26"/>
        <v>2.332628666666664E-2</v>
      </c>
      <c r="R83" s="9">
        <f t="shared" si="26"/>
        <v>2.332628666666664E-2</v>
      </c>
      <c r="S83" s="9">
        <f t="shared" si="26"/>
        <v>2.332628666666664E-2</v>
      </c>
      <c r="T83" s="9">
        <f t="shared" si="26"/>
        <v>2.332628666666664E-2</v>
      </c>
      <c r="U83" s="9">
        <f t="shared" si="26"/>
        <v>2.332628666666664E-2</v>
      </c>
      <c r="V83" s="9">
        <f t="shared" si="26"/>
        <v>2.332628666666664E-2</v>
      </c>
      <c r="W83" s="9">
        <f t="shared" si="26"/>
        <v>2.332628666666664E-2</v>
      </c>
      <c r="X83" s="9">
        <f t="shared" si="26"/>
        <v>2.332628666666664E-2</v>
      </c>
      <c r="Y83" s="9">
        <f t="shared" si="26"/>
        <v>2.332628666666664E-2</v>
      </c>
      <c r="Z83" s="9">
        <f t="shared" si="26"/>
        <v>2.332628666666664E-2</v>
      </c>
      <c r="AA83" s="9">
        <f t="shared" si="26"/>
        <v>2.332628666666664E-2</v>
      </c>
      <c r="AB83" s="9">
        <f t="shared" si="26"/>
        <v>2.332628666666664E-2</v>
      </c>
      <c r="AF83" s="375">
        <f t="shared" si="21"/>
        <v>0</v>
      </c>
    </row>
    <row r="84" spans="1:32" ht="15" customHeight="1">
      <c r="B84" s="166" t="s">
        <v>567</v>
      </c>
      <c r="C84" s="155">
        <v>0.5</v>
      </c>
      <c r="D84" s="156" t="s">
        <v>10</v>
      </c>
      <c r="E84" s="109" t="s">
        <v>133</v>
      </c>
      <c r="H84" s="3" t="s">
        <v>17</v>
      </c>
      <c r="L84" s="9">
        <f t="shared" si="19"/>
        <v>0.5</v>
      </c>
      <c r="M84" s="9">
        <f t="shared" si="26"/>
        <v>0.5</v>
      </c>
      <c r="N84" s="9">
        <f t="shared" si="26"/>
        <v>0.5</v>
      </c>
      <c r="O84" s="9">
        <f t="shared" si="26"/>
        <v>0.5</v>
      </c>
      <c r="P84" s="9">
        <f t="shared" si="26"/>
        <v>0.5</v>
      </c>
      <c r="Q84" s="9">
        <f t="shared" si="26"/>
        <v>0.5</v>
      </c>
      <c r="R84" s="9">
        <f t="shared" si="26"/>
        <v>0.5</v>
      </c>
      <c r="S84" s="9">
        <f t="shared" si="26"/>
        <v>0.5</v>
      </c>
      <c r="T84" s="9">
        <f t="shared" si="26"/>
        <v>0.5</v>
      </c>
      <c r="U84" s="9">
        <f t="shared" si="26"/>
        <v>0.5</v>
      </c>
      <c r="V84" s="9">
        <f t="shared" si="26"/>
        <v>0.5</v>
      </c>
      <c r="W84" s="9">
        <f t="shared" si="26"/>
        <v>0.5</v>
      </c>
      <c r="X84" s="9">
        <f t="shared" si="26"/>
        <v>0.5</v>
      </c>
      <c r="Y84" s="9">
        <f t="shared" si="26"/>
        <v>0.5</v>
      </c>
      <c r="Z84" s="9">
        <f t="shared" si="26"/>
        <v>0.5</v>
      </c>
      <c r="AA84" s="9">
        <f t="shared" si="26"/>
        <v>0.5</v>
      </c>
      <c r="AB84" s="9">
        <f t="shared" si="26"/>
        <v>0.5</v>
      </c>
      <c r="AF84" s="375">
        <f t="shared" si="21"/>
        <v>0</v>
      </c>
    </row>
    <row r="85" spans="1:32" ht="15" customHeight="1">
      <c r="B85" s="164" t="s">
        <v>564</v>
      </c>
      <c r="C85" s="157">
        <v>3</v>
      </c>
      <c r="D85" s="2" t="s">
        <v>10</v>
      </c>
      <c r="E85" s="132" t="s">
        <v>127</v>
      </c>
      <c r="H85" s="3" t="s">
        <v>110</v>
      </c>
      <c r="L85" s="186">
        <f t="shared" si="19"/>
        <v>3</v>
      </c>
      <c r="M85" s="186">
        <f t="shared" si="26"/>
        <v>3</v>
      </c>
      <c r="N85" s="186">
        <f t="shared" si="26"/>
        <v>3</v>
      </c>
      <c r="O85" s="186">
        <f t="shared" si="26"/>
        <v>3</v>
      </c>
      <c r="P85" s="186">
        <f t="shared" si="26"/>
        <v>3</v>
      </c>
      <c r="Q85" s="186">
        <f t="shared" si="26"/>
        <v>3</v>
      </c>
      <c r="R85" s="186">
        <f t="shared" si="26"/>
        <v>3</v>
      </c>
      <c r="S85" s="186">
        <f t="shared" si="26"/>
        <v>3</v>
      </c>
      <c r="T85" s="186">
        <f t="shared" si="26"/>
        <v>3</v>
      </c>
      <c r="U85" s="186">
        <f t="shared" si="26"/>
        <v>3</v>
      </c>
      <c r="V85" s="186">
        <f t="shared" si="26"/>
        <v>3</v>
      </c>
      <c r="W85" s="186">
        <f t="shared" si="26"/>
        <v>3</v>
      </c>
      <c r="X85" s="186">
        <f t="shared" si="26"/>
        <v>3</v>
      </c>
      <c r="Y85" s="186">
        <f t="shared" si="26"/>
        <v>3</v>
      </c>
      <c r="Z85" s="186">
        <f t="shared" si="26"/>
        <v>3</v>
      </c>
      <c r="AA85" s="186">
        <f t="shared" si="26"/>
        <v>3</v>
      </c>
      <c r="AB85" s="186">
        <f t="shared" si="26"/>
        <v>3</v>
      </c>
      <c r="AF85" s="375">
        <f t="shared" si="21"/>
        <v>0</v>
      </c>
    </row>
    <row r="86" spans="1:32" ht="15" customHeight="1">
      <c r="B86" s="165" t="s">
        <v>565</v>
      </c>
      <c r="C86" s="12">
        <f>C82</f>
        <v>6.189166666666666</v>
      </c>
      <c r="D86" s="2" t="s">
        <v>10</v>
      </c>
      <c r="E86" s="114" t="s">
        <v>129</v>
      </c>
      <c r="H86" s="3" t="s">
        <v>110</v>
      </c>
      <c r="L86" s="218">
        <f t="shared" si="19"/>
        <v>6.189166666666666</v>
      </c>
      <c r="M86" s="218">
        <f t="shared" si="26"/>
        <v>6.189166666666666</v>
      </c>
      <c r="N86" s="218">
        <f t="shared" si="26"/>
        <v>6.189166666666666</v>
      </c>
      <c r="O86" s="218">
        <f t="shared" si="26"/>
        <v>6.189166666666666</v>
      </c>
      <c r="P86" s="218">
        <f t="shared" si="26"/>
        <v>6.189166666666666</v>
      </c>
      <c r="Q86" s="218">
        <f t="shared" si="26"/>
        <v>6.189166666666666</v>
      </c>
      <c r="R86" s="218">
        <f t="shared" si="26"/>
        <v>6.189166666666666</v>
      </c>
      <c r="S86" s="218">
        <f t="shared" si="26"/>
        <v>6.189166666666666</v>
      </c>
      <c r="T86" s="218">
        <f t="shared" si="26"/>
        <v>6.189166666666666</v>
      </c>
      <c r="U86" s="218">
        <f t="shared" si="26"/>
        <v>6.189166666666666</v>
      </c>
      <c r="V86" s="218">
        <f t="shared" si="26"/>
        <v>6.189166666666666</v>
      </c>
      <c r="W86" s="218">
        <f t="shared" si="26"/>
        <v>6.189166666666666</v>
      </c>
      <c r="X86" s="218">
        <f t="shared" si="26"/>
        <v>6.189166666666666</v>
      </c>
      <c r="Y86" s="218">
        <f t="shared" si="26"/>
        <v>6.189166666666666</v>
      </c>
      <c r="Z86" s="218">
        <f t="shared" si="26"/>
        <v>6.189166666666666</v>
      </c>
      <c r="AA86" s="218">
        <f t="shared" si="26"/>
        <v>6.189166666666666</v>
      </c>
      <c r="AB86" s="218">
        <f t="shared" si="26"/>
        <v>6.189166666666666</v>
      </c>
      <c r="AF86" s="375">
        <f t="shared" si="21"/>
        <v>0</v>
      </c>
    </row>
    <row r="87" spans="1:32" ht="15" customHeight="1">
      <c r="B87" s="165" t="s">
        <v>566</v>
      </c>
      <c r="C87" s="12">
        <f>Attic!D12*Attic!D20*2</f>
        <v>6.6646533333333258E-3</v>
      </c>
      <c r="D87" s="2" t="s">
        <v>10</v>
      </c>
      <c r="E87" s="114" t="s">
        <v>131</v>
      </c>
      <c r="H87" s="3" t="s">
        <v>110</v>
      </c>
      <c r="L87" s="218">
        <f t="shared" si="19"/>
        <v>6.6646533333333258E-3</v>
      </c>
      <c r="M87" s="218">
        <f t="shared" si="26"/>
        <v>6.6646533333333258E-3</v>
      </c>
      <c r="N87" s="218">
        <f t="shared" si="26"/>
        <v>6.6646533333333258E-3</v>
      </c>
      <c r="O87" s="218">
        <f t="shared" si="26"/>
        <v>6.6646533333333258E-3</v>
      </c>
      <c r="P87" s="218">
        <f t="shared" si="26"/>
        <v>6.6646533333333258E-3</v>
      </c>
      <c r="Q87" s="218">
        <f t="shared" si="26"/>
        <v>6.6646533333333258E-3</v>
      </c>
      <c r="R87" s="218">
        <f t="shared" si="26"/>
        <v>6.6646533333333258E-3</v>
      </c>
      <c r="S87" s="218">
        <f t="shared" si="26"/>
        <v>6.6646533333333258E-3</v>
      </c>
      <c r="T87" s="218">
        <f t="shared" si="26"/>
        <v>6.6646533333333258E-3</v>
      </c>
      <c r="U87" s="218">
        <f t="shared" si="26"/>
        <v>6.6646533333333258E-3</v>
      </c>
      <c r="V87" s="218">
        <f t="shared" si="26"/>
        <v>6.6646533333333258E-3</v>
      </c>
      <c r="W87" s="218">
        <f t="shared" si="26"/>
        <v>6.6646533333333258E-3</v>
      </c>
      <c r="X87" s="218">
        <f t="shared" si="26"/>
        <v>6.6646533333333258E-3</v>
      </c>
      <c r="Y87" s="218">
        <f t="shared" si="26"/>
        <v>6.6646533333333258E-3</v>
      </c>
      <c r="Z87" s="218">
        <f t="shared" si="26"/>
        <v>6.6646533333333258E-3</v>
      </c>
      <c r="AA87" s="218">
        <f t="shared" si="26"/>
        <v>6.6646533333333258E-3</v>
      </c>
      <c r="AB87" s="218">
        <f t="shared" si="26"/>
        <v>6.6646533333333258E-3</v>
      </c>
      <c r="AF87" s="375">
        <f t="shared" si="21"/>
        <v>0</v>
      </c>
    </row>
    <row r="88" spans="1:32" ht="15" customHeight="1">
      <c r="B88" s="166" t="s">
        <v>567</v>
      </c>
      <c r="C88" s="155">
        <v>0.5</v>
      </c>
      <c r="D88" s="2" t="s">
        <v>10</v>
      </c>
      <c r="E88" s="109" t="s">
        <v>133</v>
      </c>
      <c r="H88" s="3" t="s">
        <v>17</v>
      </c>
      <c r="L88" s="15">
        <f t="shared" si="19"/>
        <v>0.5</v>
      </c>
      <c r="M88" s="15">
        <f t="shared" si="26"/>
        <v>0.5</v>
      </c>
      <c r="N88" s="15">
        <f t="shared" si="26"/>
        <v>0.5</v>
      </c>
      <c r="O88" s="15">
        <f t="shared" si="26"/>
        <v>0.5</v>
      </c>
      <c r="P88" s="15">
        <f t="shared" si="26"/>
        <v>0.5</v>
      </c>
      <c r="Q88" s="15">
        <f t="shared" si="26"/>
        <v>0.5</v>
      </c>
      <c r="R88" s="15">
        <f t="shared" si="26"/>
        <v>0.5</v>
      </c>
      <c r="S88" s="15">
        <f t="shared" si="26"/>
        <v>0.5</v>
      </c>
      <c r="T88" s="15">
        <f t="shared" si="26"/>
        <v>0.5</v>
      </c>
      <c r="U88" s="15">
        <f t="shared" si="26"/>
        <v>0.5</v>
      </c>
      <c r="V88" s="15">
        <f t="shared" si="26"/>
        <v>0.5</v>
      </c>
      <c r="W88" s="15">
        <f t="shared" si="26"/>
        <v>0.5</v>
      </c>
      <c r="X88" s="15">
        <f t="shared" si="26"/>
        <v>0.5</v>
      </c>
      <c r="Y88" s="15">
        <f t="shared" si="26"/>
        <v>0.5</v>
      </c>
      <c r="Z88" s="15">
        <f t="shared" si="26"/>
        <v>0.5</v>
      </c>
      <c r="AA88" s="15">
        <f t="shared" si="26"/>
        <v>0.5</v>
      </c>
      <c r="AB88" s="345">
        <f t="shared" si="26"/>
        <v>0.5</v>
      </c>
      <c r="AF88" s="375">
        <f t="shared" si="21"/>
        <v>0</v>
      </c>
    </row>
    <row r="89" spans="1:32" ht="15" customHeight="1">
      <c r="A89" s="137" t="s">
        <v>211</v>
      </c>
      <c r="B89" s="134" t="s">
        <v>134</v>
      </c>
      <c r="C89" s="167">
        <f>Geometry!D22</f>
        <v>18.43494882292201</v>
      </c>
      <c r="D89" s="163" t="s">
        <v>10</v>
      </c>
      <c r="E89" s="134" t="s">
        <v>135</v>
      </c>
      <c r="F89" s="22" t="s">
        <v>136</v>
      </c>
      <c r="H89" s="3" t="s">
        <v>21</v>
      </c>
      <c r="L89" s="218">
        <f t="shared" si="19"/>
        <v>18.43494882292201</v>
      </c>
      <c r="M89" s="218">
        <f t="shared" si="26"/>
        <v>18.43494882292201</v>
      </c>
      <c r="N89" s="218">
        <f t="shared" si="26"/>
        <v>18.43494882292201</v>
      </c>
      <c r="O89" s="218">
        <f t="shared" si="26"/>
        <v>18.43494882292201</v>
      </c>
      <c r="P89" s="218">
        <f t="shared" si="26"/>
        <v>18.43494882292201</v>
      </c>
      <c r="Q89" s="218">
        <f t="shared" si="26"/>
        <v>18.43494882292201</v>
      </c>
      <c r="R89" s="218">
        <f t="shared" si="26"/>
        <v>18.43494882292201</v>
      </c>
      <c r="S89" s="218">
        <f t="shared" si="26"/>
        <v>18.43494882292201</v>
      </c>
      <c r="T89" s="218">
        <f t="shared" si="26"/>
        <v>18.43494882292201</v>
      </c>
      <c r="U89" s="218">
        <f t="shared" si="26"/>
        <v>18.43494882292201</v>
      </c>
      <c r="V89" s="218">
        <f t="shared" si="26"/>
        <v>18.43494882292201</v>
      </c>
      <c r="W89" s="218">
        <f t="shared" si="26"/>
        <v>18.43494882292201</v>
      </c>
      <c r="X89" s="218">
        <f t="shared" si="26"/>
        <v>18.43494882292201</v>
      </c>
      <c r="Y89" s="218">
        <f t="shared" si="26"/>
        <v>18.43494882292201</v>
      </c>
      <c r="Z89" s="218">
        <f t="shared" si="26"/>
        <v>18.43494882292201</v>
      </c>
      <c r="AA89" s="218">
        <f t="shared" si="26"/>
        <v>18.43494882292201</v>
      </c>
      <c r="AB89" s="218">
        <f t="shared" si="26"/>
        <v>18.43494882292201</v>
      </c>
      <c r="AF89" s="375">
        <f t="shared" si="21"/>
        <v>0</v>
      </c>
    </row>
    <row r="90" spans="1:32" ht="15" customHeight="1">
      <c r="B90" s="6" t="s">
        <v>137</v>
      </c>
      <c r="C90" s="10" t="s">
        <v>138</v>
      </c>
      <c r="D90" s="2" t="s">
        <v>10</v>
      </c>
      <c r="E90" s="6" t="s">
        <v>139</v>
      </c>
      <c r="H90" s="3" t="s">
        <v>17</v>
      </c>
      <c r="L90" s="9" t="str">
        <f t="shared" si="19"/>
        <v>P</v>
      </c>
      <c r="M90" s="9" t="str">
        <f t="shared" si="26"/>
        <v>P</v>
      </c>
      <c r="N90" s="9" t="str">
        <f t="shared" si="26"/>
        <v>P</v>
      </c>
      <c r="O90" s="9" t="str">
        <f t="shared" si="26"/>
        <v>P</v>
      </c>
      <c r="P90" s="9" t="str">
        <f t="shared" si="26"/>
        <v>P</v>
      </c>
      <c r="Q90" s="9" t="str">
        <f t="shared" si="26"/>
        <v>P</v>
      </c>
      <c r="R90" s="9" t="str">
        <f t="shared" si="26"/>
        <v>P</v>
      </c>
      <c r="S90" s="9" t="str">
        <f t="shared" si="26"/>
        <v>P</v>
      </c>
      <c r="T90" s="9" t="str">
        <f t="shared" si="26"/>
        <v>P</v>
      </c>
      <c r="U90" s="9" t="str">
        <f t="shared" si="26"/>
        <v>P</v>
      </c>
      <c r="V90" s="9" t="str">
        <f t="shared" si="26"/>
        <v>P</v>
      </c>
      <c r="W90" s="9" t="str">
        <f t="shared" si="26"/>
        <v>P</v>
      </c>
      <c r="X90" s="9" t="str">
        <f t="shared" si="26"/>
        <v>P</v>
      </c>
      <c r="Y90" s="9" t="str">
        <f t="shared" si="26"/>
        <v>P</v>
      </c>
      <c r="Z90" s="9" t="str">
        <f t="shared" si="26"/>
        <v>P</v>
      </c>
      <c r="AA90" s="9" t="str">
        <f t="shared" si="26"/>
        <v>P</v>
      </c>
      <c r="AB90" s="9" t="str">
        <f t="shared" si="26"/>
        <v>P</v>
      </c>
      <c r="AF90" s="375">
        <f t="shared" si="21"/>
        <v>0</v>
      </c>
    </row>
    <row r="91" spans="1:32" ht="15" customHeight="1">
      <c r="B91" s="6" t="s">
        <v>585</v>
      </c>
      <c r="C91" s="16">
        <f>H_peak</f>
        <v>6.7783333333333324</v>
      </c>
      <c r="D91" s="2" t="s">
        <v>10</v>
      </c>
      <c r="E91" s="6" t="s">
        <v>586</v>
      </c>
      <c r="H91" s="3" t="s">
        <v>21</v>
      </c>
      <c r="L91" s="15">
        <f t="shared" si="19"/>
        <v>6.7783333333333324</v>
      </c>
      <c r="M91" s="15">
        <f>L91</f>
        <v>6.7783333333333324</v>
      </c>
      <c r="N91" s="15">
        <f t="shared" si="26"/>
        <v>6.7783333333333324</v>
      </c>
      <c r="O91" s="15">
        <f t="shared" si="26"/>
        <v>6.7783333333333324</v>
      </c>
      <c r="P91" s="15">
        <f t="shared" si="26"/>
        <v>6.7783333333333324</v>
      </c>
      <c r="Q91" s="15">
        <f t="shared" si="26"/>
        <v>6.7783333333333324</v>
      </c>
      <c r="R91" s="15">
        <f t="shared" si="26"/>
        <v>6.7783333333333324</v>
      </c>
      <c r="S91" s="15">
        <f t="shared" si="26"/>
        <v>6.7783333333333324</v>
      </c>
      <c r="T91" s="15">
        <f t="shared" si="26"/>
        <v>6.7783333333333324</v>
      </c>
      <c r="U91" s="15">
        <f t="shared" si="26"/>
        <v>6.7783333333333324</v>
      </c>
      <c r="V91" s="15">
        <f t="shared" si="26"/>
        <v>6.7783333333333324</v>
      </c>
      <c r="W91" s="15">
        <f t="shared" si="26"/>
        <v>6.7783333333333324</v>
      </c>
      <c r="X91" s="15">
        <f t="shared" si="26"/>
        <v>6.7783333333333324</v>
      </c>
      <c r="Y91" s="15">
        <f t="shared" si="26"/>
        <v>6.7783333333333324</v>
      </c>
      <c r="Z91" s="15">
        <f t="shared" si="26"/>
        <v>6.7783333333333324</v>
      </c>
      <c r="AA91" s="15">
        <f t="shared" si="26"/>
        <v>6.7783333333333324</v>
      </c>
      <c r="AB91" s="345">
        <f t="shared" si="26"/>
        <v>6.7783333333333324</v>
      </c>
      <c r="AF91" s="375">
        <f t="shared" si="21"/>
        <v>0</v>
      </c>
    </row>
    <row r="92" spans="1:32" ht="15" customHeight="1">
      <c r="B92" s="6" t="s">
        <v>570</v>
      </c>
      <c r="C92" s="10">
        <v>0</v>
      </c>
      <c r="D92" s="2" t="s">
        <v>10</v>
      </c>
      <c r="E92" s="6" t="s">
        <v>140</v>
      </c>
      <c r="H92" s="3" t="s">
        <v>17</v>
      </c>
      <c r="L92" s="186">
        <f t="shared" si="19"/>
        <v>0</v>
      </c>
      <c r="M92" s="186">
        <f t="shared" si="26"/>
        <v>0</v>
      </c>
      <c r="N92" s="186">
        <f t="shared" si="26"/>
        <v>0</v>
      </c>
      <c r="O92" s="186">
        <f t="shared" si="26"/>
        <v>0</v>
      </c>
      <c r="P92" s="186">
        <f t="shared" si="26"/>
        <v>0</v>
      </c>
      <c r="Q92" s="186">
        <f t="shared" si="26"/>
        <v>0</v>
      </c>
      <c r="R92" s="186">
        <f t="shared" si="26"/>
        <v>0</v>
      </c>
      <c r="S92" s="186">
        <f t="shared" si="26"/>
        <v>0</v>
      </c>
      <c r="T92" s="186">
        <f t="shared" si="26"/>
        <v>0</v>
      </c>
      <c r="U92" s="186">
        <f t="shared" si="26"/>
        <v>0</v>
      </c>
      <c r="V92" s="186">
        <f t="shared" si="26"/>
        <v>0</v>
      </c>
      <c r="W92" s="186">
        <f t="shared" si="26"/>
        <v>0</v>
      </c>
      <c r="X92" s="186">
        <f t="shared" si="26"/>
        <v>0</v>
      </c>
      <c r="Y92" s="186">
        <f t="shared" si="26"/>
        <v>0</v>
      </c>
      <c r="Z92" s="186">
        <f t="shared" si="26"/>
        <v>0</v>
      </c>
      <c r="AA92" s="186">
        <f t="shared" si="26"/>
        <v>0</v>
      </c>
      <c r="AB92" s="186">
        <f t="shared" si="26"/>
        <v>0</v>
      </c>
      <c r="AF92" s="375">
        <f t="shared" si="21"/>
        <v>0</v>
      </c>
    </row>
    <row r="93" spans="1:32" ht="15" customHeight="1">
      <c r="B93" s="6" t="s">
        <v>571</v>
      </c>
      <c r="C93" s="10">
        <v>0</v>
      </c>
      <c r="D93" s="2" t="s">
        <v>10</v>
      </c>
      <c r="E93" s="6" t="s">
        <v>141</v>
      </c>
      <c r="H93" s="3" t="s">
        <v>17</v>
      </c>
      <c r="L93" s="186">
        <f t="shared" si="19"/>
        <v>0</v>
      </c>
      <c r="M93" s="186">
        <f t="shared" si="26"/>
        <v>0</v>
      </c>
      <c r="N93" s="186">
        <f t="shared" si="26"/>
        <v>0</v>
      </c>
      <c r="O93" s="186">
        <f t="shared" si="26"/>
        <v>0</v>
      </c>
      <c r="P93" s="186">
        <f t="shared" si="26"/>
        <v>0</v>
      </c>
      <c r="Q93" s="186">
        <f t="shared" si="26"/>
        <v>0</v>
      </c>
      <c r="R93" s="186">
        <f t="shared" si="26"/>
        <v>0</v>
      </c>
      <c r="S93" s="186">
        <f t="shared" si="26"/>
        <v>0</v>
      </c>
      <c r="T93" s="186">
        <f t="shared" si="26"/>
        <v>0</v>
      </c>
      <c r="U93" s="186">
        <f t="shared" si="26"/>
        <v>0</v>
      </c>
      <c r="V93" s="186">
        <f t="shared" si="26"/>
        <v>0</v>
      </c>
      <c r="W93" s="186">
        <f t="shared" si="26"/>
        <v>0</v>
      </c>
      <c r="X93" s="186">
        <f t="shared" si="26"/>
        <v>0</v>
      </c>
      <c r="Y93" s="186">
        <f t="shared" si="26"/>
        <v>0</v>
      </c>
      <c r="Z93" s="186">
        <f t="shared" si="26"/>
        <v>0</v>
      </c>
      <c r="AA93" s="186">
        <f t="shared" si="26"/>
        <v>0</v>
      </c>
      <c r="AB93" s="186">
        <f t="shared" si="26"/>
        <v>0</v>
      </c>
      <c r="AF93" s="375">
        <f t="shared" si="21"/>
        <v>0</v>
      </c>
    </row>
    <row r="94" spans="1:32" ht="15" customHeight="1">
      <c r="B94" s="124" t="s">
        <v>572</v>
      </c>
      <c r="C94" s="155">
        <v>1</v>
      </c>
      <c r="D94" s="156" t="str">
        <f>IF(AND(C94&gt;0,C94&lt;=4), "ok", "check")</f>
        <v>ok</v>
      </c>
      <c r="E94" s="124" t="s">
        <v>143</v>
      </c>
      <c r="H94" s="3" t="s">
        <v>17</v>
      </c>
      <c r="L94" s="186">
        <f t="shared" si="19"/>
        <v>1</v>
      </c>
      <c r="M94" s="186">
        <f t="shared" si="26"/>
        <v>1</v>
      </c>
      <c r="N94" s="186">
        <f t="shared" si="26"/>
        <v>1</v>
      </c>
      <c r="O94" s="186">
        <f t="shared" si="26"/>
        <v>1</v>
      </c>
      <c r="P94" s="186">
        <f t="shared" si="26"/>
        <v>1</v>
      </c>
      <c r="Q94" s="186">
        <f t="shared" si="26"/>
        <v>1</v>
      </c>
      <c r="R94" s="186">
        <f t="shared" si="26"/>
        <v>1</v>
      </c>
      <c r="S94" s="186">
        <f t="shared" si="26"/>
        <v>1</v>
      </c>
      <c r="T94" s="186">
        <f t="shared" si="26"/>
        <v>1</v>
      </c>
      <c r="U94" s="186">
        <f t="shared" si="26"/>
        <v>1</v>
      </c>
      <c r="V94" s="186">
        <f t="shared" si="26"/>
        <v>1</v>
      </c>
      <c r="W94" s="186">
        <f t="shared" si="26"/>
        <v>1</v>
      </c>
      <c r="X94" s="186">
        <f t="shared" si="26"/>
        <v>1</v>
      </c>
      <c r="Y94" s="186">
        <f t="shared" si="26"/>
        <v>1</v>
      </c>
      <c r="Z94" s="186">
        <f t="shared" si="26"/>
        <v>1</v>
      </c>
      <c r="AA94" s="186">
        <f t="shared" si="26"/>
        <v>1</v>
      </c>
      <c r="AB94" s="186">
        <f t="shared" si="26"/>
        <v>1</v>
      </c>
      <c r="AF94" s="375">
        <f t="shared" si="21"/>
        <v>0</v>
      </c>
    </row>
    <row r="95" spans="1:32" ht="15" customHeight="1">
      <c r="A95" s="137" t="s">
        <v>142</v>
      </c>
      <c r="B95" s="6" t="s">
        <v>573</v>
      </c>
      <c r="C95" s="10">
        <v>1</v>
      </c>
      <c r="D95" s="2" t="s">
        <v>10</v>
      </c>
      <c r="E95" s="6" t="s">
        <v>718</v>
      </c>
      <c r="H95" s="3" t="s">
        <v>17</v>
      </c>
      <c r="L95" s="186">
        <f t="shared" si="19"/>
        <v>1</v>
      </c>
      <c r="M95" s="186">
        <f t="shared" si="26"/>
        <v>1</v>
      </c>
      <c r="N95" s="186">
        <f t="shared" si="26"/>
        <v>1</v>
      </c>
      <c r="O95" s="186">
        <f t="shared" si="26"/>
        <v>1</v>
      </c>
      <c r="P95" s="186">
        <f t="shared" si="26"/>
        <v>1</v>
      </c>
      <c r="Q95" s="186">
        <f t="shared" si="26"/>
        <v>1</v>
      </c>
      <c r="R95" s="186">
        <f t="shared" si="26"/>
        <v>1</v>
      </c>
      <c r="S95" s="186">
        <f t="shared" si="26"/>
        <v>1</v>
      </c>
      <c r="T95" s="186">
        <f t="shared" si="26"/>
        <v>1</v>
      </c>
      <c r="U95" s="186">
        <f t="shared" si="26"/>
        <v>1</v>
      </c>
      <c r="V95" s="186">
        <f t="shared" si="26"/>
        <v>1</v>
      </c>
      <c r="W95" s="186">
        <f t="shared" si="26"/>
        <v>1</v>
      </c>
      <c r="X95" s="186">
        <f t="shared" si="26"/>
        <v>1</v>
      </c>
      <c r="Y95" s="186">
        <f t="shared" si="26"/>
        <v>1</v>
      </c>
      <c r="Z95" s="186">
        <f t="shared" si="26"/>
        <v>1</v>
      </c>
      <c r="AA95" s="186">
        <f t="shared" si="26"/>
        <v>1</v>
      </c>
      <c r="AB95" s="186">
        <f t="shared" si="26"/>
        <v>1</v>
      </c>
      <c r="AF95" s="375">
        <f t="shared" si="21"/>
        <v>0</v>
      </c>
    </row>
    <row r="96" spans="1:32" ht="15" customHeight="1">
      <c r="B96" s="6" t="s">
        <v>574</v>
      </c>
      <c r="C96" s="12">
        <f>Ducts!K14</f>
        <v>0.05</v>
      </c>
      <c r="D96" s="2" t="s">
        <v>10</v>
      </c>
      <c r="E96" s="6" t="s">
        <v>144</v>
      </c>
      <c r="H96" s="3" t="s">
        <v>145</v>
      </c>
      <c r="I96" s="6" t="s">
        <v>69</v>
      </c>
      <c r="L96" s="23">
        <f>Ducts!I14</f>
        <v>0.05</v>
      </c>
      <c r="M96" s="23">
        <f>Ducts!J14</f>
        <v>0.05</v>
      </c>
      <c r="N96" s="23">
        <f>Ducts!K14</f>
        <v>0.05</v>
      </c>
      <c r="O96" s="23">
        <f>Ducts!L14</f>
        <v>0.05</v>
      </c>
      <c r="P96" s="23">
        <f>Ducts!M14</f>
        <v>0.05</v>
      </c>
      <c r="Q96" s="23">
        <f>Ducts!N14</f>
        <v>0.05</v>
      </c>
      <c r="R96" s="23">
        <f>Ducts!O14</f>
        <v>0.05</v>
      </c>
      <c r="S96" s="23">
        <f>Ducts!P14</f>
        <v>0.05</v>
      </c>
      <c r="T96" s="23">
        <f>Ducts!Q14</f>
        <v>0.05</v>
      </c>
      <c r="U96" s="23">
        <f>Ducts!R14</f>
        <v>0.05</v>
      </c>
      <c r="V96" s="23">
        <f>Ducts!S14</f>
        <v>0.05</v>
      </c>
      <c r="W96" s="23">
        <f>Ducts!T14</f>
        <v>0.05</v>
      </c>
      <c r="X96" s="23">
        <f>Ducts!U14</f>
        <v>0.05</v>
      </c>
      <c r="Y96" s="23">
        <f>Ducts!V14</f>
        <v>0.05</v>
      </c>
      <c r="Z96" s="23">
        <f>Ducts!W14</f>
        <v>0.05</v>
      </c>
      <c r="AA96" s="23">
        <f>Ducts!X14</f>
        <v>0.05</v>
      </c>
      <c r="AB96" s="23">
        <f>Ducts!Y14</f>
        <v>0.05</v>
      </c>
      <c r="AF96" s="375">
        <f t="shared" si="21"/>
        <v>0</v>
      </c>
    </row>
    <row r="97" spans="2:32" ht="15" customHeight="1">
      <c r="B97" s="6" t="s">
        <v>575</v>
      </c>
      <c r="C97" s="12">
        <f>Ducts!K14</f>
        <v>0.05</v>
      </c>
      <c r="D97" s="2" t="s">
        <v>10</v>
      </c>
      <c r="E97" s="6" t="s">
        <v>146</v>
      </c>
      <c r="H97" s="3" t="s">
        <v>145</v>
      </c>
      <c r="I97" s="6" t="s">
        <v>69</v>
      </c>
      <c r="L97" s="23">
        <f>Ducts!I14</f>
        <v>0.05</v>
      </c>
      <c r="M97" s="23">
        <f>Ducts!J14</f>
        <v>0.05</v>
      </c>
      <c r="N97" s="23">
        <f>Ducts!K14</f>
        <v>0.05</v>
      </c>
      <c r="O97" s="23">
        <f>Ducts!L14</f>
        <v>0.05</v>
      </c>
      <c r="P97" s="23">
        <f>Ducts!M14</f>
        <v>0.05</v>
      </c>
      <c r="Q97" s="23">
        <f>Ducts!N14</f>
        <v>0.05</v>
      </c>
      <c r="R97" s="23">
        <f>Ducts!O14</f>
        <v>0.05</v>
      </c>
      <c r="S97" s="23">
        <f>Ducts!P14</f>
        <v>0.05</v>
      </c>
      <c r="T97" s="23">
        <f>Ducts!Q14</f>
        <v>0.05</v>
      </c>
      <c r="U97" s="23">
        <f>Ducts!R14</f>
        <v>0.05</v>
      </c>
      <c r="V97" s="23">
        <f>Ducts!S14</f>
        <v>0.05</v>
      </c>
      <c r="W97" s="23">
        <f>Ducts!T14</f>
        <v>0.05</v>
      </c>
      <c r="X97" s="23">
        <f>Ducts!U14</f>
        <v>0.05</v>
      </c>
      <c r="Y97" s="23">
        <f>Ducts!V14</f>
        <v>0.05</v>
      </c>
      <c r="Z97" s="23">
        <f>Ducts!W14</f>
        <v>0.05</v>
      </c>
      <c r="AA97" s="23">
        <f>Ducts!X14</f>
        <v>0.05</v>
      </c>
      <c r="AB97" s="23">
        <f>Ducts!Y14</f>
        <v>0.05</v>
      </c>
      <c r="AF97" s="375">
        <f t="shared" si="21"/>
        <v>0</v>
      </c>
    </row>
    <row r="98" spans="2:32" ht="15" customHeight="1">
      <c r="B98" s="6" t="s">
        <v>147</v>
      </c>
      <c r="C98" s="12">
        <f>Ducts!K16</f>
        <v>1.5322296583303978</v>
      </c>
      <c r="D98" s="2" t="s">
        <v>10</v>
      </c>
      <c r="E98" s="6" t="s">
        <v>148</v>
      </c>
      <c r="H98" s="3" t="s">
        <v>145</v>
      </c>
      <c r="I98" s="6" t="s">
        <v>69</v>
      </c>
      <c r="L98" s="23">
        <f>Ducts!I16</f>
        <v>1.5322296583303978</v>
      </c>
      <c r="M98" s="23">
        <f>Ducts!J16</f>
        <v>1.5322296583303978</v>
      </c>
      <c r="N98" s="23">
        <f>Ducts!K16</f>
        <v>1.5322296583303978</v>
      </c>
      <c r="O98" s="23">
        <f>Ducts!L16</f>
        <v>1.5322296583303978</v>
      </c>
      <c r="P98" s="23">
        <f>Ducts!M16</f>
        <v>1.5322296583303978</v>
      </c>
      <c r="Q98" s="23">
        <f>Ducts!N16</f>
        <v>1.5322296583303978</v>
      </c>
      <c r="R98" s="23">
        <f>Ducts!O16</f>
        <v>1.5322296583303978</v>
      </c>
      <c r="S98" s="23">
        <f>Ducts!P16</f>
        <v>1.5322296583303978</v>
      </c>
      <c r="T98" s="23">
        <f>Ducts!Q16</f>
        <v>1.5322296583303978</v>
      </c>
      <c r="U98" s="23">
        <f>Ducts!R16</f>
        <v>1.5322296583303978</v>
      </c>
      <c r="V98" s="23">
        <f>Ducts!S16</f>
        <v>1.5322296583303978</v>
      </c>
      <c r="W98" s="23">
        <f>Ducts!T16</f>
        <v>1.5322296583303978</v>
      </c>
      <c r="X98" s="23">
        <f>Ducts!U16</f>
        <v>1.5322296583303978</v>
      </c>
      <c r="Y98" s="23">
        <f>Ducts!V16</f>
        <v>1.5322296583303978</v>
      </c>
      <c r="Z98" s="23">
        <f>Ducts!W16</f>
        <v>1.5322296583303978</v>
      </c>
      <c r="AA98" s="23">
        <f>Ducts!X16</f>
        <v>1.5322296583303978</v>
      </c>
      <c r="AB98" s="23">
        <f>Ducts!Y16</f>
        <v>1.5322296583303978</v>
      </c>
      <c r="AF98" s="375">
        <f t="shared" si="21"/>
        <v>0</v>
      </c>
    </row>
    <row r="99" spans="2:32" ht="15" customHeight="1">
      <c r="B99" s="6" t="s">
        <v>149</v>
      </c>
      <c r="C99" s="12">
        <f>Ducts!K16</f>
        <v>1.5322296583303978</v>
      </c>
      <c r="D99" s="2" t="s">
        <v>10</v>
      </c>
      <c r="E99" s="6" t="s">
        <v>150</v>
      </c>
      <c r="H99" s="3" t="s">
        <v>145</v>
      </c>
      <c r="I99" s="6" t="s">
        <v>69</v>
      </c>
      <c r="L99" s="23">
        <f>Ducts!I16</f>
        <v>1.5322296583303978</v>
      </c>
      <c r="M99" s="23">
        <f>Ducts!J16</f>
        <v>1.5322296583303978</v>
      </c>
      <c r="N99" s="23">
        <f>Ducts!K16</f>
        <v>1.5322296583303978</v>
      </c>
      <c r="O99" s="23">
        <f>Ducts!L16</f>
        <v>1.5322296583303978</v>
      </c>
      <c r="P99" s="23">
        <f>Ducts!M16</f>
        <v>1.5322296583303978</v>
      </c>
      <c r="Q99" s="23">
        <f>Ducts!N16</f>
        <v>1.5322296583303978</v>
      </c>
      <c r="R99" s="23">
        <f>Ducts!O16</f>
        <v>1.5322296583303978</v>
      </c>
      <c r="S99" s="23">
        <f>Ducts!P16</f>
        <v>1.5322296583303978</v>
      </c>
      <c r="T99" s="23">
        <f>Ducts!Q16</f>
        <v>1.5322296583303978</v>
      </c>
      <c r="U99" s="23">
        <f>Ducts!R16</f>
        <v>1.5322296583303978</v>
      </c>
      <c r="V99" s="23">
        <f>Ducts!S16</f>
        <v>1.5322296583303978</v>
      </c>
      <c r="W99" s="23">
        <f>Ducts!T16</f>
        <v>1.5322296583303978</v>
      </c>
      <c r="X99" s="23">
        <f>Ducts!U16</f>
        <v>1.5322296583303978</v>
      </c>
      <c r="Y99" s="23">
        <f>Ducts!V16</f>
        <v>1.5322296583303978</v>
      </c>
      <c r="Z99" s="23">
        <f>Ducts!W16</f>
        <v>1.5322296583303978</v>
      </c>
      <c r="AA99" s="23">
        <f>Ducts!X16</f>
        <v>1.5322296583303978</v>
      </c>
      <c r="AB99" s="23">
        <f>Ducts!Y16</f>
        <v>1.5322296583303978</v>
      </c>
      <c r="AF99" s="375">
        <f t="shared" si="21"/>
        <v>0</v>
      </c>
    </row>
    <row r="100" spans="2:32" ht="15" customHeight="1">
      <c r="B100" s="75" t="s">
        <v>151</v>
      </c>
      <c r="C100" s="10">
        <v>0</v>
      </c>
      <c r="D100" s="2" t="s">
        <v>10</v>
      </c>
      <c r="E100" s="75" t="s">
        <v>636</v>
      </c>
      <c r="F100" s="6" t="s">
        <v>152</v>
      </c>
      <c r="H100" s="3" t="s">
        <v>17</v>
      </c>
      <c r="L100" s="218">
        <f t="shared" ref="L100:L105" si="27">C100</f>
        <v>0</v>
      </c>
      <c r="M100" s="218">
        <f t="shared" ref="M100:AB112" si="28">L100</f>
        <v>0</v>
      </c>
      <c r="N100" s="218">
        <f t="shared" si="28"/>
        <v>0</v>
      </c>
      <c r="O100" s="218">
        <f t="shared" si="28"/>
        <v>0</v>
      </c>
      <c r="P100" s="218">
        <f t="shared" si="28"/>
        <v>0</v>
      </c>
      <c r="Q100" s="218">
        <f t="shared" si="28"/>
        <v>0</v>
      </c>
      <c r="R100" s="218">
        <f t="shared" si="28"/>
        <v>0</v>
      </c>
      <c r="S100" s="218">
        <f t="shared" si="28"/>
        <v>0</v>
      </c>
      <c r="T100" s="218">
        <f t="shared" si="28"/>
        <v>0</v>
      </c>
      <c r="U100" s="218">
        <f t="shared" si="28"/>
        <v>0</v>
      </c>
      <c r="V100" s="218">
        <f t="shared" si="28"/>
        <v>0</v>
      </c>
      <c r="W100" s="218">
        <f t="shared" si="28"/>
        <v>0</v>
      </c>
      <c r="X100" s="218">
        <f t="shared" si="28"/>
        <v>0</v>
      </c>
      <c r="Y100" s="218">
        <f t="shared" si="28"/>
        <v>0</v>
      </c>
      <c r="Z100" s="218">
        <f t="shared" si="28"/>
        <v>0</v>
      </c>
      <c r="AA100" s="218">
        <f t="shared" si="28"/>
        <v>0</v>
      </c>
      <c r="AB100" s="218">
        <f t="shared" si="28"/>
        <v>0</v>
      </c>
      <c r="AF100" s="375">
        <f t="shared" si="21"/>
        <v>0</v>
      </c>
    </row>
    <row r="101" spans="2:32" ht="15" customHeight="1">
      <c r="B101" s="75" t="s">
        <v>153</v>
      </c>
      <c r="C101" s="10">
        <v>0</v>
      </c>
      <c r="D101" s="2" t="s">
        <v>10</v>
      </c>
      <c r="E101" s="75" t="s">
        <v>154</v>
      </c>
      <c r="H101" s="3" t="s">
        <v>17</v>
      </c>
      <c r="L101" s="218">
        <f t="shared" si="27"/>
        <v>0</v>
      </c>
      <c r="M101" s="218">
        <f t="shared" si="28"/>
        <v>0</v>
      </c>
      <c r="N101" s="218">
        <f t="shared" si="28"/>
        <v>0</v>
      </c>
      <c r="O101" s="218">
        <f t="shared" si="28"/>
        <v>0</v>
      </c>
      <c r="P101" s="218">
        <f t="shared" si="28"/>
        <v>0</v>
      </c>
      <c r="Q101" s="218">
        <f t="shared" si="28"/>
        <v>0</v>
      </c>
      <c r="R101" s="218">
        <f t="shared" si="28"/>
        <v>0</v>
      </c>
      <c r="S101" s="218">
        <f t="shared" si="28"/>
        <v>0</v>
      </c>
      <c r="T101" s="218">
        <f t="shared" si="28"/>
        <v>0</v>
      </c>
      <c r="U101" s="218">
        <f t="shared" si="28"/>
        <v>0</v>
      </c>
      <c r="V101" s="218">
        <f t="shared" si="28"/>
        <v>0</v>
      </c>
      <c r="W101" s="218">
        <f t="shared" si="28"/>
        <v>0</v>
      </c>
      <c r="X101" s="218">
        <f t="shared" si="28"/>
        <v>0</v>
      </c>
      <c r="Y101" s="218">
        <f t="shared" si="28"/>
        <v>0</v>
      </c>
      <c r="Z101" s="218">
        <f t="shared" si="28"/>
        <v>0</v>
      </c>
      <c r="AA101" s="218">
        <f t="shared" si="28"/>
        <v>0</v>
      </c>
      <c r="AB101" s="218">
        <f t="shared" si="28"/>
        <v>0</v>
      </c>
      <c r="AF101" s="375">
        <f t="shared" si="21"/>
        <v>0</v>
      </c>
    </row>
    <row r="102" spans="2:32" ht="15" customHeight="1">
      <c r="B102" s="6" t="s">
        <v>155</v>
      </c>
      <c r="C102" s="16">
        <f>Ducts!D16</f>
        <v>44.678673414786175</v>
      </c>
      <c r="D102" s="2" t="s">
        <v>10</v>
      </c>
      <c r="E102" s="6" t="s">
        <v>156</v>
      </c>
      <c r="H102" s="3" t="s">
        <v>145</v>
      </c>
      <c r="L102" s="15">
        <f t="shared" si="27"/>
        <v>44.678673414786175</v>
      </c>
      <c r="M102" s="15">
        <f t="shared" si="28"/>
        <v>44.678673414786175</v>
      </c>
      <c r="N102" s="15">
        <f t="shared" si="28"/>
        <v>44.678673414786175</v>
      </c>
      <c r="O102" s="15">
        <f t="shared" si="28"/>
        <v>44.678673414786175</v>
      </c>
      <c r="P102" s="15">
        <f t="shared" si="28"/>
        <v>44.678673414786175</v>
      </c>
      <c r="Q102" s="15">
        <f t="shared" si="28"/>
        <v>44.678673414786175</v>
      </c>
      <c r="R102" s="15">
        <f t="shared" si="28"/>
        <v>44.678673414786175</v>
      </c>
      <c r="S102" s="15">
        <f t="shared" si="28"/>
        <v>44.678673414786175</v>
      </c>
      <c r="T102" s="15">
        <f t="shared" si="28"/>
        <v>44.678673414786175</v>
      </c>
      <c r="U102" s="15">
        <f t="shared" si="28"/>
        <v>44.678673414786175</v>
      </c>
      <c r="V102" s="15">
        <f t="shared" si="28"/>
        <v>44.678673414786175</v>
      </c>
      <c r="W102" s="15">
        <f t="shared" si="28"/>
        <v>44.678673414786175</v>
      </c>
      <c r="X102" s="15">
        <f t="shared" si="28"/>
        <v>44.678673414786175</v>
      </c>
      <c r="Y102" s="15">
        <f t="shared" si="28"/>
        <v>44.678673414786175</v>
      </c>
      <c r="Z102" s="15">
        <f t="shared" si="28"/>
        <v>44.678673414786175</v>
      </c>
      <c r="AA102" s="15">
        <f t="shared" si="28"/>
        <v>44.678673414786175</v>
      </c>
      <c r="AB102" s="345">
        <f t="shared" si="28"/>
        <v>44.678673414786175</v>
      </c>
      <c r="AF102" s="375">
        <f t="shared" si="21"/>
        <v>0</v>
      </c>
    </row>
    <row r="103" spans="2:32" ht="15" customHeight="1">
      <c r="B103" s="6" t="s">
        <v>157</v>
      </c>
      <c r="C103" s="16">
        <f>Ducts!D17</f>
        <v>14.143296427599294</v>
      </c>
      <c r="D103" s="2" t="s">
        <v>10</v>
      </c>
      <c r="E103" s="6" t="s">
        <v>158</v>
      </c>
      <c r="H103" s="3" t="s">
        <v>145</v>
      </c>
      <c r="L103" s="15">
        <f t="shared" si="27"/>
        <v>14.143296427599294</v>
      </c>
      <c r="M103" s="15">
        <f t="shared" si="28"/>
        <v>14.143296427599294</v>
      </c>
      <c r="N103" s="15">
        <f t="shared" si="28"/>
        <v>14.143296427599294</v>
      </c>
      <c r="O103" s="15">
        <f t="shared" si="28"/>
        <v>14.143296427599294</v>
      </c>
      <c r="P103" s="15">
        <f t="shared" si="28"/>
        <v>14.143296427599294</v>
      </c>
      <c r="Q103" s="15">
        <f t="shared" si="28"/>
        <v>14.143296427599294</v>
      </c>
      <c r="R103" s="15">
        <f t="shared" si="28"/>
        <v>14.143296427599294</v>
      </c>
      <c r="S103" s="15">
        <f t="shared" si="28"/>
        <v>14.143296427599294</v>
      </c>
      <c r="T103" s="15">
        <f t="shared" si="28"/>
        <v>14.143296427599294</v>
      </c>
      <c r="U103" s="15">
        <f t="shared" si="28"/>
        <v>14.143296427599294</v>
      </c>
      <c r="V103" s="15">
        <f t="shared" si="28"/>
        <v>14.143296427599294</v>
      </c>
      <c r="W103" s="15">
        <f t="shared" si="28"/>
        <v>14.143296427599294</v>
      </c>
      <c r="X103" s="15">
        <f t="shared" si="28"/>
        <v>14.143296427599294</v>
      </c>
      <c r="Y103" s="15">
        <f t="shared" si="28"/>
        <v>14.143296427599294</v>
      </c>
      <c r="Z103" s="15">
        <f t="shared" si="28"/>
        <v>14.143296427599294</v>
      </c>
      <c r="AA103" s="15">
        <f t="shared" si="28"/>
        <v>14.143296427599294</v>
      </c>
      <c r="AB103" s="345">
        <f t="shared" si="28"/>
        <v>14.143296427599294</v>
      </c>
      <c r="AF103" s="375">
        <f t="shared" si="21"/>
        <v>0</v>
      </c>
    </row>
    <row r="104" spans="2:32" ht="15" customHeight="1">
      <c r="B104" s="6" t="s">
        <v>159</v>
      </c>
      <c r="C104" s="10">
        <f>Ducts!D12</f>
        <v>0.25</v>
      </c>
      <c r="D104" s="2" t="s">
        <v>10</v>
      </c>
      <c r="E104" s="6" t="s">
        <v>160</v>
      </c>
      <c r="H104" s="3" t="s">
        <v>145</v>
      </c>
      <c r="L104" s="9">
        <f t="shared" si="27"/>
        <v>0.25</v>
      </c>
      <c r="M104" s="9">
        <f t="shared" si="28"/>
        <v>0.25</v>
      </c>
      <c r="N104" s="9">
        <f t="shared" si="28"/>
        <v>0.25</v>
      </c>
      <c r="O104" s="9">
        <f t="shared" si="28"/>
        <v>0.25</v>
      </c>
      <c r="P104" s="9">
        <f t="shared" si="28"/>
        <v>0.25</v>
      </c>
      <c r="Q104" s="9">
        <f t="shared" si="28"/>
        <v>0.25</v>
      </c>
      <c r="R104" s="9">
        <f t="shared" si="28"/>
        <v>0.25</v>
      </c>
      <c r="S104" s="9">
        <f t="shared" si="28"/>
        <v>0.25</v>
      </c>
      <c r="T104" s="9">
        <f t="shared" si="28"/>
        <v>0.25</v>
      </c>
      <c r="U104" s="9">
        <f t="shared" si="28"/>
        <v>0.25</v>
      </c>
      <c r="V104" s="9">
        <f t="shared" si="28"/>
        <v>0.25</v>
      </c>
      <c r="W104" s="9">
        <f t="shared" si="28"/>
        <v>0.25</v>
      </c>
      <c r="X104" s="9">
        <f t="shared" si="28"/>
        <v>0.25</v>
      </c>
      <c r="Y104" s="9">
        <f t="shared" si="28"/>
        <v>0.25</v>
      </c>
      <c r="Z104" s="9">
        <f t="shared" si="28"/>
        <v>0.25</v>
      </c>
      <c r="AA104" s="9">
        <f t="shared" si="28"/>
        <v>0.25</v>
      </c>
      <c r="AB104" s="9">
        <f t="shared" si="28"/>
        <v>0.25</v>
      </c>
      <c r="AF104" s="375">
        <f t="shared" si="21"/>
        <v>0</v>
      </c>
    </row>
    <row r="105" spans="2:32" ht="15" customHeight="1">
      <c r="B105" s="6" t="s">
        <v>161</v>
      </c>
      <c r="C105" s="10">
        <f>Ducts!D13</f>
        <v>0.45</v>
      </c>
      <c r="D105" s="2" t="s">
        <v>10</v>
      </c>
      <c r="E105" s="6" t="s">
        <v>687</v>
      </c>
      <c r="H105" s="3" t="s">
        <v>145</v>
      </c>
      <c r="J105" s="180"/>
      <c r="L105" s="9">
        <f t="shared" si="27"/>
        <v>0.45</v>
      </c>
      <c r="M105" s="9">
        <f t="shared" si="28"/>
        <v>0.45</v>
      </c>
      <c r="N105" s="9">
        <f t="shared" si="28"/>
        <v>0.45</v>
      </c>
      <c r="O105" s="9">
        <f t="shared" si="28"/>
        <v>0.45</v>
      </c>
      <c r="P105" s="9">
        <f t="shared" si="28"/>
        <v>0.45</v>
      </c>
      <c r="Q105" s="9">
        <f t="shared" si="28"/>
        <v>0.45</v>
      </c>
      <c r="R105" s="9">
        <f t="shared" si="28"/>
        <v>0.45</v>
      </c>
      <c r="S105" s="9">
        <f t="shared" si="28"/>
        <v>0.45</v>
      </c>
      <c r="T105" s="9">
        <f t="shared" si="28"/>
        <v>0.45</v>
      </c>
      <c r="U105" s="9">
        <f t="shared" si="28"/>
        <v>0.45</v>
      </c>
      <c r="V105" s="9">
        <f t="shared" si="28"/>
        <v>0.45</v>
      </c>
      <c r="W105" s="9">
        <f t="shared" si="28"/>
        <v>0.45</v>
      </c>
      <c r="X105" s="9">
        <f t="shared" si="28"/>
        <v>0.45</v>
      </c>
      <c r="Y105" s="9">
        <f t="shared" si="28"/>
        <v>0.45</v>
      </c>
      <c r="Z105" s="9">
        <f t="shared" si="28"/>
        <v>0.45</v>
      </c>
      <c r="AA105" s="9">
        <f t="shared" si="28"/>
        <v>0.45</v>
      </c>
      <c r="AB105" s="9">
        <f t="shared" si="28"/>
        <v>0.45</v>
      </c>
      <c r="AF105" s="375">
        <f t="shared" si="21"/>
        <v>0</v>
      </c>
    </row>
    <row r="106" spans="2:32" ht="15" customHeight="1">
      <c r="B106" s="6" t="s">
        <v>162</v>
      </c>
      <c r="C106" s="12">
        <f>'Heat - Cool'!C23</f>
        <v>0.46575105415256429</v>
      </c>
      <c r="D106" s="2" t="s">
        <v>10</v>
      </c>
      <c r="E106" s="6" t="s">
        <v>907</v>
      </c>
      <c r="F106" s="6" t="str">
        <f>"q=" &amp;TEXT(C106*3600,"0")&amp; "m3/h"</f>
        <v>q=1677m3/h</v>
      </c>
      <c r="H106" s="3" t="s">
        <v>163</v>
      </c>
      <c r="I106" s="6" t="s">
        <v>164</v>
      </c>
      <c r="L106" s="394">
        <f>'Heat - Cool'!C23</f>
        <v>0.46575105415256429</v>
      </c>
      <c r="M106" s="394">
        <f>'Heat - Cool'!D23</f>
        <v>0.45590536723210529</v>
      </c>
      <c r="N106" s="394" t="e">
        <f>'Heat - Cool'!E23</f>
        <v>#N/A</v>
      </c>
      <c r="O106" s="394">
        <f>'Heat - Cool'!F23</f>
        <v>0.48401735727009781</v>
      </c>
      <c r="P106" s="394" t="e">
        <f>'Heat - Cool'!G23</f>
        <v>#N/A</v>
      </c>
      <c r="Q106" s="394" t="e">
        <f>'Heat - Cool'!H23</f>
        <v>#N/A</v>
      </c>
      <c r="R106" s="394">
        <f>'Heat - Cool'!I23</f>
        <v>0.43987836029231253</v>
      </c>
      <c r="S106" s="394" t="e">
        <f>'Heat - Cool'!J23</f>
        <v>#N/A</v>
      </c>
      <c r="T106" s="394" t="e">
        <f>'Heat - Cool'!K23</f>
        <v>#N/A</v>
      </c>
      <c r="U106" s="394" t="e">
        <f>'Heat - Cool'!L23</f>
        <v>#N/A</v>
      </c>
      <c r="V106" s="394" t="e">
        <f>'Heat - Cool'!M23</f>
        <v>#N/A</v>
      </c>
      <c r="W106" s="394" t="e">
        <f>'Heat - Cool'!N23</f>
        <v>#N/A</v>
      </c>
      <c r="X106" s="394" t="e">
        <f>'Heat - Cool'!O23</f>
        <v>#N/A</v>
      </c>
      <c r="Y106" s="394" t="e">
        <f>'Heat - Cool'!P23</f>
        <v>#N/A</v>
      </c>
      <c r="Z106" s="394" t="e">
        <f>'Heat - Cool'!Q23</f>
        <v>#N/A</v>
      </c>
      <c r="AA106" s="394">
        <f>'Heat - Cool'!R23</f>
        <v>0.43268178367678506</v>
      </c>
      <c r="AB106" s="394">
        <f>'Heat - Cool'!S23</f>
        <v>0.47788022275880304</v>
      </c>
      <c r="AF106" s="375" t="e">
        <f t="shared" si="21"/>
        <v>#N/A</v>
      </c>
    </row>
    <row r="107" spans="2:32" ht="15" customHeight="1">
      <c r="B107" s="6" t="s">
        <v>165</v>
      </c>
      <c r="C107" s="12">
        <f>'Heat - Cool'!C24</f>
        <v>7.7380875169178395E-2</v>
      </c>
      <c r="D107" s="2" t="s">
        <v>10</v>
      </c>
      <c r="E107" s="6" t="s">
        <v>166</v>
      </c>
      <c r="F107" s="6" t="str">
        <f>"q=" &amp;TEXT(C107*3600,"0")&amp; "m3/h"</f>
        <v>q=279m3/h</v>
      </c>
      <c r="H107" s="3" t="s">
        <v>163</v>
      </c>
      <c r="I107" s="6" t="s">
        <v>164</v>
      </c>
      <c r="L107" s="395">
        <f>'Heat - Cool'!C24</f>
        <v>7.7380875169178395E-2</v>
      </c>
      <c r="M107" s="395">
        <f>'Heat - Cool'!D24</f>
        <v>0.17864532115250759</v>
      </c>
      <c r="N107" s="395" t="e">
        <f>'Heat - Cool'!E24</f>
        <v>#N/A</v>
      </c>
      <c r="O107" s="395">
        <f>'Heat - Cool'!F24</f>
        <v>0.22181886125607814</v>
      </c>
      <c r="P107" s="395" t="e">
        <f>'Heat - Cool'!G24</f>
        <v>#N/A</v>
      </c>
      <c r="Q107" s="395" t="e">
        <f>'Heat - Cool'!H24</f>
        <v>#N/A</v>
      </c>
      <c r="R107" s="395">
        <f>'Heat - Cool'!I24</f>
        <v>0.25878867146542445</v>
      </c>
      <c r="S107" s="395" t="e">
        <f>'Heat - Cool'!J24</f>
        <v>#N/A</v>
      </c>
      <c r="T107" s="395" t="e">
        <f>'Heat - Cool'!K24</f>
        <v>#N/A</v>
      </c>
      <c r="U107" s="395" t="e">
        <f>'Heat - Cool'!L24</f>
        <v>#N/A</v>
      </c>
      <c r="V107" s="395" t="e">
        <f>'Heat - Cool'!M24</f>
        <v>#N/A</v>
      </c>
      <c r="W107" s="395" t="e">
        <f>'Heat - Cool'!N24</f>
        <v>#N/A</v>
      </c>
      <c r="X107" s="395" t="e">
        <f>'Heat - Cool'!O24</f>
        <v>#N/A</v>
      </c>
      <c r="Y107" s="395" t="e">
        <f>'Heat - Cool'!P24</f>
        <v>#N/A</v>
      </c>
      <c r="Z107" s="395" t="e">
        <f>'Heat - Cool'!Q24</f>
        <v>#N/A</v>
      </c>
      <c r="AA107" s="395">
        <f>'Heat - Cool'!R24</f>
        <v>0.12994683076145996</v>
      </c>
      <c r="AB107" s="395">
        <f>'Heat - Cool'!S24</f>
        <v>0.18008180822725159</v>
      </c>
      <c r="AF107" s="375" t="e">
        <f t="shared" si="21"/>
        <v>#N/A</v>
      </c>
    </row>
    <row r="108" spans="2:32" ht="15" customHeight="1">
      <c r="B108" s="6" t="s">
        <v>167</v>
      </c>
      <c r="C108" s="10">
        <v>0.60000000000000009</v>
      </c>
      <c r="D108" s="2" t="s">
        <v>10</v>
      </c>
      <c r="E108" s="6" t="s">
        <v>168</v>
      </c>
      <c r="H108" s="3" t="s">
        <v>17</v>
      </c>
      <c r="L108" s="15">
        <f>C108</f>
        <v>0.60000000000000009</v>
      </c>
      <c r="M108" s="15">
        <f>L108</f>
        <v>0.60000000000000009</v>
      </c>
      <c r="N108" s="15">
        <f t="shared" si="28"/>
        <v>0.60000000000000009</v>
      </c>
      <c r="O108" s="15">
        <f t="shared" si="28"/>
        <v>0.60000000000000009</v>
      </c>
      <c r="P108" s="15">
        <f t="shared" si="28"/>
        <v>0.60000000000000009</v>
      </c>
      <c r="Q108" s="15">
        <f t="shared" si="28"/>
        <v>0.60000000000000009</v>
      </c>
      <c r="R108" s="15">
        <f t="shared" si="28"/>
        <v>0.60000000000000009</v>
      </c>
      <c r="S108" s="15">
        <f t="shared" si="28"/>
        <v>0.60000000000000009</v>
      </c>
      <c r="T108" s="15">
        <f t="shared" si="28"/>
        <v>0.60000000000000009</v>
      </c>
      <c r="U108" s="15">
        <f t="shared" si="28"/>
        <v>0.60000000000000009</v>
      </c>
      <c r="V108" s="15">
        <f t="shared" si="28"/>
        <v>0.60000000000000009</v>
      </c>
      <c r="W108" s="15">
        <f t="shared" si="28"/>
        <v>0.60000000000000009</v>
      </c>
      <c r="X108" s="15">
        <f t="shared" si="28"/>
        <v>0.60000000000000009</v>
      </c>
      <c r="Y108" s="15">
        <f t="shared" si="28"/>
        <v>0.60000000000000009</v>
      </c>
      <c r="Z108" s="15">
        <f t="shared" si="28"/>
        <v>0.60000000000000009</v>
      </c>
      <c r="AA108" s="15">
        <f t="shared" si="28"/>
        <v>0.60000000000000009</v>
      </c>
      <c r="AB108" s="345">
        <f t="shared" si="28"/>
        <v>0.60000000000000009</v>
      </c>
      <c r="AF108" s="375">
        <f t="shared" si="21"/>
        <v>0</v>
      </c>
    </row>
    <row r="109" spans="2:32" ht="15" customHeight="1">
      <c r="B109" s="6" t="s">
        <v>169</v>
      </c>
      <c r="C109" s="10">
        <v>0.60000000000000009</v>
      </c>
      <c r="D109" s="2" t="s">
        <v>10</v>
      </c>
      <c r="E109" s="6" t="s">
        <v>170</v>
      </c>
      <c r="H109" s="3" t="s">
        <v>17</v>
      </c>
      <c r="L109" s="15">
        <f>C109</f>
        <v>0.60000000000000009</v>
      </c>
      <c r="M109" s="15">
        <f>L109</f>
        <v>0.60000000000000009</v>
      </c>
      <c r="N109" s="15">
        <f t="shared" si="28"/>
        <v>0.60000000000000009</v>
      </c>
      <c r="O109" s="15">
        <f t="shared" si="28"/>
        <v>0.60000000000000009</v>
      </c>
      <c r="P109" s="15">
        <f t="shared" si="28"/>
        <v>0.60000000000000009</v>
      </c>
      <c r="Q109" s="15">
        <f t="shared" si="28"/>
        <v>0.60000000000000009</v>
      </c>
      <c r="R109" s="15">
        <f t="shared" si="28"/>
        <v>0.60000000000000009</v>
      </c>
      <c r="S109" s="15">
        <f t="shared" si="28"/>
        <v>0.60000000000000009</v>
      </c>
      <c r="T109" s="15">
        <f t="shared" si="28"/>
        <v>0.60000000000000009</v>
      </c>
      <c r="U109" s="15">
        <f t="shared" si="28"/>
        <v>0.60000000000000009</v>
      </c>
      <c r="V109" s="15">
        <f t="shared" si="28"/>
        <v>0.60000000000000009</v>
      </c>
      <c r="W109" s="15">
        <f t="shared" si="28"/>
        <v>0.60000000000000009</v>
      </c>
      <c r="X109" s="15">
        <f t="shared" si="28"/>
        <v>0.60000000000000009</v>
      </c>
      <c r="Y109" s="15">
        <f t="shared" si="28"/>
        <v>0.60000000000000009</v>
      </c>
      <c r="Z109" s="15">
        <f t="shared" si="28"/>
        <v>0.60000000000000009</v>
      </c>
      <c r="AA109" s="15">
        <f t="shared" si="28"/>
        <v>0.60000000000000009</v>
      </c>
      <c r="AB109" s="345">
        <f t="shared" si="28"/>
        <v>0.60000000000000009</v>
      </c>
      <c r="AF109" s="375">
        <f t="shared" si="21"/>
        <v>0</v>
      </c>
    </row>
    <row r="110" spans="2:32" ht="15" customHeight="1">
      <c r="B110" s="6" t="s">
        <v>171</v>
      </c>
      <c r="C110" s="11">
        <f>'Heat - Cool'!C27</f>
        <v>0</v>
      </c>
      <c r="D110" s="2" t="s">
        <v>10</v>
      </c>
      <c r="E110" s="6" t="s">
        <v>172</v>
      </c>
      <c r="H110" s="3" t="s">
        <v>163</v>
      </c>
      <c r="L110" s="24">
        <f>'Heat - Cool'!C27</f>
        <v>0</v>
      </c>
      <c r="M110" s="24">
        <f>'Heat - Cool'!D27</f>
        <v>0</v>
      </c>
      <c r="N110" s="24" t="e">
        <f>'Heat - Cool'!E27</f>
        <v>#N/A</v>
      </c>
      <c r="O110" s="24">
        <f>'Heat - Cool'!F27</f>
        <v>0</v>
      </c>
      <c r="P110" s="24" t="e">
        <f>'Heat - Cool'!G27</f>
        <v>#N/A</v>
      </c>
      <c r="Q110" s="24" t="e">
        <f>'Heat - Cool'!H27</f>
        <v>#N/A</v>
      </c>
      <c r="R110" s="24">
        <f>'Heat - Cool'!I27</f>
        <v>0</v>
      </c>
      <c r="S110" s="24" t="e">
        <f>'Heat - Cool'!J27</f>
        <v>#N/A</v>
      </c>
      <c r="T110" s="24" t="e">
        <f>'Heat - Cool'!K27</f>
        <v>#N/A</v>
      </c>
      <c r="U110" s="24" t="e">
        <f>'Heat - Cool'!L27</f>
        <v>#N/A</v>
      </c>
      <c r="V110" s="24" t="e">
        <f>'Heat - Cool'!M27</f>
        <v>#N/A</v>
      </c>
      <c r="W110" s="24" t="e">
        <f>'Heat - Cool'!N27</f>
        <v>#N/A</v>
      </c>
      <c r="X110" s="24" t="e">
        <f>'Heat - Cool'!O27</f>
        <v>#N/A</v>
      </c>
      <c r="Y110" s="24" t="e">
        <f>'Heat - Cool'!P27</f>
        <v>#N/A</v>
      </c>
      <c r="Z110" s="24" t="e">
        <f>'Heat - Cool'!Q27</f>
        <v>#N/A</v>
      </c>
      <c r="AA110" s="24">
        <f>'Heat - Cool'!R27</f>
        <v>0</v>
      </c>
      <c r="AB110" s="24">
        <f>'Heat - Cool'!S27</f>
        <v>0</v>
      </c>
      <c r="AF110" s="375" t="e">
        <f t="shared" si="21"/>
        <v>#N/A</v>
      </c>
    </row>
    <row r="111" spans="2:32" ht="15" customHeight="1">
      <c r="B111" s="6" t="s">
        <v>173</v>
      </c>
      <c r="C111" s="11">
        <f>'Heat - Cool'!C28</f>
        <v>0</v>
      </c>
      <c r="D111" s="2" t="s">
        <v>10</v>
      </c>
      <c r="E111" s="6" t="s">
        <v>174</v>
      </c>
      <c r="H111" s="3" t="s">
        <v>163</v>
      </c>
      <c r="L111" s="24">
        <f>'Heat - Cool'!C28</f>
        <v>0</v>
      </c>
      <c r="M111" s="24">
        <f>'Heat - Cool'!D28</f>
        <v>0</v>
      </c>
      <c r="N111" s="24" t="e">
        <f>'Heat - Cool'!E28</f>
        <v>#N/A</v>
      </c>
      <c r="O111" s="24">
        <f>'Heat - Cool'!F28</f>
        <v>0</v>
      </c>
      <c r="P111" s="24" t="e">
        <f>'Heat - Cool'!G28</f>
        <v>#N/A</v>
      </c>
      <c r="Q111" s="24" t="e">
        <f>'Heat - Cool'!H28</f>
        <v>#N/A</v>
      </c>
      <c r="R111" s="24">
        <f>'Heat - Cool'!I28</f>
        <v>0</v>
      </c>
      <c r="S111" s="24" t="e">
        <f>'Heat - Cool'!J28</f>
        <v>#N/A</v>
      </c>
      <c r="T111" s="24" t="e">
        <f>'Heat - Cool'!K28</f>
        <v>#N/A</v>
      </c>
      <c r="U111" s="24" t="e">
        <f>'Heat - Cool'!L28</f>
        <v>#N/A</v>
      </c>
      <c r="V111" s="24" t="e">
        <f>'Heat - Cool'!M28</f>
        <v>#N/A</v>
      </c>
      <c r="W111" s="24" t="e">
        <f>'Heat - Cool'!N28</f>
        <v>#N/A</v>
      </c>
      <c r="X111" s="24" t="e">
        <f>'Heat - Cool'!O28</f>
        <v>#N/A</v>
      </c>
      <c r="Y111" s="24" t="e">
        <f>'Heat - Cool'!P28</f>
        <v>#N/A</v>
      </c>
      <c r="Z111" s="24" t="e">
        <f>'Heat - Cool'!Q28</f>
        <v>#N/A</v>
      </c>
      <c r="AA111" s="24">
        <f>'Heat - Cool'!R28</f>
        <v>0</v>
      </c>
      <c r="AB111" s="24">
        <f>'Heat - Cool'!S28</f>
        <v>0</v>
      </c>
      <c r="AF111" s="375" t="e">
        <f t="shared" si="21"/>
        <v>#N/A</v>
      </c>
    </row>
    <row r="112" spans="2:32" ht="15" customHeight="1">
      <c r="B112" s="124" t="s">
        <v>175</v>
      </c>
      <c r="C112" s="155">
        <v>0</v>
      </c>
      <c r="D112" s="156" t="s">
        <v>10</v>
      </c>
      <c r="E112" s="124" t="s">
        <v>176</v>
      </c>
      <c r="H112" s="3" t="s">
        <v>17</v>
      </c>
      <c r="L112" s="15">
        <f>C112</f>
        <v>0</v>
      </c>
      <c r="M112" s="15">
        <f>L112</f>
        <v>0</v>
      </c>
      <c r="N112" s="15">
        <f t="shared" si="28"/>
        <v>0</v>
      </c>
      <c r="O112" s="15">
        <f t="shared" si="28"/>
        <v>0</v>
      </c>
      <c r="P112" s="15">
        <f t="shared" si="28"/>
        <v>0</v>
      </c>
      <c r="Q112" s="15">
        <f t="shared" si="28"/>
        <v>0</v>
      </c>
      <c r="R112" s="15">
        <f t="shared" si="28"/>
        <v>0</v>
      </c>
      <c r="S112" s="15">
        <f t="shared" si="28"/>
        <v>0</v>
      </c>
      <c r="T112" s="15">
        <f t="shared" si="28"/>
        <v>0</v>
      </c>
      <c r="U112" s="15">
        <f t="shared" si="28"/>
        <v>0</v>
      </c>
      <c r="V112" s="15">
        <f t="shared" si="28"/>
        <v>0</v>
      </c>
      <c r="W112" s="15">
        <f t="shared" si="28"/>
        <v>0</v>
      </c>
      <c r="X112" s="15">
        <f t="shared" si="28"/>
        <v>0</v>
      </c>
      <c r="Y112" s="15">
        <f t="shared" si="28"/>
        <v>0</v>
      </c>
      <c r="Z112" s="15">
        <f t="shared" si="28"/>
        <v>0</v>
      </c>
      <c r="AA112" s="15">
        <f t="shared" si="28"/>
        <v>0</v>
      </c>
      <c r="AB112" s="345">
        <f t="shared" si="28"/>
        <v>0</v>
      </c>
      <c r="AF112" s="375">
        <f t="shared" si="21"/>
        <v>0</v>
      </c>
    </row>
    <row r="113" spans="1:32" ht="15" customHeight="1">
      <c r="A113" s="137" t="s">
        <v>688</v>
      </c>
      <c r="B113" s="6" t="s">
        <v>578</v>
      </c>
      <c r="C113" s="10">
        <f>'Heat - Cool'!C20</f>
        <v>3</v>
      </c>
      <c r="D113" s="2" t="s">
        <v>10</v>
      </c>
      <c r="E113" s="6" t="s">
        <v>177</v>
      </c>
      <c r="F113" s="6" t="str">
        <f>"= "&amp;TEXT(C113*12*1055/1000,"0.0")&amp;"kJ"</f>
        <v>= 38.0kJ</v>
      </c>
      <c r="H113" s="3" t="s">
        <v>163</v>
      </c>
      <c r="I113" s="6" t="s">
        <v>178</v>
      </c>
      <c r="J113" s="89" t="s">
        <v>994</v>
      </c>
      <c r="L113" s="19">
        <f>'Heat - Cool'!C20</f>
        <v>3</v>
      </c>
      <c r="M113" s="19">
        <f>'Heat - Cool'!D20</f>
        <v>2.5</v>
      </c>
      <c r="N113" s="19" t="e">
        <f>'Heat - Cool'!E20</f>
        <v>#N/A</v>
      </c>
      <c r="O113" s="19">
        <f>'Heat - Cool'!F20</f>
        <v>2.5</v>
      </c>
      <c r="P113" s="19" t="e">
        <f>'Heat - Cool'!G20</f>
        <v>#N/A</v>
      </c>
      <c r="Q113" s="19" t="e">
        <f>'Heat - Cool'!H20</f>
        <v>#N/A</v>
      </c>
      <c r="R113" s="19">
        <f>'Heat - Cool'!I20</f>
        <v>2.5</v>
      </c>
      <c r="S113" s="19" t="e">
        <f>'Heat - Cool'!J20</f>
        <v>#N/A</v>
      </c>
      <c r="T113" s="19" t="e">
        <f>'Heat - Cool'!K20</f>
        <v>#N/A</v>
      </c>
      <c r="U113" s="19" t="e">
        <f>'Heat - Cool'!L20</f>
        <v>#N/A</v>
      </c>
      <c r="V113" s="19" t="e">
        <f>'Heat - Cool'!M20</f>
        <v>#N/A</v>
      </c>
      <c r="W113" s="19" t="e">
        <f>'Heat - Cool'!N20</f>
        <v>#N/A</v>
      </c>
      <c r="X113" s="19" t="e">
        <f>'Heat - Cool'!O20</f>
        <v>#N/A</v>
      </c>
      <c r="Y113" s="19" t="e">
        <f>'Heat - Cool'!P20</f>
        <v>#N/A</v>
      </c>
      <c r="Z113" s="19" t="e">
        <f>'Heat - Cool'!Q20</f>
        <v>#N/A</v>
      </c>
      <c r="AA113" s="19">
        <f>'Heat - Cool'!R20</f>
        <v>2.5</v>
      </c>
      <c r="AB113" s="19">
        <f>'Heat - Cool'!S20</f>
        <v>2.5</v>
      </c>
      <c r="AF113" s="375" t="e">
        <f t="shared" si="21"/>
        <v>#N/A</v>
      </c>
    </row>
    <row r="114" spans="1:32" ht="15" customHeight="1">
      <c r="B114" s="6" t="s">
        <v>579</v>
      </c>
      <c r="C114" s="10">
        <f>'Heat - Cool'!C21</f>
        <v>36</v>
      </c>
      <c r="D114" s="2" t="s">
        <v>10</v>
      </c>
      <c r="E114" s="6" t="s">
        <v>179</v>
      </c>
      <c r="F114" s="6" t="str">
        <f>"= "&amp;TEXT(C114*1055*1000/(3600)/1000,"0.0")&amp;"kW"</f>
        <v>= 10.6kW</v>
      </c>
      <c r="H114" s="3" t="s">
        <v>163</v>
      </c>
      <c r="J114" s="89"/>
      <c r="L114" s="17">
        <f>'Heat - Cool'!C21</f>
        <v>36</v>
      </c>
      <c r="M114" s="17">
        <f>'Heat - Cool'!D21</f>
        <v>30</v>
      </c>
      <c r="N114" s="17" t="e">
        <f>'Heat - Cool'!E21</f>
        <v>#N/A</v>
      </c>
      <c r="O114" s="17">
        <f>'Heat - Cool'!F21</f>
        <v>30</v>
      </c>
      <c r="P114" s="17" t="e">
        <f>'Heat - Cool'!G21</f>
        <v>#N/A</v>
      </c>
      <c r="Q114" s="17" t="e">
        <f>'Heat - Cool'!H21</f>
        <v>#N/A</v>
      </c>
      <c r="R114" s="17">
        <f>'Heat - Cool'!I21</f>
        <v>30</v>
      </c>
      <c r="S114" s="17" t="e">
        <f>'Heat - Cool'!J21</f>
        <v>#N/A</v>
      </c>
      <c r="T114" s="17" t="e">
        <f>'Heat - Cool'!K21</f>
        <v>#N/A</v>
      </c>
      <c r="U114" s="17" t="e">
        <f>'Heat - Cool'!L21</f>
        <v>#N/A</v>
      </c>
      <c r="V114" s="17" t="e">
        <f>'Heat - Cool'!M21</f>
        <v>#N/A</v>
      </c>
      <c r="W114" s="17" t="e">
        <f>'Heat - Cool'!N21</f>
        <v>#N/A</v>
      </c>
      <c r="X114" s="17" t="e">
        <f>'Heat - Cool'!O21</f>
        <v>#N/A</v>
      </c>
      <c r="Y114" s="17" t="e">
        <f>'Heat - Cool'!P21</f>
        <v>#N/A</v>
      </c>
      <c r="Z114" s="17" t="e">
        <f>'Heat - Cool'!Q21</f>
        <v>#N/A</v>
      </c>
      <c r="AA114" s="17">
        <f>'Heat - Cool'!R21</f>
        <v>30</v>
      </c>
      <c r="AB114" s="17">
        <f>'Heat - Cool'!S21</f>
        <v>30</v>
      </c>
      <c r="AF114" s="375" t="e">
        <f t="shared" si="21"/>
        <v>#N/A</v>
      </c>
    </row>
    <row r="115" spans="1:32" ht="15" customHeight="1">
      <c r="B115" s="6" t="s">
        <v>576</v>
      </c>
      <c r="C115" s="16">
        <f>'Heat - Cool'!B10</f>
        <v>11</v>
      </c>
      <c r="D115" s="2" t="s">
        <v>10</v>
      </c>
      <c r="E115" s="6" t="s">
        <v>180</v>
      </c>
      <c r="F115" s="6" t="s">
        <v>181</v>
      </c>
      <c r="H115" s="3" t="s">
        <v>163</v>
      </c>
      <c r="J115" s="89"/>
      <c r="L115" s="186">
        <f>'Heat - Cool'!C10</f>
        <v>15.2</v>
      </c>
      <c r="M115" s="186">
        <f>'Heat - Cool'!D10</f>
        <v>15.2</v>
      </c>
      <c r="N115" s="186">
        <f>'Heat - Cool'!E10</f>
        <v>15.2</v>
      </c>
      <c r="O115" s="186">
        <f>'Heat - Cool'!F10</f>
        <v>13</v>
      </c>
      <c r="P115" s="186">
        <f>'Heat - Cool'!G10</f>
        <v>13</v>
      </c>
      <c r="Q115" s="186">
        <f>'Heat - Cool'!H10</f>
        <v>13</v>
      </c>
      <c r="R115" s="186">
        <f>'Heat - Cool'!I10</f>
        <v>13</v>
      </c>
      <c r="S115" s="186">
        <f>'Heat - Cool'!J10</f>
        <v>13</v>
      </c>
      <c r="T115" s="186">
        <f>'Heat - Cool'!K10</f>
        <v>11.1</v>
      </c>
      <c r="U115" s="186">
        <f>'Heat - Cool'!L10</f>
        <v>11.1</v>
      </c>
      <c r="V115" s="186">
        <f>'Heat - Cool'!M10</f>
        <v>11.1</v>
      </c>
      <c r="W115" s="186">
        <f>'Heat - Cool'!N10</f>
        <v>11.1</v>
      </c>
      <c r="X115" s="186">
        <f>'Heat - Cool'!O10</f>
        <v>11.1</v>
      </c>
      <c r="Y115" s="186">
        <f>'Heat - Cool'!P10</f>
        <v>11.1</v>
      </c>
      <c r="Z115" s="186">
        <f>'Heat - Cool'!Q10</f>
        <v>11.1</v>
      </c>
      <c r="AA115" s="186">
        <f>'Heat - Cool'!R10</f>
        <v>15.2</v>
      </c>
      <c r="AB115" s="186">
        <f>'Heat - Cool'!S10</f>
        <v>13</v>
      </c>
      <c r="AF115" s="375">
        <f t="shared" si="21"/>
        <v>1</v>
      </c>
    </row>
    <row r="116" spans="1:32" ht="15" customHeight="1">
      <c r="B116" s="6" t="s">
        <v>577</v>
      </c>
      <c r="C116" s="16" t="e">
        <f>'Heat - Cool'!E22</f>
        <v>#N/A</v>
      </c>
      <c r="D116" s="2" t="s">
        <v>10</v>
      </c>
      <c r="E116" s="6" t="s">
        <v>182</v>
      </c>
      <c r="F116" s="6" t="e">
        <f>"= "&amp;TEXT(C116*1055*1000/(3600)/1000,"0.0")&amp;"kW"</f>
        <v>#N/A</v>
      </c>
      <c r="H116" s="3" t="s">
        <v>163</v>
      </c>
      <c r="I116" s="6" t="s">
        <v>164</v>
      </c>
      <c r="J116" s="89"/>
      <c r="L116" s="17">
        <f>'Heat - Cool'!C22</f>
        <v>9.7595707757737387</v>
      </c>
      <c r="M116" s="17">
        <f>'Heat - Cool'!D22</f>
        <v>22.531428492336069</v>
      </c>
      <c r="N116" s="17" t="e">
        <f>'Heat - Cool'!E22</f>
        <v>#N/A</v>
      </c>
      <c r="O116" s="17">
        <f>'Heat - Cool'!F22</f>
        <v>27.976639849280414</v>
      </c>
      <c r="P116" s="17" t="e">
        <f>'Heat - Cool'!G22</f>
        <v>#N/A</v>
      </c>
      <c r="Q116" s="17" t="e">
        <f>'Heat - Cool'!H22</f>
        <v>#N/A</v>
      </c>
      <c r="R116" s="17">
        <f>'Heat - Cool'!I22</f>
        <v>32.639413157493813</v>
      </c>
      <c r="S116" s="17" t="e">
        <f>'Heat - Cool'!J22</f>
        <v>#N/A</v>
      </c>
      <c r="T116" s="17" t="e">
        <f>'Heat - Cool'!K22</f>
        <v>#N/A</v>
      </c>
      <c r="U116" s="17" t="e">
        <f>'Heat - Cool'!L22</f>
        <v>#N/A</v>
      </c>
      <c r="V116" s="17" t="e">
        <f>'Heat - Cool'!M22</f>
        <v>#N/A</v>
      </c>
      <c r="W116" s="17" t="e">
        <f>'Heat - Cool'!N22</f>
        <v>#N/A</v>
      </c>
      <c r="X116" s="17" t="e">
        <f>'Heat - Cool'!O22</f>
        <v>#N/A</v>
      </c>
      <c r="Y116" s="17" t="e">
        <f>'Heat - Cool'!P22</f>
        <v>#N/A</v>
      </c>
      <c r="Z116" s="17" t="e">
        <f>'Heat - Cool'!Q22</f>
        <v>#N/A</v>
      </c>
      <c r="AA116" s="17">
        <f>'Heat - Cool'!R22</f>
        <v>16.38938935662371</v>
      </c>
      <c r="AB116" s="17">
        <f>'Heat - Cool'!S22</f>
        <v>22.712603714815753</v>
      </c>
      <c r="AF116" s="375" t="e">
        <f t="shared" si="21"/>
        <v>#N/A</v>
      </c>
    </row>
    <row r="117" spans="1:32" ht="15" customHeight="1">
      <c r="B117" s="6" t="s">
        <v>183</v>
      </c>
      <c r="C117" s="16" t="e">
        <f>'Heat - Cool'!E26</f>
        <v>#N/A</v>
      </c>
      <c r="D117" s="2" t="s">
        <v>10</v>
      </c>
      <c r="E117" s="6" t="s">
        <v>637</v>
      </c>
      <c r="H117" s="3" t="s">
        <v>163</v>
      </c>
      <c r="I117" s="6" t="s">
        <v>164</v>
      </c>
      <c r="J117" s="416" t="s">
        <v>1062</v>
      </c>
      <c r="L117" s="392">
        <f>'Heat - Cool'!C26</f>
        <v>16.39607890329988</v>
      </c>
      <c r="M117" s="392">
        <f>'Heat - Cool'!D26</f>
        <v>37.85279986712461</v>
      </c>
      <c r="N117" s="392" t="e">
        <f>'Heat - Cool'!E26</f>
        <v>#N/A</v>
      </c>
      <c r="O117" s="392">
        <f>'Heat - Cool'!F26</f>
        <v>47.000754946791098</v>
      </c>
      <c r="P117" s="392" t="e">
        <f>'Heat - Cool'!G26</f>
        <v>#N/A</v>
      </c>
      <c r="Q117" s="392" t="e">
        <f>'Heat - Cool'!H26</f>
        <v>#N/A</v>
      </c>
      <c r="R117" s="392">
        <f>'Heat - Cool'!I26</f>
        <v>54.834214104589606</v>
      </c>
      <c r="S117" s="392" t="e">
        <f>'Heat - Cool'!J26</f>
        <v>#N/A</v>
      </c>
      <c r="T117" s="392" t="e">
        <f>'Heat - Cool'!K26</f>
        <v>#N/A</v>
      </c>
      <c r="U117" s="392" t="e">
        <f>'Heat - Cool'!L26</f>
        <v>#N/A</v>
      </c>
      <c r="V117" s="392" t="e">
        <f>'Heat - Cool'!M26</f>
        <v>#N/A</v>
      </c>
      <c r="W117" s="392" t="e">
        <f>'Heat - Cool'!N26</f>
        <v>#N/A</v>
      </c>
      <c r="X117" s="392" t="e">
        <f>'Heat - Cool'!O26</f>
        <v>#N/A</v>
      </c>
      <c r="Y117" s="392" t="e">
        <f>'Heat - Cool'!P26</f>
        <v>#N/A</v>
      </c>
      <c r="Z117" s="392" t="e">
        <f>'Heat - Cool'!Q26</f>
        <v>#N/A</v>
      </c>
      <c r="AA117" s="392">
        <f>'Heat - Cool'!R26</f>
        <v>27.53417411912784</v>
      </c>
      <c r="AB117" s="392">
        <f>'Heat - Cool'!S26</f>
        <v>38.15717424089047</v>
      </c>
      <c r="AF117" s="375" t="e">
        <f t="shared" si="21"/>
        <v>#N/A</v>
      </c>
    </row>
    <row r="118" spans="1:32" ht="15" customHeight="1">
      <c r="B118" s="6" t="s">
        <v>184</v>
      </c>
      <c r="C118" s="16" t="e">
        <f>'Heat - Cool'!E25</f>
        <v>#N/A</v>
      </c>
      <c r="D118" s="2" t="s">
        <v>10</v>
      </c>
      <c r="E118" s="6" t="s">
        <v>638</v>
      </c>
      <c r="H118" s="3" t="s">
        <v>163</v>
      </c>
      <c r="I118" s="6" t="s">
        <v>164</v>
      </c>
      <c r="J118" s="416"/>
      <c r="L118" s="393">
        <f>'Heat - Cool'!C25</f>
        <v>493.43529757739373</v>
      </c>
      <c r="M118" s="393">
        <f>'Heat - Cool'!D25</f>
        <v>483.00438301018983</v>
      </c>
      <c r="N118" s="393" t="e">
        <f>'Heat - Cool'!E25</f>
        <v>#N/A</v>
      </c>
      <c r="O118" s="393">
        <f>'Heat - Cool'!F25</f>
        <v>512.78734978227521</v>
      </c>
      <c r="P118" s="393" t="e">
        <f>'Heat - Cool'!G25</f>
        <v>#N/A</v>
      </c>
      <c r="Q118" s="393" t="e">
        <f>'Heat - Cool'!H25</f>
        <v>#N/A</v>
      </c>
      <c r="R118" s="393">
        <f>'Heat - Cool'!I25</f>
        <v>466.02473075153682</v>
      </c>
      <c r="S118" s="393" t="e">
        <f>'Heat - Cool'!J25</f>
        <v>#N/A</v>
      </c>
      <c r="T118" s="393" t="e">
        <f>'Heat - Cool'!K25</f>
        <v>#N/A</v>
      </c>
      <c r="U118" s="393" t="e">
        <f>'Heat - Cool'!L25</f>
        <v>#N/A</v>
      </c>
      <c r="V118" s="393" t="e">
        <f>'Heat - Cool'!M25</f>
        <v>#N/A</v>
      </c>
      <c r="W118" s="393" t="e">
        <f>'Heat - Cool'!N25</f>
        <v>#N/A</v>
      </c>
      <c r="X118" s="393" t="e">
        <f>'Heat - Cool'!O25</f>
        <v>#N/A</v>
      </c>
      <c r="Y118" s="393" t="e">
        <f>'Heat - Cool'!P25</f>
        <v>#N/A</v>
      </c>
      <c r="Z118" s="393" t="e">
        <f>'Heat - Cool'!Q25</f>
        <v>#N/A</v>
      </c>
      <c r="AA118" s="393">
        <f>'Heat - Cool'!R25</f>
        <v>458.40038961014653</v>
      </c>
      <c r="AB118" s="393">
        <f>'Heat - Cool'!S25</f>
        <v>506.2854239855356</v>
      </c>
      <c r="AF118" s="375" t="e">
        <f t="shared" si="21"/>
        <v>#N/A</v>
      </c>
    </row>
    <row r="119" spans="1:32" ht="15" customHeight="1">
      <c r="B119" s="6" t="s">
        <v>580</v>
      </c>
      <c r="C119" s="10">
        <v>1</v>
      </c>
      <c r="D119" s="233" t="s">
        <v>10</v>
      </c>
      <c r="E119" s="6" t="s">
        <v>639</v>
      </c>
      <c r="H119" s="3" t="s">
        <v>17</v>
      </c>
      <c r="J119" s="89"/>
      <c r="L119" s="15">
        <f>C119</f>
        <v>1</v>
      </c>
      <c r="M119" s="15">
        <f t="shared" ref="M119:AB119" si="29">L119</f>
        <v>1</v>
      </c>
      <c r="N119" s="15">
        <f t="shared" si="29"/>
        <v>1</v>
      </c>
      <c r="O119" s="15">
        <f t="shared" si="29"/>
        <v>1</v>
      </c>
      <c r="P119" s="15">
        <f t="shared" si="29"/>
        <v>1</v>
      </c>
      <c r="Q119" s="15">
        <f t="shared" si="29"/>
        <v>1</v>
      </c>
      <c r="R119" s="15">
        <f t="shared" si="29"/>
        <v>1</v>
      </c>
      <c r="S119" s="15">
        <f t="shared" si="29"/>
        <v>1</v>
      </c>
      <c r="T119" s="15">
        <f t="shared" si="29"/>
        <v>1</v>
      </c>
      <c r="U119" s="15">
        <f t="shared" si="29"/>
        <v>1</v>
      </c>
      <c r="V119" s="15">
        <f t="shared" si="29"/>
        <v>1</v>
      </c>
      <c r="W119" s="15">
        <f t="shared" si="29"/>
        <v>1</v>
      </c>
      <c r="X119" s="15">
        <f t="shared" si="29"/>
        <v>1</v>
      </c>
      <c r="Y119" s="15">
        <f t="shared" si="29"/>
        <v>1</v>
      </c>
      <c r="Z119" s="15">
        <f t="shared" si="29"/>
        <v>1</v>
      </c>
      <c r="AA119" s="15">
        <f t="shared" si="29"/>
        <v>1</v>
      </c>
      <c r="AB119" s="345">
        <f t="shared" si="29"/>
        <v>1</v>
      </c>
      <c r="AF119" s="375">
        <f t="shared" si="21"/>
        <v>0</v>
      </c>
    </row>
    <row r="120" spans="1:32" ht="15" customHeight="1">
      <c r="A120" s="260" t="s">
        <v>470</v>
      </c>
      <c r="B120" s="229" t="s">
        <v>634</v>
      </c>
      <c r="C120" s="230">
        <f>'Heat - Cool'!B14</f>
        <v>0.8</v>
      </c>
      <c r="D120" s="231" t="str">
        <f>IF(AND(C120&gt;0,C120&lt;=1), "ok", "check")</f>
        <v>ok</v>
      </c>
      <c r="E120" s="229" t="s">
        <v>635</v>
      </c>
      <c r="L120" s="218">
        <f>'Heat - Cool'!C14</f>
        <v>0.8</v>
      </c>
      <c r="M120" s="218">
        <f>'Heat - Cool'!D14</f>
        <v>0.8</v>
      </c>
      <c r="N120" s="218">
        <f>'Heat - Cool'!E14</f>
        <v>0.8</v>
      </c>
      <c r="O120" s="218">
        <f>'Heat - Cool'!F14</f>
        <v>0.9</v>
      </c>
      <c r="P120" s="218">
        <f>'Heat - Cool'!G14</f>
        <v>0.9</v>
      </c>
      <c r="Q120" s="218">
        <f>'Heat - Cool'!H14</f>
        <v>0.9</v>
      </c>
      <c r="R120" s="218">
        <f>'Heat - Cool'!I14</f>
        <v>0.9</v>
      </c>
      <c r="S120" s="218">
        <f>'Heat - Cool'!J14</f>
        <v>0.9</v>
      </c>
      <c r="T120" s="218">
        <f>'Heat - Cool'!K14</f>
        <v>0.94</v>
      </c>
      <c r="U120" s="218">
        <f>'Heat - Cool'!L14</f>
        <v>0.94</v>
      </c>
      <c r="V120" s="218">
        <f>'Heat - Cool'!M14</f>
        <v>0.94</v>
      </c>
      <c r="W120" s="218">
        <f>'Heat - Cool'!N14</f>
        <v>0.94</v>
      </c>
      <c r="X120" s="218">
        <f>'Heat - Cool'!O14</f>
        <v>0.94</v>
      </c>
      <c r="Y120" s="218">
        <f>'Heat - Cool'!P14</f>
        <v>0.94</v>
      </c>
      <c r="Z120" s="218">
        <f>'Heat - Cool'!Q14</f>
        <v>0.94</v>
      </c>
      <c r="AA120" s="218">
        <f>'Heat - Cool'!R14</f>
        <v>0.8</v>
      </c>
      <c r="AB120" s="218">
        <f>'Heat - Cool'!S14</f>
        <v>0.9</v>
      </c>
      <c r="AF120" s="375">
        <f t="shared" si="21"/>
        <v>1</v>
      </c>
    </row>
    <row r="121" spans="1:32" ht="15" customHeight="1">
      <c r="A121" s="260" t="s">
        <v>714</v>
      </c>
      <c r="B121" s="229" t="s">
        <v>839</v>
      </c>
      <c r="C121" s="230">
        <f>VLOOKUP(CONCATENATE(B1,A1),'Internal gains'!C28:F37,3,FALSE)</f>
        <v>1</v>
      </c>
      <c r="D121" s="231" t="str">
        <f>IF(AND(C121&gt;=0,C121&lt;=3), "ok", "check")</f>
        <v>ok</v>
      </c>
      <c r="E121" s="229" t="s">
        <v>840</v>
      </c>
      <c r="L121" s="25">
        <f>$C$121</f>
        <v>1</v>
      </c>
      <c r="M121" s="25">
        <f t="shared" ref="M121:AB121" si="30">$C$121</f>
        <v>1</v>
      </c>
      <c r="N121" s="25">
        <f t="shared" si="30"/>
        <v>1</v>
      </c>
      <c r="O121" s="25">
        <f t="shared" si="30"/>
        <v>1</v>
      </c>
      <c r="P121" s="25">
        <f t="shared" si="30"/>
        <v>1</v>
      </c>
      <c r="Q121" s="25">
        <f t="shared" si="30"/>
        <v>1</v>
      </c>
      <c r="R121" s="25">
        <f t="shared" si="30"/>
        <v>1</v>
      </c>
      <c r="S121" s="25">
        <f t="shared" si="30"/>
        <v>1</v>
      </c>
      <c r="T121" s="25">
        <f t="shared" si="30"/>
        <v>1</v>
      </c>
      <c r="U121" s="25">
        <f t="shared" si="30"/>
        <v>1</v>
      </c>
      <c r="V121" s="25">
        <f t="shared" si="30"/>
        <v>1</v>
      </c>
      <c r="W121" s="25">
        <f t="shared" si="30"/>
        <v>1</v>
      </c>
      <c r="X121" s="25">
        <f t="shared" si="30"/>
        <v>1</v>
      </c>
      <c r="Y121" s="25">
        <f t="shared" si="30"/>
        <v>1</v>
      </c>
      <c r="Z121" s="25">
        <f t="shared" si="30"/>
        <v>1</v>
      </c>
      <c r="AA121" s="25">
        <f t="shared" si="30"/>
        <v>1</v>
      </c>
      <c r="AB121" s="344">
        <f t="shared" si="30"/>
        <v>1</v>
      </c>
      <c r="AF121" s="375">
        <f t="shared" si="21"/>
        <v>0</v>
      </c>
    </row>
    <row r="122" spans="1:32" ht="15" customHeight="1">
      <c r="A122" s="260" t="s">
        <v>841</v>
      </c>
      <c r="B122" s="229" t="s">
        <v>842</v>
      </c>
      <c r="C122" s="230">
        <f>'Internal gains'!A23-1</f>
        <v>1</v>
      </c>
      <c r="D122" s="231"/>
      <c r="E122" s="229" t="s">
        <v>843</v>
      </c>
      <c r="L122" s="25">
        <f>$C$122</f>
        <v>1</v>
      </c>
      <c r="M122" s="25">
        <f t="shared" ref="M122:AB122" si="31">$C$122</f>
        <v>1</v>
      </c>
      <c r="N122" s="25">
        <f t="shared" si="31"/>
        <v>1</v>
      </c>
      <c r="O122" s="25">
        <f t="shared" si="31"/>
        <v>1</v>
      </c>
      <c r="P122" s="25">
        <f t="shared" si="31"/>
        <v>1</v>
      </c>
      <c r="Q122" s="25">
        <f t="shared" si="31"/>
        <v>1</v>
      </c>
      <c r="R122" s="25">
        <f t="shared" si="31"/>
        <v>1</v>
      </c>
      <c r="S122" s="25">
        <f t="shared" si="31"/>
        <v>1</v>
      </c>
      <c r="T122" s="25">
        <f t="shared" si="31"/>
        <v>1</v>
      </c>
      <c r="U122" s="25">
        <f t="shared" si="31"/>
        <v>1</v>
      </c>
      <c r="V122" s="25">
        <f t="shared" si="31"/>
        <v>1</v>
      </c>
      <c r="W122" s="25">
        <f t="shared" si="31"/>
        <v>1</v>
      </c>
      <c r="X122" s="25">
        <f t="shared" si="31"/>
        <v>1</v>
      </c>
      <c r="Y122" s="25">
        <f t="shared" si="31"/>
        <v>1</v>
      </c>
      <c r="Z122" s="25">
        <f t="shared" si="31"/>
        <v>1</v>
      </c>
      <c r="AA122" s="25">
        <f t="shared" si="31"/>
        <v>1</v>
      </c>
      <c r="AB122" s="344">
        <f t="shared" si="31"/>
        <v>1</v>
      </c>
      <c r="AF122" s="375">
        <f t="shared" si="21"/>
        <v>0</v>
      </c>
    </row>
    <row r="123" spans="1:32" ht="15" customHeight="1">
      <c r="A123" s="261" t="s">
        <v>844</v>
      </c>
      <c r="B123" s="75" t="s">
        <v>914</v>
      </c>
      <c r="C123" s="25">
        <f>C1</f>
        <v>2</v>
      </c>
      <c r="E123" s="75" t="s">
        <v>915</v>
      </c>
      <c r="L123" s="25">
        <f>C123</f>
        <v>2</v>
      </c>
      <c r="M123" s="25">
        <f>L123</f>
        <v>2</v>
      </c>
      <c r="N123" s="25">
        <f t="shared" ref="N123:AB123" si="32">M123</f>
        <v>2</v>
      </c>
      <c r="O123" s="25">
        <f t="shared" si="32"/>
        <v>2</v>
      </c>
      <c r="P123" s="25">
        <f t="shared" si="32"/>
        <v>2</v>
      </c>
      <c r="Q123" s="25">
        <f t="shared" si="32"/>
        <v>2</v>
      </c>
      <c r="R123" s="25">
        <f t="shared" si="32"/>
        <v>2</v>
      </c>
      <c r="S123" s="25">
        <f t="shared" si="32"/>
        <v>2</v>
      </c>
      <c r="T123" s="25">
        <f t="shared" si="32"/>
        <v>2</v>
      </c>
      <c r="U123" s="25">
        <f t="shared" si="32"/>
        <v>2</v>
      </c>
      <c r="V123" s="25">
        <f t="shared" si="32"/>
        <v>2</v>
      </c>
      <c r="W123" s="25">
        <f t="shared" si="32"/>
        <v>2</v>
      </c>
      <c r="X123" s="25">
        <f t="shared" si="32"/>
        <v>2</v>
      </c>
      <c r="Y123" s="25">
        <f t="shared" si="32"/>
        <v>2</v>
      </c>
      <c r="Z123" s="25">
        <f t="shared" si="32"/>
        <v>2</v>
      </c>
      <c r="AA123" s="25">
        <f t="shared" si="32"/>
        <v>2</v>
      </c>
      <c r="AB123" s="344">
        <f t="shared" si="32"/>
        <v>2</v>
      </c>
      <c r="AF123" s="375">
        <f t="shared" si="21"/>
        <v>0</v>
      </c>
    </row>
    <row r="124" spans="1:32" ht="15" customHeight="1">
      <c r="A124" s="181" t="s">
        <v>845</v>
      </c>
      <c r="B124" s="180" t="s">
        <v>846</v>
      </c>
      <c r="C124" s="218">
        <f>L124</f>
        <v>0.41</v>
      </c>
      <c r="E124" s="180" t="s">
        <v>847</v>
      </c>
      <c r="L124" s="218">
        <f>Weather!B25</f>
        <v>0.41</v>
      </c>
      <c r="M124" s="218">
        <f>Weather!C25</f>
        <v>0.42</v>
      </c>
      <c r="N124" s="218">
        <f>Weather!D25</f>
        <v>0.43</v>
      </c>
      <c r="O124" s="218">
        <f>Weather!E25</f>
        <v>0.46</v>
      </c>
      <c r="P124" s="218">
        <f>Weather!F25</f>
        <v>0.48</v>
      </c>
      <c r="Q124" s="218">
        <f>Weather!G25</f>
        <v>0.6</v>
      </c>
      <c r="R124" s="218">
        <f>Weather!H25</f>
        <v>0.5</v>
      </c>
      <c r="S124" s="218">
        <f>Weather!I25</f>
        <v>0.54</v>
      </c>
      <c r="T124" s="218">
        <f>Weather!J25</f>
        <v>0.55000000000000004</v>
      </c>
      <c r="U124" s="218">
        <f>Weather!K25</f>
        <v>0.6</v>
      </c>
      <c r="V124" s="218">
        <f>Weather!L25</f>
        <v>0.56000000000000005</v>
      </c>
      <c r="W124" s="218">
        <f>Weather!M25</f>
        <v>0.61</v>
      </c>
      <c r="X124" s="218">
        <f>Weather!N25</f>
        <v>0.63</v>
      </c>
      <c r="Y124" s="218">
        <f>Weather!O25</f>
        <v>0.7</v>
      </c>
      <c r="Z124" s="218">
        <f>Weather!P25</f>
        <v>0.7</v>
      </c>
      <c r="AA124" s="218">
        <f>Weather!Q25</f>
        <v>0.38</v>
      </c>
      <c r="AB124" s="218">
        <f>Weather!R25</f>
        <v>0.43</v>
      </c>
      <c r="AF124" s="375">
        <f t="shared" si="21"/>
        <v>1</v>
      </c>
    </row>
    <row r="125" spans="1:32" ht="15" customHeight="1">
      <c r="A125" s="4" t="s">
        <v>1061</v>
      </c>
      <c r="B125" s="375" t="s">
        <v>1164</v>
      </c>
      <c r="C125" s="434">
        <f>IF(K1="Base",0,1)</f>
        <v>1</v>
      </c>
      <c r="E125" s="375" t="s">
        <v>1167</v>
      </c>
      <c r="J125" s="93" t="s">
        <v>1067</v>
      </c>
      <c r="L125" s="344">
        <f>C125</f>
        <v>1</v>
      </c>
      <c r="M125" s="344">
        <f>L125</f>
        <v>1</v>
      </c>
      <c r="N125" s="344">
        <f t="shared" ref="N125:AB125" si="33">M125</f>
        <v>1</v>
      </c>
      <c r="O125" s="344">
        <f t="shared" si="33"/>
        <v>1</v>
      </c>
      <c r="P125" s="344">
        <f t="shared" si="33"/>
        <v>1</v>
      </c>
      <c r="Q125" s="344">
        <f t="shared" si="33"/>
        <v>1</v>
      </c>
      <c r="R125" s="344">
        <f t="shared" si="33"/>
        <v>1</v>
      </c>
      <c r="S125" s="344">
        <f t="shared" si="33"/>
        <v>1</v>
      </c>
      <c r="T125" s="344">
        <f t="shared" si="33"/>
        <v>1</v>
      </c>
      <c r="U125" s="344">
        <f t="shared" si="33"/>
        <v>1</v>
      </c>
      <c r="V125" s="344">
        <f t="shared" si="33"/>
        <v>1</v>
      </c>
      <c r="W125" s="344">
        <f t="shared" si="33"/>
        <v>1</v>
      </c>
      <c r="X125" s="344">
        <f t="shared" si="33"/>
        <v>1</v>
      </c>
      <c r="Y125" s="344">
        <f t="shared" si="33"/>
        <v>1</v>
      </c>
      <c r="Z125" s="344">
        <f t="shared" si="33"/>
        <v>1</v>
      </c>
      <c r="AA125" s="344">
        <f t="shared" si="33"/>
        <v>1</v>
      </c>
      <c r="AB125" s="344">
        <f t="shared" si="33"/>
        <v>1</v>
      </c>
    </row>
    <row r="126" spans="1:32" ht="15" customHeight="1">
      <c r="A126" s="181" t="s">
        <v>1061</v>
      </c>
      <c r="B126" s="375" t="s">
        <v>1165</v>
      </c>
      <c r="C126" s="25">
        <f>K1</f>
        <v>20</v>
      </c>
      <c r="E126" s="375" t="s">
        <v>1168</v>
      </c>
      <c r="L126" s="344">
        <f>C126</f>
        <v>20</v>
      </c>
      <c r="M126" s="344">
        <f>L126</f>
        <v>20</v>
      </c>
      <c r="N126" s="344">
        <f t="shared" ref="N126:AB126" si="34">M126</f>
        <v>20</v>
      </c>
      <c r="O126" s="344">
        <f t="shared" si="34"/>
        <v>20</v>
      </c>
      <c r="P126" s="344">
        <f t="shared" si="34"/>
        <v>20</v>
      </c>
      <c r="Q126" s="344">
        <f t="shared" si="34"/>
        <v>20</v>
      </c>
      <c r="R126" s="344">
        <f t="shared" si="34"/>
        <v>20</v>
      </c>
      <c r="S126" s="344">
        <f t="shared" si="34"/>
        <v>20</v>
      </c>
      <c r="T126" s="344">
        <f t="shared" si="34"/>
        <v>20</v>
      </c>
      <c r="U126" s="344">
        <f t="shared" si="34"/>
        <v>20</v>
      </c>
      <c r="V126" s="344">
        <f t="shared" si="34"/>
        <v>20</v>
      </c>
      <c r="W126" s="344">
        <f t="shared" si="34"/>
        <v>20</v>
      </c>
      <c r="X126" s="344">
        <f t="shared" si="34"/>
        <v>20</v>
      </c>
      <c r="Y126" s="344">
        <f t="shared" si="34"/>
        <v>20</v>
      </c>
      <c r="Z126" s="344">
        <f t="shared" si="34"/>
        <v>20</v>
      </c>
      <c r="AA126" s="344">
        <f t="shared" si="34"/>
        <v>20</v>
      </c>
      <c r="AB126" s="344">
        <f t="shared" si="34"/>
        <v>20</v>
      </c>
    </row>
    <row r="127" spans="1:32" ht="15" customHeight="1">
      <c r="A127" s="181" t="s">
        <v>1061</v>
      </c>
      <c r="B127" s="375" t="s">
        <v>1166</v>
      </c>
      <c r="C127" s="25">
        <v>0.01</v>
      </c>
      <c r="E127" s="375" t="s">
        <v>1169</v>
      </c>
      <c r="L127" s="344">
        <f>'Venting Cutoff Humidity Ratio'!B13</f>
        <v>1.8143650428724283E-2</v>
      </c>
      <c r="M127" s="344">
        <f>'Venting Cutoff Humidity Ratio'!C13</f>
        <v>1.8093565104086943E-2</v>
      </c>
      <c r="N127" s="344" t="str">
        <f>'Venting Cutoff Humidity Ratio'!D13</f>
        <v>NA</v>
      </c>
      <c r="O127" s="344">
        <f>'Venting Cutoff Humidity Ratio'!E13</f>
        <v>1.6457918085888881E-2</v>
      </c>
      <c r="P127" s="344" t="str">
        <f>'Venting Cutoff Humidity Ratio'!F13</f>
        <v>NA</v>
      </c>
      <c r="Q127" s="344" t="str">
        <f>'Venting Cutoff Humidity Ratio'!G13</f>
        <v>NA</v>
      </c>
      <c r="R127" s="344">
        <f>'Venting Cutoff Humidity Ratio'!H13</f>
        <v>1.4623221193902717E-2</v>
      </c>
      <c r="S127" s="344" t="str">
        <f>'Venting Cutoff Humidity Ratio'!I13</f>
        <v>NA</v>
      </c>
      <c r="T127" s="344" t="str">
        <f>'Venting Cutoff Humidity Ratio'!J13</f>
        <v>NA</v>
      </c>
      <c r="U127" s="344" t="str">
        <f>'Venting Cutoff Humidity Ratio'!K13</f>
        <v>NA</v>
      </c>
      <c r="V127" s="344" t="str">
        <f>'Venting Cutoff Humidity Ratio'!L13</f>
        <v>NA</v>
      </c>
      <c r="W127" s="344" t="str">
        <f>'Venting Cutoff Humidity Ratio'!M13</f>
        <v>NA</v>
      </c>
      <c r="X127" s="344" t="str">
        <f>'Venting Cutoff Humidity Ratio'!N13</f>
        <v>NA</v>
      </c>
      <c r="Y127" s="344" t="str">
        <f>'Venting Cutoff Humidity Ratio'!O13</f>
        <v>NA</v>
      </c>
      <c r="Z127" s="344" t="str">
        <f>'Venting Cutoff Humidity Ratio'!P13</f>
        <v>NA</v>
      </c>
      <c r="AA127" s="344">
        <f>'Venting Cutoff Humidity Ratio'!Q13</f>
        <v>1.7707763234996277E-2</v>
      </c>
      <c r="AB127" s="344">
        <f>'Venting Cutoff Humidity Ratio'!R13</f>
        <v>1.7457897967807213E-2</v>
      </c>
    </row>
    <row r="128" spans="1:32" s="375" customFormat="1" ht="15" customHeight="1">
      <c r="A128" s="181" t="s">
        <v>1061</v>
      </c>
      <c r="B128" s="375" t="s">
        <v>1170</v>
      </c>
      <c r="C128" s="344">
        <v>-2E-3</v>
      </c>
      <c r="D128" s="306"/>
      <c r="E128" s="375" t="s">
        <v>1180</v>
      </c>
      <c r="H128" s="3"/>
      <c r="L128" s="344">
        <f>'Venting Cutoff Humidity Ratio'!B20</f>
        <v>-9.2318999999999995E-3</v>
      </c>
      <c r="M128" s="344">
        <f>'Venting Cutoff Humidity Ratio'!C20</f>
        <v>-9.9453257000000003E-3</v>
      </c>
      <c r="N128" s="344" t="str">
        <f>'Venting Cutoff Humidity Ratio'!D20</f>
        <v>NA</v>
      </c>
      <c r="O128" s="344">
        <f>'Venting Cutoff Humidity Ratio'!E20</f>
        <v>-9.2137453100000002E-3</v>
      </c>
      <c r="P128" s="344" t="str">
        <f>'Venting Cutoff Humidity Ratio'!F20</f>
        <v>NA</v>
      </c>
      <c r="Q128" s="344" t="str">
        <f>'Venting Cutoff Humidity Ratio'!G20</f>
        <v>NA</v>
      </c>
      <c r="R128" s="344">
        <f>'Venting Cutoff Humidity Ratio'!H20</f>
        <v>-8.8984050999999995E-3</v>
      </c>
      <c r="S128" s="344" t="str">
        <f>'Venting Cutoff Humidity Ratio'!I20</f>
        <v>NA</v>
      </c>
      <c r="T128" s="344" t="str">
        <f>'Venting Cutoff Humidity Ratio'!J20</f>
        <v>NA</v>
      </c>
      <c r="U128" s="344" t="str">
        <f>'Venting Cutoff Humidity Ratio'!K20</f>
        <v>NA</v>
      </c>
      <c r="V128" s="344" t="str">
        <f>'Venting Cutoff Humidity Ratio'!L20</f>
        <v>NA</v>
      </c>
      <c r="W128" s="344" t="str">
        <f>'Venting Cutoff Humidity Ratio'!M20</f>
        <v>NA</v>
      </c>
      <c r="X128" s="344" t="str">
        <f>'Venting Cutoff Humidity Ratio'!N20</f>
        <v>NA</v>
      </c>
      <c r="Y128" s="344" t="str">
        <f>'Venting Cutoff Humidity Ratio'!O20</f>
        <v>NA</v>
      </c>
      <c r="Z128" s="344" t="str">
        <f>'Venting Cutoff Humidity Ratio'!P20</f>
        <v>NA</v>
      </c>
      <c r="AA128" s="344">
        <f>'Venting Cutoff Humidity Ratio'!Q20</f>
        <v>-9.3550345999999993E-3</v>
      </c>
      <c r="AB128" s="344">
        <f>'Venting Cutoff Humidity Ratio'!R20</f>
        <v>-1.0138127399999999E-2</v>
      </c>
      <c r="AC128" s="87"/>
      <c r="AE128" s="87"/>
    </row>
    <row r="129" spans="1:28" ht="15" customHeight="1">
      <c r="A129" s="181" t="s">
        <v>1061</v>
      </c>
      <c r="B129" s="375" t="s">
        <v>1171</v>
      </c>
      <c r="C129" s="25">
        <v>2E-3</v>
      </c>
      <c r="E129" s="375" t="s">
        <v>1181</v>
      </c>
      <c r="L129" s="6">
        <f>'Venting Cutoff Humidity Ratio'!B26</f>
        <v>8.4997935999999996E-3</v>
      </c>
      <c r="M129" s="375">
        <f>'Venting Cutoff Humidity Ratio'!C26</f>
        <v>9.2114712999999994E-3</v>
      </c>
      <c r="N129" s="375" t="str">
        <f>'Venting Cutoff Humidity Ratio'!D26</f>
        <v>NA</v>
      </c>
      <c r="O129" s="375">
        <f>'Venting Cutoff Humidity Ratio'!E26</f>
        <v>7.0531184999999995E-3</v>
      </c>
      <c r="P129" s="375" t="str">
        <f>'Venting Cutoff Humidity Ratio'!F26</f>
        <v>NA</v>
      </c>
      <c r="Q129" s="375" t="str">
        <f>'Venting Cutoff Humidity Ratio'!G26</f>
        <v>NA</v>
      </c>
      <c r="R129" s="375">
        <f>'Venting Cutoff Humidity Ratio'!H26</f>
        <v>6.6635150000000001E-3</v>
      </c>
      <c r="S129" s="375" t="str">
        <f>'Venting Cutoff Humidity Ratio'!I26</f>
        <v>NA</v>
      </c>
      <c r="T129" s="375" t="str">
        <f>'Venting Cutoff Humidity Ratio'!J26</f>
        <v>NA</v>
      </c>
      <c r="U129" s="375" t="str">
        <f>'Venting Cutoff Humidity Ratio'!K26</f>
        <v>NA</v>
      </c>
      <c r="V129" s="375" t="str">
        <f>'Venting Cutoff Humidity Ratio'!L26</f>
        <v>NA</v>
      </c>
      <c r="W129" s="375" t="str">
        <f>'Venting Cutoff Humidity Ratio'!M26</f>
        <v>NA</v>
      </c>
      <c r="X129" s="375" t="str">
        <f>'Venting Cutoff Humidity Ratio'!N26</f>
        <v>NA</v>
      </c>
      <c r="Y129" s="375" t="str">
        <f>'Venting Cutoff Humidity Ratio'!O26</f>
        <v>NA</v>
      </c>
      <c r="Z129" s="375" t="str">
        <f>'Venting Cutoff Humidity Ratio'!P26</f>
        <v>NA</v>
      </c>
      <c r="AA129" s="375">
        <f>'Venting Cutoff Humidity Ratio'!Q26</f>
        <v>8.4878786000000001E-3</v>
      </c>
      <c r="AB129" s="375">
        <f>'Venting Cutoff Humidity Ratio'!R26</f>
        <v>9.4014574000000004E-3</v>
      </c>
    </row>
    <row r="130" spans="1:28" s="375" customFormat="1" ht="15" customHeight="1">
      <c r="A130" s="181" t="s">
        <v>1061</v>
      </c>
      <c r="B130" s="375" t="s">
        <v>1198</v>
      </c>
      <c r="C130" s="375">
        <f>'Venting Cutoff Humidity Ratio'!B32</f>
        <v>7.6169999999999996E-3</v>
      </c>
      <c r="E130" s="375" t="s">
        <v>1222</v>
      </c>
      <c r="L130" s="375">
        <f>'Venting Cutoff Humidity Ratio'!B32</f>
        <v>7.6169999999999996E-3</v>
      </c>
      <c r="M130" s="375">
        <f>'Venting Cutoff Humidity Ratio'!C32</f>
        <v>3.7669999999999999E-3</v>
      </c>
      <c r="N130" s="375">
        <f>'Venting Cutoff Humidity Ratio'!D32</f>
        <v>0</v>
      </c>
      <c r="O130" s="375">
        <f>'Venting Cutoff Humidity Ratio'!E32</f>
        <v>2.1570000000000001E-3</v>
      </c>
      <c r="P130" s="375">
        <f>'Venting Cutoff Humidity Ratio'!F32</f>
        <v>0</v>
      </c>
      <c r="Q130" s="375">
        <f>'Venting Cutoff Humidity Ratio'!G32</f>
        <v>0</v>
      </c>
      <c r="R130" s="375">
        <f>'Venting Cutoff Humidity Ratio'!H32</f>
        <v>1.544E-3</v>
      </c>
      <c r="S130" s="375">
        <f>'Venting Cutoff Humidity Ratio'!I32</f>
        <v>0</v>
      </c>
      <c r="T130" s="375">
        <f>'Venting Cutoff Humidity Ratio'!J32</f>
        <v>0</v>
      </c>
      <c r="U130" s="375">
        <f>'Venting Cutoff Humidity Ratio'!K32</f>
        <v>0</v>
      </c>
      <c r="V130" s="375">
        <f>'Venting Cutoff Humidity Ratio'!L32</f>
        <v>0</v>
      </c>
      <c r="W130" s="375">
        <f>'Venting Cutoff Humidity Ratio'!M32</f>
        <v>0</v>
      </c>
      <c r="X130" s="375">
        <f>'Venting Cutoff Humidity Ratio'!N32</f>
        <v>0</v>
      </c>
      <c r="Y130" s="375">
        <f>'Venting Cutoff Humidity Ratio'!O32</f>
        <v>0</v>
      </c>
      <c r="Z130" s="375">
        <f>'Venting Cutoff Humidity Ratio'!P32</f>
        <v>0</v>
      </c>
      <c r="AA130" s="375">
        <f>'Venting Cutoff Humidity Ratio'!Q32</f>
        <v>6.8250000000000003E-3</v>
      </c>
      <c r="AB130" s="375">
        <f>'Venting Cutoff Humidity Ratio'!R32</f>
        <v>3.4429999999999999E-3</v>
      </c>
    </row>
    <row r="131" spans="1:28" s="375" customFormat="1" ht="15" customHeight="1">
      <c r="A131" s="181" t="s">
        <v>1061</v>
      </c>
      <c r="B131" s="375" t="s">
        <v>1199</v>
      </c>
      <c r="C131" s="375">
        <f>'Venting Cutoff Humidity Ratio'!B33</f>
        <v>7.8799999999999999E-3</v>
      </c>
      <c r="E131" s="375" t="s">
        <v>1222</v>
      </c>
      <c r="L131" s="375">
        <f>'Venting Cutoff Humidity Ratio'!B33</f>
        <v>7.8799999999999999E-3</v>
      </c>
      <c r="M131" s="375">
        <f>'Venting Cutoff Humidity Ratio'!C33</f>
        <v>3.6329999999999999E-3</v>
      </c>
      <c r="N131" s="375">
        <f>'Venting Cutoff Humidity Ratio'!D33</f>
        <v>0</v>
      </c>
      <c r="O131" s="375">
        <f>'Venting Cutoff Humidity Ratio'!E33</f>
        <v>1.9650000000000002E-3</v>
      </c>
      <c r="P131" s="375">
        <f>'Venting Cutoff Humidity Ratio'!F33</f>
        <v>0</v>
      </c>
      <c r="Q131" s="375">
        <f>'Venting Cutoff Humidity Ratio'!G33</f>
        <v>0</v>
      </c>
      <c r="R131" s="375">
        <f>'Venting Cutoff Humidity Ratio'!H33</f>
        <v>1.6559999999999999E-3</v>
      </c>
      <c r="S131" s="375">
        <f>'Venting Cutoff Humidity Ratio'!I33</f>
        <v>0</v>
      </c>
      <c r="T131" s="375">
        <f>'Venting Cutoff Humidity Ratio'!J33</f>
        <v>0</v>
      </c>
      <c r="U131" s="375">
        <f>'Venting Cutoff Humidity Ratio'!K33</f>
        <v>0</v>
      </c>
      <c r="V131" s="375">
        <f>'Venting Cutoff Humidity Ratio'!L33</f>
        <v>0</v>
      </c>
      <c r="W131" s="375">
        <f>'Venting Cutoff Humidity Ratio'!M33</f>
        <v>0</v>
      </c>
      <c r="X131" s="375">
        <f>'Venting Cutoff Humidity Ratio'!N33</f>
        <v>0</v>
      </c>
      <c r="Y131" s="375">
        <f>'Venting Cutoff Humidity Ratio'!O33</f>
        <v>0</v>
      </c>
      <c r="Z131" s="375">
        <f>'Venting Cutoff Humidity Ratio'!P33</f>
        <v>0</v>
      </c>
      <c r="AA131" s="375">
        <f>'Venting Cutoff Humidity Ratio'!Q33</f>
        <v>6.6210000000000001E-3</v>
      </c>
      <c r="AB131" s="375">
        <f>'Venting Cutoff Humidity Ratio'!R33</f>
        <v>2.928E-3</v>
      </c>
    </row>
    <row r="132" spans="1:28" s="375" customFormat="1" ht="15" customHeight="1">
      <c r="A132" s="181" t="s">
        <v>1061</v>
      </c>
      <c r="B132" s="375" t="s">
        <v>1200</v>
      </c>
      <c r="C132" s="375">
        <f>'Venting Cutoff Humidity Ratio'!B34</f>
        <v>8.541E-3</v>
      </c>
      <c r="E132" s="375" t="s">
        <v>1222</v>
      </c>
      <c r="L132" s="375">
        <f>'Venting Cutoff Humidity Ratio'!B34</f>
        <v>8.541E-3</v>
      </c>
      <c r="M132" s="375">
        <f>'Venting Cutoff Humidity Ratio'!C34</f>
        <v>4.7939999999999997E-3</v>
      </c>
      <c r="N132" s="375">
        <f>'Venting Cutoff Humidity Ratio'!D34</f>
        <v>0</v>
      </c>
      <c r="O132" s="375">
        <f>'Venting Cutoff Humidity Ratio'!E34</f>
        <v>3.9420000000000002E-3</v>
      </c>
      <c r="P132" s="375">
        <f>'Venting Cutoff Humidity Ratio'!F34</f>
        <v>0</v>
      </c>
      <c r="Q132" s="375">
        <f>'Venting Cutoff Humidity Ratio'!G34</f>
        <v>0</v>
      </c>
      <c r="R132" s="375">
        <f>'Venting Cutoff Humidity Ratio'!H34</f>
        <v>2.088E-3</v>
      </c>
      <c r="S132" s="375">
        <f>'Venting Cutoff Humidity Ratio'!I34</f>
        <v>0</v>
      </c>
      <c r="T132" s="375">
        <f>'Venting Cutoff Humidity Ratio'!J34</f>
        <v>0</v>
      </c>
      <c r="U132" s="375">
        <f>'Venting Cutoff Humidity Ratio'!K34</f>
        <v>0</v>
      </c>
      <c r="V132" s="375">
        <f>'Venting Cutoff Humidity Ratio'!L34</f>
        <v>0</v>
      </c>
      <c r="W132" s="375">
        <f>'Venting Cutoff Humidity Ratio'!M34</f>
        <v>0</v>
      </c>
      <c r="X132" s="375">
        <f>'Venting Cutoff Humidity Ratio'!N34</f>
        <v>0</v>
      </c>
      <c r="Y132" s="375">
        <f>'Venting Cutoff Humidity Ratio'!O34</f>
        <v>0</v>
      </c>
      <c r="Z132" s="375">
        <f>'Venting Cutoff Humidity Ratio'!P34</f>
        <v>0</v>
      </c>
      <c r="AA132" s="375">
        <f>'Venting Cutoff Humidity Ratio'!Q34</f>
        <v>4.6239999999999996E-3</v>
      </c>
      <c r="AB132" s="375">
        <f>'Venting Cutoff Humidity Ratio'!R34</f>
        <v>4.9439999999999996E-3</v>
      </c>
    </row>
    <row r="133" spans="1:28" ht="15" customHeight="1">
      <c r="A133" s="181" t="s">
        <v>1061</v>
      </c>
      <c r="B133" s="375" t="s">
        <v>1201</v>
      </c>
      <c r="C133" s="375">
        <f>'Venting Cutoff Humidity Ratio'!B35</f>
        <v>1.1350000000000001E-2</v>
      </c>
      <c r="E133" s="375" t="s">
        <v>1222</v>
      </c>
      <c r="L133" s="375">
        <f>'Venting Cutoff Humidity Ratio'!B35</f>
        <v>1.1350000000000001E-2</v>
      </c>
      <c r="M133" s="375">
        <f>'Venting Cutoff Humidity Ratio'!C35</f>
        <v>9.1559999999999992E-3</v>
      </c>
      <c r="N133" s="375">
        <f>'Venting Cutoff Humidity Ratio'!D35</f>
        <v>0</v>
      </c>
      <c r="O133" s="375">
        <f>'Venting Cutoff Humidity Ratio'!E35</f>
        <v>4.6220000000000002E-3</v>
      </c>
      <c r="P133" s="375">
        <f>'Venting Cutoff Humidity Ratio'!F35</f>
        <v>0</v>
      </c>
      <c r="Q133" s="375">
        <f>'Venting Cutoff Humidity Ratio'!G35</f>
        <v>0</v>
      </c>
      <c r="R133" s="375">
        <f>'Venting Cutoff Humidity Ratio'!H35</f>
        <v>4.0499999999999998E-3</v>
      </c>
      <c r="S133" s="375">
        <f>'Venting Cutoff Humidity Ratio'!I35</f>
        <v>0</v>
      </c>
      <c r="T133" s="375">
        <f>'Venting Cutoff Humidity Ratio'!J35</f>
        <v>0</v>
      </c>
      <c r="U133" s="375">
        <f>'Venting Cutoff Humidity Ratio'!K35</f>
        <v>0</v>
      </c>
      <c r="V133" s="375">
        <f>'Venting Cutoff Humidity Ratio'!L35</f>
        <v>0</v>
      </c>
      <c r="W133" s="375">
        <f>'Venting Cutoff Humidity Ratio'!M35</f>
        <v>0</v>
      </c>
      <c r="X133" s="375">
        <f>'Venting Cutoff Humidity Ratio'!N35</f>
        <v>0</v>
      </c>
      <c r="Y133" s="375">
        <f>'Venting Cutoff Humidity Ratio'!O35</f>
        <v>0</v>
      </c>
      <c r="Z133" s="375">
        <f>'Venting Cutoff Humidity Ratio'!P35</f>
        <v>0</v>
      </c>
      <c r="AA133" s="375">
        <f>'Venting Cutoff Humidity Ratio'!Q35</f>
        <v>8.0610000000000005E-3</v>
      </c>
      <c r="AB133" s="375">
        <f>'Venting Cutoff Humidity Ratio'!R35</f>
        <v>6.4580000000000002E-3</v>
      </c>
    </row>
    <row r="134" spans="1:28" ht="15" customHeight="1">
      <c r="A134" s="181" t="s">
        <v>1061</v>
      </c>
      <c r="B134" s="375" t="s">
        <v>1202</v>
      </c>
      <c r="C134" s="375">
        <f>'Venting Cutoff Humidity Ratio'!B36</f>
        <v>1.4200000000000001E-2</v>
      </c>
      <c r="E134" s="375" t="s">
        <v>1222</v>
      </c>
      <c r="L134" s="375">
        <f>'Venting Cutoff Humidity Ratio'!B36</f>
        <v>1.4200000000000001E-2</v>
      </c>
      <c r="M134" s="375">
        <f>'Venting Cutoff Humidity Ratio'!C36</f>
        <v>1.2579999999999999E-2</v>
      </c>
      <c r="N134" s="375">
        <f>'Venting Cutoff Humidity Ratio'!D36</f>
        <v>0</v>
      </c>
      <c r="O134" s="375">
        <f>'Venting Cutoff Humidity Ratio'!E36</f>
        <v>8.8590000000000006E-3</v>
      </c>
      <c r="P134" s="375">
        <f>'Venting Cutoff Humidity Ratio'!F36</f>
        <v>0</v>
      </c>
      <c r="Q134" s="375">
        <f>'Venting Cutoff Humidity Ratio'!G36</f>
        <v>0</v>
      </c>
      <c r="R134" s="375">
        <f>'Venting Cutoff Humidity Ratio'!H36</f>
        <v>5.8789999999999997E-3</v>
      </c>
      <c r="S134" s="375">
        <f>'Venting Cutoff Humidity Ratio'!I36</f>
        <v>0</v>
      </c>
      <c r="T134" s="375">
        <f>'Venting Cutoff Humidity Ratio'!J36</f>
        <v>0</v>
      </c>
      <c r="U134" s="375">
        <f>'Venting Cutoff Humidity Ratio'!K36</f>
        <v>0</v>
      </c>
      <c r="V134" s="375">
        <f>'Venting Cutoff Humidity Ratio'!L36</f>
        <v>0</v>
      </c>
      <c r="W134" s="375">
        <f>'Venting Cutoff Humidity Ratio'!M36</f>
        <v>0</v>
      </c>
      <c r="X134" s="375">
        <f>'Venting Cutoff Humidity Ratio'!N36</f>
        <v>0</v>
      </c>
      <c r="Y134" s="375">
        <f>'Venting Cutoff Humidity Ratio'!O36</f>
        <v>0</v>
      </c>
      <c r="Z134" s="375">
        <f>'Venting Cutoff Humidity Ratio'!P36</f>
        <v>0</v>
      </c>
      <c r="AA134" s="375">
        <f>'Venting Cutoff Humidity Ratio'!Q36</f>
        <v>1.0699999999999999E-2</v>
      </c>
      <c r="AB134" s="375">
        <f>'Venting Cutoff Humidity Ratio'!R36</f>
        <v>1.091E-2</v>
      </c>
    </row>
    <row r="135" spans="1:28" ht="15" customHeight="1">
      <c r="A135" s="181" t="s">
        <v>1061</v>
      </c>
      <c r="B135" s="375" t="s">
        <v>1203</v>
      </c>
      <c r="C135" s="375">
        <f>'Venting Cutoff Humidity Ratio'!B37</f>
        <v>1.6289999999999999E-2</v>
      </c>
      <c r="E135" s="375" t="s">
        <v>1222</v>
      </c>
      <c r="L135" s="375">
        <f>'Venting Cutoff Humidity Ratio'!B37</f>
        <v>1.6289999999999999E-2</v>
      </c>
      <c r="M135" s="375">
        <f>'Venting Cutoff Humidity Ratio'!C37</f>
        <v>1.6219999999999998E-2</v>
      </c>
      <c r="N135" s="375">
        <f>'Venting Cutoff Humidity Ratio'!D37</f>
        <v>0</v>
      </c>
      <c r="O135" s="375">
        <f>'Venting Cutoff Humidity Ratio'!E37</f>
        <v>1.2749999999999999E-2</v>
      </c>
      <c r="P135" s="375">
        <f>'Venting Cutoff Humidity Ratio'!F37</f>
        <v>0</v>
      </c>
      <c r="Q135" s="375">
        <f>'Venting Cutoff Humidity Ratio'!G37</f>
        <v>0</v>
      </c>
      <c r="R135" s="375">
        <f>'Venting Cutoff Humidity Ratio'!H37</f>
        <v>9.5149999999999992E-3</v>
      </c>
      <c r="S135" s="375">
        <f>'Venting Cutoff Humidity Ratio'!I37</f>
        <v>0</v>
      </c>
      <c r="T135" s="375">
        <f>'Venting Cutoff Humidity Ratio'!J37</f>
        <v>0</v>
      </c>
      <c r="U135" s="375">
        <f>'Venting Cutoff Humidity Ratio'!K37</f>
        <v>0</v>
      </c>
      <c r="V135" s="375">
        <f>'Venting Cutoff Humidity Ratio'!L37</f>
        <v>0</v>
      </c>
      <c r="W135" s="375">
        <f>'Venting Cutoff Humidity Ratio'!M37</f>
        <v>0</v>
      </c>
      <c r="X135" s="375">
        <f>'Venting Cutoff Humidity Ratio'!N37</f>
        <v>0</v>
      </c>
      <c r="Y135" s="375">
        <f>'Venting Cutoff Humidity Ratio'!O37</f>
        <v>0</v>
      </c>
      <c r="Z135" s="375">
        <f>'Venting Cutoff Humidity Ratio'!P37</f>
        <v>0</v>
      </c>
      <c r="AA135" s="375">
        <f>'Venting Cutoff Humidity Ratio'!Q37</f>
        <v>1.371E-2</v>
      </c>
      <c r="AB135" s="375">
        <f>'Venting Cutoff Humidity Ratio'!R37</f>
        <v>1.4019999999999999E-2</v>
      </c>
    </row>
    <row r="136" spans="1:28" ht="15" customHeight="1">
      <c r="A136" s="181" t="s">
        <v>1061</v>
      </c>
      <c r="B136" s="375" t="s">
        <v>1204</v>
      </c>
      <c r="C136" s="375">
        <f>'Venting Cutoff Humidity Ratio'!B38</f>
        <v>1.6670000000000001E-2</v>
      </c>
      <c r="E136" s="375" t="s">
        <v>1222</v>
      </c>
      <c r="L136" s="375">
        <f>'Venting Cutoff Humidity Ratio'!B38</f>
        <v>1.6670000000000001E-2</v>
      </c>
      <c r="M136" s="375">
        <f>'Venting Cutoff Humidity Ratio'!C38</f>
        <v>1.6740000000000001E-2</v>
      </c>
      <c r="N136" s="375">
        <f>'Venting Cutoff Humidity Ratio'!D38</f>
        <v>0</v>
      </c>
      <c r="O136" s="375">
        <f>'Venting Cutoff Humidity Ratio'!E38</f>
        <v>1.426E-2</v>
      </c>
      <c r="P136" s="375">
        <f>'Venting Cutoff Humidity Ratio'!F38</f>
        <v>0</v>
      </c>
      <c r="Q136" s="375">
        <f>'Venting Cutoff Humidity Ratio'!G38</f>
        <v>0</v>
      </c>
      <c r="R136" s="375">
        <f>'Venting Cutoff Humidity Ratio'!H38</f>
        <v>1.163E-2</v>
      </c>
      <c r="S136" s="375">
        <f>'Venting Cutoff Humidity Ratio'!I38</f>
        <v>0</v>
      </c>
      <c r="T136" s="375">
        <f>'Venting Cutoff Humidity Ratio'!J38</f>
        <v>0</v>
      </c>
      <c r="U136" s="375">
        <f>'Venting Cutoff Humidity Ratio'!K38</f>
        <v>0</v>
      </c>
      <c r="V136" s="375">
        <f>'Venting Cutoff Humidity Ratio'!L38</f>
        <v>0</v>
      </c>
      <c r="W136" s="375">
        <f>'Venting Cutoff Humidity Ratio'!M38</f>
        <v>0</v>
      </c>
      <c r="X136" s="375">
        <f>'Venting Cutoff Humidity Ratio'!N38</f>
        <v>0</v>
      </c>
      <c r="Y136" s="375">
        <f>'Venting Cutoff Humidity Ratio'!O38</f>
        <v>0</v>
      </c>
      <c r="Z136" s="375">
        <f>'Venting Cutoff Humidity Ratio'!P38</f>
        <v>0</v>
      </c>
      <c r="AA136" s="375">
        <f>'Venting Cutoff Humidity Ratio'!Q38</f>
        <v>1.668E-2</v>
      </c>
      <c r="AB136" s="375">
        <f>'Venting Cutoff Humidity Ratio'!R38</f>
        <v>1.6289999999999999E-2</v>
      </c>
    </row>
    <row r="137" spans="1:28" ht="15" customHeight="1">
      <c r="A137" s="181" t="s">
        <v>1061</v>
      </c>
      <c r="B137" s="375" t="s">
        <v>1205</v>
      </c>
      <c r="C137" s="375">
        <f>'Venting Cutoff Humidity Ratio'!B39</f>
        <v>1.686E-2</v>
      </c>
      <c r="E137" s="375" t="s">
        <v>1222</v>
      </c>
      <c r="L137" s="375">
        <f>'Venting Cutoff Humidity Ratio'!B39</f>
        <v>1.686E-2</v>
      </c>
      <c r="M137" s="375">
        <f>'Venting Cutoff Humidity Ratio'!C39</f>
        <v>1.6830000000000001E-2</v>
      </c>
      <c r="N137" s="375">
        <f>'Venting Cutoff Humidity Ratio'!D39</f>
        <v>0</v>
      </c>
      <c r="O137" s="375">
        <f>'Venting Cutoff Humidity Ratio'!E39</f>
        <v>1.239E-2</v>
      </c>
      <c r="P137" s="375">
        <f>'Venting Cutoff Humidity Ratio'!F39</f>
        <v>0</v>
      </c>
      <c r="Q137" s="375">
        <f>'Venting Cutoff Humidity Ratio'!G39</f>
        <v>0</v>
      </c>
      <c r="R137" s="375">
        <f>'Venting Cutoff Humidity Ratio'!H39</f>
        <v>1.059E-2</v>
      </c>
      <c r="S137" s="375">
        <f>'Venting Cutoff Humidity Ratio'!I39</f>
        <v>0</v>
      </c>
      <c r="T137" s="375">
        <f>'Venting Cutoff Humidity Ratio'!J39</f>
        <v>0</v>
      </c>
      <c r="U137" s="375">
        <f>'Venting Cutoff Humidity Ratio'!K39</f>
        <v>0</v>
      </c>
      <c r="V137" s="375">
        <f>'Venting Cutoff Humidity Ratio'!L39</f>
        <v>0</v>
      </c>
      <c r="W137" s="375">
        <f>'Venting Cutoff Humidity Ratio'!M39</f>
        <v>0</v>
      </c>
      <c r="X137" s="375">
        <f>'Venting Cutoff Humidity Ratio'!N39</f>
        <v>0</v>
      </c>
      <c r="Y137" s="375">
        <f>'Venting Cutoff Humidity Ratio'!O39</f>
        <v>0</v>
      </c>
      <c r="Z137" s="375">
        <f>'Venting Cutoff Humidity Ratio'!P39</f>
        <v>0</v>
      </c>
      <c r="AA137" s="375">
        <f>'Venting Cutoff Humidity Ratio'!Q39</f>
        <v>1.6760000000000001E-2</v>
      </c>
      <c r="AB137" s="375">
        <f>'Venting Cutoff Humidity Ratio'!R39</f>
        <v>1.626E-2</v>
      </c>
    </row>
    <row r="138" spans="1:28" ht="15" customHeight="1">
      <c r="A138" s="181" t="s">
        <v>1061</v>
      </c>
      <c r="B138" s="375" t="s">
        <v>1206</v>
      </c>
      <c r="C138" s="375">
        <f>'Venting Cutoff Humidity Ratio'!B40</f>
        <v>1.6320000000000001E-2</v>
      </c>
      <c r="E138" s="375" t="s">
        <v>1222</v>
      </c>
      <c r="L138" s="375">
        <f>'Venting Cutoff Humidity Ratio'!B40</f>
        <v>1.6320000000000001E-2</v>
      </c>
      <c r="M138" s="375">
        <f>'Venting Cutoff Humidity Ratio'!C40</f>
        <v>1.145E-2</v>
      </c>
      <c r="N138" s="375">
        <f>'Venting Cutoff Humidity Ratio'!D40</f>
        <v>0</v>
      </c>
      <c r="O138" s="375">
        <f>'Venting Cutoff Humidity Ratio'!E40</f>
        <v>1.0970000000000001E-2</v>
      </c>
      <c r="P138" s="375">
        <f>'Venting Cutoff Humidity Ratio'!F40</f>
        <v>0</v>
      </c>
      <c r="Q138" s="375">
        <f>'Venting Cutoff Humidity Ratio'!G40</f>
        <v>0</v>
      </c>
      <c r="R138" s="375">
        <f>'Venting Cutoff Humidity Ratio'!H40</f>
        <v>8.8909999999999996E-3</v>
      </c>
      <c r="S138" s="375">
        <f>'Venting Cutoff Humidity Ratio'!I40</f>
        <v>0</v>
      </c>
      <c r="T138" s="375">
        <f>'Venting Cutoff Humidity Ratio'!J40</f>
        <v>0</v>
      </c>
      <c r="U138" s="375">
        <f>'Venting Cutoff Humidity Ratio'!K40</f>
        <v>0</v>
      </c>
      <c r="V138" s="375">
        <f>'Venting Cutoff Humidity Ratio'!L40</f>
        <v>0</v>
      </c>
      <c r="W138" s="375">
        <f>'Venting Cutoff Humidity Ratio'!M40</f>
        <v>0</v>
      </c>
      <c r="X138" s="375">
        <f>'Venting Cutoff Humidity Ratio'!N40</f>
        <v>0</v>
      </c>
      <c r="Y138" s="375">
        <f>'Venting Cutoff Humidity Ratio'!O40</f>
        <v>0</v>
      </c>
      <c r="Z138" s="375">
        <f>'Venting Cutoff Humidity Ratio'!P40</f>
        <v>0</v>
      </c>
      <c r="AA138" s="375">
        <f>'Venting Cutoff Humidity Ratio'!Q40</f>
        <v>1.404E-2</v>
      </c>
      <c r="AB138" s="375">
        <f>'Venting Cutoff Humidity Ratio'!R40</f>
        <v>1.3559999999999999E-2</v>
      </c>
    </row>
    <row r="139" spans="1:28" ht="15" customHeight="1">
      <c r="A139" s="181" t="s">
        <v>1061</v>
      </c>
      <c r="B139" s="375" t="s">
        <v>1207</v>
      </c>
      <c r="C139" s="375">
        <f>'Venting Cutoff Humidity Ratio'!B41</f>
        <v>1.4590000000000001E-2</v>
      </c>
      <c r="E139" s="375" t="s">
        <v>1222</v>
      </c>
      <c r="L139" s="375">
        <f>'Venting Cutoff Humidity Ratio'!B41</f>
        <v>1.4590000000000001E-2</v>
      </c>
      <c r="M139" s="375">
        <f>'Venting Cutoff Humidity Ratio'!C41</f>
        <v>7.8910000000000004E-3</v>
      </c>
      <c r="N139" s="375">
        <f>'Venting Cutoff Humidity Ratio'!D41</f>
        <v>0</v>
      </c>
      <c r="O139" s="375">
        <f>'Venting Cutoff Humidity Ratio'!E41</f>
        <v>5.4270000000000004E-3</v>
      </c>
      <c r="P139" s="375">
        <f>'Venting Cutoff Humidity Ratio'!F41</f>
        <v>0</v>
      </c>
      <c r="Q139" s="375">
        <f>'Venting Cutoff Humidity Ratio'!G41</f>
        <v>0</v>
      </c>
      <c r="R139" s="375">
        <f>'Venting Cutoff Humidity Ratio'!H41</f>
        <v>3.9449999999999997E-3</v>
      </c>
      <c r="S139" s="375">
        <f>'Venting Cutoff Humidity Ratio'!I41</f>
        <v>0</v>
      </c>
      <c r="T139" s="375">
        <f>'Venting Cutoff Humidity Ratio'!J41</f>
        <v>0</v>
      </c>
      <c r="U139" s="375">
        <f>'Venting Cutoff Humidity Ratio'!K41</f>
        <v>0</v>
      </c>
      <c r="V139" s="375">
        <f>'Venting Cutoff Humidity Ratio'!L41</f>
        <v>0</v>
      </c>
      <c r="W139" s="375">
        <f>'Venting Cutoff Humidity Ratio'!M41</f>
        <v>0</v>
      </c>
      <c r="X139" s="375">
        <f>'Venting Cutoff Humidity Ratio'!N41</f>
        <v>0</v>
      </c>
      <c r="Y139" s="375">
        <f>'Venting Cutoff Humidity Ratio'!O41</f>
        <v>0</v>
      </c>
      <c r="Z139" s="375">
        <f>'Venting Cutoff Humidity Ratio'!P41</f>
        <v>0</v>
      </c>
      <c r="AA139" s="375">
        <f>'Venting Cutoff Humidity Ratio'!Q41</f>
        <v>1.0500000000000001E-2</v>
      </c>
      <c r="AB139" s="375">
        <f>'Venting Cutoff Humidity Ratio'!R41</f>
        <v>7.4929999999999997E-3</v>
      </c>
    </row>
    <row r="140" spans="1:28" ht="15" customHeight="1">
      <c r="A140" s="181" t="s">
        <v>1061</v>
      </c>
      <c r="B140" s="375" t="s">
        <v>1208</v>
      </c>
      <c r="C140" s="375">
        <f>'Venting Cutoff Humidity Ratio'!B42</f>
        <v>1.225E-2</v>
      </c>
      <c r="E140" s="375" t="s">
        <v>1222</v>
      </c>
      <c r="L140" s="375">
        <f>'Venting Cutoff Humidity Ratio'!B42</f>
        <v>1.225E-2</v>
      </c>
      <c r="M140" s="375">
        <f>'Venting Cutoff Humidity Ratio'!C42</f>
        <v>6.0429999999999998E-3</v>
      </c>
      <c r="N140" s="375">
        <f>'Venting Cutoff Humidity Ratio'!D42</f>
        <v>0</v>
      </c>
      <c r="O140" s="375">
        <f>'Venting Cutoff Humidity Ratio'!E42</f>
        <v>4.2989999999999999E-3</v>
      </c>
      <c r="P140" s="375">
        <f>'Venting Cutoff Humidity Ratio'!F42</f>
        <v>0</v>
      </c>
      <c r="Q140" s="375">
        <f>'Venting Cutoff Humidity Ratio'!G42</f>
        <v>0</v>
      </c>
      <c r="R140" s="375">
        <f>'Venting Cutoff Humidity Ratio'!H42</f>
        <v>3.2200000000000002E-3</v>
      </c>
      <c r="S140" s="375">
        <f>'Venting Cutoff Humidity Ratio'!I42</f>
        <v>0</v>
      </c>
      <c r="T140" s="375">
        <f>'Venting Cutoff Humidity Ratio'!J42</f>
        <v>0</v>
      </c>
      <c r="U140" s="375">
        <f>'Venting Cutoff Humidity Ratio'!K42</f>
        <v>0</v>
      </c>
      <c r="V140" s="375">
        <f>'Venting Cutoff Humidity Ratio'!L42</f>
        <v>0</v>
      </c>
      <c r="W140" s="375">
        <f>'Venting Cutoff Humidity Ratio'!M42</f>
        <v>0</v>
      </c>
      <c r="X140" s="375">
        <f>'Venting Cutoff Humidity Ratio'!N42</f>
        <v>0</v>
      </c>
      <c r="Y140" s="375">
        <f>'Venting Cutoff Humidity Ratio'!O42</f>
        <v>0</v>
      </c>
      <c r="Z140" s="375">
        <f>'Venting Cutoff Humidity Ratio'!P42</f>
        <v>0</v>
      </c>
      <c r="AA140" s="375">
        <f>'Venting Cutoff Humidity Ratio'!Q42</f>
        <v>7.1399999999999996E-3</v>
      </c>
      <c r="AB140" s="375">
        <f>'Venting Cutoff Humidity Ratio'!R42</f>
        <v>5.2579999999999997E-3</v>
      </c>
    </row>
    <row r="141" spans="1:28" ht="15" customHeight="1">
      <c r="A141" s="181" t="s">
        <v>1061</v>
      </c>
      <c r="B141" s="375" t="s">
        <v>1209</v>
      </c>
      <c r="C141" s="375">
        <f>'Venting Cutoff Humidity Ratio'!B43</f>
        <v>8.7150000000000005E-3</v>
      </c>
      <c r="E141" s="375" t="s">
        <v>1222</v>
      </c>
      <c r="L141" s="375">
        <f>'Venting Cutoff Humidity Ratio'!B43</f>
        <v>8.7150000000000005E-3</v>
      </c>
      <c r="M141" s="375">
        <f>'Venting Cutoff Humidity Ratio'!C43</f>
        <v>4.2940000000000001E-3</v>
      </c>
      <c r="N141" s="375">
        <f>'Venting Cutoff Humidity Ratio'!D43</f>
        <v>0</v>
      </c>
      <c r="O141" s="375">
        <f>'Venting Cutoff Humidity Ratio'!E43</f>
        <v>2.2769999999999999E-3</v>
      </c>
      <c r="P141" s="375">
        <f>'Venting Cutoff Humidity Ratio'!F43</f>
        <v>0</v>
      </c>
      <c r="Q141" s="375">
        <f>'Venting Cutoff Humidity Ratio'!G43</f>
        <v>0</v>
      </c>
      <c r="R141" s="375">
        <f>'Venting Cutoff Humidity Ratio'!H43</f>
        <v>1.505E-3</v>
      </c>
      <c r="S141" s="375">
        <f>'Venting Cutoff Humidity Ratio'!I43</f>
        <v>0</v>
      </c>
      <c r="T141" s="375">
        <f>'Venting Cutoff Humidity Ratio'!J43</f>
        <v>0</v>
      </c>
      <c r="U141" s="375">
        <f>'Venting Cutoff Humidity Ratio'!K43</f>
        <v>0</v>
      </c>
      <c r="V141" s="375">
        <f>'Venting Cutoff Humidity Ratio'!L43</f>
        <v>0</v>
      </c>
      <c r="W141" s="375">
        <f>'Venting Cutoff Humidity Ratio'!M43</f>
        <v>0</v>
      </c>
      <c r="X141" s="375">
        <f>'Venting Cutoff Humidity Ratio'!N43</f>
        <v>0</v>
      </c>
      <c r="Y141" s="375">
        <f>'Venting Cutoff Humidity Ratio'!O43</f>
        <v>0</v>
      </c>
      <c r="Z141" s="375">
        <f>'Venting Cutoff Humidity Ratio'!P43</f>
        <v>0</v>
      </c>
      <c r="AA141" s="375">
        <f>'Venting Cutoff Humidity Ratio'!Q43</f>
        <v>6.6519999999999999E-3</v>
      </c>
      <c r="AB141" s="375">
        <f>'Venting Cutoff Humidity Ratio'!R43</f>
        <v>2.604E-3</v>
      </c>
    </row>
    <row r="142" spans="1:28" ht="15" customHeight="1">
      <c r="A142" s="181" t="s">
        <v>1061</v>
      </c>
      <c r="B142" s="375" t="s">
        <v>1210</v>
      </c>
      <c r="C142" s="25">
        <f>'Venting Cutoff Humidity Ratio'!B49</f>
        <v>1.3089999999999999E-2</v>
      </c>
      <c r="E142" s="375" t="s">
        <v>1223</v>
      </c>
      <c r="L142" s="25">
        <f>'Venting Cutoff Humidity Ratio'!B49</f>
        <v>1.3089999999999999E-2</v>
      </c>
      <c r="M142" s="344">
        <f>'Venting Cutoff Humidity Ratio'!C49</f>
        <v>8.8339999999999998E-3</v>
      </c>
      <c r="N142" s="344">
        <f>'Venting Cutoff Humidity Ratio'!D49</f>
        <v>0</v>
      </c>
      <c r="O142" s="344">
        <f>'Venting Cutoff Humidity Ratio'!E49</f>
        <v>5.5209999999999999E-3</v>
      </c>
      <c r="P142" s="344">
        <f>'Venting Cutoff Humidity Ratio'!F49</f>
        <v>0</v>
      </c>
      <c r="Q142" s="344">
        <f>'Venting Cutoff Humidity Ratio'!G49</f>
        <v>0</v>
      </c>
      <c r="R142" s="344">
        <f>'Venting Cutoff Humidity Ratio'!H49</f>
        <v>3.2390000000000001E-3</v>
      </c>
      <c r="S142" s="344">
        <f>'Venting Cutoff Humidity Ratio'!I49</f>
        <v>0</v>
      </c>
      <c r="T142" s="344">
        <f>'Venting Cutoff Humidity Ratio'!J49</f>
        <v>0</v>
      </c>
      <c r="U142" s="344">
        <f>'Venting Cutoff Humidity Ratio'!K49</f>
        <v>0</v>
      </c>
      <c r="V142" s="344">
        <f>'Venting Cutoff Humidity Ratio'!L49</f>
        <v>0</v>
      </c>
      <c r="W142" s="344">
        <f>'Venting Cutoff Humidity Ratio'!M49</f>
        <v>0</v>
      </c>
      <c r="X142" s="344">
        <f>'Venting Cutoff Humidity Ratio'!N49</f>
        <v>0</v>
      </c>
      <c r="Y142" s="344">
        <f>'Venting Cutoff Humidity Ratio'!O49</f>
        <v>0</v>
      </c>
      <c r="Z142" s="344">
        <f>'Venting Cutoff Humidity Ratio'!P49</f>
        <v>0</v>
      </c>
      <c r="AA142" s="344">
        <f>'Venting Cutoff Humidity Ratio'!Q49</f>
        <v>1.0449999999999999E-2</v>
      </c>
      <c r="AB142" s="344">
        <f>'Venting Cutoff Humidity Ratio'!R49</f>
        <v>6.9750000000000003E-3</v>
      </c>
    </row>
    <row r="143" spans="1:28" ht="15" customHeight="1">
      <c r="A143" s="181" t="s">
        <v>1061</v>
      </c>
      <c r="B143" s="375" t="s">
        <v>1211</v>
      </c>
      <c r="C143" s="344">
        <f>'Venting Cutoff Humidity Ratio'!B50</f>
        <v>1.312E-2</v>
      </c>
      <c r="E143" s="375" t="s">
        <v>1223</v>
      </c>
      <c r="L143" s="344">
        <f>'Venting Cutoff Humidity Ratio'!B50</f>
        <v>1.312E-2</v>
      </c>
      <c r="M143" s="344">
        <f>'Venting Cutoff Humidity Ratio'!C50</f>
        <v>1.022E-2</v>
      </c>
      <c r="N143" s="344">
        <f>'Venting Cutoff Humidity Ratio'!D50</f>
        <v>0</v>
      </c>
      <c r="O143" s="344">
        <f>'Venting Cutoff Humidity Ratio'!E50</f>
        <v>5.0109999999999998E-3</v>
      </c>
      <c r="P143" s="344">
        <f>'Venting Cutoff Humidity Ratio'!F50</f>
        <v>0</v>
      </c>
      <c r="Q143" s="344">
        <f>'Venting Cutoff Humidity Ratio'!G50</f>
        <v>0</v>
      </c>
      <c r="R143" s="344">
        <f>'Venting Cutoff Humidity Ratio'!H50</f>
        <v>3.6640000000000002E-3</v>
      </c>
      <c r="S143" s="344">
        <f>'Venting Cutoff Humidity Ratio'!I50</f>
        <v>0</v>
      </c>
      <c r="T143" s="344">
        <f>'Venting Cutoff Humidity Ratio'!J50</f>
        <v>0</v>
      </c>
      <c r="U143" s="344">
        <f>'Venting Cutoff Humidity Ratio'!K50</f>
        <v>0</v>
      </c>
      <c r="V143" s="344">
        <f>'Venting Cutoff Humidity Ratio'!L50</f>
        <v>0</v>
      </c>
      <c r="W143" s="344">
        <f>'Venting Cutoff Humidity Ratio'!M50</f>
        <v>0</v>
      </c>
      <c r="X143" s="344">
        <f>'Venting Cutoff Humidity Ratio'!N50</f>
        <v>0</v>
      </c>
      <c r="Y143" s="344">
        <f>'Venting Cutoff Humidity Ratio'!O50</f>
        <v>0</v>
      </c>
      <c r="Z143" s="344">
        <f>'Venting Cutoff Humidity Ratio'!P50</f>
        <v>0</v>
      </c>
      <c r="AA143" s="344">
        <f>'Venting Cutoff Humidity Ratio'!Q50</f>
        <v>1.132E-2</v>
      </c>
      <c r="AB143" s="344">
        <f>'Venting Cutoff Humidity Ratio'!R50</f>
        <v>7.0429999999999998E-3</v>
      </c>
    </row>
    <row r="144" spans="1:28" ht="15" customHeight="1">
      <c r="A144" s="181" t="s">
        <v>1061</v>
      </c>
      <c r="B144" s="375" t="s">
        <v>1212</v>
      </c>
      <c r="C144" s="344">
        <f>'Venting Cutoff Humidity Ratio'!B51</f>
        <v>1.418E-2</v>
      </c>
      <c r="E144" s="375" t="s">
        <v>1223</v>
      </c>
      <c r="L144" s="344">
        <f>'Venting Cutoff Humidity Ratio'!B51</f>
        <v>1.418E-2</v>
      </c>
      <c r="M144" s="344">
        <f>'Venting Cutoff Humidity Ratio'!C51</f>
        <v>1.196E-2</v>
      </c>
      <c r="N144" s="344">
        <f>'Venting Cutoff Humidity Ratio'!D51</f>
        <v>0</v>
      </c>
      <c r="O144" s="344">
        <f>'Venting Cutoff Humidity Ratio'!E51</f>
        <v>8.2719999999999998E-3</v>
      </c>
      <c r="P144" s="344">
        <f>'Venting Cutoff Humidity Ratio'!F51</f>
        <v>0</v>
      </c>
      <c r="Q144" s="344">
        <f>'Venting Cutoff Humidity Ratio'!G51</f>
        <v>0</v>
      </c>
      <c r="R144" s="344">
        <f>'Venting Cutoff Humidity Ratio'!H51</f>
        <v>4.254E-3</v>
      </c>
      <c r="S144" s="344">
        <f>'Venting Cutoff Humidity Ratio'!I51</f>
        <v>0</v>
      </c>
      <c r="T144" s="344">
        <f>'Venting Cutoff Humidity Ratio'!J51</f>
        <v>0</v>
      </c>
      <c r="U144" s="344">
        <f>'Venting Cutoff Humidity Ratio'!K51</f>
        <v>0</v>
      </c>
      <c r="V144" s="344">
        <f>'Venting Cutoff Humidity Ratio'!L51</f>
        <v>0</v>
      </c>
      <c r="W144" s="344">
        <f>'Venting Cutoff Humidity Ratio'!M51</f>
        <v>0</v>
      </c>
      <c r="X144" s="344">
        <f>'Venting Cutoff Humidity Ratio'!N51</f>
        <v>0</v>
      </c>
      <c r="Y144" s="344">
        <f>'Venting Cutoff Humidity Ratio'!O51</f>
        <v>0</v>
      </c>
      <c r="Z144" s="344">
        <f>'Venting Cutoff Humidity Ratio'!P51</f>
        <v>0</v>
      </c>
      <c r="AA144" s="344">
        <f>'Venting Cutoff Humidity Ratio'!Q51</f>
        <v>1.102E-2</v>
      </c>
      <c r="AB144" s="344">
        <f>'Venting Cutoff Humidity Ratio'!R51</f>
        <v>0.01</v>
      </c>
    </row>
    <row r="145" spans="1:33" ht="15" customHeight="1">
      <c r="A145" s="181" t="s">
        <v>1061</v>
      </c>
      <c r="B145" s="375" t="s">
        <v>1213</v>
      </c>
      <c r="C145" s="344">
        <f>'Venting Cutoff Humidity Ratio'!B52</f>
        <v>1.405E-2</v>
      </c>
      <c r="E145" s="375" t="s">
        <v>1223</v>
      </c>
      <c r="L145" s="344">
        <f>'Venting Cutoff Humidity Ratio'!B52</f>
        <v>1.405E-2</v>
      </c>
      <c r="M145" s="344">
        <f>'Venting Cutoff Humidity Ratio'!C52</f>
        <v>1.41E-2</v>
      </c>
      <c r="N145" s="344">
        <f>'Venting Cutoff Humidity Ratio'!D52</f>
        <v>0</v>
      </c>
      <c r="O145" s="344">
        <f>'Venting Cutoff Humidity Ratio'!E52</f>
        <v>9.9340000000000001E-3</v>
      </c>
      <c r="P145" s="344">
        <f>'Venting Cutoff Humidity Ratio'!F52</f>
        <v>0</v>
      </c>
      <c r="Q145" s="344">
        <f>'Venting Cutoff Humidity Ratio'!G52</f>
        <v>0</v>
      </c>
      <c r="R145" s="344">
        <f>'Venting Cutoff Humidity Ratio'!H52</f>
        <v>7.2680000000000002E-3</v>
      </c>
      <c r="S145" s="344">
        <f>'Venting Cutoff Humidity Ratio'!I52</f>
        <v>0</v>
      </c>
      <c r="T145" s="344">
        <f>'Venting Cutoff Humidity Ratio'!J52</f>
        <v>0</v>
      </c>
      <c r="U145" s="344">
        <f>'Venting Cutoff Humidity Ratio'!K52</f>
        <v>0</v>
      </c>
      <c r="V145" s="344">
        <f>'Venting Cutoff Humidity Ratio'!L52</f>
        <v>0</v>
      </c>
      <c r="W145" s="344">
        <f>'Venting Cutoff Humidity Ratio'!M52</f>
        <v>0</v>
      </c>
      <c r="X145" s="344">
        <f>'Venting Cutoff Humidity Ratio'!N52</f>
        <v>0</v>
      </c>
      <c r="Y145" s="344">
        <f>'Venting Cutoff Humidity Ratio'!O52</f>
        <v>0</v>
      </c>
      <c r="Z145" s="344">
        <f>'Venting Cutoff Humidity Ratio'!P52</f>
        <v>0</v>
      </c>
      <c r="AA145" s="344">
        <f>'Venting Cutoff Humidity Ratio'!Q52</f>
        <v>1.208E-2</v>
      </c>
      <c r="AB145" s="344">
        <f>'Venting Cutoff Humidity Ratio'!R52</f>
        <v>1.1299999999999999E-2</v>
      </c>
    </row>
    <row r="146" spans="1:33" ht="15" customHeight="1">
      <c r="A146" s="181" t="s">
        <v>1061</v>
      </c>
      <c r="B146" s="375" t="s">
        <v>1214</v>
      </c>
      <c r="C146" s="344">
        <f>'Venting Cutoff Humidity Ratio'!B53</f>
        <v>1.6299999999999999E-2</v>
      </c>
      <c r="E146" s="375" t="s">
        <v>1223</v>
      </c>
      <c r="L146" s="344">
        <f>'Venting Cutoff Humidity Ratio'!B53</f>
        <v>1.6299999999999999E-2</v>
      </c>
      <c r="M146" s="344">
        <f>'Venting Cutoff Humidity Ratio'!C53</f>
        <v>1.5789999999999998E-2</v>
      </c>
      <c r="N146" s="344">
        <f>'Venting Cutoff Humidity Ratio'!D53</f>
        <v>0</v>
      </c>
      <c r="O146" s="344">
        <f>'Venting Cutoff Humidity Ratio'!E53</f>
        <v>1.43E-2</v>
      </c>
      <c r="P146" s="344">
        <f>'Venting Cutoff Humidity Ratio'!F53</f>
        <v>0</v>
      </c>
      <c r="Q146" s="344">
        <f>'Venting Cutoff Humidity Ratio'!G53</f>
        <v>0</v>
      </c>
      <c r="R146" s="344">
        <f>'Venting Cutoff Humidity Ratio'!H53</f>
        <v>1.107E-2</v>
      </c>
      <c r="S146" s="344">
        <f>'Venting Cutoff Humidity Ratio'!I53</f>
        <v>0</v>
      </c>
      <c r="T146" s="344">
        <f>'Venting Cutoff Humidity Ratio'!J53</f>
        <v>0</v>
      </c>
      <c r="U146" s="344">
        <f>'Venting Cutoff Humidity Ratio'!K53</f>
        <v>0</v>
      </c>
      <c r="V146" s="344">
        <f>'Venting Cutoff Humidity Ratio'!L53</f>
        <v>0</v>
      </c>
      <c r="W146" s="344">
        <f>'Venting Cutoff Humidity Ratio'!M53</f>
        <v>0</v>
      </c>
      <c r="X146" s="344">
        <f>'Venting Cutoff Humidity Ratio'!N53</f>
        <v>0</v>
      </c>
      <c r="Y146" s="344">
        <f>'Venting Cutoff Humidity Ratio'!O53</f>
        <v>0</v>
      </c>
      <c r="Z146" s="344">
        <f>'Venting Cutoff Humidity Ratio'!P53</f>
        <v>0</v>
      </c>
      <c r="AA146" s="344">
        <f>'Venting Cutoff Humidity Ratio'!Q53</f>
        <v>1.47E-2</v>
      </c>
      <c r="AB146" s="344">
        <f>'Venting Cutoff Humidity Ratio'!R53</f>
        <v>1.461E-2</v>
      </c>
    </row>
    <row r="147" spans="1:33" ht="15" customHeight="1">
      <c r="A147" s="181" t="s">
        <v>1061</v>
      </c>
      <c r="B147" s="375" t="s">
        <v>1215</v>
      </c>
      <c r="C147" s="344">
        <f>'Venting Cutoff Humidity Ratio'!B54</f>
        <v>1.805E-2</v>
      </c>
      <c r="E147" s="375" t="s">
        <v>1223</v>
      </c>
      <c r="L147" s="344">
        <f>'Venting Cutoff Humidity Ratio'!B54</f>
        <v>1.805E-2</v>
      </c>
      <c r="M147" s="344">
        <f>'Venting Cutoff Humidity Ratio'!C54</f>
        <v>1.8010000000000002E-2</v>
      </c>
      <c r="N147" s="344">
        <f>'Venting Cutoff Humidity Ratio'!D54</f>
        <v>0</v>
      </c>
      <c r="O147" s="344">
        <f>'Venting Cutoff Humidity Ratio'!E54</f>
        <v>1.6299999999999999E-2</v>
      </c>
      <c r="P147" s="344">
        <f>'Venting Cutoff Humidity Ratio'!F54</f>
        <v>0</v>
      </c>
      <c r="Q147" s="344">
        <f>'Venting Cutoff Humidity Ratio'!G54</f>
        <v>0</v>
      </c>
      <c r="R147" s="344">
        <f>'Venting Cutoff Humidity Ratio'!H54</f>
        <v>1.329E-2</v>
      </c>
      <c r="S147" s="344">
        <f>'Venting Cutoff Humidity Ratio'!I54</f>
        <v>0</v>
      </c>
      <c r="T147" s="344">
        <f>'Venting Cutoff Humidity Ratio'!J54</f>
        <v>0</v>
      </c>
      <c r="U147" s="344">
        <f>'Venting Cutoff Humidity Ratio'!K54</f>
        <v>0</v>
      </c>
      <c r="V147" s="344">
        <f>'Venting Cutoff Humidity Ratio'!L54</f>
        <v>0</v>
      </c>
      <c r="W147" s="344">
        <f>'Venting Cutoff Humidity Ratio'!M54</f>
        <v>0</v>
      </c>
      <c r="X147" s="344">
        <f>'Venting Cutoff Humidity Ratio'!N54</f>
        <v>0</v>
      </c>
      <c r="Y147" s="344">
        <f>'Venting Cutoff Humidity Ratio'!O54</f>
        <v>0</v>
      </c>
      <c r="Z147" s="344">
        <f>'Venting Cutoff Humidity Ratio'!P54</f>
        <v>0</v>
      </c>
      <c r="AA147" s="344">
        <f>'Venting Cutoff Humidity Ratio'!Q54</f>
        <v>1.6549999999999999E-2</v>
      </c>
      <c r="AB147" s="344">
        <f>'Venting Cutoff Humidity Ratio'!R54</f>
        <v>1.797E-2</v>
      </c>
    </row>
    <row r="148" spans="1:33" ht="15" customHeight="1">
      <c r="A148" s="181" t="s">
        <v>1061</v>
      </c>
      <c r="B148" s="375" t="s">
        <v>1216</v>
      </c>
      <c r="C148" s="344">
        <f>'Venting Cutoff Humidity Ratio'!B55</f>
        <v>1.8460000000000001E-2</v>
      </c>
      <c r="E148" s="375" t="s">
        <v>1223</v>
      </c>
      <c r="L148" s="344">
        <f>'Venting Cutoff Humidity Ratio'!B55</f>
        <v>1.8460000000000001E-2</v>
      </c>
      <c r="M148" s="344">
        <f>'Venting Cutoff Humidity Ratio'!C55</f>
        <v>1.8630000000000001E-2</v>
      </c>
      <c r="N148" s="344">
        <f>'Venting Cutoff Humidity Ratio'!D55</f>
        <v>0</v>
      </c>
      <c r="O148" s="344">
        <f>'Venting Cutoff Humidity Ratio'!E55</f>
        <v>1.6910000000000001E-2</v>
      </c>
      <c r="P148" s="344">
        <f>'Venting Cutoff Humidity Ratio'!F55</f>
        <v>0</v>
      </c>
      <c r="Q148" s="344">
        <f>'Venting Cutoff Humidity Ratio'!G55</f>
        <v>0</v>
      </c>
      <c r="R148" s="344">
        <f>'Venting Cutoff Humidity Ratio'!H55</f>
        <v>1.545E-2</v>
      </c>
      <c r="S148" s="344">
        <f>'Venting Cutoff Humidity Ratio'!I55</f>
        <v>0</v>
      </c>
      <c r="T148" s="344">
        <f>'Venting Cutoff Humidity Ratio'!J55</f>
        <v>0</v>
      </c>
      <c r="U148" s="344">
        <f>'Venting Cutoff Humidity Ratio'!K55</f>
        <v>0</v>
      </c>
      <c r="V148" s="344">
        <f>'Venting Cutoff Humidity Ratio'!L55</f>
        <v>0</v>
      </c>
      <c r="W148" s="344">
        <f>'Venting Cutoff Humidity Ratio'!M55</f>
        <v>0</v>
      </c>
      <c r="X148" s="344">
        <f>'Venting Cutoff Humidity Ratio'!N55</f>
        <v>0</v>
      </c>
      <c r="Y148" s="344">
        <f>'Venting Cutoff Humidity Ratio'!O55</f>
        <v>0</v>
      </c>
      <c r="Z148" s="344">
        <f>'Venting Cutoff Humidity Ratio'!P55</f>
        <v>0</v>
      </c>
      <c r="AA148" s="344">
        <f>'Venting Cutoff Humidity Ratio'!Q55</f>
        <v>1.8689999999999998E-2</v>
      </c>
      <c r="AB148" s="344">
        <f>'Venting Cutoff Humidity Ratio'!R55</f>
        <v>1.848E-2</v>
      </c>
    </row>
    <row r="149" spans="1:33" ht="15" customHeight="1">
      <c r="A149" s="181" t="s">
        <v>1061</v>
      </c>
      <c r="B149" s="375" t="s">
        <v>1217</v>
      </c>
      <c r="C149" s="344">
        <f>'Venting Cutoff Humidity Ratio'!B56</f>
        <v>1.8519999999999998E-2</v>
      </c>
      <c r="E149" s="375" t="s">
        <v>1223</v>
      </c>
      <c r="L149" s="344">
        <f>'Venting Cutoff Humidity Ratio'!B56</f>
        <v>1.8519999999999998E-2</v>
      </c>
      <c r="M149" s="344">
        <f>'Venting Cutoff Humidity Ratio'!C56</f>
        <v>1.874E-2</v>
      </c>
      <c r="N149" s="344">
        <f>'Venting Cutoff Humidity Ratio'!D56</f>
        <v>0</v>
      </c>
      <c r="O149" s="344">
        <f>'Venting Cutoff Humidity Ratio'!E56</f>
        <v>1.6420000000000001E-2</v>
      </c>
      <c r="P149" s="344">
        <f>'Venting Cutoff Humidity Ratio'!F56</f>
        <v>0</v>
      </c>
      <c r="Q149" s="344">
        <f>'Venting Cutoff Humidity Ratio'!G56</f>
        <v>0</v>
      </c>
      <c r="R149" s="344">
        <f>'Venting Cutoff Humidity Ratio'!H56</f>
        <v>1.5730000000000001E-2</v>
      </c>
      <c r="S149" s="344">
        <f>'Venting Cutoff Humidity Ratio'!I56</f>
        <v>0</v>
      </c>
      <c r="T149" s="344">
        <f>'Venting Cutoff Humidity Ratio'!J56</f>
        <v>0</v>
      </c>
      <c r="U149" s="344">
        <f>'Venting Cutoff Humidity Ratio'!K56</f>
        <v>0</v>
      </c>
      <c r="V149" s="344">
        <f>'Venting Cutoff Humidity Ratio'!L56</f>
        <v>0</v>
      </c>
      <c r="W149" s="344">
        <f>'Venting Cutoff Humidity Ratio'!M56</f>
        <v>0</v>
      </c>
      <c r="X149" s="344">
        <f>'Venting Cutoff Humidity Ratio'!N56</f>
        <v>0</v>
      </c>
      <c r="Y149" s="344">
        <f>'Venting Cutoff Humidity Ratio'!O56</f>
        <v>0</v>
      </c>
      <c r="Z149" s="344">
        <f>'Venting Cutoff Humidity Ratio'!P56</f>
        <v>0</v>
      </c>
      <c r="AA149" s="344">
        <f>'Venting Cutoff Humidity Ratio'!Q56</f>
        <v>1.7989999999999999E-2</v>
      </c>
      <c r="AB149" s="344">
        <f>'Venting Cutoff Humidity Ratio'!R56</f>
        <v>1.763E-2</v>
      </c>
    </row>
    <row r="150" spans="1:33" ht="15" customHeight="1">
      <c r="A150" s="181" t="s">
        <v>1061</v>
      </c>
      <c r="B150" s="375" t="s">
        <v>1218</v>
      </c>
      <c r="C150" s="344">
        <f>'Venting Cutoff Humidity Ratio'!B57</f>
        <v>1.8010000000000002E-2</v>
      </c>
      <c r="E150" s="375" t="s">
        <v>1223</v>
      </c>
      <c r="L150" s="344">
        <f>'Venting Cutoff Humidity Ratio'!B57</f>
        <v>1.8010000000000002E-2</v>
      </c>
      <c r="M150" s="344">
        <f>'Venting Cutoff Humidity Ratio'!C57</f>
        <v>1.7670000000000002E-2</v>
      </c>
      <c r="N150" s="344">
        <f>'Venting Cutoff Humidity Ratio'!D57</f>
        <v>0</v>
      </c>
      <c r="O150" s="344">
        <f>'Venting Cutoff Humidity Ratio'!E57</f>
        <v>1.6830000000000001E-2</v>
      </c>
      <c r="P150" s="344">
        <f>'Venting Cutoff Humidity Ratio'!F57</f>
        <v>0</v>
      </c>
      <c r="Q150" s="344">
        <f>'Venting Cutoff Humidity Ratio'!G57</f>
        <v>0</v>
      </c>
      <c r="R150" s="344">
        <f>'Venting Cutoff Humidity Ratio'!H57</f>
        <v>1.473E-2</v>
      </c>
      <c r="S150" s="344">
        <f>'Venting Cutoff Humidity Ratio'!I57</f>
        <v>0</v>
      </c>
      <c r="T150" s="344">
        <f>'Venting Cutoff Humidity Ratio'!J57</f>
        <v>0</v>
      </c>
      <c r="U150" s="344">
        <f>'Venting Cutoff Humidity Ratio'!K57</f>
        <v>0</v>
      </c>
      <c r="V150" s="344">
        <f>'Venting Cutoff Humidity Ratio'!L57</f>
        <v>0</v>
      </c>
      <c r="W150" s="344">
        <f>'Venting Cutoff Humidity Ratio'!M57</f>
        <v>0</v>
      </c>
      <c r="X150" s="344">
        <f>'Venting Cutoff Humidity Ratio'!N57</f>
        <v>0</v>
      </c>
      <c r="Y150" s="344">
        <f>'Venting Cutoff Humidity Ratio'!O57</f>
        <v>0</v>
      </c>
      <c r="Z150" s="344">
        <f>'Venting Cutoff Humidity Ratio'!P57</f>
        <v>0</v>
      </c>
      <c r="AA150" s="344">
        <f>'Venting Cutoff Humidity Ratio'!Q57</f>
        <v>1.6729999999999998E-2</v>
      </c>
      <c r="AB150" s="344">
        <f>'Venting Cutoff Humidity Ratio'!R57</f>
        <v>1.5789999999999998E-2</v>
      </c>
    </row>
    <row r="151" spans="1:33" ht="15" customHeight="1">
      <c r="A151" s="181" t="s">
        <v>1061</v>
      </c>
      <c r="B151" s="375" t="s">
        <v>1219</v>
      </c>
      <c r="C151" s="344">
        <f>'Venting Cutoff Humidity Ratio'!B58</f>
        <v>1.7479999999999999E-2</v>
      </c>
      <c r="E151" s="375" t="s">
        <v>1223</v>
      </c>
      <c r="L151" s="344">
        <f>'Venting Cutoff Humidity Ratio'!B58</f>
        <v>1.7479999999999999E-2</v>
      </c>
      <c r="M151" s="344">
        <f>'Venting Cutoff Humidity Ratio'!C58</f>
        <v>1.274E-2</v>
      </c>
      <c r="N151" s="344">
        <f>'Venting Cutoff Humidity Ratio'!D58</f>
        <v>0</v>
      </c>
      <c r="O151" s="344">
        <f>'Venting Cutoff Humidity Ratio'!E58</f>
        <v>9.6229999999999996E-3</v>
      </c>
      <c r="P151" s="344">
        <f>'Venting Cutoff Humidity Ratio'!F58</f>
        <v>0</v>
      </c>
      <c r="Q151" s="344">
        <f>'Venting Cutoff Humidity Ratio'!G58</f>
        <v>0</v>
      </c>
      <c r="R151" s="344">
        <f>'Venting Cutoff Humidity Ratio'!H58</f>
        <v>7.8040000000000002E-3</v>
      </c>
      <c r="S151" s="344">
        <f>'Venting Cutoff Humidity Ratio'!I58</f>
        <v>0</v>
      </c>
      <c r="T151" s="344">
        <f>'Venting Cutoff Humidity Ratio'!J58</f>
        <v>0</v>
      </c>
      <c r="U151" s="344">
        <f>'Venting Cutoff Humidity Ratio'!K58</f>
        <v>0</v>
      </c>
      <c r="V151" s="344">
        <f>'Venting Cutoff Humidity Ratio'!L58</f>
        <v>0</v>
      </c>
      <c r="W151" s="344">
        <f>'Venting Cutoff Humidity Ratio'!M58</f>
        <v>0</v>
      </c>
      <c r="X151" s="344">
        <f>'Venting Cutoff Humidity Ratio'!N58</f>
        <v>0</v>
      </c>
      <c r="Y151" s="344">
        <f>'Venting Cutoff Humidity Ratio'!O58</f>
        <v>0</v>
      </c>
      <c r="Z151" s="344">
        <f>'Venting Cutoff Humidity Ratio'!P58</f>
        <v>0</v>
      </c>
      <c r="AA151" s="344">
        <f>'Venting Cutoff Humidity Ratio'!Q58</f>
        <v>1.7749999999999998E-2</v>
      </c>
      <c r="AB151" s="344">
        <f>'Venting Cutoff Humidity Ratio'!R58</f>
        <v>1.3180000000000001E-2</v>
      </c>
    </row>
    <row r="152" spans="1:33" ht="15" customHeight="1">
      <c r="A152" s="181" t="s">
        <v>1061</v>
      </c>
      <c r="B152" s="375" t="s">
        <v>1220</v>
      </c>
      <c r="C152" s="344">
        <f>'Venting Cutoff Humidity Ratio'!B59</f>
        <v>1.6619999999999999E-2</v>
      </c>
      <c r="E152" s="375" t="s">
        <v>1223</v>
      </c>
      <c r="L152" s="344">
        <f>'Venting Cutoff Humidity Ratio'!B59</f>
        <v>1.6619999999999999E-2</v>
      </c>
      <c r="M152" s="344">
        <f>'Venting Cutoff Humidity Ratio'!C59</f>
        <v>1.3089999999999999E-2</v>
      </c>
      <c r="N152" s="344">
        <f>'Venting Cutoff Humidity Ratio'!D59</f>
        <v>0</v>
      </c>
      <c r="O152" s="344">
        <f>'Venting Cutoff Humidity Ratio'!E59</f>
        <v>7.7149999999999996E-3</v>
      </c>
      <c r="P152" s="344">
        <f>'Venting Cutoff Humidity Ratio'!F59</f>
        <v>0</v>
      </c>
      <c r="Q152" s="344">
        <f>'Venting Cutoff Humidity Ratio'!G59</f>
        <v>0</v>
      </c>
      <c r="R152" s="344">
        <f>'Venting Cutoff Humidity Ratio'!H59</f>
        <v>5.9290000000000002E-3</v>
      </c>
      <c r="S152" s="344">
        <f>'Venting Cutoff Humidity Ratio'!I59</f>
        <v>0</v>
      </c>
      <c r="T152" s="344">
        <f>'Venting Cutoff Humidity Ratio'!J59</f>
        <v>0</v>
      </c>
      <c r="U152" s="344">
        <f>'Venting Cutoff Humidity Ratio'!K59</f>
        <v>0</v>
      </c>
      <c r="V152" s="344">
        <f>'Venting Cutoff Humidity Ratio'!L59</f>
        <v>0</v>
      </c>
      <c r="W152" s="344">
        <f>'Venting Cutoff Humidity Ratio'!M59</f>
        <v>0</v>
      </c>
      <c r="X152" s="344">
        <f>'Venting Cutoff Humidity Ratio'!N59</f>
        <v>0</v>
      </c>
      <c r="Y152" s="344">
        <f>'Venting Cutoff Humidity Ratio'!O59</f>
        <v>0</v>
      </c>
      <c r="Z152" s="344">
        <f>'Venting Cutoff Humidity Ratio'!P59</f>
        <v>0</v>
      </c>
      <c r="AA152" s="344">
        <f>'Venting Cutoff Humidity Ratio'!Q59</f>
        <v>1.188E-2</v>
      </c>
      <c r="AB152" s="344">
        <f>'Venting Cutoff Humidity Ratio'!R59</f>
        <v>1.1429999999999999E-2</v>
      </c>
    </row>
    <row r="153" spans="1:33" ht="15" customHeight="1">
      <c r="A153" s="181" t="s">
        <v>1061</v>
      </c>
      <c r="B153" s="375" t="s">
        <v>1221</v>
      </c>
      <c r="C153" s="344">
        <f>'Venting Cutoff Humidity Ratio'!B60</f>
        <v>1.452E-2</v>
      </c>
      <c r="E153" s="375" t="s">
        <v>1223</v>
      </c>
      <c r="L153" s="344">
        <f>'Venting Cutoff Humidity Ratio'!B60</f>
        <v>1.452E-2</v>
      </c>
      <c r="M153" s="344">
        <f>'Venting Cutoff Humidity Ratio'!C60</f>
        <v>9.1240000000000002E-3</v>
      </c>
      <c r="N153" s="344">
        <f>'Venting Cutoff Humidity Ratio'!D60</f>
        <v>0</v>
      </c>
      <c r="O153" s="344">
        <f>'Venting Cutoff Humidity Ratio'!E60</f>
        <v>5.0899999999999999E-3</v>
      </c>
      <c r="P153" s="344">
        <f>'Venting Cutoff Humidity Ratio'!F60</f>
        <v>0</v>
      </c>
      <c r="Q153" s="344">
        <f>'Venting Cutoff Humidity Ratio'!G60</f>
        <v>0</v>
      </c>
      <c r="R153" s="344">
        <f>'Venting Cutoff Humidity Ratio'!H60</f>
        <v>3.7090000000000001E-3</v>
      </c>
      <c r="S153" s="344">
        <f>'Venting Cutoff Humidity Ratio'!I60</f>
        <v>0</v>
      </c>
      <c r="T153" s="344">
        <f>'Venting Cutoff Humidity Ratio'!J60</f>
        <v>0</v>
      </c>
      <c r="U153" s="344">
        <f>'Venting Cutoff Humidity Ratio'!K60</f>
        <v>0</v>
      </c>
      <c r="V153" s="344">
        <f>'Venting Cutoff Humidity Ratio'!L60</f>
        <v>0</v>
      </c>
      <c r="W153" s="344">
        <f>'Venting Cutoff Humidity Ratio'!M60</f>
        <v>0</v>
      </c>
      <c r="X153" s="344">
        <f>'Venting Cutoff Humidity Ratio'!N60</f>
        <v>0</v>
      </c>
      <c r="Y153" s="344">
        <f>'Venting Cutoff Humidity Ratio'!O60</f>
        <v>0</v>
      </c>
      <c r="Z153" s="344">
        <f>'Venting Cutoff Humidity Ratio'!P60</f>
        <v>0</v>
      </c>
      <c r="AA153" s="344">
        <f>'Venting Cutoff Humidity Ratio'!Q60</f>
        <v>1.0070000000000001E-2</v>
      </c>
      <c r="AB153" s="344">
        <f>'Venting Cutoff Humidity Ratio'!R60</f>
        <v>8.9569999999999997E-3</v>
      </c>
    </row>
    <row r="158" spans="1:33" ht="15" customHeight="1">
      <c r="A158" s="181"/>
      <c r="B158" s="375"/>
      <c r="C158" s="344"/>
      <c r="D158" s="306"/>
      <c r="E158" s="375"/>
      <c r="F158" s="375"/>
      <c r="G158" s="375"/>
      <c r="I158" s="375"/>
      <c r="J158" s="375"/>
      <c r="K158" s="181"/>
      <c r="L158" s="430"/>
      <c r="M158" s="435"/>
      <c r="N158" s="435"/>
      <c r="O158" s="435"/>
      <c r="P158" s="435"/>
      <c r="Q158" s="435"/>
      <c r="R158" s="435"/>
      <c r="S158" s="435"/>
      <c r="T158" s="435"/>
      <c r="U158" s="435"/>
      <c r="V158" s="435"/>
      <c r="W158" s="435"/>
      <c r="X158" s="435"/>
      <c r="Y158" s="435"/>
      <c r="Z158" s="430"/>
      <c r="AD158" s="375"/>
      <c r="AF158" s="375"/>
      <c r="AG158" s="375"/>
    </row>
    <row r="159" spans="1:33" ht="15" customHeight="1">
      <c r="A159" s="181"/>
      <c r="B159" s="375"/>
      <c r="C159" s="344"/>
      <c r="D159" s="306"/>
      <c r="E159" s="375"/>
      <c r="F159" s="375"/>
      <c r="G159" s="375"/>
      <c r="I159" s="375"/>
      <c r="J159" s="375"/>
      <c r="K159" s="181"/>
      <c r="L159" s="430"/>
      <c r="M159" s="435"/>
      <c r="N159" s="435"/>
      <c r="O159" s="435"/>
      <c r="P159" s="435"/>
      <c r="Q159" s="435"/>
      <c r="R159" s="435"/>
      <c r="S159" s="435"/>
      <c r="T159" s="435"/>
      <c r="U159" s="435"/>
      <c r="V159" s="435"/>
      <c r="W159" s="435"/>
      <c r="X159" s="435"/>
      <c r="Y159" s="435"/>
      <c r="Z159" s="430"/>
      <c r="AD159" s="375"/>
      <c r="AF159" s="375"/>
      <c r="AG159" s="375"/>
    </row>
    <row r="160" spans="1:33" ht="15" customHeight="1">
      <c r="A160" s="181"/>
      <c r="B160" s="375"/>
      <c r="C160" s="344"/>
      <c r="D160" s="306"/>
      <c r="E160" s="375"/>
      <c r="F160" s="375"/>
      <c r="G160" s="375"/>
      <c r="I160" s="375"/>
      <c r="J160" s="375"/>
      <c r="K160" s="181"/>
      <c r="L160" s="430"/>
      <c r="M160" s="435"/>
      <c r="N160" s="435"/>
      <c r="O160" s="435"/>
      <c r="P160" s="435"/>
      <c r="Q160" s="435"/>
      <c r="R160" s="435"/>
      <c r="S160" s="435"/>
      <c r="T160" s="435"/>
      <c r="U160" s="435"/>
      <c r="V160" s="435"/>
      <c r="W160" s="435"/>
      <c r="X160" s="435"/>
      <c r="Y160" s="435"/>
      <c r="Z160" s="430"/>
      <c r="AD160" s="375"/>
      <c r="AF160" s="375"/>
      <c r="AG160" s="375"/>
    </row>
    <row r="161" spans="1:28" ht="15" customHeight="1">
      <c r="K161" s="181" t="s">
        <v>996</v>
      </c>
      <c r="L161" s="333" t="s">
        <v>882</v>
      </c>
      <c r="M161" s="384" t="s">
        <v>823</v>
      </c>
      <c r="N161" s="384" t="s">
        <v>824</v>
      </c>
      <c r="O161" s="384" t="s">
        <v>825</v>
      </c>
      <c r="P161" s="384" t="s">
        <v>826</v>
      </c>
      <c r="Q161" s="384" t="s">
        <v>827</v>
      </c>
      <c r="R161" s="384" t="s">
        <v>828</v>
      </c>
      <c r="S161" s="384" t="s">
        <v>829</v>
      </c>
      <c r="T161" s="384" t="s">
        <v>830</v>
      </c>
      <c r="U161" s="384" t="s">
        <v>831</v>
      </c>
      <c r="V161" s="384" t="s">
        <v>832</v>
      </c>
      <c r="W161" s="384" t="s">
        <v>833</v>
      </c>
      <c r="X161" s="384" t="s">
        <v>834</v>
      </c>
      <c r="Y161" s="384">
        <v>7</v>
      </c>
      <c r="Z161" s="333">
        <v>8</v>
      </c>
    </row>
    <row r="162" spans="1:28" ht="15" customHeight="1">
      <c r="K162" s="375" t="s">
        <v>1088</v>
      </c>
      <c r="L162" s="25" t="str">
        <f t="shared" ref="L162:AA162" si="35">IF($B$1="Infiltration2",CONCATENATE($A$1,"ACH"," Infiltration"," ",$C$1," ",$D$1," ",$E$1," ",L1),CONCATENATE(C_name,L1))</f>
        <v>Small Low 2 0.5 new CFIS 20 1</v>
      </c>
      <c r="M162" s="344" t="str">
        <f t="shared" si="35"/>
        <v>Small Low 2 0.5 new CFIS 20 2</v>
      </c>
      <c r="N162" s="344" t="str">
        <f t="shared" si="35"/>
        <v>Small Low 2 0.5 new CFIS 20 3</v>
      </c>
      <c r="O162" s="344" t="str">
        <f t="shared" si="35"/>
        <v>Small Low 2 0.5 new CFIS 20 4</v>
      </c>
      <c r="P162" s="344" t="str">
        <f t="shared" si="35"/>
        <v>Small Low 2 0.5 new CFIS 20 5</v>
      </c>
      <c r="Q162" s="344" t="str">
        <f t="shared" si="35"/>
        <v>Small Low 2 0.5 new CFIS 20 6</v>
      </c>
      <c r="R162" s="344" t="str">
        <f t="shared" si="35"/>
        <v>Small Low 2 0.5 new CFIS 20 7</v>
      </c>
      <c r="S162" s="344" t="str">
        <f t="shared" si="35"/>
        <v>Small Low 2 0.5 new CFIS 20 8</v>
      </c>
      <c r="T162" s="344" t="str">
        <f t="shared" si="35"/>
        <v>Small Low 2 0.5 new CFIS 20 9</v>
      </c>
      <c r="U162" s="344" t="str">
        <f t="shared" si="35"/>
        <v>Small Low 2 0.5 new CFIS 20 10</v>
      </c>
      <c r="V162" s="344" t="str">
        <f t="shared" si="35"/>
        <v>Small Low 2 0.5 new CFIS 20 11</v>
      </c>
      <c r="W162" s="344" t="str">
        <f t="shared" si="35"/>
        <v>Small Low 2 0.5 new CFIS 20 12</v>
      </c>
      <c r="X162" s="344" t="str">
        <f t="shared" si="35"/>
        <v>Small Low 2 0.5 new CFIS 20 13</v>
      </c>
      <c r="Y162" s="344" t="str">
        <f t="shared" si="35"/>
        <v>Small Low 2 0.5 new CFIS 20 14</v>
      </c>
      <c r="Z162" s="344" t="str">
        <f t="shared" si="35"/>
        <v>Small Low 2 0.5 new CFIS 20 15</v>
      </c>
      <c r="AA162" s="344" t="str">
        <f t="shared" si="35"/>
        <v>Small Low 2 0.5 new CFIS 20 Orlando</v>
      </c>
      <c r="AB162" s="344"/>
    </row>
    <row r="163" spans="1:28" ht="15" customHeight="1">
      <c r="K163" s="375" t="s">
        <v>1089</v>
      </c>
      <c r="L163" s="25" t="e">
        <f>VLOOKUP(L162,FanUpsizes!$G$2:$AN$1081,IF($B$1="Infiltration2",15,8),FALSE)*VLOOKUP(L162,FanUpsizes!$G$2:$AN$1081,2,FALSE)</f>
        <v>#N/A</v>
      </c>
      <c r="M163" s="344" t="e">
        <f>VLOOKUP(M162,FanUpsizes!$G$2:$AN$1081,IF($B$1="Infiltration2",15,8),FALSE)*VLOOKUP(M162,FanUpsizes!$G$2:$AN$1081,2,FALSE)</f>
        <v>#N/A</v>
      </c>
      <c r="N163" s="344" t="e">
        <f>VLOOKUP(N162,FanUpsizes!$G$2:$AN$1081,IF($B$1="Infiltration2",15,8),FALSE)*VLOOKUP(N162,FanUpsizes!$G$2:$AN$1081,2,FALSE)</f>
        <v>#N/A</v>
      </c>
      <c r="O163" s="344" t="e">
        <f>VLOOKUP(O162,FanUpsizes!$G$2:$AN$1081,IF($B$1="Infiltration2",15,8),FALSE)*VLOOKUP(O162,FanUpsizes!$G$2:$AN$1081,2,FALSE)</f>
        <v>#N/A</v>
      </c>
      <c r="P163" s="344" t="e">
        <f>VLOOKUP(P162,FanUpsizes!$G$2:$AN$1081,IF($B$1="Infiltration2",15,8),FALSE)*VLOOKUP(P162,FanUpsizes!$G$2:$AN$1081,2,FALSE)</f>
        <v>#N/A</v>
      </c>
      <c r="Q163" s="344" t="e">
        <f>VLOOKUP(Q162,FanUpsizes!$G$2:$AN$1081,IF($B$1="Infiltration2",15,8),FALSE)*VLOOKUP(Q162,FanUpsizes!$G$2:$AN$1081,2,FALSE)</f>
        <v>#N/A</v>
      </c>
      <c r="R163" s="344" t="e">
        <f>VLOOKUP(R162,FanUpsizes!$G$2:$AN$1081,IF($B$1="Infiltration2",15,8),FALSE)*VLOOKUP(R162,FanUpsizes!$G$2:$AN$1081,2,FALSE)</f>
        <v>#N/A</v>
      </c>
      <c r="S163" s="344" t="e">
        <f>VLOOKUP(S162,FanUpsizes!$G$2:$AN$1081,IF($B$1="Infiltration2",15,8),FALSE)*VLOOKUP(S162,FanUpsizes!$G$2:$AN$1081,2,FALSE)</f>
        <v>#N/A</v>
      </c>
      <c r="T163" s="344" t="e">
        <f>VLOOKUP(T162,FanUpsizes!$G$2:$AN$1081,IF($B$1="Infiltration2",15,8),FALSE)*VLOOKUP(T162,FanUpsizes!$G$2:$AN$1081,2,FALSE)</f>
        <v>#N/A</v>
      </c>
      <c r="U163" s="344" t="e">
        <f>VLOOKUP(U162,FanUpsizes!$G$2:$AN$1081,IF($B$1="Infiltration2",15,8),FALSE)*VLOOKUP(U162,FanUpsizes!$G$2:$AN$1081,2,FALSE)</f>
        <v>#N/A</v>
      </c>
      <c r="V163" s="344" t="e">
        <f>VLOOKUP(V162,FanUpsizes!$G$2:$AN$1081,IF($B$1="Infiltration2",15,8),FALSE)*VLOOKUP(V162,FanUpsizes!$G$2:$AN$1081,2,FALSE)</f>
        <v>#N/A</v>
      </c>
      <c r="W163" s="344" t="e">
        <f>VLOOKUP(W162,FanUpsizes!$G$2:$AN$1081,IF($B$1="Infiltration2",15,8),FALSE)*VLOOKUP(W162,FanUpsizes!$G$2:$AN$1081,2,FALSE)</f>
        <v>#N/A</v>
      </c>
      <c r="X163" s="344" t="e">
        <f>VLOOKUP(X162,FanUpsizes!$G$2:$AN$1081,IF($B$1="Infiltration2",15,8),FALSE)*VLOOKUP(X162,FanUpsizes!$G$2:$AN$1081,2,FALSE)</f>
        <v>#N/A</v>
      </c>
      <c r="Y163" s="344" t="e">
        <f>VLOOKUP(Y162,FanUpsizes!$G$2:$AN$1081,IF($B$1="Infiltration2",15,8),FALSE)*VLOOKUP(Y162,FanUpsizes!$G$2:$AN$1081,2,FALSE)</f>
        <v>#N/A</v>
      </c>
      <c r="Z163" s="344" t="e">
        <f>VLOOKUP(Z162,FanUpsizes!$G$2:$AN$1081,IF($B$1="Infiltration2",15,8),FALSE)*VLOOKUP(Z162,FanUpsizes!$G$2:$AN$1081,2,FALSE)</f>
        <v>#N/A</v>
      </c>
      <c r="AA163" s="344" t="e">
        <f>VLOOKUP(AA162,FanUpsizes!$G$2:$AN$1081,IF($B$1="Infiltration2",15,8),FALSE)*VLOOKUP(AA162,FanUpsizes!$G$2:$AN$1081,2,FALSE)</f>
        <v>#N/A</v>
      </c>
      <c r="AB163" s="344"/>
    </row>
    <row r="164" spans="1:28" ht="15" customHeight="1">
      <c r="A164" s="181" t="s">
        <v>1126</v>
      </c>
      <c r="B164" s="375" t="s">
        <v>1131</v>
      </c>
      <c r="C164" s="344" t="s">
        <v>1069</v>
      </c>
      <c r="D164" s="306" t="s">
        <v>1141</v>
      </c>
      <c r="J164" s="375" t="s">
        <v>1157</v>
      </c>
      <c r="K164" s="375" t="s">
        <v>1182</v>
      </c>
      <c r="L164" s="344" t="s">
        <v>1165</v>
      </c>
    </row>
    <row r="165" spans="1:28" ht="15" customHeight="1">
      <c r="A165" s="181" t="s">
        <v>1127</v>
      </c>
      <c r="B165" s="375" t="s">
        <v>1133</v>
      </c>
      <c r="C165" s="25">
        <v>1</v>
      </c>
      <c r="D165" s="350">
        <v>0</v>
      </c>
      <c r="E165" s="375" t="s">
        <v>1086</v>
      </c>
      <c r="J165" s="375" t="s">
        <v>1155</v>
      </c>
      <c r="K165" s="6">
        <v>13</v>
      </c>
      <c r="L165" s="344" t="s">
        <v>1163</v>
      </c>
    </row>
    <row r="166" spans="1:28" ht="15" customHeight="1">
      <c r="A166" s="181" t="s">
        <v>1132</v>
      </c>
      <c r="B166" s="375" t="s">
        <v>1132</v>
      </c>
      <c r="D166" s="350">
        <v>0.5</v>
      </c>
      <c r="E166" s="375" t="s">
        <v>1087</v>
      </c>
      <c r="J166" s="375" t="s">
        <v>1156</v>
      </c>
      <c r="K166" s="6">
        <v>17</v>
      </c>
      <c r="L166" s="25">
        <v>1</v>
      </c>
    </row>
    <row r="167" spans="1:28" ht="15" customHeight="1">
      <c r="A167" s="181" t="s">
        <v>1128</v>
      </c>
      <c r="B167" s="375" t="s">
        <v>1134</v>
      </c>
      <c r="D167" s="350">
        <v>1</v>
      </c>
      <c r="L167" s="25">
        <v>2</v>
      </c>
    </row>
    <row r="168" spans="1:28" ht="15" customHeight="1">
      <c r="B168" s="375"/>
      <c r="L168" s="344">
        <v>3</v>
      </c>
    </row>
    <row r="169" spans="1:28" ht="15" customHeight="1">
      <c r="L169" s="344">
        <v>4</v>
      </c>
    </row>
    <row r="170" spans="1:28" ht="15" customHeight="1">
      <c r="L170" s="344">
        <v>5</v>
      </c>
    </row>
    <row r="171" spans="1:28" ht="15" customHeight="1">
      <c r="L171" s="344">
        <v>6</v>
      </c>
    </row>
    <row r="172" spans="1:28" ht="15" customHeight="1">
      <c r="L172" s="344">
        <v>7</v>
      </c>
    </row>
    <row r="173" spans="1:28" ht="15" customHeight="1">
      <c r="L173" s="344">
        <v>8</v>
      </c>
    </row>
    <row r="174" spans="1:28" ht="15" customHeight="1">
      <c r="A174" s="4">
        <f>3*3*1*3*4</f>
        <v>108</v>
      </c>
      <c r="L174" s="344">
        <v>9</v>
      </c>
    </row>
    <row r="175" spans="1:28" ht="15" customHeight="1">
      <c r="L175" s="25">
        <v>10</v>
      </c>
    </row>
    <row r="176" spans="1:28" ht="15" customHeight="1">
      <c r="L176" s="25">
        <v>11</v>
      </c>
    </row>
    <row r="177" spans="12:12" ht="15" customHeight="1">
      <c r="L177" s="25">
        <v>12</v>
      </c>
    </row>
    <row r="178" spans="12:12" ht="15" customHeight="1">
      <c r="L178" s="25">
        <v>13</v>
      </c>
    </row>
    <row r="179" spans="12:12" ht="15" customHeight="1">
      <c r="L179" s="25">
        <v>14</v>
      </c>
    </row>
    <row r="180" spans="12:12" ht="15" customHeight="1">
      <c r="L180" s="25">
        <v>15</v>
      </c>
    </row>
    <row r="181" spans="12:12" ht="15" customHeight="1">
      <c r="L181" s="25">
        <v>16</v>
      </c>
    </row>
    <row r="182" spans="12:12" ht="15" customHeight="1">
      <c r="L182" s="25">
        <v>17</v>
      </c>
    </row>
    <row r="183" spans="12:12" ht="15" customHeight="1">
      <c r="L183" s="25">
        <v>18</v>
      </c>
    </row>
    <row r="184" spans="12:12" ht="15" customHeight="1">
      <c r="L184" s="25">
        <v>19</v>
      </c>
    </row>
    <row r="185" spans="12:12" ht="15" customHeight="1">
      <c r="L185" s="25">
        <v>20</v>
      </c>
    </row>
  </sheetData>
  <conditionalFormatting sqref="AF3:AF124">
    <cfRule type="cellIs" dxfId="2" priority="1" operator="greaterThan">
      <formula>0</formula>
    </cfRule>
  </conditionalFormatting>
  <dataValidations count="6">
    <dataValidation type="list" allowBlank="1" showInputMessage="1" showErrorMessage="1" sqref="A1">
      <formula1>$A$165:$A$167</formula1>
    </dataValidation>
    <dataValidation type="list" allowBlank="1" showInputMessage="1" showErrorMessage="1" sqref="B1">
      <formula1>$B$165:$B$167</formula1>
    </dataValidation>
    <dataValidation type="list" allowBlank="1" showInputMessage="1" showErrorMessage="1" sqref="D1">
      <formula1>FanSize</formula1>
    </dataValidation>
    <dataValidation type="list" allowBlank="1" showInputMessage="1" showErrorMessage="1" sqref="E1">
      <formula1>$E$165:$E$166</formula1>
    </dataValidation>
    <dataValidation type="list" allowBlank="1" showInputMessage="1" showErrorMessage="1" sqref="J1">
      <formula1>$J$165:$J$166</formula1>
    </dataValidation>
    <dataValidation type="list" allowBlank="1" showInputMessage="1" showErrorMessage="1" sqref="K1">
      <formula1>$L$165:$L$176</formula1>
    </dataValidation>
  </dataValidations>
  <hyperlinks>
    <hyperlink ref="G28" r:id="rId1"/>
  </hyperlinks>
  <pageMargins left="0.7" right="0.7" top="0.75" bottom="0.75" header="0.51180555555555551" footer="0.51180555555555551"/>
  <pageSetup orientation="portrait"/>
  <headerFooter alignWithMargins="0"/>
  <drawing r:id="rId2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M36"/>
  <sheetViews>
    <sheetView zoomScale="85" zoomScaleNormal="85" zoomScalePageLayoutView="85" workbookViewId="0">
      <selection activeCell="A8" sqref="A8"/>
    </sheetView>
  </sheetViews>
  <sheetFormatPr defaultColWidth="8.85546875" defaultRowHeight="15" customHeight="1"/>
  <cols>
    <col min="1" max="1" width="18.7109375" style="6" customWidth="1"/>
    <col min="2" max="2" width="8" style="6" customWidth="1"/>
    <col min="3" max="3" width="3.42578125" style="6" customWidth="1"/>
    <col min="4" max="4" width="12" style="6" customWidth="1"/>
    <col min="5" max="5" width="8.140625" style="6" bestFit="1" customWidth="1"/>
    <col min="6" max="6" width="29.28515625" style="6" bestFit="1" customWidth="1"/>
    <col min="7" max="7" width="27.42578125" style="6" bestFit="1" customWidth="1"/>
    <col min="8" max="8" width="5.7109375" style="6" customWidth="1"/>
    <col min="9" max="9" width="3.140625" style="6" customWidth="1"/>
    <col min="10" max="10" width="6.85546875" style="6" customWidth="1"/>
    <col min="11" max="11" width="8.140625" style="6" customWidth="1"/>
    <col min="12" max="16384" width="8.85546875" style="6"/>
  </cols>
  <sheetData>
    <row r="1" spans="1:13" ht="15" customHeight="1">
      <c r="A1" s="181" t="s">
        <v>185</v>
      </c>
      <c r="B1" s="4"/>
      <c r="C1" s="4"/>
      <c r="D1" s="4"/>
      <c r="E1" s="4"/>
      <c r="G1" s="4" t="s">
        <v>186</v>
      </c>
      <c r="M1" s="4"/>
    </row>
    <row r="2" spans="1:13" ht="15" customHeight="1">
      <c r="A2" s="182" t="s">
        <v>708</v>
      </c>
    </row>
    <row r="3" spans="1:13" ht="15" customHeight="1">
      <c r="A3" s="183" t="s">
        <v>709</v>
      </c>
    </row>
    <row r="4" spans="1:13" ht="15" customHeight="1">
      <c r="A4" s="128" t="s">
        <v>187</v>
      </c>
      <c r="B4" s="129" t="s">
        <v>188</v>
      </c>
      <c r="C4" s="129" t="s">
        <v>189</v>
      </c>
      <c r="D4" s="129" t="s">
        <v>190</v>
      </c>
      <c r="E4" s="129" t="s">
        <v>189</v>
      </c>
      <c r="F4" s="6" t="s">
        <v>5</v>
      </c>
      <c r="G4" s="109"/>
      <c r="H4" s="129" t="s">
        <v>188</v>
      </c>
      <c r="I4" s="129" t="s">
        <v>189</v>
      </c>
      <c r="J4" s="129" t="s">
        <v>190</v>
      </c>
      <c r="K4" s="129" t="s">
        <v>189</v>
      </c>
    </row>
    <row r="5" spans="1:13" ht="15" customHeight="1">
      <c r="A5" s="114" t="s">
        <v>798</v>
      </c>
      <c r="B5" s="397">
        <f>storeys</f>
        <v>2</v>
      </c>
      <c r="C5" s="355"/>
      <c r="D5" s="398">
        <f>mainINPUT!C1</f>
        <v>2</v>
      </c>
      <c r="E5" s="6" t="s">
        <v>17</v>
      </c>
      <c r="G5" s="188" t="s">
        <v>610</v>
      </c>
      <c r="H5" s="75">
        <v>200</v>
      </c>
      <c r="I5" s="75" t="s">
        <v>196</v>
      </c>
      <c r="J5" s="234">
        <f>H5*0.3048^2</f>
        <v>18.580608000000002</v>
      </c>
      <c r="K5" s="75" t="s">
        <v>702</v>
      </c>
    </row>
    <row r="6" spans="1:13" ht="15" customHeight="1">
      <c r="A6" s="114" t="s">
        <v>191</v>
      </c>
      <c r="B6" s="398">
        <f>3.28084*L_houseSI</f>
        <v>46.391077600000003</v>
      </c>
      <c r="C6" s="356" t="s">
        <v>192</v>
      </c>
      <c r="D6">
        <f>IF(mainINPUT!A1="Small",14.14,IF(mainINPUT!A1="Med",20,24.49))</f>
        <v>14.14</v>
      </c>
      <c r="E6" s="75" t="s">
        <v>193</v>
      </c>
      <c r="F6" s="180" t="s">
        <v>706</v>
      </c>
      <c r="G6" s="188" t="s">
        <v>611</v>
      </c>
      <c r="H6" s="75">
        <v>240</v>
      </c>
      <c r="I6" s="75" t="s">
        <v>196</v>
      </c>
      <c r="J6" s="234">
        <f>H6*0.3048^2</f>
        <v>22.296729600000003</v>
      </c>
      <c r="K6" s="75" t="s">
        <v>702</v>
      </c>
    </row>
    <row r="7" spans="1:13" ht="15" customHeight="1">
      <c r="A7" s="114" t="s">
        <v>194</v>
      </c>
      <c r="B7" s="398">
        <f>3.28084*W_houseSI</f>
        <v>23.195538800000001</v>
      </c>
      <c r="C7" s="356" t="s">
        <v>192</v>
      </c>
      <c r="D7" s="399">
        <f>L_houseSI/2</f>
        <v>7.07</v>
      </c>
      <c r="E7" s="75" t="s">
        <v>193</v>
      </c>
      <c r="F7" s="179"/>
      <c r="G7" s="75"/>
      <c r="H7" s="75"/>
      <c r="I7" s="75"/>
      <c r="J7" s="75"/>
      <c r="K7" s="75"/>
    </row>
    <row r="8" spans="1:13" ht="15" customHeight="1">
      <c r="A8" s="114" t="s">
        <v>195</v>
      </c>
      <c r="B8" s="357">
        <f>A_houseSI*(1/0.0929)</f>
        <v>2152.2023681377827</v>
      </c>
      <c r="C8" s="356" t="s">
        <v>703</v>
      </c>
      <c r="D8" s="357">
        <f>L_houseSI*W_houseSI*storeys</f>
        <v>199.93960000000001</v>
      </c>
      <c r="E8" s="75" t="s">
        <v>702</v>
      </c>
      <c r="F8" s="179"/>
      <c r="G8" s="188" t="s">
        <v>720</v>
      </c>
      <c r="H8" s="383">
        <f>H9+1</f>
        <v>4</v>
      </c>
      <c r="I8" s="75"/>
      <c r="J8" s="75"/>
      <c r="K8" s="75"/>
    </row>
    <row r="9" spans="1:13" ht="15" customHeight="1">
      <c r="A9" s="114" t="s">
        <v>701</v>
      </c>
      <c r="B9" s="398">
        <f>IF(B5=1,A_houseFT,A_houseFT/B5)</f>
        <v>1076.1011840688914</v>
      </c>
      <c r="C9" s="356" t="s">
        <v>703</v>
      </c>
      <c r="D9" s="400">
        <f>IF(storeys=1,A_houseSI,A_houseSI/storeys)</f>
        <v>99.969800000000006</v>
      </c>
      <c r="E9" s="75" t="s">
        <v>702</v>
      </c>
      <c r="F9" s="179"/>
      <c r="G9" s="188" t="s">
        <v>743</v>
      </c>
      <c r="H9" s="398">
        <v>3</v>
      </c>
      <c r="I9" s="75"/>
      <c r="J9" s="75"/>
      <c r="K9" s="75"/>
    </row>
    <row r="10" spans="1:13" ht="15" customHeight="1">
      <c r="A10" s="114" t="s">
        <v>198</v>
      </c>
      <c r="B10" s="398">
        <f>IF(B5=2,A_houseFT/B5,0)</f>
        <v>1076.1011840688914</v>
      </c>
      <c r="C10" s="356" t="s">
        <v>703</v>
      </c>
      <c r="D10" s="400">
        <f>IF(storeys=2,A_houseSI/storeys,0)</f>
        <v>99.969800000000006</v>
      </c>
      <c r="E10" s="75" t="s">
        <v>702</v>
      </c>
      <c r="F10" s="179"/>
    </row>
    <row r="11" spans="1:13" ht="15" customHeight="1">
      <c r="A11" s="114" t="s">
        <v>199</v>
      </c>
      <c r="B11" s="358">
        <f>3.28084*D11</f>
        <v>139.17323279999999</v>
      </c>
      <c r="C11" s="356" t="s">
        <v>192</v>
      </c>
      <c r="D11" s="359">
        <f>2*L_houseSI+2*W_houseSI</f>
        <v>42.42</v>
      </c>
      <c r="E11" s="75" t="s">
        <v>193</v>
      </c>
      <c r="F11" s="179"/>
    </row>
    <row r="12" spans="1:13" ht="15" customHeight="1">
      <c r="A12" s="114" t="s">
        <v>200</v>
      </c>
      <c r="B12" s="398">
        <f>3.28084*D12</f>
        <v>0.98425200000000013</v>
      </c>
      <c r="C12" s="356"/>
      <c r="D12" s="398">
        <v>0.30000000000000004</v>
      </c>
      <c r="E12" s="75" t="s">
        <v>193</v>
      </c>
      <c r="F12" s="179"/>
    </row>
    <row r="13" spans="1:13" ht="15" customHeight="1">
      <c r="A13" s="114" t="s">
        <v>201</v>
      </c>
      <c r="B13" s="398">
        <f>3.28084*D13</f>
        <v>8.2020999999999997</v>
      </c>
      <c r="C13" s="356"/>
      <c r="D13" s="398">
        <v>2.5</v>
      </c>
      <c r="E13" s="75" t="s">
        <v>193</v>
      </c>
      <c r="F13" s="179"/>
    </row>
    <row r="14" spans="1:13" ht="15" customHeight="1">
      <c r="A14" s="114" t="s">
        <v>202</v>
      </c>
      <c r="B14" s="398">
        <f>3.28084*D14</f>
        <v>0.49212599999999995</v>
      </c>
      <c r="C14" s="356"/>
      <c r="D14" s="398">
        <v>0.15</v>
      </c>
      <c r="E14" s="75" t="s">
        <v>193</v>
      </c>
      <c r="F14" s="179"/>
    </row>
    <row r="15" spans="1:13" ht="15" customHeight="1">
      <c r="A15" s="114" t="s">
        <v>203</v>
      </c>
      <c r="B15" s="398">
        <f>3.28084*D15</f>
        <v>18.372703999999999</v>
      </c>
      <c r="C15" s="356"/>
      <c r="D15" s="383">
        <f>D12+(D13*storeys)+(D14*storeys)</f>
        <v>5.6</v>
      </c>
      <c r="E15" s="75" t="s">
        <v>193</v>
      </c>
      <c r="F15" s="179"/>
      <c r="G15" s="6" t="s">
        <v>204</v>
      </c>
    </row>
    <row r="16" spans="1:13" ht="15" customHeight="1">
      <c r="A16" s="114" t="s">
        <v>205</v>
      </c>
      <c r="B16" s="399">
        <f>A_windowSI*(1/0.0929)</f>
        <v>430.44047362755657</v>
      </c>
      <c r="C16" s="356"/>
      <c r="D16" s="399">
        <f>0.2*A_houseSI</f>
        <v>39.987920000000003</v>
      </c>
      <c r="E16" s="75" t="s">
        <v>197</v>
      </c>
      <c r="F16" s="180" t="s">
        <v>707</v>
      </c>
      <c r="G16" s="6" t="s">
        <v>206</v>
      </c>
    </row>
    <row r="17" spans="1:8" ht="15" customHeight="1">
      <c r="A17" s="114" t="s">
        <v>207</v>
      </c>
      <c r="B17" s="398">
        <f>D17</f>
        <v>1.54</v>
      </c>
      <c r="C17" s="356"/>
      <c r="D17" s="398">
        <v>1.54</v>
      </c>
      <c r="E17" s="75" t="s">
        <v>17</v>
      </c>
      <c r="F17" s="411" t="s">
        <v>997</v>
      </c>
      <c r="H17"/>
    </row>
    <row r="18" spans="1:8" ht="15" customHeight="1">
      <c r="A18" s="114" t="s">
        <v>208</v>
      </c>
      <c r="B18" s="397">
        <f>A_wall*(1/0.0929)</f>
        <v>1989.6456404736277</v>
      </c>
      <c r="C18" s="355"/>
      <c r="D18" s="399">
        <f>D11*(H_soffitSI-D12)-A_windowSI</f>
        <v>184.83807999999999</v>
      </c>
      <c r="E18" s="6" t="s">
        <v>197</v>
      </c>
      <c r="F18" s="411" t="s">
        <v>997</v>
      </c>
      <c r="G18" s="6">
        <f>((D11*D13*storeys))-A_windowSI</f>
        <v>172.11208000000002</v>
      </c>
    </row>
    <row r="19" spans="1:8" ht="15" customHeight="1">
      <c r="A19" s="114" t="s">
        <v>209</v>
      </c>
      <c r="B19" s="401">
        <f>35.3147*V_houseSI</f>
        <v>17652.017480300001</v>
      </c>
      <c r="C19" s="355"/>
      <c r="D19" s="357">
        <f>A_houseSI*D13</f>
        <v>499.84900000000005</v>
      </c>
      <c r="E19" s="6" t="s">
        <v>210</v>
      </c>
      <c r="F19" s="179"/>
    </row>
    <row r="20" spans="1:8" ht="15" customHeight="1">
      <c r="B20" s="383"/>
    </row>
    <row r="21" spans="1:8" ht="15" customHeight="1">
      <c r="A21" s="128" t="s">
        <v>211</v>
      </c>
      <c r="B21" s="129" t="s">
        <v>188</v>
      </c>
      <c r="C21" s="129" t="s">
        <v>189</v>
      </c>
      <c r="D21" s="129" t="s">
        <v>190</v>
      </c>
      <c r="E21" s="129" t="s">
        <v>189</v>
      </c>
      <c r="F21" s="179"/>
    </row>
    <row r="22" spans="1:8" ht="15" customHeight="1">
      <c r="A22" s="114" t="s">
        <v>212</v>
      </c>
      <c r="B22" s="362">
        <v>0.17500000000000004</v>
      </c>
      <c r="C22" s="361" t="s">
        <v>17</v>
      </c>
      <c r="D22" s="399">
        <v>18.43494882292201</v>
      </c>
      <c r="E22" s="6" t="s">
        <v>213</v>
      </c>
      <c r="F22" s="180" t="s">
        <v>755</v>
      </c>
    </row>
    <row r="23" spans="1:8" ht="15" customHeight="1">
      <c r="A23" s="114" t="s">
        <v>214</v>
      </c>
      <c r="B23" s="360"/>
      <c r="C23" s="360"/>
      <c r="D23" s="6">
        <f>TAN(RADIANS(D22))*(D7/2)</f>
        <v>1.1783333333333332</v>
      </c>
      <c r="E23" s="6" t="s">
        <v>193</v>
      </c>
    </row>
    <row r="24" spans="1:8" ht="15" customHeight="1">
      <c r="A24" s="114" t="s">
        <v>215</v>
      </c>
      <c r="B24" s="360"/>
      <c r="C24" s="360"/>
      <c r="D24" s="359">
        <f>0.5*(W_houseSI/2)*D23*2*L_houseSI</f>
        <v>58.898873833333326</v>
      </c>
      <c r="E24" s="6" t="s">
        <v>704</v>
      </c>
      <c r="F24" s="6">
        <v>49.6</v>
      </c>
    </row>
    <row r="25" spans="1:8" ht="15" customHeight="1">
      <c r="A25" s="114" t="s">
        <v>216</v>
      </c>
      <c r="B25" s="360"/>
      <c r="C25" s="360"/>
      <c r="D25" s="359">
        <f>H_soffitSI+D23</f>
        <v>6.7783333333333324</v>
      </c>
      <c r="E25" s="6" t="s">
        <v>193</v>
      </c>
    </row>
    <row r="26" spans="1:8" ht="15" customHeight="1">
      <c r="A26" s="114" t="s">
        <v>217</v>
      </c>
      <c r="B26" s="360"/>
      <c r="C26" s="360"/>
      <c r="D26" s="359">
        <f>H_soffitSI+(0.5*D23)</f>
        <v>6.189166666666666</v>
      </c>
      <c r="E26" s="6" t="s">
        <v>193</v>
      </c>
      <c r="F26" s="6" t="s">
        <v>717</v>
      </c>
      <c r="H26" s="45"/>
    </row>
    <row r="27" spans="1:8" ht="15" customHeight="1">
      <c r="A27" s="114" t="s">
        <v>218</v>
      </c>
      <c r="B27" s="360"/>
      <c r="C27" s="360"/>
      <c r="D27" s="398">
        <v>0.3</v>
      </c>
      <c r="E27" s="6" t="s">
        <v>193</v>
      </c>
      <c r="F27" s="6" t="s">
        <v>219</v>
      </c>
      <c r="G27" s="6" t="s">
        <v>220</v>
      </c>
    </row>
    <row r="28" spans="1:8" ht="15" customHeight="1">
      <c r="A28" s="114" t="s">
        <v>221</v>
      </c>
      <c r="B28" s="360"/>
      <c r="C28" s="360"/>
      <c r="D28" s="359">
        <f>H_peak</f>
        <v>6.7783333333333324</v>
      </c>
      <c r="E28" s="6" t="s">
        <v>193</v>
      </c>
      <c r="G28" s="6" t="s">
        <v>222</v>
      </c>
    </row>
    <row r="29" spans="1:8" ht="15" customHeight="1">
      <c r="A29" s="114" t="s">
        <v>582</v>
      </c>
      <c r="B29" s="360"/>
      <c r="C29" s="360"/>
      <c r="D29" s="398">
        <v>0.5</v>
      </c>
      <c r="E29" s="6" t="s">
        <v>193</v>
      </c>
    </row>
    <row r="30" spans="1:8" ht="15" customHeight="1">
      <c r="A30" s="180" t="s">
        <v>757</v>
      </c>
      <c r="B30" s="361"/>
      <c r="C30" s="360"/>
      <c r="D30" s="6">
        <f>(((W_houseSI/2+overhang)^2+(D23^2))^0.5)*(L_houseSI+2*overhang)*2</f>
        <v>127.28299639272764</v>
      </c>
      <c r="E30" s="177" t="s">
        <v>702</v>
      </c>
      <c r="F30" s="180" t="s">
        <v>756</v>
      </c>
      <c r="G30" s="375" t="s">
        <v>584</v>
      </c>
    </row>
    <row r="31" spans="1:8" ht="15" customHeight="1">
      <c r="A31" s="180"/>
      <c r="B31" s="180"/>
    </row>
    <row r="32" spans="1:8" ht="15" customHeight="1">
      <c r="A32" s="180"/>
      <c r="B32" s="180"/>
      <c r="D32" s="27"/>
    </row>
    <row r="35" spans="1:4" ht="15" customHeight="1">
      <c r="A35" s="6" t="s">
        <v>705</v>
      </c>
      <c r="D35" s="6">
        <f>W_houseSI/(W_houseSI+L_houseSI)</f>
        <v>0.33333333333333331</v>
      </c>
    </row>
    <row r="36" spans="1:4" ht="15" customHeight="1">
      <c r="A36" s="6" t="s">
        <v>594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AG34"/>
  <sheetViews>
    <sheetView zoomScale="85" zoomScaleNormal="85" zoomScalePageLayoutView="85" workbookViewId="0">
      <selection activeCell="H34" sqref="H34"/>
    </sheetView>
  </sheetViews>
  <sheetFormatPr defaultColWidth="8.7109375" defaultRowHeight="15" customHeight="1"/>
  <cols>
    <col min="1" max="1" width="14.140625" style="1" customWidth="1"/>
    <col min="2" max="2" width="8" style="1" customWidth="1"/>
    <col min="3" max="4" width="8.85546875" style="1" customWidth="1"/>
    <col min="5" max="5" width="11.85546875" style="1" customWidth="1"/>
    <col min="6" max="6" width="9.7109375" style="1" customWidth="1"/>
    <col min="7" max="7" width="16.140625" style="1" customWidth="1"/>
    <col min="8" max="8" width="18.7109375" style="1" customWidth="1"/>
    <col min="9" max="10" width="8.42578125" style="1" customWidth="1"/>
    <col min="11" max="11" width="7.28515625" style="1" customWidth="1"/>
    <col min="12" max="12" width="10.28515625" style="1" customWidth="1"/>
    <col min="13" max="13" width="5" style="1" customWidth="1"/>
    <col min="14" max="14" width="6.42578125" style="1" customWidth="1"/>
    <col min="15" max="15" width="8.7109375" style="1"/>
    <col min="16" max="16" width="12.140625" style="1" customWidth="1"/>
    <col min="17" max="18" width="8.7109375" style="1"/>
    <col min="19" max="19" width="4.7109375" style="1" customWidth="1"/>
    <col min="20" max="20" width="11.42578125" style="1" customWidth="1"/>
    <col min="21" max="21" width="8.7109375" style="1"/>
    <col min="22" max="22" width="8.7109375" style="1" customWidth="1"/>
    <col min="23" max="23" width="6.7109375" style="1" customWidth="1"/>
    <col min="24" max="24" width="12" style="1" customWidth="1"/>
    <col min="25" max="16384" width="8.7109375" style="1"/>
  </cols>
  <sheetData>
    <row r="1" spans="1:33" s="4" customFormat="1" ht="15" customHeight="1">
      <c r="A1" s="4" t="s">
        <v>223</v>
      </c>
      <c r="G1" s="4" t="s">
        <v>224</v>
      </c>
      <c r="L1" s="93" t="s">
        <v>225</v>
      </c>
      <c r="M1" s="93"/>
      <c r="N1" s="93"/>
    </row>
    <row r="2" spans="1:33" ht="15" customHeight="1">
      <c r="A2" s="26" t="s">
        <v>12</v>
      </c>
      <c r="G2" s="26" t="s">
        <v>226</v>
      </c>
      <c r="L2" s="90" t="s">
        <v>609</v>
      </c>
      <c r="M2" s="90"/>
      <c r="N2" s="90"/>
    </row>
    <row r="3" spans="1:33" ht="15" customHeight="1">
      <c r="A3" s="26" t="s">
        <v>227</v>
      </c>
      <c r="L3" s="90"/>
      <c r="M3" s="90"/>
      <c r="N3" s="90"/>
    </row>
    <row r="4" spans="1:33" ht="15" customHeight="1">
      <c r="A4" s="26" t="s">
        <v>228</v>
      </c>
      <c r="G4" s="144"/>
      <c r="H4" s="129" t="s">
        <v>229</v>
      </c>
      <c r="I4" s="129" t="s">
        <v>230</v>
      </c>
      <c r="J4" s="112" t="s">
        <v>231</v>
      </c>
      <c r="L4" s="94"/>
      <c r="M4" s="90" t="s">
        <v>232</v>
      </c>
      <c r="N4" s="90" t="s">
        <v>189</v>
      </c>
      <c r="P4" s="152" t="s">
        <v>606</v>
      </c>
      <c r="Q4" s="151"/>
      <c r="R4" s="151"/>
      <c r="T4" s="152" t="s">
        <v>607</v>
      </c>
      <c r="U4" s="151"/>
      <c r="V4" s="151"/>
      <c r="X4" s="152" t="s">
        <v>608</v>
      </c>
      <c r="Y4" s="151"/>
      <c r="Z4" s="151"/>
      <c r="AB4" s="1" t="s">
        <v>916</v>
      </c>
      <c r="AD4" s="1" t="s">
        <v>917</v>
      </c>
      <c r="AE4" s="1" t="s">
        <v>918</v>
      </c>
      <c r="AF4" s="1" t="s">
        <v>919</v>
      </c>
      <c r="AG4" s="1" t="s">
        <v>920</v>
      </c>
    </row>
    <row r="5" spans="1:33" ht="15" customHeight="1">
      <c r="A5" s="26" t="s">
        <v>233</v>
      </c>
      <c r="G5" s="120" t="s">
        <v>22</v>
      </c>
      <c r="H5" s="1">
        <v>0.65</v>
      </c>
      <c r="I5" s="1">
        <v>0.60000000000000009</v>
      </c>
      <c r="J5" s="262">
        <v>0.5</v>
      </c>
      <c r="L5" s="90" t="s">
        <v>234</v>
      </c>
      <c r="M5" s="90">
        <f>H23</f>
        <v>0.33333333333333331</v>
      </c>
      <c r="N5" s="90" t="s">
        <v>17</v>
      </c>
      <c r="P5" s="153" t="s">
        <v>604</v>
      </c>
      <c r="Q5" s="95">
        <v>4.8</v>
      </c>
      <c r="R5" s="95"/>
      <c r="T5" s="153" t="s">
        <v>604</v>
      </c>
      <c r="U5" s="95">
        <v>5.2</v>
      </c>
      <c r="V5" s="95"/>
      <c r="X5" s="153" t="s">
        <v>604</v>
      </c>
      <c r="Y5" s="95">
        <v>8.6</v>
      </c>
      <c r="Z5" s="95"/>
      <c r="AA5" s="415" t="s">
        <v>604</v>
      </c>
      <c r="AB5" s="95">
        <v>10</v>
      </c>
      <c r="AC5" s="1">
        <v>7</v>
      </c>
      <c r="AD5" s="95">
        <v>5</v>
      </c>
      <c r="AE5" s="95">
        <v>3</v>
      </c>
      <c r="AF5" s="95">
        <v>1.5</v>
      </c>
      <c r="AG5" s="95">
        <v>0.6</v>
      </c>
    </row>
    <row r="6" spans="1:33" ht="15" customHeight="1">
      <c r="G6" s="120" t="s">
        <v>26</v>
      </c>
      <c r="H6" s="1">
        <v>0.35</v>
      </c>
      <c r="I6" s="1">
        <v>0.4</v>
      </c>
      <c r="J6" s="263">
        <v>0</v>
      </c>
      <c r="L6" s="90" t="s">
        <v>235</v>
      </c>
      <c r="M6" s="90">
        <f>H22</f>
        <v>0.16666666666666666</v>
      </c>
      <c r="N6" s="90" t="s">
        <v>17</v>
      </c>
      <c r="P6" s="148" t="s">
        <v>605</v>
      </c>
      <c r="Q6" s="96">
        <f>V_houseSI</f>
        <v>499.84900000000005</v>
      </c>
      <c r="R6" s="95" t="s">
        <v>210</v>
      </c>
      <c r="T6" s="148" t="s">
        <v>605</v>
      </c>
      <c r="U6" s="96">
        <f>V_houseSI</f>
        <v>499.84900000000005</v>
      </c>
      <c r="V6" s="95" t="s">
        <v>210</v>
      </c>
      <c r="X6" s="148" t="s">
        <v>605</v>
      </c>
      <c r="Y6" s="96">
        <f>V_houseSI</f>
        <v>499.84900000000005</v>
      </c>
      <c r="Z6" s="95" t="s">
        <v>210</v>
      </c>
      <c r="AA6" s="146" t="s">
        <v>605</v>
      </c>
      <c r="AB6" s="96">
        <f t="shared" ref="AB6:AG6" si="0">V_houseSI</f>
        <v>499.84900000000005</v>
      </c>
      <c r="AC6" s="96">
        <f t="shared" si="0"/>
        <v>499.84900000000005</v>
      </c>
      <c r="AD6" s="96">
        <f t="shared" si="0"/>
        <v>499.84900000000005</v>
      </c>
      <c r="AE6" s="96">
        <f t="shared" si="0"/>
        <v>499.84900000000005</v>
      </c>
      <c r="AF6" s="96">
        <f t="shared" si="0"/>
        <v>499.84900000000005</v>
      </c>
      <c r="AG6" s="96">
        <f t="shared" si="0"/>
        <v>499.84900000000005</v>
      </c>
    </row>
    <row r="7" spans="1:33" ht="15" customHeight="1">
      <c r="A7" s="144"/>
      <c r="B7" s="129" t="s">
        <v>188</v>
      </c>
      <c r="C7" s="129" t="s">
        <v>189</v>
      </c>
      <c r="D7" s="129" t="s">
        <v>190</v>
      </c>
      <c r="E7" s="129" t="s">
        <v>189</v>
      </c>
      <c r="L7" s="90" t="s">
        <v>236</v>
      </c>
      <c r="M7" s="90">
        <f>M5*2+M6*2</f>
        <v>1</v>
      </c>
      <c r="N7" s="90"/>
      <c r="P7" s="148" t="s">
        <v>265</v>
      </c>
      <c r="Q7" s="97">
        <f>(Q5*Q6)/3600/14</f>
        <v>4.760466666666667E-2</v>
      </c>
      <c r="R7" s="95" t="s">
        <v>197</v>
      </c>
      <c r="T7" s="148" t="s">
        <v>265</v>
      </c>
      <c r="U7" s="97">
        <f>(U5*U6)/3600/14</f>
        <v>5.1571722222222227E-2</v>
      </c>
      <c r="V7" s="95" t="s">
        <v>197</v>
      </c>
      <c r="X7" s="148" t="s">
        <v>265</v>
      </c>
      <c r="Y7" s="97">
        <f>(Y5*Y6)/3600/14</f>
        <v>8.5291694444444441E-2</v>
      </c>
      <c r="Z7" s="95" t="s">
        <v>197</v>
      </c>
      <c r="AA7" s="146" t="s">
        <v>265</v>
      </c>
      <c r="AB7" s="97">
        <f t="shared" ref="AB7:AG7" si="1">(AB5*AB6)/3600/14</f>
        <v>9.9176388888888897E-2</v>
      </c>
      <c r="AC7" s="97">
        <f t="shared" si="1"/>
        <v>6.9423472222222227E-2</v>
      </c>
      <c r="AD7" s="97">
        <f t="shared" si="1"/>
        <v>4.9588194444444449E-2</v>
      </c>
      <c r="AE7" s="97">
        <f t="shared" si="1"/>
        <v>2.9752916666666667E-2</v>
      </c>
      <c r="AF7" s="97">
        <f t="shared" si="1"/>
        <v>1.4876458333333334E-2</v>
      </c>
      <c r="AG7" s="97">
        <f t="shared" si="1"/>
        <v>5.9505833333333338E-3</v>
      </c>
    </row>
    <row r="8" spans="1:33" ht="15" customHeight="1">
      <c r="A8" s="146" t="s">
        <v>237</v>
      </c>
      <c r="B8" s="283"/>
      <c r="C8" s="91"/>
      <c r="D8" s="91"/>
      <c r="E8" s="91"/>
      <c r="P8" s="148" t="s">
        <v>237</v>
      </c>
      <c r="Q8" s="99">
        <f>10000*(Q7/A_houseSI)</f>
        <v>2.3809523809523809</v>
      </c>
      <c r="R8" s="98" t="s">
        <v>17</v>
      </c>
      <c r="T8" s="148" t="s">
        <v>237</v>
      </c>
      <c r="U8" s="99">
        <f>10000*(U7/A_houseSI)</f>
        <v>2.5793650793650795</v>
      </c>
      <c r="V8" s="98" t="s">
        <v>17</v>
      </c>
      <c r="X8" s="148" t="s">
        <v>237</v>
      </c>
      <c r="Y8" s="99">
        <f>10000*(Y7/A_houseSI)</f>
        <v>4.2658730158730158</v>
      </c>
      <c r="Z8" s="98" t="s">
        <v>17</v>
      </c>
      <c r="AA8" s="146" t="s">
        <v>237</v>
      </c>
      <c r="AB8" s="99">
        <f t="shared" ref="AB8:AG8" si="2">10000*(AB7/A_houseSI)</f>
        <v>4.9603174603174605</v>
      </c>
      <c r="AC8" s="99">
        <f t="shared" si="2"/>
        <v>3.4722222222222223</v>
      </c>
      <c r="AD8" s="99">
        <f t="shared" si="2"/>
        <v>2.4801587301587302</v>
      </c>
      <c r="AE8" s="99">
        <f t="shared" si="2"/>
        <v>1.4880952380952379</v>
      </c>
      <c r="AF8" s="99">
        <f t="shared" si="2"/>
        <v>0.74404761904761896</v>
      </c>
      <c r="AG8" s="99">
        <f t="shared" si="2"/>
        <v>0.29761904761904762</v>
      </c>
    </row>
    <row r="9" spans="1:33" ht="15" customHeight="1">
      <c r="A9" s="120" t="s">
        <v>238</v>
      </c>
      <c r="B9" s="30"/>
      <c r="D9" s="396" t="e">
        <f>VLOOKUP(mainINPUT!A1,Leakage!AB11:AF16,3,FALSE)</f>
        <v>#N/A</v>
      </c>
      <c r="E9" s="1" t="s">
        <v>197</v>
      </c>
      <c r="G9" s="128" t="s">
        <v>13</v>
      </c>
      <c r="H9" s="129" t="s">
        <v>232</v>
      </c>
      <c r="I9" s="129" t="s">
        <v>189</v>
      </c>
      <c r="L9" s="35" t="s">
        <v>820</v>
      </c>
      <c r="P9" s="1" t="s">
        <v>1052</v>
      </c>
      <c r="AA9" s="1" t="s">
        <v>1052</v>
      </c>
      <c r="AB9" s="1">
        <f>1000*(AB7/A_houseSI)*(([0]!H_soffitSI-Geometry!D12)/2.5)^0.4</f>
        <v>0.66995219845254883</v>
      </c>
      <c r="AC9" s="1">
        <f>1000*(AC7/A_houseSI)*(([0]!H_soffitSI-Geometry!D12)/2.5)^0.4</f>
        <v>0.46896653891678425</v>
      </c>
      <c r="AD9" s="1">
        <f>1000*(AD7/A_houseSI)*(([0]!H_soffitSI-Geometry!D12)/2.5)^0.4</f>
        <v>0.33497609922627442</v>
      </c>
      <c r="AE9" s="1">
        <f>1000*(AE7/A_houseSI)*(([0]!H_soffitSI-Geometry!D12)/2.5)^0.4</f>
        <v>0.20098565953576467</v>
      </c>
      <c r="AF9" s="1">
        <f>1000*(AF7/A_houseSI)*(([0]!H_soffitSI-Geometry!D12)/2.5)^0.4</f>
        <v>0.10049282976788233</v>
      </c>
      <c r="AG9" s="1">
        <f>1000*(AG7/A_houseSI)*(([0]!H_soffitSI-Geometry!D12)/2.5)^0.4</f>
        <v>4.0197131907152933E-2</v>
      </c>
    </row>
    <row r="10" spans="1:33" ht="15" customHeight="1">
      <c r="A10" s="120" t="s">
        <v>239</v>
      </c>
      <c r="D10" s="1">
        <v>1</v>
      </c>
      <c r="E10" s="1" t="s">
        <v>17</v>
      </c>
      <c r="G10" s="120" t="s">
        <v>240</v>
      </c>
      <c r="H10" s="1">
        <v>0.5</v>
      </c>
      <c r="I10" s="1" t="s">
        <v>17</v>
      </c>
      <c r="L10" s="1" t="s">
        <v>234</v>
      </c>
      <c r="M10" s="1">
        <v>0.5</v>
      </c>
      <c r="AB10" s="415" t="s">
        <v>604</v>
      </c>
      <c r="AC10" s="146" t="s">
        <v>605</v>
      </c>
      <c r="AD10" s="146" t="s">
        <v>265</v>
      </c>
      <c r="AE10" s="146" t="s">
        <v>237</v>
      </c>
      <c r="AF10" s="1" t="s">
        <v>1052</v>
      </c>
    </row>
    <row r="11" spans="1:33" ht="15" customHeight="1">
      <c r="A11" s="120" t="s">
        <v>241</v>
      </c>
      <c r="D11" s="30">
        <v>1.2</v>
      </c>
      <c r="E11" s="1" t="s">
        <v>242</v>
      </c>
      <c r="G11" s="120" t="s">
        <v>243</v>
      </c>
      <c r="H11" s="1">
        <v>0</v>
      </c>
      <c r="I11" s="1" t="s">
        <v>17</v>
      </c>
      <c r="L11" s="1" t="s">
        <v>235</v>
      </c>
      <c r="M11" s="1">
        <v>0</v>
      </c>
      <c r="AA11" s="1" t="s">
        <v>916</v>
      </c>
      <c r="AB11" s="95">
        <v>10</v>
      </c>
      <c r="AC11" s="96">
        <f t="shared" ref="AC11:AC16" si="3">V_houseSI</f>
        <v>499.84900000000005</v>
      </c>
      <c r="AD11" s="97">
        <f t="shared" ref="AD11:AD16" si="4">(AB11*AC11)/3600/14</f>
        <v>9.9176388888888897E-2</v>
      </c>
      <c r="AE11" s="99">
        <f t="shared" ref="AE11:AE16" si="5">10000*(AD11/A_houseSI)</f>
        <v>4.9603174603174605</v>
      </c>
      <c r="AF11" s="1" t="b">
        <f>H34=1000*(AD11/A_houseSI)*((H_soffitSI-Geometry!$D$12)/Geometry!$D$13)^0.4</f>
        <v>0</v>
      </c>
    </row>
    <row r="12" spans="1:33" ht="15" customHeight="1">
      <c r="A12" s="147" t="s">
        <v>244</v>
      </c>
      <c r="B12" s="90"/>
      <c r="C12" s="90"/>
      <c r="D12" s="196">
        <v>4</v>
      </c>
      <c r="E12" s="90" t="s">
        <v>591</v>
      </c>
      <c r="G12" s="120"/>
      <c r="L12" s="90" t="s">
        <v>236</v>
      </c>
      <c r="M12" s="90">
        <f>M10*2+M11*2</f>
        <v>1</v>
      </c>
      <c r="AB12" s="1">
        <v>7</v>
      </c>
      <c r="AC12" s="96">
        <f>V_houseSI</f>
        <v>499.84900000000005</v>
      </c>
      <c r="AD12" s="97">
        <f>(AB12*AC12)/3600/14</f>
        <v>6.9423472222222227E-2</v>
      </c>
      <c r="AE12" s="99">
        <f t="shared" si="5"/>
        <v>3.4722222222222223</v>
      </c>
      <c r="AF12" s="1">
        <f>1000*(AD12/A_houseSI)*((H_soffitSI-Geometry!$D$12)/Geometry!$D$13)^0.4</f>
        <v>0.46896653891678425</v>
      </c>
    </row>
    <row r="13" spans="1:33" ht="15" customHeight="1">
      <c r="A13" s="147" t="s">
        <v>9</v>
      </c>
      <c r="B13" s="90"/>
      <c r="C13" s="90"/>
      <c r="D13" s="92" t="e">
        <f>D9*D10/(SQRT(rho_air/2)*D12^(n-0.5))</f>
        <v>#N/A</v>
      </c>
      <c r="E13" s="90" t="s">
        <v>612</v>
      </c>
      <c r="G13" s="120" t="s">
        <v>245</v>
      </c>
      <c r="H13" s="32">
        <f>(H10-H11)/2</f>
        <v>0.25</v>
      </c>
      <c r="I13" s="1" t="s">
        <v>17</v>
      </c>
      <c r="L13" s="33"/>
      <c r="M13" s="33"/>
      <c r="N13" s="33"/>
      <c r="O13" s="33"/>
      <c r="AA13" s="1" t="s">
        <v>917</v>
      </c>
      <c r="AB13" s="95">
        <v>5</v>
      </c>
      <c r="AC13" s="96">
        <f t="shared" si="3"/>
        <v>499.84900000000005</v>
      </c>
      <c r="AD13" s="97">
        <f t="shared" si="4"/>
        <v>4.9588194444444449E-2</v>
      </c>
      <c r="AE13" s="99">
        <f t="shared" si="5"/>
        <v>2.4801587301587302</v>
      </c>
      <c r="AF13" s="1">
        <f>1000*(AD13/A_houseSI)*((H_soffitSI-Geometry!$D$12)/Geometry!$D$13)^0.4</f>
        <v>0.33497609922627442</v>
      </c>
    </row>
    <row r="14" spans="1:33" ht="15" customHeight="1">
      <c r="A14" s="146" t="s">
        <v>14</v>
      </c>
      <c r="B14" s="91"/>
      <c r="C14" s="91"/>
      <c r="D14" s="235">
        <v>0.67</v>
      </c>
      <c r="G14" s="120" t="s">
        <v>246</v>
      </c>
      <c r="H14" s="32">
        <f>1-H13-H15</f>
        <v>0.25</v>
      </c>
      <c r="I14" s="1" t="s">
        <v>17</v>
      </c>
      <c r="P14" s="35" t="s">
        <v>247</v>
      </c>
      <c r="T14" s="35" t="s">
        <v>248</v>
      </c>
      <c r="AA14" s="1" t="s">
        <v>918</v>
      </c>
      <c r="AB14" s="95">
        <v>3</v>
      </c>
      <c r="AC14" s="96">
        <f t="shared" si="3"/>
        <v>499.84900000000005</v>
      </c>
      <c r="AD14" s="97">
        <f t="shared" si="4"/>
        <v>2.9752916666666667E-2</v>
      </c>
      <c r="AE14" s="99">
        <f t="shared" si="5"/>
        <v>1.4880952380952379</v>
      </c>
      <c r="AF14" s="1">
        <f>1000*(AD14/A_houseSI)*((H_soffitSI-Geometry!$D$12)/Geometry!$D$13)^0.4</f>
        <v>0.20098565953576467</v>
      </c>
    </row>
    <row r="15" spans="1:33" ht="15" customHeight="1">
      <c r="A15" s="35" t="s">
        <v>249</v>
      </c>
      <c r="G15" s="149" t="s">
        <v>250</v>
      </c>
      <c r="H15" s="36">
        <f>1-H10</f>
        <v>0.5</v>
      </c>
      <c r="I15" s="145" t="s">
        <v>17</v>
      </c>
      <c r="P15" s="1">
        <v>62.2</v>
      </c>
      <c r="Q15" s="33">
        <f>0.05*86+3.5*3</f>
        <v>14.8</v>
      </c>
      <c r="R15" s="1" t="s">
        <v>251</v>
      </c>
      <c r="T15" s="1" t="s">
        <v>252</v>
      </c>
      <c r="U15" s="1">
        <v>1.5</v>
      </c>
      <c r="V15" s="1" t="s">
        <v>253</v>
      </c>
      <c r="AA15" s="1" t="s">
        <v>919</v>
      </c>
      <c r="AB15" s="95">
        <v>1.5</v>
      </c>
      <c r="AC15" s="96">
        <f t="shared" si="3"/>
        <v>499.84900000000005</v>
      </c>
      <c r="AD15" s="97">
        <f t="shared" si="4"/>
        <v>1.4876458333333334E-2</v>
      </c>
      <c r="AE15" s="99">
        <f t="shared" si="5"/>
        <v>0.74404761904761896</v>
      </c>
      <c r="AF15" s="1">
        <f>1000*(AD15/A_houseSI)*((H_soffitSI-Geometry!$D$12)/Geometry!$D$13)^0.4</f>
        <v>0.10049282976788233</v>
      </c>
    </row>
    <row r="16" spans="1:33" ht="15" customHeight="1">
      <c r="A16" s="128" t="s">
        <v>254</v>
      </c>
      <c r="B16" s="129" t="s">
        <v>255</v>
      </c>
      <c r="C16" s="129" t="s">
        <v>256</v>
      </c>
      <c r="D16" s="129" t="s">
        <v>257</v>
      </c>
      <c r="E16" s="129" t="s">
        <v>258</v>
      </c>
      <c r="G16" s="120" t="s">
        <v>236</v>
      </c>
      <c r="H16" s="1">
        <f>SUM(H13:H15)</f>
        <v>1</v>
      </c>
      <c r="I16" s="1" t="s">
        <v>17</v>
      </c>
      <c r="P16" s="1" t="s">
        <v>259</v>
      </c>
      <c r="Q16" s="1">
        <f>Q15+10/100*86</f>
        <v>23.4</v>
      </c>
      <c r="R16" s="1" t="s">
        <v>251</v>
      </c>
      <c r="T16" s="1" t="s">
        <v>260</v>
      </c>
      <c r="U16" s="1">
        <f>U15/1000*3600/2.5</f>
        <v>2.16</v>
      </c>
      <c r="V16" s="1" t="s">
        <v>261</v>
      </c>
      <c r="AA16" s="1" t="s">
        <v>920</v>
      </c>
      <c r="AB16" s="95">
        <v>0.6</v>
      </c>
      <c r="AC16" s="96">
        <f t="shared" si="3"/>
        <v>499.84900000000005</v>
      </c>
      <c r="AD16" s="97">
        <f t="shared" si="4"/>
        <v>5.9505833333333338E-3</v>
      </c>
      <c r="AE16" s="99">
        <f t="shared" si="5"/>
        <v>0.29761904761904762</v>
      </c>
      <c r="AF16" s="1">
        <f>1000*(AD16/A_houseSI)*((H_soffitSI-Geometry!$D$12)/Geometry!$D$13)^0.4</f>
        <v>4.0197131907152933E-2</v>
      </c>
    </row>
    <row r="17" spans="1:24" ht="15" customHeight="1">
      <c r="A17" s="120">
        <v>1000</v>
      </c>
      <c r="B17" s="1">
        <v>3.8</v>
      </c>
      <c r="C17" s="30">
        <f>B17*A17*144/10000</f>
        <v>54.72</v>
      </c>
      <c r="D17" s="37">
        <f>C17*(0.3048/12)^2</f>
        <v>3.5303155200000005E-2</v>
      </c>
      <c r="E17" s="31">
        <f>D17/(SQRT(1.2/2)*4^(0.65-0.5))</f>
        <v>3.7019359298582966E-2</v>
      </c>
      <c r="P17" s="1" t="s">
        <v>262</v>
      </c>
      <c r="Q17" s="1">
        <v>86</v>
      </c>
      <c r="R17" s="1" t="s">
        <v>210</v>
      </c>
      <c r="T17" s="1" t="s">
        <v>237</v>
      </c>
      <c r="U17" s="1">
        <f>U16/2</f>
        <v>1.08</v>
      </c>
      <c r="V17" s="1" t="s">
        <v>17</v>
      </c>
    </row>
    <row r="18" spans="1:24" ht="15" customHeight="1">
      <c r="A18" s="120">
        <v>2000</v>
      </c>
      <c r="B18" s="1">
        <v>3.8</v>
      </c>
      <c r="C18" s="30">
        <f>B18*A18*144/10000</f>
        <v>109.44</v>
      </c>
      <c r="D18" s="37">
        <f>C18*(0.3048/12)^2</f>
        <v>7.0606310400000011E-2</v>
      </c>
      <c r="E18" s="31">
        <f>D18/(SQRT(1.2/2)*4^(0.65-0.5))</f>
        <v>7.4038718597165931E-2</v>
      </c>
      <c r="P18" s="1" t="s">
        <v>209</v>
      </c>
      <c r="Q18" s="33">
        <f>Q17*2.5</f>
        <v>215</v>
      </c>
      <c r="R18" s="1" t="s">
        <v>210</v>
      </c>
      <c r="T18" s="26" t="s">
        <v>263</v>
      </c>
    </row>
    <row r="19" spans="1:24" ht="15" customHeight="1">
      <c r="A19" s="120">
        <v>2700</v>
      </c>
      <c r="B19" s="1">
        <v>3.8</v>
      </c>
      <c r="C19" s="30">
        <f>B19*A19*144/10000</f>
        <v>147.744</v>
      </c>
      <c r="D19" s="37">
        <f>C19*(0.3048/12)^2</f>
        <v>9.5318519040000008E-2</v>
      </c>
      <c r="E19" s="31">
        <f>D19/(SQRT(1.2/2)*4^(0.65-0.5))</f>
        <v>9.9952270106173996E-2</v>
      </c>
      <c r="G19" s="35" t="s">
        <v>596</v>
      </c>
      <c r="P19" s="1" t="s">
        <v>260</v>
      </c>
      <c r="Q19" s="34">
        <f>Q16/1000*3600/Q18</f>
        <v>0.39181395348837206</v>
      </c>
      <c r="R19" s="1" t="s">
        <v>261</v>
      </c>
    </row>
    <row r="20" spans="1:24" ht="15" customHeight="1">
      <c r="A20" s="120">
        <v>4000</v>
      </c>
      <c r="B20" s="1">
        <v>3.8</v>
      </c>
      <c r="C20" s="30">
        <f>B20*A20*144/10000</f>
        <v>218.88</v>
      </c>
      <c r="D20" s="37">
        <f>C20*(0.3048/12)^2</f>
        <v>0.14121262080000002</v>
      </c>
      <c r="E20" s="31">
        <f>D20/(SQRT(1.2/2)*4^(0.65-0.5))</f>
        <v>0.14807743719433186</v>
      </c>
      <c r="G20" s="120" t="s">
        <v>614</v>
      </c>
      <c r="H20" s="37">
        <f>W_houseSI</f>
        <v>7.07</v>
      </c>
      <c r="P20" s="1" t="s">
        <v>264</v>
      </c>
      <c r="Q20" s="1">
        <v>3.5</v>
      </c>
      <c r="R20" s="1" t="s">
        <v>261</v>
      </c>
    </row>
    <row r="21" spans="1:24" ht="15" customHeight="1">
      <c r="G21" s="120" t="s">
        <v>615</v>
      </c>
      <c r="H21" s="37">
        <f>L_houseSI</f>
        <v>14.14</v>
      </c>
      <c r="L21" s="33"/>
      <c r="M21" s="33"/>
      <c r="N21" s="33"/>
      <c r="O21" s="33"/>
      <c r="P21" s="1" t="s">
        <v>265</v>
      </c>
      <c r="Q21" s="31">
        <f>Q20*Q17*2.5/3600/14</f>
        <v>1.4930555555555556E-2</v>
      </c>
      <c r="R21" s="1" t="s">
        <v>197</v>
      </c>
    </row>
    <row r="22" spans="1:24" ht="15" customHeight="1">
      <c r="A22" s="35" t="s">
        <v>249</v>
      </c>
      <c r="B22" s="4"/>
      <c r="G22" s="120" t="s">
        <v>616</v>
      </c>
      <c r="H22" s="37">
        <f>H20/(2*H21+2*H20)</f>
        <v>0.16666666666666666</v>
      </c>
      <c r="P22" s="1" t="s">
        <v>266</v>
      </c>
      <c r="Q22" s="38">
        <f>PI()*(0.1/2)^2</f>
        <v>7.8539816339744835E-3</v>
      </c>
      <c r="R22" s="1" t="s">
        <v>197</v>
      </c>
      <c r="S22" s="39">
        <f>Q22/($Q$21+Q22)</f>
        <v>0.3447066564768122</v>
      </c>
    </row>
    <row r="23" spans="1:24" ht="15.75" customHeight="1">
      <c r="A23" s="128" t="s">
        <v>254</v>
      </c>
      <c r="B23" s="129" t="s">
        <v>255</v>
      </c>
      <c r="C23" s="129" t="s">
        <v>256</v>
      </c>
      <c r="D23" s="129" t="s">
        <v>257</v>
      </c>
      <c r="E23" s="129" t="s">
        <v>258</v>
      </c>
      <c r="G23" s="150" t="s">
        <v>617</v>
      </c>
      <c r="H23" s="37">
        <f>H21/(2*H20+2*H21)</f>
        <v>0.33333333333333331</v>
      </c>
      <c r="M23" s="37"/>
      <c r="N23" s="37"/>
      <c r="P23" s="1" t="s">
        <v>267</v>
      </c>
      <c r="Q23" s="38">
        <f>PI()*(0.2/2)^2</f>
        <v>3.1415926535897934E-2</v>
      </c>
      <c r="R23" s="1" t="s">
        <v>197</v>
      </c>
      <c r="S23" s="39">
        <f>Q23/($Q$21+Q23)</f>
        <v>0.67784921569465095</v>
      </c>
    </row>
    <row r="24" spans="1:24" ht="15" customHeight="1">
      <c r="A24" s="120">
        <v>1000</v>
      </c>
      <c r="B24" s="1">
        <v>2.7</v>
      </c>
      <c r="C24" s="30">
        <f>B24*A24*144/10000</f>
        <v>38.880000000000003</v>
      </c>
      <c r="D24" s="37">
        <f>C24*(0.3048/12)^2</f>
        <v>2.5083820800000003E-2</v>
      </c>
      <c r="E24" s="31">
        <f>D24/(SQRT(1.2/2)*4^(0.65-0.5))</f>
        <v>2.630322897530895E-2</v>
      </c>
      <c r="G24" s="32"/>
      <c r="H24" s="32"/>
      <c r="P24" s="1" t="s">
        <v>237</v>
      </c>
      <c r="Q24" s="1">
        <f>Q20/2</f>
        <v>1.75</v>
      </c>
      <c r="R24" s="1" t="s">
        <v>17</v>
      </c>
    </row>
    <row r="25" spans="1:24" ht="15" customHeight="1">
      <c r="A25" s="120">
        <v>2100</v>
      </c>
      <c r="B25" s="1">
        <f>B24</f>
        <v>2.7</v>
      </c>
      <c r="C25" s="30">
        <f>B25*A25*144/10000</f>
        <v>81.647999999999996</v>
      </c>
      <c r="D25" s="37">
        <f>C25*(0.3048/12)^2</f>
        <v>5.2676023680000003E-2</v>
      </c>
      <c r="E25" s="31">
        <f>D25/(SQRT(1.2/2)*4^(0.65-0.5))</f>
        <v>5.5236780848148787E-2</v>
      </c>
      <c r="G25" s="32"/>
      <c r="H25" s="32"/>
      <c r="P25" s="26" t="s">
        <v>268</v>
      </c>
    </row>
    <row r="26" spans="1:24" ht="15" customHeight="1">
      <c r="A26" s="120">
        <v>2700</v>
      </c>
      <c r="B26" s="1">
        <f>B25</f>
        <v>2.7</v>
      </c>
      <c r="C26" s="30">
        <f>B26*A26*144/10000</f>
        <v>104.97600000000003</v>
      </c>
      <c r="D26" s="37">
        <f>C26*(0.3048/12)^2</f>
        <v>6.7726316160000022E-2</v>
      </c>
      <c r="E26" s="31">
        <f>D26/(SQRT(1.2/2)*4^(0.65-0.5))</f>
        <v>7.101871823333418E-2</v>
      </c>
      <c r="G26" s="32"/>
      <c r="H26" s="32"/>
    </row>
    <row r="27" spans="1:24" ht="15" customHeight="1">
      <c r="A27" s="120">
        <v>4000</v>
      </c>
      <c r="B27" s="1">
        <f>B26</f>
        <v>2.7</v>
      </c>
      <c r="C27" s="30">
        <f>B27*A27*144/10000</f>
        <v>155.52000000000001</v>
      </c>
      <c r="D27" s="37">
        <f>C27*(0.3048/12)^2</f>
        <v>0.10033528320000001</v>
      </c>
      <c r="E27" s="31">
        <f>D27/(SQRT(1.2/2)*4^(0.65-0.5))</f>
        <v>0.1052129159012358</v>
      </c>
      <c r="G27" s="32"/>
      <c r="H27" s="32"/>
    </row>
    <row r="28" spans="1:24" ht="15" customHeight="1">
      <c r="G28" s="1" t="s">
        <v>1235</v>
      </c>
    </row>
    <row r="29" spans="1:24" ht="15" customHeight="1">
      <c r="G29" s="268" t="s">
        <v>803</v>
      </c>
      <c r="H29" s="360" t="s">
        <v>882</v>
      </c>
      <c r="I29" s="360" t="s">
        <v>823</v>
      </c>
      <c r="J29" s="360" t="s">
        <v>824</v>
      </c>
      <c r="K29" s="360" t="s">
        <v>825</v>
      </c>
      <c r="L29" s="360" t="s">
        <v>826</v>
      </c>
      <c r="M29" s="360" t="s">
        <v>827</v>
      </c>
      <c r="N29" s="360" t="s">
        <v>828</v>
      </c>
      <c r="O29" s="360" t="s">
        <v>829</v>
      </c>
      <c r="P29" s="360" t="s">
        <v>830</v>
      </c>
      <c r="Q29" s="360" t="s">
        <v>831</v>
      </c>
      <c r="R29" s="360" t="s">
        <v>832</v>
      </c>
      <c r="S29" s="360" t="s">
        <v>833</v>
      </c>
      <c r="T29" s="360" t="s">
        <v>834</v>
      </c>
      <c r="U29" s="414">
        <v>7</v>
      </c>
      <c r="V29" s="414">
        <v>8</v>
      </c>
      <c r="W29" s="1" t="s">
        <v>1154</v>
      </c>
      <c r="X29" s="1" t="s">
        <v>1153</v>
      </c>
    </row>
    <row r="30" spans="1:24" ht="15" customHeight="1">
      <c r="G30" s="1" t="s">
        <v>1055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1124</v>
      </c>
      <c r="H31" s="1">
        <f t="shared" ref="H31:V31" si="6">(V_houseSI*H30)/3600/14</f>
        <v>2.9752916666666667E-2</v>
      </c>
      <c r="I31" s="1">
        <f t="shared" si="6"/>
        <v>2.9752916666666667E-2</v>
      </c>
      <c r="J31" s="1">
        <f t="shared" si="6"/>
        <v>2.9752916666666667E-2</v>
      </c>
      <c r="K31" s="1">
        <f t="shared" si="6"/>
        <v>2.4794097222222224E-2</v>
      </c>
      <c r="L31" s="1">
        <f t="shared" si="6"/>
        <v>2.4794097222222224E-2</v>
      </c>
      <c r="M31" s="1">
        <f t="shared" si="6"/>
        <v>2.4794097222222224E-2</v>
      </c>
      <c r="N31" s="1">
        <f t="shared" si="6"/>
        <v>2.4794097222222224E-2</v>
      </c>
      <c r="O31" s="1">
        <f t="shared" si="6"/>
        <v>2.4794097222222224E-2</v>
      </c>
      <c r="P31" s="1">
        <f t="shared" si="6"/>
        <v>2.4794097222222224E-2</v>
      </c>
      <c r="Q31" s="1">
        <f t="shared" si="6"/>
        <v>1.9835277777777778E-2</v>
      </c>
      <c r="R31" s="1">
        <f t="shared" si="6"/>
        <v>1.9835277777777778E-2</v>
      </c>
      <c r="S31" s="1">
        <f t="shared" si="6"/>
        <v>1.9835277777777778E-2</v>
      </c>
      <c r="T31" s="1">
        <f t="shared" si="6"/>
        <v>1.9835277777777778E-2</v>
      </c>
      <c r="U31" s="1">
        <f t="shared" si="6"/>
        <v>1.9835277777777778E-2</v>
      </c>
      <c r="V31" s="1">
        <f t="shared" si="6"/>
        <v>1.4876458333333334E-2</v>
      </c>
      <c r="W31" s="1">
        <f>(V_houseSI*W30)/3600/14</f>
        <v>2.9752916666666667E-2</v>
      </c>
      <c r="X31" s="1">
        <f>(V_houseSI*X30)/3600/14</f>
        <v>2.4794097222222224E-2</v>
      </c>
    </row>
    <row r="32" spans="1:24" ht="15" customHeight="1">
      <c r="G32" s="1" t="s">
        <v>1125</v>
      </c>
      <c r="H32" s="1">
        <f t="shared" ref="H32:V32" si="7">H31*$D$10/(SQRT(rho_air/2)*$D$12^(n-0.5))</f>
        <v>3.0346158521586643E-2</v>
      </c>
      <c r="I32" s="1">
        <f t="shared" si="7"/>
        <v>3.0346158521586643E-2</v>
      </c>
      <c r="J32" s="1">
        <f t="shared" si="7"/>
        <v>3.0346158521586643E-2</v>
      </c>
      <c r="K32" s="1">
        <f t="shared" si="7"/>
        <v>2.5288465434655537E-2</v>
      </c>
      <c r="L32" s="1">
        <f t="shared" si="7"/>
        <v>2.5288465434655537E-2</v>
      </c>
      <c r="M32" s="1">
        <f t="shared" si="7"/>
        <v>2.5288465434655537E-2</v>
      </c>
      <c r="N32" s="1">
        <f t="shared" si="7"/>
        <v>2.5288465434655537E-2</v>
      </c>
      <c r="O32" s="1">
        <f t="shared" si="7"/>
        <v>2.5288465434655537E-2</v>
      </c>
      <c r="P32" s="1">
        <f t="shared" si="7"/>
        <v>2.5288465434655537E-2</v>
      </c>
      <c r="Q32" s="1">
        <f t="shared" si="7"/>
        <v>2.023077234772443E-2</v>
      </c>
      <c r="R32" s="1">
        <f t="shared" si="7"/>
        <v>2.023077234772443E-2</v>
      </c>
      <c r="S32" s="1">
        <f t="shared" si="7"/>
        <v>2.023077234772443E-2</v>
      </c>
      <c r="T32" s="1">
        <f t="shared" si="7"/>
        <v>2.023077234772443E-2</v>
      </c>
      <c r="U32" s="1">
        <f t="shared" si="7"/>
        <v>2.023077234772443E-2</v>
      </c>
      <c r="V32" s="1">
        <f t="shared" si="7"/>
        <v>1.5173079260793322E-2</v>
      </c>
      <c r="W32" s="1">
        <f>W31*$D$10/(SQRT(rho_air/2)*$D$12^(n-0.5))</f>
        <v>3.0346158521586643E-2</v>
      </c>
      <c r="X32" s="1">
        <f>X31*$D$10/(SQRT(rho_air/2)*$D$12^(n-0.5))</f>
        <v>2.5288465434655537E-2</v>
      </c>
    </row>
    <row r="33" spans="7:24" ht="15" customHeight="1">
      <c r="G33" s="1" t="s">
        <v>14</v>
      </c>
      <c r="H33" s="1">
        <v>0.67</v>
      </c>
      <c r="I33" s="1">
        <v>0.67</v>
      </c>
      <c r="J33" s="1">
        <v>0.67</v>
      </c>
      <c r="K33" s="1">
        <v>0.67</v>
      </c>
      <c r="L33" s="1">
        <v>0.67</v>
      </c>
      <c r="M33" s="1">
        <v>0.67</v>
      </c>
      <c r="N33" s="1">
        <v>0.67</v>
      </c>
      <c r="O33" s="1">
        <v>0.67</v>
      </c>
      <c r="P33" s="1">
        <v>0.67</v>
      </c>
      <c r="Q33" s="1">
        <v>0.67</v>
      </c>
      <c r="R33" s="1">
        <v>0.67</v>
      </c>
      <c r="S33" s="1">
        <v>0.67</v>
      </c>
      <c r="T33" s="1">
        <v>0.67</v>
      </c>
      <c r="U33" s="1">
        <v>0.67</v>
      </c>
      <c r="V33" s="1">
        <v>0.67</v>
      </c>
      <c r="W33" s="1">
        <v>0.67</v>
      </c>
      <c r="X33" s="1">
        <v>0.67</v>
      </c>
    </row>
    <row r="34" spans="7:24" ht="15" customHeight="1">
      <c r="G34" s="1" t="s">
        <v>1052</v>
      </c>
      <c r="H34" s="1">
        <f>1000*(H31/A_houseSI)*((H_soffitSI-Geometry!$D$12)/Geometry!$D$13)^0.4</f>
        <v>0.20098565953576467</v>
      </c>
      <c r="I34" s="1">
        <f>1000*(I31/A_houseSI)*((H_soffitSI-Geometry!$D$12)/Geometry!$D$13)^0.4</f>
        <v>0.20098565953576467</v>
      </c>
      <c r="J34" s="1">
        <f>1000*(J31/A_houseSI)*((H_soffitSI-Geometry!$D$12)/Geometry!$D$13)^0.4</f>
        <v>0.20098565953576467</v>
      </c>
      <c r="K34" s="1">
        <f>1000*(K31/A_houseSI)*((H_soffitSI-Geometry!$D$12)/Geometry!$D$13)^0.4</f>
        <v>0.16748804961313721</v>
      </c>
      <c r="L34" s="1">
        <f>1000*(L31/A_houseSI)*((H_soffitSI-Geometry!$D$12)/Geometry!$D$13)^0.4</f>
        <v>0.16748804961313721</v>
      </c>
      <c r="M34" s="1">
        <f>1000*(M31/A_houseSI)*((H_soffitSI-Geometry!$D$12)/Geometry!$D$13)^0.4</f>
        <v>0.16748804961313721</v>
      </c>
      <c r="N34" s="1">
        <f>1000*(N31/A_houseSI)*((H_soffitSI-Geometry!$D$12)/Geometry!$D$13)^0.4</f>
        <v>0.16748804961313721</v>
      </c>
      <c r="O34" s="1">
        <f>1000*(O31/A_houseSI)*((H_soffitSI-Geometry!$D$12)/Geometry!$D$13)^0.4</f>
        <v>0.16748804961313721</v>
      </c>
      <c r="P34" s="1">
        <f>1000*(P31/A_houseSI)*((H_soffitSI-Geometry!$D$12)/Geometry!$D$13)^0.4</f>
        <v>0.16748804961313721</v>
      </c>
      <c r="Q34" s="1">
        <f>1000*(Q31/A_houseSI)*((H_soffitSI-Geometry!$D$12)/Geometry!$D$13)^0.4</f>
        <v>0.13399043969050978</v>
      </c>
      <c r="R34" s="1">
        <f>1000*(R31/A_houseSI)*((H_soffitSI-Geometry!$D$12)/Geometry!$D$13)^0.4</f>
        <v>0.13399043969050978</v>
      </c>
      <c r="S34" s="1">
        <f>1000*(S31/A_houseSI)*((H_soffitSI-Geometry!$D$12)/Geometry!$D$13)^0.4</f>
        <v>0.13399043969050978</v>
      </c>
      <c r="T34" s="1">
        <f>1000*(T31/A_houseSI)*((H_soffitSI-Geometry!$D$12)/Geometry!$D$13)^0.4</f>
        <v>0.13399043969050978</v>
      </c>
      <c r="U34" s="1">
        <f>1000*(U31/A_houseSI)*((H_soffitSI-Geometry!$D$12)/Geometry!$D$13)^0.4</f>
        <v>0.13399043969050978</v>
      </c>
      <c r="V34" s="1">
        <f>1000*(V31/A_houseSI)*((H_soffitSI-Geometry!$D$12)/Geometry!$D$13)^0.4</f>
        <v>0.10049282976788233</v>
      </c>
      <c r="W34" s="1">
        <f>1000*(W31/A_houseSI)*((H_soffitSI-Geometry!$D$12)/Geometry!$D$13)^0.4</f>
        <v>0.20098565953576467</v>
      </c>
      <c r="X34" s="1">
        <f>1000*(X31/A_houseSI)*((H_soffitSI-Geometry!$D$12)/Geometry!$D$13)^0.4</f>
        <v>0.16748804961313721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S30"/>
  <sheetViews>
    <sheetView workbookViewId="0">
      <selection activeCell="G29" sqref="G29"/>
    </sheetView>
  </sheetViews>
  <sheetFormatPr defaultColWidth="8.7109375" defaultRowHeight="15" customHeight="1"/>
  <cols>
    <col min="1" max="1" width="14.42578125" style="6" customWidth="1"/>
    <col min="2" max="2" width="6.42578125" style="6" bestFit="1" customWidth="1"/>
    <col min="3" max="3" width="9.28515625" style="6" customWidth="1"/>
    <col min="4" max="12" width="10.42578125" style="6" bestFit="1" customWidth="1"/>
    <col min="13" max="13" width="9.28515625" style="6" customWidth="1"/>
    <col min="14" max="14" width="10.42578125" style="6" bestFit="1" customWidth="1"/>
    <col min="15" max="20" width="8.7109375" style="6"/>
    <col min="21" max="21" width="17.28515625" style="6" bestFit="1" customWidth="1"/>
    <col min="22" max="22" width="9.28515625" style="6" bestFit="1" customWidth="1"/>
    <col min="23" max="23" width="8.7109375" style="6"/>
    <col min="24" max="24" width="12.7109375" style="6" bestFit="1" customWidth="1"/>
    <col min="25" max="16384" width="8.7109375" style="6"/>
  </cols>
  <sheetData>
    <row r="1" spans="1:19" ht="15" customHeight="1">
      <c r="A1" s="4" t="s">
        <v>33</v>
      </c>
      <c r="Q1" s="40" t="s">
        <v>269</v>
      </c>
      <c r="R1" s="40"/>
      <c r="S1" s="40"/>
    </row>
    <row r="2" spans="1:19" ht="15" customHeight="1">
      <c r="A2" s="185" t="s">
        <v>270</v>
      </c>
      <c r="H2" s="129" t="s">
        <v>271</v>
      </c>
      <c r="I2" s="124"/>
      <c r="J2" s="124"/>
      <c r="K2" s="124"/>
      <c r="L2" s="124"/>
      <c r="M2" s="124"/>
      <c r="N2" s="124"/>
      <c r="Q2" s="40" t="s">
        <v>272</v>
      </c>
      <c r="R2" s="40"/>
      <c r="S2" s="40"/>
    </row>
    <row r="3" spans="1:19" ht="15" customHeight="1">
      <c r="A3" s="114" t="s">
        <v>273</v>
      </c>
      <c r="B3" s="29"/>
      <c r="D3" s="6">
        <v>3</v>
      </c>
      <c r="E3" s="6" t="s">
        <v>193</v>
      </c>
      <c r="H3" s="114" t="s">
        <v>274</v>
      </c>
      <c r="I3" s="6">
        <v>6</v>
      </c>
      <c r="J3" s="6" t="s">
        <v>193</v>
      </c>
      <c r="K3"/>
      <c r="Q3" s="40" t="s">
        <v>273</v>
      </c>
      <c r="R3" s="40">
        <v>4.5</v>
      </c>
      <c r="S3" s="40" t="s">
        <v>193</v>
      </c>
    </row>
    <row r="4" spans="1:19" ht="15" customHeight="1">
      <c r="A4" s="114" t="s">
        <v>275</v>
      </c>
      <c r="B4" s="29"/>
      <c r="D4" s="41">
        <v>0.15</v>
      </c>
      <c r="E4" s="6" t="s">
        <v>193</v>
      </c>
      <c r="H4" s="114" t="s">
        <v>277</v>
      </c>
      <c r="I4" s="41">
        <f>D4</f>
        <v>0.15</v>
      </c>
      <c r="J4" s="6" t="s">
        <v>193</v>
      </c>
      <c r="Q4" s="40" t="s">
        <v>275</v>
      </c>
      <c r="R4" s="40">
        <v>0.15</v>
      </c>
      <c r="S4" s="40" t="s">
        <v>193</v>
      </c>
    </row>
    <row r="5" spans="1:19" ht="15" customHeight="1">
      <c r="A5" s="114" t="s">
        <v>278</v>
      </c>
      <c r="D5" s="42">
        <f>PI()*(D4/2)^2</f>
        <v>1.7671458676442587E-2</v>
      </c>
      <c r="E5" s="6" t="s">
        <v>197</v>
      </c>
      <c r="H5" s="114" t="s">
        <v>279</v>
      </c>
      <c r="I5" s="6">
        <v>1.3700000000000002E-2</v>
      </c>
      <c r="Q5" s="40" t="s">
        <v>280</v>
      </c>
      <c r="R5" s="40">
        <v>5.4000000000000006E-2</v>
      </c>
      <c r="S5" s="40"/>
    </row>
    <row r="6" spans="1:19" ht="15" customHeight="1">
      <c r="A6" s="114" t="s">
        <v>281</v>
      </c>
      <c r="D6" s="41">
        <f>I8</f>
        <v>2.0000406200209989E-2</v>
      </c>
      <c r="E6" s="6" t="s">
        <v>17</v>
      </c>
      <c r="H6" s="114" t="s">
        <v>282</v>
      </c>
      <c r="I6" s="42">
        <f>PI()*(I4/2)^2</f>
        <v>1.7671458676442587E-2</v>
      </c>
      <c r="J6" s="6" t="s">
        <v>197</v>
      </c>
      <c r="L6" s="6" t="s">
        <v>868</v>
      </c>
      <c r="Q6" s="40" t="s">
        <v>278</v>
      </c>
      <c r="R6" s="40">
        <f>PI()*(R4/2)^2</f>
        <v>1.7671458676442587E-2</v>
      </c>
      <c r="S6" s="40" t="s">
        <v>197</v>
      </c>
    </row>
    <row r="7" spans="1:19" ht="15" customHeight="1">
      <c r="A7" s="114" t="s">
        <v>283</v>
      </c>
      <c r="D7" s="6">
        <v>1</v>
      </c>
      <c r="E7" s="6" t="s">
        <v>284</v>
      </c>
      <c r="H7" s="114" t="s">
        <v>285</v>
      </c>
      <c r="I7" s="6">
        <v>1.9730000000000001</v>
      </c>
      <c r="J7" s="6" t="s">
        <v>17</v>
      </c>
      <c r="L7" s="6">
        <v>2</v>
      </c>
      <c r="Q7" s="40"/>
      <c r="R7" s="40">
        <f>(2/1.2*(R6/R5)^2-1)*R4/R3</f>
        <v>-2.7383774353124182E-2</v>
      </c>
      <c r="S7" s="40"/>
    </row>
    <row r="8" spans="1:19" ht="15" customHeight="1">
      <c r="A8" s="142" t="s">
        <v>286</v>
      </c>
      <c r="B8" s="43"/>
      <c r="C8" s="43"/>
      <c r="D8" s="44">
        <f>SQRT(2*D5^2/(1.2*(1+D6*D3/D4)))*D7</f>
        <v>1.9281086206186945E-2</v>
      </c>
      <c r="E8" s="43" t="s">
        <v>590</v>
      </c>
      <c r="H8" s="114" t="s">
        <v>287</v>
      </c>
      <c r="I8" s="41">
        <f>(2/1.2*(I6/I5)^2-I7)*I4/I3</f>
        <v>2.0000406200209989E-2</v>
      </c>
      <c r="L8" s="6">
        <v>0.02</v>
      </c>
      <c r="Q8" s="40"/>
      <c r="R8" s="40">
        <f>SQRT(2*R6^2/(1.2*(1+R7*R3/R4)))</f>
        <v>5.4000000000000006E-2</v>
      </c>
      <c r="S8" s="40"/>
    </row>
    <row r="9" spans="1:19" ht="15" customHeight="1">
      <c r="H9" s="143" t="s">
        <v>288</v>
      </c>
    </row>
    <row r="10" spans="1:19" ht="15" customHeight="1">
      <c r="H10" s="114" t="s">
        <v>9</v>
      </c>
      <c r="I10" s="6">
        <f>SQRT(2*I6^2/(1.2*(I7+I8*I3/I4)))</f>
        <v>1.37E-2</v>
      </c>
    </row>
    <row r="12" spans="1:19" ht="15" customHeight="1">
      <c r="A12" s="129" t="s">
        <v>289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 t="s">
        <v>290</v>
      </c>
    </row>
    <row r="13" spans="1:19" ht="15" customHeight="1">
      <c r="A13" s="114" t="s">
        <v>291</v>
      </c>
      <c r="B13" s="6">
        <v>6</v>
      </c>
      <c r="C13" s="6">
        <v>5</v>
      </c>
      <c r="D13" s="6">
        <v>4</v>
      </c>
      <c r="E13" s="6">
        <v>3</v>
      </c>
      <c r="F13" s="6">
        <v>6</v>
      </c>
      <c r="G13" s="6">
        <v>4</v>
      </c>
      <c r="H13" s="45">
        <v>3</v>
      </c>
      <c r="I13" s="45">
        <v>2</v>
      </c>
      <c r="J13" s="6">
        <v>6</v>
      </c>
      <c r="K13" s="6">
        <v>5</v>
      </c>
      <c r="L13" s="6">
        <v>4</v>
      </c>
      <c r="M13" s="6">
        <v>3</v>
      </c>
      <c r="N13" s="6">
        <v>5.95</v>
      </c>
      <c r="P13" s="6" t="s">
        <v>292</v>
      </c>
    </row>
    <row r="14" spans="1:19" ht="15" customHeight="1">
      <c r="A14" s="114" t="s">
        <v>293</v>
      </c>
      <c r="B14" s="6">
        <v>0.15</v>
      </c>
      <c r="C14" s="6">
        <v>0.15</v>
      </c>
      <c r="D14" s="6">
        <v>0.15</v>
      </c>
      <c r="E14" s="6">
        <v>0.15</v>
      </c>
      <c r="F14" s="6">
        <v>0.2</v>
      </c>
      <c r="G14" s="6">
        <v>0.2</v>
      </c>
      <c r="H14" s="45">
        <v>0.2</v>
      </c>
      <c r="I14" s="45">
        <v>0.2</v>
      </c>
      <c r="J14" s="6">
        <v>0.1</v>
      </c>
      <c r="K14" s="6">
        <v>0.1</v>
      </c>
      <c r="L14" s="6">
        <v>0.1</v>
      </c>
      <c r="M14" s="6">
        <v>0.1</v>
      </c>
      <c r="N14" s="6">
        <v>0.16</v>
      </c>
      <c r="P14" s="6" t="s">
        <v>294</v>
      </c>
    </row>
    <row r="15" spans="1:19" ht="15" customHeight="1">
      <c r="A15" s="114" t="s">
        <v>295</v>
      </c>
      <c r="B15" s="178">
        <f>B13/B14</f>
        <v>40</v>
      </c>
      <c r="C15" s="178">
        <f t="shared" ref="C15:M15" si="0">C13/C14</f>
        <v>33.333333333333336</v>
      </c>
      <c r="D15" s="178">
        <f t="shared" si="0"/>
        <v>26.666666666666668</v>
      </c>
      <c r="E15" s="178">
        <f t="shared" si="0"/>
        <v>20</v>
      </c>
      <c r="F15" s="178">
        <f t="shared" si="0"/>
        <v>30</v>
      </c>
      <c r="G15" s="178">
        <f t="shared" si="0"/>
        <v>20</v>
      </c>
      <c r="H15" s="178">
        <f t="shared" si="0"/>
        <v>15</v>
      </c>
      <c r="I15" s="178">
        <f t="shared" si="0"/>
        <v>10</v>
      </c>
      <c r="J15" s="178">
        <f t="shared" si="0"/>
        <v>60</v>
      </c>
      <c r="K15" s="178">
        <f t="shared" si="0"/>
        <v>50</v>
      </c>
      <c r="L15" s="178">
        <f t="shared" si="0"/>
        <v>40</v>
      </c>
      <c r="M15" s="178">
        <f t="shared" si="0"/>
        <v>30</v>
      </c>
      <c r="N15" s="178">
        <f>N13/N14</f>
        <v>37.1875</v>
      </c>
      <c r="P15" s="6" t="s">
        <v>296</v>
      </c>
    </row>
    <row r="16" spans="1:19" ht="15" customHeight="1">
      <c r="A16" s="114" t="s">
        <v>297</v>
      </c>
      <c r="B16" s="41">
        <f>SQRT(1/($L$8*B15+$L$7))</f>
        <v>0.59761430466719678</v>
      </c>
      <c r="C16" s="41">
        <f t="shared" ref="C16:N16" si="1">SQRT(1/($L$8*C15+$L$7))</f>
        <v>0.61237243569579447</v>
      </c>
      <c r="D16" s="41">
        <f t="shared" si="1"/>
        <v>0.62828086243754322</v>
      </c>
      <c r="E16" s="41">
        <f t="shared" si="1"/>
        <v>0.6454972243679028</v>
      </c>
      <c r="F16" s="41">
        <f t="shared" si="1"/>
        <v>0.6201736729460422</v>
      </c>
      <c r="G16" s="41">
        <f t="shared" si="1"/>
        <v>0.6454972243679028</v>
      </c>
      <c r="H16" s="41">
        <f t="shared" si="1"/>
        <v>0.65938047339578709</v>
      </c>
      <c r="I16" s="41">
        <f t="shared" si="1"/>
        <v>0.67419986246324204</v>
      </c>
      <c r="J16" s="41">
        <f t="shared" si="1"/>
        <v>0.55901699437494745</v>
      </c>
      <c r="K16" s="41">
        <f t="shared" si="1"/>
        <v>0.57735026918962573</v>
      </c>
      <c r="L16" s="41">
        <f t="shared" si="1"/>
        <v>0.59761430466719678</v>
      </c>
      <c r="M16" s="41">
        <f t="shared" si="1"/>
        <v>0.6201736729460422</v>
      </c>
      <c r="N16" s="41">
        <f t="shared" si="1"/>
        <v>0.60370911247298209</v>
      </c>
    </row>
    <row r="17" spans="1:16" ht="15" customHeight="1">
      <c r="A17" s="114" t="s">
        <v>299</v>
      </c>
      <c r="B17" s="42">
        <f>B16*(PI()*(B14/2)^2)*(2/1.2)^0.5</f>
        <v>1.3633826362458829E-2</v>
      </c>
      <c r="C17" s="42">
        <f t="shared" ref="C17:M17" si="2">C16*(PI()*(C14/2)^2)*(2/1.2)^0.5</f>
        <v>1.3970514748775767E-2</v>
      </c>
      <c r="D17" s="42">
        <f t="shared" si="2"/>
        <v>1.4333445699730302E-2</v>
      </c>
      <c r="E17" s="42">
        <f>E16*(PI()*(E14/2)^2)*(2/1.2)^0.5</f>
        <v>1.4726215563702155E-2</v>
      </c>
      <c r="F17" s="42">
        <f t="shared" si="2"/>
        <v>2.5152871581347911E-2</v>
      </c>
      <c r="G17" s="42">
        <f t="shared" si="2"/>
        <v>2.6179938779914945E-2</v>
      </c>
      <c r="H17" s="42">
        <f t="shared" si="2"/>
        <v>2.6743012633520188E-2</v>
      </c>
      <c r="I17" s="42">
        <f t="shared" si="2"/>
        <v>2.7344054255227592E-2</v>
      </c>
      <c r="J17" s="42">
        <f t="shared" si="2"/>
        <v>5.6681230132319309E-3</v>
      </c>
      <c r="K17" s="42">
        <f t="shared" si="2"/>
        <v>5.8540122758672713E-3</v>
      </c>
      <c r="L17" s="42">
        <f t="shared" si="2"/>
        <v>6.059478383315036E-3</v>
      </c>
      <c r="M17" s="42">
        <f t="shared" si="2"/>
        <v>6.2882178953369778E-3</v>
      </c>
      <c r="N17" s="42">
        <f>N16*(PI()*(N14/2)^2)*(2/1.2)^0.5</f>
        <v>1.5670467487096804E-2</v>
      </c>
      <c r="P17" s="6" t="s">
        <v>298</v>
      </c>
    </row>
    <row r="18" spans="1:16" ht="15" customHeight="1">
      <c r="A18" s="114" t="s">
        <v>300</v>
      </c>
      <c r="B18" s="42">
        <f>SQRT(2*(PI()*(B14/2)^2)^2/(1.2*($I$7+$D$6*B13/B14)))</f>
        <v>1.37E-2</v>
      </c>
      <c r="C18" s="42">
        <f t="shared" ref="C18:N18" si="3">SQRT(2*(PI()*(C14/2)^2)^2/(1.2*($I$7+$D$6*C13/C14)))</f>
        <v>1.4041746112196262E-2</v>
      </c>
      <c r="D18" s="42">
        <f t="shared" si="3"/>
        <v>1.4410412766318437E-2</v>
      </c>
      <c r="E18" s="42">
        <f t="shared" si="3"/>
        <v>1.4809730713123625E-2</v>
      </c>
      <c r="F18" s="42">
        <f t="shared" si="3"/>
        <v>2.5284439222750501E-2</v>
      </c>
      <c r="G18" s="42">
        <f t="shared" si="3"/>
        <v>2.6328410156664223E-2</v>
      </c>
      <c r="H18" s="42">
        <f t="shared" si="3"/>
        <v>2.6901342111746464E-2</v>
      </c>
      <c r="I18" s="42">
        <f t="shared" si="3"/>
        <v>2.7513382025945641E-2</v>
      </c>
      <c r="J18" s="42">
        <f t="shared" si="3"/>
        <v>5.6921659388000255E-3</v>
      </c>
      <c r="K18" s="42">
        <f t="shared" si="3"/>
        <v>5.8805144046425355E-3</v>
      </c>
      <c r="L18" s="42">
        <f t="shared" si="3"/>
        <v>6.0888888888888893E-3</v>
      </c>
      <c r="M18" s="42">
        <f t="shared" si="3"/>
        <v>6.3211098056876252E-3</v>
      </c>
      <c r="N18" s="42">
        <f t="shared" si="3"/>
        <v>1.5748100448352707E-2</v>
      </c>
    </row>
    <row r="20" spans="1:16" ht="15" customHeight="1">
      <c r="A20" s="26" t="s">
        <v>301</v>
      </c>
    </row>
    <row r="21" spans="1:16" ht="15" customHeight="1">
      <c r="A21" s="26" t="s">
        <v>302</v>
      </c>
    </row>
    <row r="22" spans="1:16" ht="15" customHeight="1">
      <c r="A22" s="26" t="s">
        <v>303</v>
      </c>
    </row>
    <row r="25" spans="1:16" ht="15" customHeight="1">
      <c r="A25" s="4" t="s">
        <v>537</v>
      </c>
    </row>
    <row r="26" spans="1:16" ht="15" customHeight="1">
      <c r="A26" s="128"/>
      <c r="B26" s="129" t="s">
        <v>538</v>
      </c>
      <c r="C26" s="129" t="s">
        <v>539</v>
      </c>
      <c r="D26" s="129" t="s">
        <v>536</v>
      </c>
      <c r="E26" s="129"/>
    </row>
    <row r="27" spans="1:16" ht="15" customHeight="1">
      <c r="A27" s="114" t="s">
        <v>534</v>
      </c>
      <c r="C27" s="41" t="e">
        <f>Leakage!D9</f>
        <v>#N/A</v>
      </c>
    </row>
    <row r="28" spans="1:16" ht="15" customHeight="1">
      <c r="A28" s="114" t="s">
        <v>535</v>
      </c>
      <c r="B28" s="6">
        <v>0.1</v>
      </c>
      <c r="C28" s="41">
        <f>PI()*(B28/2)^2</f>
        <v>7.8539816339744835E-3</v>
      </c>
      <c r="D28" s="85" t="e">
        <f>C28/($C$27+C28)</f>
        <v>#N/A</v>
      </c>
    </row>
    <row r="29" spans="1:16" ht="15" customHeight="1">
      <c r="A29" s="114" t="s">
        <v>535</v>
      </c>
      <c r="B29" s="6">
        <v>0.2</v>
      </c>
      <c r="C29" s="41">
        <f>PI()*(B29/2)^2</f>
        <v>3.1415926535897934E-2</v>
      </c>
      <c r="D29" s="85" t="e">
        <f>C29/($C$27+C29)</f>
        <v>#N/A</v>
      </c>
    </row>
    <row r="30" spans="1:16" ht="15" customHeight="1">
      <c r="A30" s="114" t="s">
        <v>535</v>
      </c>
      <c r="B30" s="6">
        <v>0.3</v>
      </c>
      <c r="C30" s="41">
        <f>PI()*(B30/2)^2</f>
        <v>7.0685834705770348E-2</v>
      </c>
      <c r="D30" s="85" t="e">
        <f>C30/($C$27+C30)</f>
        <v>#N/A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AO151"/>
  <sheetViews>
    <sheetView zoomScale="85" zoomScaleNormal="85" zoomScalePageLayoutView="85" workbookViewId="0">
      <selection activeCell="Y39" sqref="Y39"/>
    </sheetView>
  </sheetViews>
  <sheetFormatPr defaultColWidth="8.7109375" defaultRowHeight="15" customHeight="1"/>
  <cols>
    <col min="1" max="1" width="12.28515625" style="6" customWidth="1"/>
    <col min="2" max="2" width="11.42578125" style="6" bestFit="1" customWidth="1"/>
    <col min="3" max="3" width="10.28515625" style="2" customWidth="1"/>
    <col min="4" max="4" width="16.140625" style="2" customWidth="1"/>
    <col min="5" max="5" width="16.7109375" style="2" customWidth="1"/>
    <col min="6" max="6" width="8" style="2" customWidth="1"/>
    <col min="7" max="8" width="5.7109375" style="2" bestFit="1" customWidth="1"/>
    <col min="9" max="9" width="7.42578125" style="2" bestFit="1" customWidth="1"/>
    <col min="10" max="10" width="5.42578125" style="2" bestFit="1" customWidth="1"/>
    <col min="11" max="11" width="5.85546875" style="2" customWidth="1"/>
    <col min="12" max="15" width="5.42578125" style="2" bestFit="1" customWidth="1"/>
    <col min="16" max="20" width="5.42578125" style="6" bestFit="1" customWidth="1"/>
    <col min="21" max="23" width="5.42578125" style="375" customWidth="1"/>
    <col min="24" max="24" width="5.42578125" style="6" bestFit="1" customWidth="1"/>
    <col min="25" max="25" width="37.42578125" style="6" customWidth="1"/>
    <col min="26" max="41" width="6.140625" style="6" customWidth="1"/>
    <col min="42" max="16384" width="8.7109375" style="6"/>
  </cols>
  <sheetData>
    <row r="1" spans="1:41" ht="15" customHeight="1">
      <c r="A1" s="35" t="s">
        <v>304</v>
      </c>
      <c r="E1" s="413" t="s">
        <v>1020</v>
      </c>
      <c r="Y1" s="6">
        <f>1/0.102</f>
        <v>9.8039215686274517</v>
      </c>
    </row>
    <row r="2" spans="1:41" ht="15" customHeight="1">
      <c r="A2" s="26" t="s">
        <v>633</v>
      </c>
      <c r="C2" s="6"/>
      <c r="F2" s="6"/>
      <c r="P2" s="2"/>
    </row>
    <row r="3" spans="1:41" ht="15" customHeight="1">
      <c r="A3" s="26" t="s">
        <v>749</v>
      </c>
      <c r="C3" s="6"/>
      <c r="F3" s="46"/>
      <c r="P3" s="2"/>
      <c r="Z3" s="35" t="s">
        <v>307</v>
      </c>
    </row>
    <row r="4" spans="1:41" ht="15" customHeight="1">
      <c r="A4" s="26"/>
      <c r="C4" s="6"/>
      <c r="F4" s="46" t="s">
        <v>308</v>
      </c>
      <c r="P4" s="2"/>
      <c r="Z4" s="46" t="s">
        <v>308</v>
      </c>
    </row>
    <row r="5" spans="1:41" s="26" customFormat="1" ht="15" customHeight="1">
      <c r="A5" s="112" t="s">
        <v>309</v>
      </c>
      <c r="B5" s="110" t="s">
        <v>603</v>
      </c>
      <c r="C5" s="111" t="s">
        <v>310</v>
      </c>
      <c r="D5" s="101" t="s">
        <v>311</v>
      </c>
      <c r="E5" s="102" t="s">
        <v>232</v>
      </c>
      <c r="F5" s="333" t="s">
        <v>882</v>
      </c>
      <c r="G5" s="100" t="s">
        <v>823</v>
      </c>
      <c r="H5" s="100" t="s">
        <v>824</v>
      </c>
      <c r="I5" s="100" t="s">
        <v>825</v>
      </c>
      <c r="J5" s="100" t="s">
        <v>826</v>
      </c>
      <c r="K5" s="100" t="s">
        <v>827</v>
      </c>
      <c r="L5" s="100" t="s">
        <v>828</v>
      </c>
      <c r="M5" s="100" t="s">
        <v>829</v>
      </c>
      <c r="N5" s="100" t="s">
        <v>830</v>
      </c>
      <c r="O5" s="100" t="s">
        <v>831</v>
      </c>
      <c r="P5" s="100" t="s">
        <v>832</v>
      </c>
      <c r="Q5" s="100" t="s">
        <v>833</v>
      </c>
      <c r="R5" s="100" t="s">
        <v>834</v>
      </c>
      <c r="S5" s="100">
        <v>7</v>
      </c>
      <c r="T5" s="333">
        <v>8</v>
      </c>
      <c r="U5" s="333" t="s">
        <v>1152</v>
      </c>
      <c r="V5" s="333" t="s">
        <v>1153</v>
      </c>
      <c r="W5" s="333"/>
      <c r="X5" s="314"/>
      <c r="Y5" s="35" t="s">
        <v>4</v>
      </c>
      <c r="Z5" s="100">
        <v>1</v>
      </c>
      <c r="AA5" s="100">
        <v>2</v>
      </c>
      <c r="AB5" s="100">
        <v>3</v>
      </c>
      <c r="AC5" s="100">
        <v>4</v>
      </c>
      <c r="AD5" s="100">
        <v>5</v>
      </c>
      <c r="AE5" s="100">
        <v>6</v>
      </c>
      <c r="AF5" s="100">
        <v>7</v>
      </c>
      <c r="AG5" s="100">
        <v>8</v>
      </c>
      <c r="AH5" s="100">
        <v>9</v>
      </c>
      <c r="AI5" s="100">
        <v>10</v>
      </c>
      <c r="AJ5" s="100">
        <v>11</v>
      </c>
      <c r="AK5" s="100">
        <v>12</v>
      </c>
      <c r="AL5" s="100">
        <v>13</v>
      </c>
      <c r="AM5" s="100">
        <v>14</v>
      </c>
      <c r="AN5" s="100">
        <v>15</v>
      </c>
      <c r="AO5" s="100">
        <v>16</v>
      </c>
    </row>
    <row r="6" spans="1:41" ht="15" customHeight="1">
      <c r="A6" s="113" t="s">
        <v>312</v>
      </c>
      <c r="B6" s="107">
        <f>IF(B9=1, 1.05, 1.19)</f>
        <v>1.05</v>
      </c>
      <c r="C6" s="108">
        <f>A_wall</f>
        <v>184.83807999999999</v>
      </c>
      <c r="D6" s="2" t="s">
        <v>313</v>
      </c>
      <c r="E6" s="103" t="s">
        <v>314</v>
      </c>
      <c r="F6" s="354">
        <v>13</v>
      </c>
      <c r="G6" s="342">
        <v>13</v>
      </c>
      <c r="H6" s="342">
        <v>13</v>
      </c>
      <c r="I6" s="342">
        <v>20</v>
      </c>
      <c r="J6" s="342">
        <v>20</v>
      </c>
      <c r="K6" s="342">
        <v>20</v>
      </c>
      <c r="L6" s="342">
        <v>20</v>
      </c>
      <c r="M6" s="342">
        <v>20</v>
      </c>
      <c r="N6" s="342">
        <v>20</v>
      </c>
      <c r="O6" s="342">
        <v>20</v>
      </c>
      <c r="P6" s="342">
        <v>20</v>
      </c>
      <c r="Q6" s="342">
        <v>25</v>
      </c>
      <c r="R6" s="342">
        <v>25</v>
      </c>
      <c r="S6" s="342">
        <v>25</v>
      </c>
      <c r="T6" s="342">
        <v>25</v>
      </c>
      <c r="U6" s="50">
        <f>G6</f>
        <v>13</v>
      </c>
      <c r="V6" s="50">
        <f>I6</f>
        <v>20</v>
      </c>
      <c r="W6" s="342"/>
      <c r="X6" s="315">
        <v>21</v>
      </c>
      <c r="Y6" s="26" t="s">
        <v>748</v>
      </c>
      <c r="Z6" s="48">
        <v>29</v>
      </c>
      <c r="AA6" s="48">
        <v>29</v>
      </c>
      <c r="AB6" s="48">
        <v>25</v>
      </c>
      <c r="AC6" s="48">
        <v>25</v>
      </c>
      <c r="AD6" s="48">
        <v>25</v>
      </c>
      <c r="AE6" s="48">
        <v>21</v>
      </c>
      <c r="AF6" s="48">
        <v>21</v>
      </c>
      <c r="AG6" s="48">
        <v>21</v>
      </c>
      <c r="AH6" s="48">
        <f>AG6</f>
        <v>21</v>
      </c>
      <c r="AI6" s="48">
        <v>25</v>
      </c>
      <c r="AJ6" s="48">
        <f>AA6</f>
        <v>29</v>
      </c>
      <c r="AK6" s="48">
        <f>AA6</f>
        <v>29</v>
      </c>
      <c r="AL6" s="48">
        <f>AA6</f>
        <v>29</v>
      </c>
      <c r="AM6" s="48">
        <v>29</v>
      </c>
      <c r="AN6" s="48">
        <v>29</v>
      </c>
      <c r="AO6" s="48">
        <f>Z6</f>
        <v>29</v>
      </c>
    </row>
    <row r="7" spans="1:41" ht="15" customHeight="1">
      <c r="A7" s="113" t="s">
        <v>315</v>
      </c>
      <c r="B7" s="107">
        <v>1</v>
      </c>
      <c r="C7" s="108">
        <f>A_windowSI</f>
        <v>39.987920000000003</v>
      </c>
      <c r="D7" s="2" t="s">
        <v>316</v>
      </c>
      <c r="E7" s="103" t="s">
        <v>314</v>
      </c>
      <c r="F7" s="354">
        <f>1/F84</f>
        <v>2.5</v>
      </c>
      <c r="G7" s="354">
        <f t="shared" ref="G7:T7" si="0">1/G84</f>
        <v>2.5</v>
      </c>
      <c r="H7" s="354">
        <f t="shared" si="0"/>
        <v>2.5</v>
      </c>
      <c r="I7" s="354">
        <f t="shared" si="0"/>
        <v>3.3333333333333335</v>
      </c>
      <c r="J7" s="354">
        <f t="shared" si="0"/>
        <v>3.3333333333333335</v>
      </c>
      <c r="K7" s="354">
        <f t="shared" si="0"/>
        <v>3.3333333333333335</v>
      </c>
      <c r="L7" s="354">
        <f t="shared" si="0"/>
        <v>3.3333333333333335</v>
      </c>
      <c r="M7" s="354">
        <f t="shared" si="0"/>
        <v>3.3333333333333335</v>
      </c>
      <c r="N7" s="354">
        <f t="shared" si="0"/>
        <v>3.7037037037037033</v>
      </c>
      <c r="O7" s="354">
        <f t="shared" si="0"/>
        <v>3.7037037037037033</v>
      </c>
      <c r="P7" s="354">
        <f t="shared" si="0"/>
        <v>3.7037037037037033</v>
      </c>
      <c r="Q7" s="354">
        <f t="shared" si="0"/>
        <v>3.7037037037037033</v>
      </c>
      <c r="R7" s="354">
        <f t="shared" si="0"/>
        <v>3.7037037037037033</v>
      </c>
      <c r="S7" s="354">
        <f t="shared" si="0"/>
        <v>3.7037037037037033</v>
      </c>
      <c r="T7" s="354">
        <f t="shared" si="0"/>
        <v>3.7037037037037033</v>
      </c>
      <c r="U7" s="50">
        <f t="shared" ref="U7:U15" si="1">G7</f>
        <v>2.5</v>
      </c>
      <c r="V7" s="50">
        <f t="shared" ref="V7:V15" si="2">I7</f>
        <v>3.3333333333333335</v>
      </c>
      <c r="W7" s="354"/>
      <c r="X7" s="315">
        <f>1/0.4</f>
        <v>2.5</v>
      </c>
      <c r="Y7" s="26" t="s">
        <v>746</v>
      </c>
      <c r="Z7" s="49">
        <f>1/0.38</f>
        <v>2.6315789473684212</v>
      </c>
      <c r="AA7" s="49">
        <f>Z7</f>
        <v>2.6315789473684212</v>
      </c>
      <c r="AB7" s="49">
        <f>AA7</f>
        <v>2.6315789473684212</v>
      </c>
      <c r="AC7" s="49">
        <f>AB7</f>
        <v>2.6315789473684212</v>
      </c>
      <c r="AD7" s="49">
        <f t="shared" ref="AD7:AO7" si="3">AC7</f>
        <v>2.6315789473684212</v>
      </c>
      <c r="AE7" s="49">
        <f t="shared" si="3"/>
        <v>2.6315789473684212</v>
      </c>
      <c r="AF7" s="49">
        <f t="shared" si="3"/>
        <v>2.6315789473684212</v>
      </c>
      <c r="AG7" s="49">
        <f t="shared" si="3"/>
        <v>2.6315789473684212</v>
      </c>
      <c r="AH7" s="49">
        <f t="shared" si="3"/>
        <v>2.6315789473684212</v>
      </c>
      <c r="AI7" s="49">
        <f t="shared" si="3"/>
        <v>2.6315789473684212</v>
      </c>
      <c r="AJ7" s="49">
        <f t="shared" si="3"/>
        <v>2.6315789473684212</v>
      </c>
      <c r="AK7" s="49">
        <f t="shared" si="3"/>
        <v>2.6315789473684212</v>
      </c>
      <c r="AL7" s="49">
        <f t="shared" si="3"/>
        <v>2.6315789473684212</v>
      </c>
      <c r="AM7" s="49">
        <f t="shared" si="3"/>
        <v>2.6315789473684212</v>
      </c>
      <c r="AN7" s="49">
        <f t="shared" si="3"/>
        <v>2.6315789473684212</v>
      </c>
      <c r="AO7" s="49">
        <f t="shared" si="3"/>
        <v>2.6315789473684212</v>
      </c>
    </row>
    <row r="8" spans="1:41" ht="15" customHeight="1">
      <c r="A8" s="113" t="s">
        <v>317</v>
      </c>
      <c r="B8" s="107">
        <v>1</v>
      </c>
      <c r="C8" s="108">
        <f>Geometry!D9</f>
        <v>99.969800000000006</v>
      </c>
      <c r="D8" s="2" t="s">
        <v>318</v>
      </c>
      <c r="E8" s="103" t="s">
        <v>314</v>
      </c>
      <c r="F8" s="354">
        <f>F76</f>
        <v>13</v>
      </c>
      <c r="G8" s="354">
        <f t="shared" ref="G8:T8" si="4">G76</f>
        <v>13</v>
      </c>
      <c r="H8" s="354">
        <f t="shared" si="4"/>
        <v>13</v>
      </c>
      <c r="I8" s="354">
        <f t="shared" si="4"/>
        <v>19</v>
      </c>
      <c r="J8" s="354">
        <f t="shared" si="4"/>
        <v>19</v>
      </c>
      <c r="K8" s="354">
        <f t="shared" si="4"/>
        <v>19</v>
      </c>
      <c r="L8" s="354">
        <f t="shared" si="4"/>
        <v>19</v>
      </c>
      <c r="M8" s="354">
        <f t="shared" si="4"/>
        <v>19</v>
      </c>
      <c r="N8" s="354">
        <f t="shared" si="4"/>
        <v>30</v>
      </c>
      <c r="O8" s="354">
        <f t="shared" si="4"/>
        <v>30</v>
      </c>
      <c r="P8" s="354">
        <f t="shared" si="4"/>
        <v>30</v>
      </c>
      <c r="Q8" s="354">
        <f t="shared" si="4"/>
        <v>30</v>
      </c>
      <c r="R8" s="354">
        <f t="shared" si="4"/>
        <v>30</v>
      </c>
      <c r="S8" s="354">
        <f t="shared" si="4"/>
        <v>38</v>
      </c>
      <c r="T8" s="354">
        <f t="shared" si="4"/>
        <v>38</v>
      </c>
      <c r="U8" s="50">
        <f t="shared" si="1"/>
        <v>13</v>
      </c>
      <c r="V8" s="50">
        <f t="shared" si="2"/>
        <v>19</v>
      </c>
      <c r="W8" s="354"/>
      <c r="X8" s="315">
        <v>19</v>
      </c>
      <c r="Y8" s="26" t="s">
        <v>747</v>
      </c>
      <c r="Z8" s="48">
        <v>30</v>
      </c>
      <c r="AA8" s="48">
        <v>30</v>
      </c>
      <c r="AB8" s="48">
        <v>30</v>
      </c>
      <c r="AC8" s="48">
        <v>30</v>
      </c>
      <c r="AD8" s="48">
        <v>30</v>
      </c>
      <c r="AE8" s="48">
        <v>21</v>
      </c>
      <c r="AF8" s="48">
        <v>21</v>
      </c>
      <c r="AG8" s="48">
        <v>21</v>
      </c>
      <c r="AH8" s="48">
        <f>AG8</f>
        <v>21</v>
      </c>
      <c r="AI8" s="48">
        <v>30</v>
      </c>
      <c r="AJ8" s="48">
        <f>AA8</f>
        <v>30</v>
      </c>
      <c r="AK8" s="48">
        <f>AA8</f>
        <v>30</v>
      </c>
      <c r="AL8" s="48">
        <f>AA8</f>
        <v>30</v>
      </c>
      <c r="AM8" s="48">
        <v>30</v>
      </c>
      <c r="AN8" s="48">
        <v>21</v>
      </c>
      <c r="AO8" s="48">
        <f>Z8</f>
        <v>30</v>
      </c>
    </row>
    <row r="9" spans="1:41" ht="15" customHeight="1">
      <c r="A9" s="227" t="s">
        <v>618</v>
      </c>
      <c r="B9" s="172">
        <v>1</v>
      </c>
      <c r="C9" s="109"/>
      <c r="D9" s="2" t="s">
        <v>819</v>
      </c>
      <c r="E9" s="103" t="s">
        <v>320</v>
      </c>
      <c r="F9" s="334">
        <f>$B$13*$K$59</f>
        <v>61.509</v>
      </c>
      <c r="G9" s="186">
        <f t="shared" ref="G9:T9" si="5">$B$13*$K$59</f>
        <v>61.509</v>
      </c>
      <c r="H9" s="186">
        <f t="shared" si="5"/>
        <v>61.509</v>
      </c>
      <c r="I9" s="186">
        <f t="shared" si="5"/>
        <v>61.509</v>
      </c>
      <c r="J9" s="186">
        <f t="shared" si="5"/>
        <v>61.509</v>
      </c>
      <c r="K9" s="186">
        <f t="shared" si="5"/>
        <v>61.509</v>
      </c>
      <c r="L9" s="186">
        <f t="shared" si="5"/>
        <v>61.509</v>
      </c>
      <c r="M9" s="186">
        <f t="shared" si="5"/>
        <v>61.509</v>
      </c>
      <c r="N9" s="186">
        <f t="shared" si="5"/>
        <v>61.509</v>
      </c>
      <c r="O9" s="186">
        <f t="shared" si="5"/>
        <v>61.509</v>
      </c>
      <c r="P9" s="186">
        <f t="shared" si="5"/>
        <v>61.509</v>
      </c>
      <c r="Q9" s="186">
        <f t="shared" si="5"/>
        <v>61.509</v>
      </c>
      <c r="R9" s="186">
        <f t="shared" si="5"/>
        <v>61.509</v>
      </c>
      <c r="S9" s="186">
        <f t="shared" si="5"/>
        <v>61.509</v>
      </c>
      <c r="T9" s="334">
        <f t="shared" si="5"/>
        <v>61.509</v>
      </c>
      <c r="U9" s="50">
        <f t="shared" si="1"/>
        <v>61.509</v>
      </c>
      <c r="V9" s="50">
        <f t="shared" si="2"/>
        <v>61.509</v>
      </c>
      <c r="W9" s="334"/>
      <c r="X9" s="316">
        <f>$B$13*$K$60</f>
        <v>36.057000000000002</v>
      </c>
      <c r="Y9" s="184" t="s">
        <v>745</v>
      </c>
      <c r="Z9" s="50">
        <f t="shared" ref="Z9:AO9" si="6">1/Z6*$B$6*5.678*$C$6</f>
        <v>37.999522384551724</v>
      </c>
      <c r="AA9" s="50">
        <f t="shared" si="6"/>
        <v>37.999522384551724</v>
      </c>
      <c r="AB9" s="50">
        <f t="shared" si="6"/>
        <v>44.079445966080002</v>
      </c>
      <c r="AC9" s="50">
        <f t="shared" si="6"/>
        <v>44.079445966080002</v>
      </c>
      <c r="AD9" s="50">
        <f t="shared" si="6"/>
        <v>44.079445966080002</v>
      </c>
      <c r="AE9" s="50">
        <f t="shared" si="6"/>
        <v>52.475530911999996</v>
      </c>
      <c r="AF9" s="50">
        <f t="shared" si="6"/>
        <v>52.475530911999996</v>
      </c>
      <c r="AG9" s="50">
        <f t="shared" si="6"/>
        <v>52.475530911999996</v>
      </c>
      <c r="AH9" s="50">
        <f t="shared" si="6"/>
        <v>52.475530911999996</v>
      </c>
      <c r="AI9" s="50">
        <f t="shared" si="6"/>
        <v>44.079445966080002</v>
      </c>
      <c r="AJ9" s="50">
        <f t="shared" si="6"/>
        <v>37.999522384551724</v>
      </c>
      <c r="AK9" s="50">
        <f t="shared" si="6"/>
        <v>37.999522384551724</v>
      </c>
      <c r="AL9" s="50">
        <f t="shared" si="6"/>
        <v>37.999522384551724</v>
      </c>
      <c r="AM9" s="50">
        <f t="shared" si="6"/>
        <v>37.999522384551724</v>
      </c>
      <c r="AN9" s="50">
        <f t="shared" si="6"/>
        <v>37.999522384551724</v>
      </c>
      <c r="AO9" s="50">
        <f t="shared" si="6"/>
        <v>37.999522384551724</v>
      </c>
    </row>
    <row r="10" spans="1:41" ht="15" customHeight="1">
      <c r="A10" s="184" t="s">
        <v>998</v>
      </c>
      <c r="C10" s="6"/>
      <c r="D10" s="2" t="s">
        <v>319</v>
      </c>
      <c r="E10" s="104" t="s">
        <v>320</v>
      </c>
      <c r="F10" s="341">
        <f>(1/F6)*$B$6*5.6783*$C$6</f>
        <v>84.772644088246153</v>
      </c>
      <c r="G10" s="50">
        <f t="shared" ref="G10:X10" si="7">1/G6*$B$6*5.678*$C$6</f>
        <v>84.768165319384622</v>
      </c>
      <c r="H10" s="50">
        <f>1/H6*$B$6*5.678*$C$6</f>
        <v>84.768165319384622</v>
      </c>
      <c r="I10" s="50">
        <f t="shared" si="7"/>
        <v>55.099307457599998</v>
      </c>
      <c r="J10" s="50">
        <f t="shared" si="7"/>
        <v>55.099307457599998</v>
      </c>
      <c r="K10" s="50">
        <f t="shared" si="7"/>
        <v>55.099307457599998</v>
      </c>
      <c r="L10" s="50">
        <f t="shared" si="7"/>
        <v>55.099307457599998</v>
      </c>
      <c r="M10" s="50">
        <f t="shared" si="7"/>
        <v>55.099307457599998</v>
      </c>
      <c r="N10" s="50">
        <f t="shared" si="7"/>
        <v>55.099307457599998</v>
      </c>
      <c r="O10" s="50">
        <f t="shared" si="7"/>
        <v>55.099307457599998</v>
      </c>
      <c r="P10" s="50">
        <f t="shared" si="7"/>
        <v>55.099307457599998</v>
      </c>
      <c r="Q10" s="50">
        <f t="shared" si="7"/>
        <v>44.079445966080002</v>
      </c>
      <c r="R10" s="50">
        <f t="shared" si="7"/>
        <v>44.079445966080002</v>
      </c>
      <c r="S10" s="50">
        <f t="shared" si="7"/>
        <v>44.079445966080002</v>
      </c>
      <c r="T10" s="341">
        <f t="shared" si="7"/>
        <v>44.079445966080002</v>
      </c>
      <c r="U10" s="50">
        <f t="shared" si="1"/>
        <v>84.768165319384622</v>
      </c>
      <c r="V10" s="50">
        <f t="shared" si="2"/>
        <v>55.099307457599998</v>
      </c>
      <c r="W10" s="341"/>
      <c r="X10" s="317">
        <f t="shared" si="7"/>
        <v>52.475530911999996</v>
      </c>
      <c r="Z10" s="50">
        <f t="shared" ref="Z10:AO10" si="8">1/Z7*$B$7*5.678*$C$7</f>
        <v>86.279535708799997</v>
      </c>
      <c r="AA10" s="50">
        <f t="shared" si="8"/>
        <v>86.279535708799997</v>
      </c>
      <c r="AB10" s="50">
        <f t="shared" si="8"/>
        <v>86.279535708799997</v>
      </c>
      <c r="AC10" s="50">
        <f t="shared" si="8"/>
        <v>86.279535708799997</v>
      </c>
      <c r="AD10" s="50">
        <f t="shared" si="8"/>
        <v>86.279535708799997</v>
      </c>
      <c r="AE10" s="50">
        <f t="shared" si="8"/>
        <v>86.279535708799997</v>
      </c>
      <c r="AF10" s="50">
        <f t="shared" si="8"/>
        <v>86.279535708799997</v>
      </c>
      <c r="AG10" s="50">
        <f t="shared" si="8"/>
        <v>86.279535708799997</v>
      </c>
      <c r="AH10" s="50">
        <f t="shared" si="8"/>
        <v>86.279535708799997</v>
      </c>
      <c r="AI10" s="50">
        <f t="shared" si="8"/>
        <v>86.279535708799997</v>
      </c>
      <c r="AJ10" s="50">
        <f t="shared" si="8"/>
        <v>86.279535708799997</v>
      </c>
      <c r="AK10" s="50">
        <f t="shared" si="8"/>
        <v>86.279535708799997</v>
      </c>
      <c r="AL10" s="50">
        <f t="shared" si="8"/>
        <v>86.279535708799997</v>
      </c>
      <c r="AM10" s="50">
        <f t="shared" si="8"/>
        <v>86.279535708799997</v>
      </c>
      <c r="AN10" s="50">
        <f t="shared" si="8"/>
        <v>86.279535708799997</v>
      </c>
      <c r="AO10" s="50">
        <f t="shared" si="8"/>
        <v>86.279535708799997</v>
      </c>
    </row>
    <row r="11" spans="1:41" ht="15" customHeight="1">
      <c r="C11" s="6"/>
      <c r="D11" s="2" t="s">
        <v>321</v>
      </c>
      <c r="E11" s="104" t="s">
        <v>320</v>
      </c>
      <c r="F11" s="341">
        <f>1/F7*$B$7*5.678*$C$7</f>
        <v>90.820563903999997</v>
      </c>
      <c r="G11" s="50">
        <f t="shared" ref="G11:X11" si="9">1/G7*$B$7*5.678*$C$7</f>
        <v>90.820563903999997</v>
      </c>
      <c r="H11" s="50">
        <f t="shared" si="9"/>
        <v>90.820563903999997</v>
      </c>
      <c r="I11" s="50">
        <f t="shared" si="9"/>
        <v>68.115422928000001</v>
      </c>
      <c r="J11" s="50">
        <f t="shared" si="9"/>
        <v>68.115422928000001</v>
      </c>
      <c r="K11" s="50">
        <f t="shared" si="9"/>
        <v>68.115422928000001</v>
      </c>
      <c r="L11" s="50">
        <f t="shared" si="9"/>
        <v>68.115422928000001</v>
      </c>
      <c r="M11" s="50">
        <f t="shared" si="9"/>
        <v>68.115422928000001</v>
      </c>
      <c r="N11" s="50">
        <f t="shared" si="9"/>
        <v>61.303880635200009</v>
      </c>
      <c r="O11" s="50">
        <f t="shared" si="9"/>
        <v>61.303880635200009</v>
      </c>
      <c r="P11" s="50">
        <f t="shared" si="9"/>
        <v>61.303880635200009</v>
      </c>
      <c r="Q11" s="50">
        <f t="shared" si="9"/>
        <v>61.303880635200009</v>
      </c>
      <c r="R11" s="50">
        <f t="shared" si="9"/>
        <v>61.303880635200009</v>
      </c>
      <c r="S11" s="50">
        <f t="shared" si="9"/>
        <v>61.303880635200009</v>
      </c>
      <c r="T11" s="341">
        <f t="shared" si="9"/>
        <v>61.303880635200009</v>
      </c>
      <c r="U11" s="50">
        <f t="shared" si="1"/>
        <v>90.820563903999997</v>
      </c>
      <c r="V11" s="50">
        <f t="shared" si="2"/>
        <v>68.115422928000001</v>
      </c>
      <c r="W11" s="341"/>
      <c r="X11" s="317">
        <f t="shared" si="9"/>
        <v>90.820563903999997</v>
      </c>
      <c r="Y11"/>
      <c r="Z11" s="50">
        <f t="shared" ref="Z11:AO11" si="10">1/Z8*$B$8*5.678*$C$8</f>
        <v>18.920950813333334</v>
      </c>
      <c r="AA11" s="50">
        <f t="shared" si="10"/>
        <v>18.920950813333334</v>
      </c>
      <c r="AB11" s="50">
        <f t="shared" si="10"/>
        <v>18.920950813333334</v>
      </c>
      <c r="AC11" s="50">
        <f t="shared" si="10"/>
        <v>18.920950813333334</v>
      </c>
      <c r="AD11" s="50">
        <f t="shared" si="10"/>
        <v>18.920950813333334</v>
      </c>
      <c r="AE11" s="50">
        <f t="shared" si="10"/>
        <v>27.029929733333336</v>
      </c>
      <c r="AF11" s="50">
        <f t="shared" si="10"/>
        <v>27.029929733333336</v>
      </c>
      <c r="AG11" s="50">
        <f t="shared" si="10"/>
        <v>27.029929733333336</v>
      </c>
      <c r="AH11" s="50">
        <f t="shared" si="10"/>
        <v>27.029929733333336</v>
      </c>
      <c r="AI11" s="50">
        <f t="shared" si="10"/>
        <v>18.920950813333334</v>
      </c>
      <c r="AJ11" s="50">
        <f t="shared" si="10"/>
        <v>18.920950813333334</v>
      </c>
      <c r="AK11" s="50">
        <f t="shared" si="10"/>
        <v>18.920950813333334</v>
      </c>
      <c r="AL11" s="50">
        <f t="shared" si="10"/>
        <v>18.920950813333334</v>
      </c>
      <c r="AM11" s="50">
        <f t="shared" si="10"/>
        <v>18.920950813333334</v>
      </c>
      <c r="AN11" s="50">
        <f t="shared" si="10"/>
        <v>27.029929733333336</v>
      </c>
      <c r="AO11" s="50">
        <f t="shared" si="10"/>
        <v>18.920950813333334</v>
      </c>
    </row>
    <row r="12" spans="1:41" ht="15" customHeight="1">
      <c r="A12" s="197" t="s">
        <v>758</v>
      </c>
      <c r="B12" s="198">
        <v>0</v>
      </c>
      <c r="C12" s="6"/>
      <c r="D12" s="2" t="s">
        <v>322</v>
      </c>
      <c r="E12" s="104" t="s">
        <v>320</v>
      </c>
      <c r="F12" s="341">
        <f>1/F8*$B$8*5.678*$C$8</f>
        <v>43.663732646153854</v>
      </c>
      <c r="G12" s="50">
        <f t="shared" ref="F12:X12" si="11">1/G8*$B$8*5.678*$C$8</f>
        <v>43.663732646153854</v>
      </c>
      <c r="H12" s="50">
        <f t="shared" si="11"/>
        <v>43.663732646153854</v>
      </c>
      <c r="I12" s="50">
        <f t="shared" si="11"/>
        <v>29.87518549473684</v>
      </c>
      <c r="J12" s="50">
        <f t="shared" si="11"/>
        <v>29.87518549473684</v>
      </c>
      <c r="K12" s="50">
        <f t="shared" si="11"/>
        <v>29.87518549473684</v>
      </c>
      <c r="L12" s="50">
        <f t="shared" si="11"/>
        <v>29.87518549473684</v>
      </c>
      <c r="M12" s="50">
        <f t="shared" si="11"/>
        <v>29.87518549473684</v>
      </c>
      <c r="N12" s="50">
        <f t="shared" si="11"/>
        <v>18.920950813333334</v>
      </c>
      <c r="O12" s="50">
        <f t="shared" si="11"/>
        <v>18.920950813333334</v>
      </c>
      <c r="P12" s="50">
        <f t="shared" si="11"/>
        <v>18.920950813333334</v>
      </c>
      <c r="Q12" s="50">
        <f t="shared" si="11"/>
        <v>18.920950813333334</v>
      </c>
      <c r="R12" s="50">
        <f t="shared" si="11"/>
        <v>18.920950813333334</v>
      </c>
      <c r="S12" s="50">
        <f t="shared" si="11"/>
        <v>14.93759274736842</v>
      </c>
      <c r="T12" s="341">
        <f t="shared" si="11"/>
        <v>14.93759274736842</v>
      </c>
      <c r="U12" s="50">
        <f t="shared" si="1"/>
        <v>43.663732646153854</v>
      </c>
      <c r="V12" s="50">
        <f t="shared" si="2"/>
        <v>29.87518549473684</v>
      </c>
      <c r="W12" s="341"/>
      <c r="X12" s="317">
        <f t="shared" si="11"/>
        <v>29.87518549473684</v>
      </c>
      <c r="Y12" s="26" t="s">
        <v>325</v>
      </c>
      <c r="Z12" s="50">
        <f>20*5.678*0.3048^2</f>
        <v>10.550069222400001</v>
      </c>
      <c r="AA12" s="50">
        <f t="shared" ref="AA12:AO12" si="12">20*5.678*0.3048^2</f>
        <v>10.550069222400001</v>
      </c>
      <c r="AB12" s="50">
        <f t="shared" si="12"/>
        <v>10.550069222400001</v>
      </c>
      <c r="AC12" s="50">
        <f t="shared" si="12"/>
        <v>10.550069222400001</v>
      </c>
      <c r="AD12" s="50">
        <f t="shared" si="12"/>
        <v>10.550069222400001</v>
      </c>
      <c r="AE12" s="50">
        <f t="shared" si="12"/>
        <v>10.550069222400001</v>
      </c>
      <c r="AF12" s="50">
        <f t="shared" si="12"/>
        <v>10.550069222400001</v>
      </c>
      <c r="AG12" s="50">
        <f t="shared" si="12"/>
        <v>10.550069222400001</v>
      </c>
      <c r="AH12" s="50">
        <f t="shared" si="12"/>
        <v>10.550069222400001</v>
      </c>
      <c r="AI12" s="50">
        <f t="shared" si="12"/>
        <v>10.550069222400001</v>
      </c>
      <c r="AJ12" s="50">
        <f t="shared" si="12"/>
        <v>10.550069222400001</v>
      </c>
      <c r="AK12" s="50">
        <f t="shared" si="12"/>
        <v>10.550069222400001</v>
      </c>
      <c r="AL12" s="50">
        <f t="shared" si="12"/>
        <v>10.550069222400001</v>
      </c>
      <c r="AM12" s="50">
        <f t="shared" si="12"/>
        <v>10.550069222400001</v>
      </c>
      <c r="AN12" s="50">
        <f t="shared" si="12"/>
        <v>10.550069222400001</v>
      </c>
      <c r="AO12" s="50">
        <f t="shared" si="12"/>
        <v>10.550069222400001</v>
      </c>
    </row>
    <row r="13" spans="1:41" ht="15" customHeight="1">
      <c r="A13" s="198" t="s">
        <v>787</v>
      </c>
      <c r="B13" s="214">
        <f>Geometry!D11</f>
        <v>42.42</v>
      </c>
      <c r="C13" s="6" t="s">
        <v>193</v>
      </c>
      <c r="D13" s="2" t="s">
        <v>323</v>
      </c>
      <c r="E13" s="104" t="s">
        <v>320</v>
      </c>
      <c r="F13" s="341">
        <f>20*5.678*0.3048^2</f>
        <v>10.550069222400001</v>
      </c>
      <c r="G13" s="50">
        <f t="shared" ref="G13:X13" si="13">20*5.678*0.3048^2</f>
        <v>10.550069222400001</v>
      </c>
      <c r="H13" s="50">
        <f t="shared" si="13"/>
        <v>10.550069222400001</v>
      </c>
      <c r="I13" s="50">
        <f t="shared" si="13"/>
        <v>10.550069222400001</v>
      </c>
      <c r="J13" s="50">
        <f t="shared" si="13"/>
        <v>10.550069222400001</v>
      </c>
      <c r="K13" s="50">
        <f t="shared" si="13"/>
        <v>10.550069222400001</v>
      </c>
      <c r="L13" s="50">
        <f t="shared" si="13"/>
        <v>10.550069222400001</v>
      </c>
      <c r="M13" s="50">
        <f t="shared" si="13"/>
        <v>10.550069222400001</v>
      </c>
      <c r="N13" s="50">
        <f t="shared" si="13"/>
        <v>10.550069222400001</v>
      </c>
      <c r="O13" s="50">
        <f t="shared" si="13"/>
        <v>10.550069222400001</v>
      </c>
      <c r="P13" s="50">
        <f t="shared" si="13"/>
        <v>10.550069222400001</v>
      </c>
      <c r="Q13" s="50">
        <f t="shared" si="13"/>
        <v>10.550069222400001</v>
      </c>
      <c r="R13" s="50">
        <f t="shared" si="13"/>
        <v>10.550069222400001</v>
      </c>
      <c r="S13" s="50">
        <f t="shared" si="13"/>
        <v>10.550069222400001</v>
      </c>
      <c r="T13" s="341">
        <f t="shared" si="13"/>
        <v>10.550069222400001</v>
      </c>
      <c r="U13" s="50">
        <f t="shared" si="1"/>
        <v>10.550069222400001</v>
      </c>
      <c r="V13" s="50">
        <f t="shared" si="2"/>
        <v>10.550069222400001</v>
      </c>
      <c r="W13" s="341"/>
      <c r="X13" s="317">
        <f t="shared" si="13"/>
        <v>10.550069222400001</v>
      </c>
      <c r="Y13" s="26" t="s">
        <v>797</v>
      </c>
      <c r="Z13" s="52">
        <f>SUM(Z9:Z12)</f>
        <v>153.75007812908507</v>
      </c>
      <c r="AA13" s="52">
        <f t="shared" ref="AA13:AO13" si="14">SUM(AA9:AA12)</f>
        <v>153.75007812908507</v>
      </c>
      <c r="AB13" s="52">
        <f t="shared" si="14"/>
        <v>159.83000171061332</v>
      </c>
      <c r="AC13" s="52">
        <f t="shared" si="14"/>
        <v>159.83000171061332</v>
      </c>
      <c r="AD13" s="52">
        <f t="shared" si="14"/>
        <v>159.83000171061332</v>
      </c>
      <c r="AE13" s="52">
        <f t="shared" si="14"/>
        <v>176.33506557653334</v>
      </c>
      <c r="AF13" s="52">
        <f t="shared" si="14"/>
        <v>176.33506557653334</v>
      </c>
      <c r="AG13" s="52">
        <f t="shared" si="14"/>
        <v>176.33506557653334</v>
      </c>
      <c r="AH13" s="52">
        <f t="shared" si="14"/>
        <v>176.33506557653334</v>
      </c>
      <c r="AI13" s="52">
        <f t="shared" si="14"/>
        <v>159.83000171061332</v>
      </c>
      <c r="AJ13" s="52">
        <f t="shared" si="14"/>
        <v>153.75007812908507</v>
      </c>
      <c r="AK13" s="52">
        <f t="shared" si="14"/>
        <v>153.75007812908507</v>
      </c>
      <c r="AL13" s="52">
        <f t="shared" si="14"/>
        <v>153.75007812908507</v>
      </c>
      <c r="AM13" s="52">
        <f t="shared" si="14"/>
        <v>153.75007812908507</v>
      </c>
      <c r="AN13" s="52">
        <f t="shared" si="14"/>
        <v>161.85905704908507</v>
      </c>
      <c r="AO13" s="52">
        <f t="shared" si="14"/>
        <v>153.75007812908507</v>
      </c>
    </row>
    <row r="14" spans="1:41" ht="15" customHeight="1">
      <c r="A14" s="107"/>
      <c r="B14" s="107"/>
      <c r="D14" s="51" t="s">
        <v>324</v>
      </c>
      <c r="E14" s="105" t="s">
        <v>320</v>
      </c>
      <c r="F14" s="364">
        <f>IF($B$12=0,SUM(F10:F13),SUM(F9,F10,F11,F13))</f>
        <v>229.80700986080001</v>
      </c>
      <c r="G14" s="52">
        <f>IF($B$12=0,SUM(G10:G13),SUM(G9,G10,G11,G13))</f>
        <v>229.80253109193848</v>
      </c>
      <c r="H14" s="52">
        <f t="shared" ref="G14:X14" si="15">IF($B$12=0,SUM(H10:H13),SUM(H9,H10,H11,H13))</f>
        <v>229.80253109193848</v>
      </c>
      <c r="I14" s="52">
        <f t="shared" si="15"/>
        <v>163.63998510273683</v>
      </c>
      <c r="J14" s="52">
        <f t="shared" si="15"/>
        <v>163.63998510273683</v>
      </c>
      <c r="K14" s="52">
        <f t="shared" si="15"/>
        <v>163.63998510273683</v>
      </c>
      <c r="L14" s="52">
        <f t="shared" si="15"/>
        <v>163.63998510273683</v>
      </c>
      <c r="M14" s="52">
        <f t="shared" si="15"/>
        <v>163.63998510273683</v>
      </c>
      <c r="N14" s="52">
        <f t="shared" si="15"/>
        <v>145.87420812853333</v>
      </c>
      <c r="O14" s="52">
        <f t="shared" si="15"/>
        <v>145.87420812853333</v>
      </c>
      <c r="P14" s="52">
        <f t="shared" si="15"/>
        <v>145.87420812853333</v>
      </c>
      <c r="Q14" s="52">
        <f t="shared" si="15"/>
        <v>134.85434663701335</v>
      </c>
      <c r="R14" s="52">
        <f t="shared" si="15"/>
        <v>134.85434663701335</v>
      </c>
      <c r="S14" s="52">
        <f t="shared" si="15"/>
        <v>130.87098857104843</v>
      </c>
      <c r="T14" s="364">
        <f t="shared" si="15"/>
        <v>130.87098857104843</v>
      </c>
      <c r="U14" s="50">
        <f t="shared" si="1"/>
        <v>229.80253109193848</v>
      </c>
      <c r="V14" s="50">
        <f t="shared" si="2"/>
        <v>163.63998510273683</v>
      </c>
      <c r="W14" s="364"/>
      <c r="X14" s="318">
        <f t="shared" si="15"/>
        <v>183.72134953313684</v>
      </c>
      <c r="Y14" s="35" t="s">
        <v>1031</v>
      </c>
      <c r="Z14" s="52">
        <f>Z13-Z11</f>
        <v>134.82912731575175</v>
      </c>
      <c r="AA14" s="52">
        <f t="shared" ref="AA14:AO14" si="16">AA13-AA11</f>
        <v>134.82912731575175</v>
      </c>
      <c r="AB14" s="52">
        <f t="shared" si="16"/>
        <v>140.90905089728</v>
      </c>
      <c r="AC14" s="52">
        <f t="shared" si="16"/>
        <v>140.90905089728</v>
      </c>
      <c r="AD14" s="52">
        <f t="shared" si="16"/>
        <v>140.90905089728</v>
      </c>
      <c r="AE14" s="52">
        <f t="shared" si="16"/>
        <v>149.30513584319999</v>
      </c>
      <c r="AF14" s="52">
        <f t="shared" si="16"/>
        <v>149.30513584319999</v>
      </c>
      <c r="AG14" s="52">
        <f t="shared" si="16"/>
        <v>149.30513584319999</v>
      </c>
      <c r="AH14" s="52">
        <f t="shared" si="16"/>
        <v>149.30513584319999</v>
      </c>
      <c r="AI14" s="52">
        <f t="shared" si="16"/>
        <v>140.90905089728</v>
      </c>
      <c r="AJ14" s="52">
        <f t="shared" si="16"/>
        <v>134.82912731575175</v>
      </c>
      <c r="AK14" s="52">
        <f t="shared" si="16"/>
        <v>134.82912731575175</v>
      </c>
      <c r="AL14" s="52">
        <f t="shared" si="16"/>
        <v>134.82912731575175</v>
      </c>
      <c r="AM14" s="52">
        <f t="shared" si="16"/>
        <v>134.82912731575175</v>
      </c>
      <c r="AN14" s="52">
        <f t="shared" si="16"/>
        <v>134.82912731575172</v>
      </c>
      <c r="AO14" s="52">
        <f t="shared" si="16"/>
        <v>134.82912731575175</v>
      </c>
    </row>
    <row r="15" spans="1:41" ht="15" customHeight="1">
      <c r="C15" s="6"/>
      <c r="D15" s="51" t="s">
        <v>326</v>
      </c>
      <c r="E15" s="105" t="s">
        <v>320</v>
      </c>
      <c r="F15" s="364">
        <f>SUM(F10,F11,F13)</f>
        <v>186.14327721464616</v>
      </c>
      <c r="G15" s="52">
        <f t="shared" ref="G15:X15" si="17">SUM(G10,G11,G13)</f>
        <v>186.13879844578463</v>
      </c>
      <c r="H15" s="52">
        <f t="shared" si="17"/>
        <v>186.13879844578463</v>
      </c>
      <c r="I15" s="52">
        <f t="shared" si="17"/>
        <v>133.764799608</v>
      </c>
      <c r="J15" s="52">
        <f t="shared" si="17"/>
        <v>133.764799608</v>
      </c>
      <c r="K15" s="52">
        <f t="shared" si="17"/>
        <v>133.764799608</v>
      </c>
      <c r="L15" s="52">
        <f t="shared" si="17"/>
        <v>133.764799608</v>
      </c>
      <c r="M15" s="52">
        <f t="shared" si="17"/>
        <v>133.764799608</v>
      </c>
      <c r="N15" s="52">
        <f t="shared" si="17"/>
        <v>126.95325731520001</v>
      </c>
      <c r="O15" s="52">
        <f t="shared" si="17"/>
        <v>126.95325731520001</v>
      </c>
      <c r="P15" s="52">
        <f t="shared" si="17"/>
        <v>126.95325731520001</v>
      </c>
      <c r="Q15" s="52">
        <f t="shared" si="17"/>
        <v>115.93339582368</v>
      </c>
      <c r="R15" s="52">
        <f t="shared" si="17"/>
        <v>115.93339582368</v>
      </c>
      <c r="S15" s="52">
        <f t="shared" si="17"/>
        <v>115.93339582368</v>
      </c>
      <c r="T15" s="364">
        <f t="shared" si="17"/>
        <v>115.93339582368</v>
      </c>
      <c r="U15" s="50">
        <f t="shared" si="1"/>
        <v>186.13879844578463</v>
      </c>
      <c r="V15" s="50">
        <f t="shared" si="2"/>
        <v>133.764799608</v>
      </c>
      <c r="W15" s="364"/>
      <c r="X15" s="318">
        <f t="shared" si="17"/>
        <v>153.84616403839999</v>
      </c>
      <c r="Y15" s="35" t="s">
        <v>1031</v>
      </c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</row>
    <row r="16" spans="1:41" ht="15" customHeight="1">
      <c r="A16" s="35" t="s">
        <v>327</v>
      </c>
      <c r="C16" s="6"/>
      <c r="F16" s="370">
        <f>1/F20</f>
        <v>3.3333333333333333E-2</v>
      </c>
      <c r="G16" s="370">
        <f t="shared" ref="G16:T16" si="18">1/G7</f>
        <v>0.4</v>
      </c>
      <c r="H16" s="370">
        <f t="shared" si="18"/>
        <v>0.4</v>
      </c>
      <c r="I16" s="370">
        <f t="shared" si="18"/>
        <v>0.3</v>
      </c>
      <c r="J16" s="370">
        <f t="shared" si="18"/>
        <v>0.3</v>
      </c>
      <c r="K16" s="370">
        <f t="shared" si="18"/>
        <v>0.3</v>
      </c>
      <c r="L16" s="370">
        <f t="shared" si="18"/>
        <v>0.3</v>
      </c>
      <c r="M16" s="370">
        <f t="shared" si="18"/>
        <v>0.3</v>
      </c>
      <c r="N16" s="370">
        <f t="shared" si="18"/>
        <v>0.27</v>
      </c>
      <c r="O16" s="370">
        <f t="shared" si="18"/>
        <v>0.27</v>
      </c>
      <c r="P16" s="370">
        <f t="shared" si="18"/>
        <v>0.27</v>
      </c>
      <c r="Q16" s="370">
        <f t="shared" si="18"/>
        <v>0.27</v>
      </c>
      <c r="R16" s="370">
        <f t="shared" si="18"/>
        <v>0.27</v>
      </c>
      <c r="S16" s="370">
        <f t="shared" si="18"/>
        <v>0.27</v>
      </c>
      <c r="T16" s="370">
        <f t="shared" si="18"/>
        <v>0.27</v>
      </c>
      <c r="U16" s="370"/>
      <c r="V16" s="370"/>
      <c r="W16" s="370"/>
      <c r="X16" s="319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26" t="s">
        <v>305</v>
      </c>
      <c r="C17" s="6"/>
      <c r="F17" s="370"/>
      <c r="P17" s="2"/>
      <c r="Q17" s="2"/>
      <c r="R17" s="2"/>
      <c r="S17" s="2"/>
      <c r="T17" s="370"/>
      <c r="U17" s="370"/>
      <c r="V17" s="370"/>
      <c r="W17" s="370"/>
      <c r="X17" s="319"/>
    </row>
    <row r="18" spans="1:41" ht="15" customHeight="1">
      <c r="A18" s="112" t="s">
        <v>328</v>
      </c>
      <c r="B18" s="110" t="s">
        <v>329</v>
      </c>
      <c r="C18" s="111" t="s">
        <v>330</v>
      </c>
      <c r="F18" s="335" t="s">
        <v>308</v>
      </c>
      <c r="P18" s="2"/>
      <c r="Q18" s="2"/>
      <c r="R18" s="2"/>
      <c r="S18" s="2"/>
      <c r="T18" s="370"/>
      <c r="U18" s="370"/>
      <c r="V18" s="370"/>
      <c r="W18" s="370"/>
      <c r="X18" s="319"/>
      <c r="Z18" s="46" t="s">
        <v>308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113" t="s">
        <v>331</v>
      </c>
      <c r="B19" s="107" t="s">
        <v>17</v>
      </c>
      <c r="C19" s="103" t="s">
        <v>17</v>
      </c>
      <c r="D19" s="101" t="s">
        <v>311</v>
      </c>
      <c r="E19" s="102" t="s">
        <v>232</v>
      </c>
      <c r="F19" s="333" t="s">
        <v>882</v>
      </c>
      <c r="G19" s="367" t="s">
        <v>823</v>
      </c>
      <c r="H19" s="367" t="s">
        <v>824</v>
      </c>
      <c r="I19" s="367" t="s">
        <v>825</v>
      </c>
      <c r="J19" s="367" t="s">
        <v>826</v>
      </c>
      <c r="K19" s="367" t="s">
        <v>827</v>
      </c>
      <c r="L19" s="367" t="s">
        <v>828</v>
      </c>
      <c r="M19" s="367" t="s">
        <v>829</v>
      </c>
      <c r="N19" s="367" t="s">
        <v>830</v>
      </c>
      <c r="O19" s="367" t="s">
        <v>831</v>
      </c>
      <c r="P19" s="367" t="s">
        <v>832</v>
      </c>
      <c r="Q19" s="367" t="s">
        <v>833</v>
      </c>
      <c r="R19" s="367" t="s">
        <v>834</v>
      </c>
      <c r="S19" s="367">
        <v>7</v>
      </c>
      <c r="T19" s="333">
        <v>8</v>
      </c>
      <c r="U19" s="333" t="s">
        <v>1152</v>
      </c>
      <c r="V19" s="333" t="s">
        <v>1153</v>
      </c>
      <c r="W19" s="333"/>
      <c r="X19" s="314">
        <v>8</v>
      </c>
      <c r="Z19" s="101">
        <v>1</v>
      </c>
      <c r="AA19" s="101">
        <v>2</v>
      </c>
      <c r="AB19" s="101">
        <v>3</v>
      </c>
      <c r="AC19" s="101">
        <v>4</v>
      </c>
      <c r="AD19" s="101">
        <v>5</v>
      </c>
      <c r="AE19" s="101">
        <v>6</v>
      </c>
      <c r="AF19" s="101">
        <v>7</v>
      </c>
      <c r="AG19" s="101">
        <v>8</v>
      </c>
      <c r="AH19" s="101">
        <v>9</v>
      </c>
      <c r="AI19" s="101">
        <v>10</v>
      </c>
      <c r="AJ19" s="101">
        <v>11</v>
      </c>
      <c r="AK19" s="101">
        <v>12</v>
      </c>
      <c r="AL19" s="101">
        <v>13</v>
      </c>
      <c r="AM19" s="101">
        <v>14</v>
      </c>
      <c r="AN19" s="101">
        <v>15</v>
      </c>
      <c r="AO19" s="101">
        <v>16</v>
      </c>
    </row>
    <row r="20" spans="1:41" ht="15" customHeight="1">
      <c r="A20" s="228">
        <v>0</v>
      </c>
      <c r="B20" s="173">
        <f>IF(A20=1,0.01,0.02)</f>
        <v>0.02</v>
      </c>
      <c r="C20" s="114"/>
      <c r="D20" s="14" t="s">
        <v>332</v>
      </c>
      <c r="E20" s="103" t="s">
        <v>314</v>
      </c>
      <c r="F20" s="232">
        <f>F74</f>
        <v>30</v>
      </c>
      <c r="G20" s="232">
        <f t="shared" ref="G20:T20" si="19">G74</f>
        <v>38</v>
      </c>
      <c r="H20" s="232">
        <f t="shared" si="19"/>
        <v>38</v>
      </c>
      <c r="I20" s="232">
        <f t="shared" si="19"/>
        <v>38</v>
      </c>
      <c r="J20" s="232">
        <f t="shared" si="19"/>
        <v>38</v>
      </c>
      <c r="K20" s="232">
        <f t="shared" si="19"/>
        <v>38</v>
      </c>
      <c r="L20" s="232">
        <f t="shared" si="19"/>
        <v>49</v>
      </c>
      <c r="M20" s="232">
        <f t="shared" si="19"/>
        <v>49</v>
      </c>
      <c r="N20" s="232">
        <f t="shared" si="19"/>
        <v>49</v>
      </c>
      <c r="O20" s="232">
        <f t="shared" si="19"/>
        <v>49</v>
      </c>
      <c r="P20" s="232">
        <f t="shared" si="19"/>
        <v>49</v>
      </c>
      <c r="Q20" s="232">
        <f t="shared" si="19"/>
        <v>49</v>
      </c>
      <c r="R20" s="232">
        <f t="shared" si="19"/>
        <v>49</v>
      </c>
      <c r="S20" s="232">
        <f t="shared" si="19"/>
        <v>49</v>
      </c>
      <c r="T20" s="232">
        <f t="shared" si="19"/>
        <v>49</v>
      </c>
      <c r="U20" s="50">
        <f>G20</f>
        <v>38</v>
      </c>
      <c r="V20" s="50">
        <f>I20</f>
        <v>38</v>
      </c>
      <c r="W20" s="232"/>
      <c r="X20" s="320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227">
        <v>0</v>
      </c>
      <c r="B21" s="172">
        <f>IF(A21=1,0.02,0.005)</f>
        <v>5.0000000000000001E-3</v>
      </c>
      <c r="C21" s="109"/>
      <c r="D21" s="51" t="s">
        <v>333</v>
      </c>
      <c r="E21" s="106" t="s">
        <v>750</v>
      </c>
      <c r="F21" s="340">
        <f>(1/F20+$B$20)^-1/5.678</f>
        <v>3.3022190912293063</v>
      </c>
      <c r="G21" s="219">
        <f t="shared" ref="G21:X21" si="20">(1/G20+$B$20)^-1/5.678</f>
        <v>3.8025553171731401</v>
      </c>
      <c r="H21" s="219">
        <f t="shared" si="20"/>
        <v>3.8025553171731401</v>
      </c>
      <c r="I21" s="219">
        <f t="shared" si="20"/>
        <v>3.8025553171731401</v>
      </c>
      <c r="J21" s="219">
        <f t="shared" si="20"/>
        <v>3.8025553171731401</v>
      </c>
      <c r="K21" s="219">
        <f t="shared" si="20"/>
        <v>3.8025553171731401</v>
      </c>
      <c r="L21" s="219">
        <f t="shared" si="20"/>
        <v>4.358484457110734</v>
      </c>
      <c r="M21" s="219">
        <f t="shared" si="20"/>
        <v>4.358484457110734</v>
      </c>
      <c r="N21" s="219">
        <f t="shared" si="20"/>
        <v>4.358484457110734</v>
      </c>
      <c r="O21" s="219">
        <f t="shared" si="20"/>
        <v>4.358484457110734</v>
      </c>
      <c r="P21" s="219">
        <f t="shared" si="20"/>
        <v>4.358484457110734</v>
      </c>
      <c r="Q21" s="219">
        <f t="shared" si="20"/>
        <v>4.358484457110734</v>
      </c>
      <c r="R21" s="219">
        <f t="shared" si="20"/>
        <v>4.358484457110734</v>
      </c>
      <c r="S21" s="219">
        <f t="shared" si="20"/>
        <v>4.358484457110734</v>
      </c>
      <c r="T21" s="369">
        <f t="shared" si="20"/>
        <v>4.358484457110734</v>
      </c>
      <c r="U21" s="49">
        <f>G21</f>
        <v>3.8025553171731401</v>
      </c>
      <c r="V21" s="49">
        <f>I21</f>
        <v>3.8025553171731401</v>
      </c>
      <c r="W21" s="369"/>
      <c r="X21" s="321">
        <f t="shared" si="20"/>
        <v>3.8025553171731401</v>
      </c>
      <c r="Z21" s="53">
        <f>(1/Z20+$B$20)^-1/5.678</f>
        <v>4.358484457110734</v>
      </c>
      <c r="AA21" s="53">
        <f t="shared" ref="AA21:AO21" si="21">(1/AA20+$B$20)^-1/5.678</f>
        <v>4.358484457110734</v>
      </c>
      <c r="AB21" s="53">
        <f t="shared" si="21"/>
        <v>3.8025553171731401</v>
      </c>
      <c r="AC21" s="53">
        <f t="shared" si="21"/>
        <v>3.8025553171731401</v>
      </c>
      <c r="AD21" s="53">
        <f t="shared" si="21"/>
        <v>3.8025553171731401</v>
      </c>
      <c r="AE21" s="53">
        <f t="shared" si="21"/>
        <v>3.8025553171731401</v>
      </c>
      <c r="AF21" s="53">
        <f t="shared" si="21"/>
        <v>3.8025553171731401</v>
      </c>
      <c r="AG21" s="53">
        <f t="shared" si="21"/>
        <v>3.8025553171731401</v>
      </c>
      <c r="AH21" s="53">
        <f t="shared" si="21"/>
        <v>3.8025553171731401</v>
      </c>
      <c r="AI21" s="53">
        <f t="shared" si="21"/>
        <v>4.358484457110734</v>
      </c>
      <c r="AJ21" s="53">
        <f t="shared" si="21"/>
        <v>4.358484457110734</v>
      </c>
      <c r="AK21" s="53">
        <f t="shared" si="21"/>
        <v>4.358484457110734</v>
      </c>
      <c r="AL21" s="53">
        <f t="shared" si="21"/>
        <v>4.358484457110734</v>
      </c>
      <c r="AM21" s="53">
        <f t="shared" si="21"/>
        <v>4.358484457110734</v>
      </c>
      <c r="AN21" s="53">
        <f t="shared" si="21"/>
        <v>4.358484457110734</v>
      </c>
      <c r="AO21" s="53">
        <f t="shared" si="21"/>
        <v>4.358484457110734</v>
      </c>
    </row>
    <row r="22" spans="1:41" ht="15" customHeight="1">
      <c r="C22" s="6"/>
      <c r="D22" s="51" t="s">
        <v>334</v>
      </c>
      <c r="E22" s="106" t="s">
        <v>750</v>
      </c>
      <c r="F22" s="340">
        <f>(1/F20+$B$21)^-1/5.678</f>
        <v>4.5943917791016435</v>
      </c>
      <c r="G22" s="219">
        <f t="shared" ref="G22:X22" si="22">(1/G20+$B$21)^-1/5.678</f>
        <v>5.6239473598527123</v>
      </c>
      <c r="H22" s="219">
        <f t="shared" si="22"/>
        <v>5.6239473598527123</v>
      </c>
      <c r="I22" s="219">
        <f t="shared" si="22"/>
        <v>5.6239473598527123</v>
      </c>
      <c r="J22" s="219">
        <f t="shared" si="22"/>
        <v>5.6239473598527123</v>
      </c>
      <c r="K22" s="219">
        <f t="shared" si="22"/>
        <v>5.6239473598527123</v>
      </c>
      <c r="L22" s="219">
        <f t="shared" si="22"/>
        <v>6.931565642633938</v>
      </c>
      <c r="M22" s="219">
        <f t="shared" si="22"/>
        <v>6.931565642633938</v>
      </c>
      <c r="N22" s="219">
        <f t="shared" si="22"/>
        <v>6.931565642633938</v>
      </c>
      <c r="O22" s="219">
        <f t="shared" si="22"/>
        <v>6.931565642633938</v>
      </c>
      <c r="P22" s="219">
        <f t="shared" si="22"/>
        <v>6.931565642633938</v>
      </c>
      <c r="Q22" s="219">
        <f t="shared" si="22"/>
        <v>6.931565642633938</v>
      </c>
      <c r="R22" s="219">
        <f t="shared" si="22"/>
        <v>6.931565642633938</v>
      </c>
      <c r="S22" s="219">
        <f t="shared" si="22"/>
        <v>6.931565642633938</v>
      </c>
      <c r="T22" s="369">
        <f t="shared" si="22"/>
        <v>6.931565642633938</v>
      </c>
      <c r="U22" s="49">
        <f>G22</f>
        <v>5.6239473598527123</v>
      </c>
      <c r="V22" s="49">
        <f>I22</f>
        <v>5.6239473598527123</v>
      </c>
      <c r="W22" s="369"/>
      <c r="X22" s="321">
        <f t="shared" si="22"/>
        <v>5.6239473598527123</v>
      </c>
      <c r="Z22" s="53">
        <f>(1/Z20+$B$21)^-1/5.678</f>
        <v>6.931565642633938</v>
      </c>
      <c r="AA22" s="53">
        <f t="shared" ref="AA22:AO22" si="23">(1/AA20+$B$21)^-1/5.678</f>
        <v>6.931565642633938</v>
      </c>
      <c r="AB22" s="53">
        <f t="shared" si="23"/>
        <v>5.6239473598527123</v>
      </c>
      <c r="AC22" s="53">
        <f t="shared" si="23"/>
        <v>5.6239473598527123</v>
      </c>
      <c r="AD22" s="53">
        <f t="shared" si="23"/>
        <v>5.6239473598527123</v>
      </c>
      <c r="AE22" s="53">
        <f t="shared" si="23"/>
        <v>5.6239473598527123</v>
      </c>
      <c r="AF22" s="53">
        <f t="shared" si="23"/>
        <v>5.6239473598527123</v>
      </c>
      <c r="AG22" s="53">
        <f t="shared" si="23"/>
        <v>5.6239473598527123</v>
      </c>
      <c r="AH22" s="53">
        <f t="shared" si="23"/>
        <v>5.6239473598527123</v>
      </c>
      <c r="AI22" s="53">
        <f t="shared" si="23"/>
        <v>6.931565642633938</v>
      </c>
      <c r="AJ22" s="53">
        <f t="shared" si="23"/>
        <v>6.931565642633938</v>
      </c>
      <c r="AK22" s="53">
        <f t="shared" si="23"/>
        <v>6.931565642633938</v>
      </c>
      <c r="AL22" s="53">
        <f t="shared" si="23"/>
        <v>6.931565642633938</v>
      </c>
      <c r="AM22" s="53">
        <f t="shared" si="23"/>
        <v>6.931565642633938</v>
      </c>
      <c r="AN22" s="53">
        <f t="shared" si="23"/>
        <v>6.931565642633938</v>
      </c>
      <c r="AO22" s="53">
        <f t="shared" si="23"/>
        <v>6.931565642633938</v>
      </c>
    </row>
    <row r="23" spans="1:41" ht="15" customHeight="1">
      <c r="A23" s="26" t="s">
        <v>335</v>
      </c>
      <c r="F23" s="370"/>
      <c r="P23" s="2"/>
      <c r="Q23" s="2"/>
      <c r="R23" s="2"/>
      <c r="S23" s="2"/>
      <c r="T23" s="370"/>
      <c r="U23" s="370"/>
      <c r="V23" s="370"/>
      <c r="W23" s="370"/>
      <c r="X23" s="319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54" t="s">
        <v>336</v>
      </c>
      <c r="F24" s="370"/>
      <c r="P24" s="2"/>
      <c r="Q24" s="2"/>
      <c r="R24" s="2"/>
      <c r="S24" s="2"/>
      <c r="T24" s="370"/>
      <c r="U24" s="370"/>
      <c r="V24" s="370"/>
      <c r="W24" s="370"/>
      <c r="X24" s="319"/>
      <c r="Z24" s="2"/>
      <c r="AA24" s="2"/>
      <c r="AB24" s="2"/>
      <c r="AC24" s="2"/>
      <c r="AD24" s="2"/>
      <c r="AE24" s="2"/>
      <c r="AF24" s="2"/>
      <c r="AG24" s="26"/>
      <c r="AH24" s="2"/>
      <c r="AI24" s="2"/>
      <c r="AJ24" s="2"/>
      <c r="AK24" s="2"/>
      <c r="AL24" s="2"/>
      <c r="AM24" s="2"/>
      <c r="AN24" s="2"/>
    </row>
    <row r="25" spans="1:41" ht="15" customHeight="1">
      <c r="F25" s="370"/>
      <c r="P25" s="2"/>
      <c r="Q25" s="2"/>
      <c r="R25" s="2"/>
      <c r="S25" s="2"/>
      <c r="T25" s="370"/>
      <c r="U25" s="370"/>
      <c r="V25" s="370"/>
      <c r="W25" s="370"/>
      <c r="X25" s="319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55"/>
      <c r="AK25" s="56"/>
      <c r="AL25" s="56"/>
      <c r="AM25" s="57"/>
      <c r="AN25" s="57"/>
    </row>
    <row r="26" spans="1:41" ht="15" customHeight="1">
      <c r="A26" s="4" t="s">
        <v>337</v>
      </c>
      <c r="F26" s="335" t="s">
        <v>308</v>
      </c>
      <c r="P26" s="2"/>
      <c r="Q26" s="2"/>
      <c r="R26" s="2"/>
      <c r="S26" s="2"/>
      <c r="T26" s="370"/>
      <c r="U26" s="370"/>
      <c r="V26" s="370"/>
      <c r="W26" s="370"/>
      <c r="X26" s="319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56"/>
      <c r="AL26" s="56"/>
      <c r="AM26" s="57"/>
      <c r="AN26" s="57"/>
    </row>
    <row r="27" spans="1:41" ht="15" customHeight="1">
      <c r="A27" s="114"/>
      <c r="B27" s="35" t="s">
        <v>790</v>
      </c>
      <c r="D27" s="101" t="s">
        <v>311</v>
      </c>
      <c r="E27" s="102"/>
      <c r="F27" s="333" t="s">
        <v>882</v>
      </c>
      <c r="G27" s="367" t="s">
        <v>823</v>
      </c>
      <c r="H27" s="367" t="s">
        <v>824</v>
      </c>
      <c r="I27" s="367" t="s">
        <v>825</v>
      </c>
      <c r="J27" s="367" t="s">
        <v>826</v>
      </c>
      <c r="K27" s="367" t="s">
        <v>827</v>
      </c>
      <c r="L27" s="367" t="s">
        <v>828</v>
      </c>
      <c r="M27" s="367" t="s">
        <v>829</v>
      </c>
      <c r="N27" s="367" t="s">
        <v>830</v>
      </c>
      <c r="O27" s="367" t="s">
        <v>831</v>
      </c>
      <c r="P27" s="367" t="s">
        <v>832</v>
      </c>
      <c r="Q27" s="367" t="s">
        <v>833</v>
      </c>
      <c r="R27" s="367" t="s">
        <v>834</v>
      </c>
      <c r="S27" s="367">
        <v>7</v>
      </c>
      <c r="T27" s="333">
        <v>8</v>
      </c>
      <c r="U27" s="333" t="s">
        <v>1152</v>
      </c>
      <c r="V27" s="333" t="s">
        <v>1153</v>
      </c>
      <c r="W27" s="333"/>
      <c r="X27" s="322">
        <v>16</v>
      </c>
    </row>
    <row r="28" spans="1:41" ht="15" customHeight="1">
      <c r="A28" s="216" t="s">
        <v>788</v>
      </c>
      <c r="B28" s="217">
        <v>25.6</v>
      </c>
      <c r="C28" s="6"/>
      <c r="D28" s="2" t="s">
        <v>338</v>
      </c>
      <c r="E28" s="115" t="s">
        <v>17</v>
      </c>
      <c r="F28" s="336">
        <f>F85</f>
        <v>0.25</v>
      </c>
      <c r="G28" s="336">
        <f t="shared" ref="G28:M28" si="24">G85</f>
        <v>0.25</v>
      </c>
      <c r="H28" s="336">
        <f t="shared" si="24"/>
        <v>0.25</v>
      </c>
      <c r="I28" s="336">
        <f t="shared" si="24"/>
        <v>0.27</v>
      </c>
      <c r="J28" s="336">
        <f t="shared" si="24"/>
        <v>0.27</v>
      </c>
      <c r="K28" s="336">
        <f t="shared" si="24"/>
        <v>0.27</v>
      </c>
      <c r="L28" s="336">
        <f t="shared" si="24"/>
        <v>0.27</v>
      </c>
      <c r="M28" s="336">
        <f t="shared" si="24"/>
        <v>0.27</v>
      </c>
      <c r="N28" s="350">
        <v>0.3</v>
      </c>
      <c r="O28" s="350">
        <v>0.3</v>
      </c>
      <c r="P28" s="350">
        <v>0.3</v>
      </c>
      <c r="Q28" s="350">
        <v>0.3</v>
      </c>
      <c r="R28" s="350">
        <v>0.3</v>
      </c>
      <c r="S28" s="350">
        <v>0.3</v>
      </c>
      <c r="T28" s="329">
        <v>0.35</v>
      </c>
      <c r="U28" s="336">
        <f>G28</f>
        <v>0.25</v>
      </c>
      <c r="V28" s="336">
        <f>I28</f>
        <v>0.27</v>
      </c>
      <c r="W28" s="329"/>
      <c r="X28" s="323">
        <v>0.4</v>
      </c>
      <c r="Z28" s="46" t="s">
        <v>308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114" t="s">
        <v>789</v>
      </c>
      <c r="B29" s="57">
        <v>20.7</v>
      </c>
      <c r="D29" s="220" t="s">
        <v>791</v>
      </c>
      <c r="E29" s="103"/>
      <c r="F29" s="337">
        <v>47</v>
      </c>
      <c r="G29" s="346">
        <v>32</v>
      </c>
      <c r="H29" s="346">
        <v>40</v>
      </c>
      <c r="I29" s="346">
        <v>21</v>
      </c>
      <c r="J29" s="346">
        <v>26</v>
      </c>
      <c r="K29" s="346">
        <v>40</v>
      </c>
      <c r="L29" s="346">
        <v>17</v>
      </c>
      <c r="M29" s="346">
        <v>20</v>
      </c>
      <c r="N29" s="346">
        <v>25</v>
      </c>
      <c r="O29" s="346">
        <v>1</v>
      </c>
      <c r="P29" s="346">
        <v>9</v>
      </c>
      <c r="Q29" s="346">
        <v>-4</v>
      </c>
      <c r="R29" s="346">
        <v>-10</v>
      </c>
      <c r="S29" s="346">
        <v>-15</v>
      </c>
      <c r="T29" s="337">
        <v>-47</v>
      </c>
      <c r="U29" s="337"/>
      <c r="V29" s="337"/>
      <c r="W29" s="337"/>
      <c r="X29" s="324">
        <v>17</v>
      </c>
      <c r="Z29" s="101">
        <v>1</v>
      </c>
      <c r="AA29" s="101">
        <v>2</v>
      </c>
      <c r="AB29" s="101">
        <v>3</v>
      </c>
      <c r="AC29" s="101">
        <v>4</v>
      </c>
      <c r="AD29" s="101">
        <v>5</v>
      </c>
      <c r="AE29" s="101">
        <v>6</v>
      </c>
      <c r="AF29" s="101">
        <v>7</v>
      </c>
      <c r="AG29" s="101">
        <v>8</v>
      </c>
      <c r="AH29" s="101">
        <v>9</v>
      </c>
      <c r="AI29" s="101">
        <v>10</v>
      </c>
      <c r="AJ29" s="101">
        <v>11</v>
      </c>
      <c r="AK29" s="101">
        <v>12</v>
      </c>
      <c r="AL29" s="101">
        <v>13</v>
      </c>
      <c r="AM29" s="101">
        <v>14</v>
      </c>
      <c r="AN29" s="101">
        <v>15</v>
      </c>
      <c r="AO29" s="101">
        <v>16</v>
      </c>
    </row>
    <row r="30" spans="1:41" s="180" customFormat="1" ht="15" customHeight="1">
      <c r="A30" s="107"/>
      <c r="B30" s="57"/>
      <c r="C30" s="2"/>
      <c r="D30" s="220" t="s">
        <v>792</v>
      </c>
      <c r="E30" s="221"/>
      <c r="F30" s="331">
        <f>(5/9)*(F29-32)</f>
        <v>8.3333333333333339</v>
      </c>
      <c r="G30" s="345">
        <v>0</v>
      </c>
      <c r="H30" s="345">
        <v>4.4444444444444446</v>
      </c>
      <c r="I30" s="349">
        <v>-6.1111111111111116</v>
      </c>
      <c r="J30" s="349">
        <v>-3.3333333333333335</v>
      </c>
      <c r="K30" s="349">
        <v>4.4444444444444446</v>
      </c>
      <c r="L30" s="349">
        <v>-8.3333333333333339</v>
      </c>
      <c r="M30" s="349">
        <v>-6.666666666666667</v>
      </c>
      <c r="N30" s="349">
        <v>-3.8888888888888893</v>
      </c>
      <c r="O30" s="349">
        <v>-17.222222222222221</v>
      </c>
      <c r="P30" s="349">
        <v>-12.777777777777779</v>
      </c>
      <c r="Q30" s="349">
        <v>-20</v>
      </c>
      <c r="R30" s="349">
        <v>-23.333333333333336</v>
      </c>
      <c r="S30" s="349">
        <v>-26.111111111111111</v>
      </c>
      <c r="T30" s="331">
        <f>(5/9)*(T29-32)</f>
        <v>-43.888888888888893</v>
      </c>
      <c r="U30" s="331"/>
      <c r="V30" s="331"/>
      <c r="W30" s="331"/>
      <c r="X30" s="325">
        <f>(5/9)*(X29-32)</f>
        <v>-8.3333333333333339</v>
      </c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</row>
    <row r="31" spans="1:41" ht="15" customHeight="1">
      <c r="A31" s="215"/>
      <c r="B31" s="2"/>
      <c r="D31" s="223" t="s">
        <v>793</v>
      </c>
      <c r="E31" s="224"/>
      <c r="F31" s="338">
        <f>$B$29-F30</f>
        <v>12.366666666666665</v>
      </c>
      <c r="G31" s="348">
        <v>20.740738888888892</v>
      </c>
      <c r="H31" s="348">
        <v>16.296294444444449</v>
      </c>
      <c r="I31" s="348">
        <v>26.851850000000002</v>
      </c>
      <c r="J31" s="348">
        <v>24.074072222222224</v>
      </c>
      <c r="K31" s="348">
        <v>16.296294444444449</v>
      </c>
      <c r="L31" s="348">
        <v>29.074072222222227</v>
      </c>
      <c r="M31" s="348">
        <v>27.40740555555556</v>
      </c>
      <c r="N31" s="348">
        <v>24.629627777777781</v>
      </c>
      <c r="O31" s="348">
        <v>37.962961111111113</v>
      </c>
      <c r="P31" s="348">
        <v>33.51851666666667</v>
      </c>
      <c r="Q31" s="348">
        <v>40.740738888888892</v>
      </c>
      <c r="R31" s="348">
        <v>44.074072222222227</v>
      </c>
      <c r="S31" s="348">
        <v>46.851849999999999</v>
      </c>
      <c r="T31" s="338">
        <f>$B$29-T30</f>
        <v>64.588888888888889</v>
      </c>
      <c r="U31" s="338"/>
      <c r="V31" s="338"/>
      <c r="W31" s="338"/>
      <c r="X31" s="326">
        <f>$B$29-X30</f>
        <v>29.033333333333331</v>
      </c>
      <c r="Z31" s="58">
        <v>0.4</v>
      </c>
      <c r="AA31" s="58">
        <v>0.4</v>
      </c>
      <c r="AB31" s="58">
        <v>0.4</v>
      </c>
      <c r="AC31" s="58">
        <v>0.4</v>
      </c>
      <c r="AD31" s="58">
        <v>0.4</v>
      </c>
      <c r="AE31" s="58">
        <v>0.4</v>
      </c>
      <c r="AF31" s="58">
        <v>0.4</v>
      </c>
      <c r="AG31" s="58">
        <v>0.4</v>
      </c>
      <c r="AH31" s="58">
        <v>0.4</v>
      </c>
      <c r="AI31" s="58">
        <v>0.4</v>
      </c>
      <c r="AJ31" s="58">
        <v>0.4</v>
      </c>
      <c r="AK31" s="58">
        <v>0.4</v>
      </c>
      <c r="AL31" s="58">
        <v>0.4</v>
      </c>
      <c r="AM31" s="58">
        <v>0.4</v>
      </c>
      <c r="AN31" s="58">
        <v>0.4</v>
      </c>
      <c r="AO31" s="58">
        <v>0.4</v>
      </c>
    </row>
    <row r="32" spans="1:41" s="180" customFormat="1" ht="15" customHeight="1">
      <c r="A32" s="215" t="s">
        <v>328</v>
      </c>
      <c r="B32" s="306" t="s">
        <v>966</v>
      </c>
      <c r="C32" s="306" t="s">
        <v>330</v>
      </c>
      <c r="D32" s="220" t="s">
        <v>794</v>
      </c>
      <c r="E32" s="225"/>
      <c r="F32" s="330">
        <v>90</v>
      </c>
      <c r="G32" s="347">
        <v>95</v>
      </c>
      <c r="H32" s="347">
        <v>108</v>
      </c>
      <c r="I32" s="347">
        <v>94</v>
      </c>
      <c r="J32" s="347">
        <v>99</v>
      </c>
      <c r="K32" s="347">
        <v>78</v>
      </c>
      <c r="L32" s="347">
        <v>91</v>
      </c>
      <c r="M32" s="347">
        <v>94</v>
      </c>
      <c r="N32" s="347">
        <v>87</v>
      </c>
      <c r="O32" s="347">
        <v>89</v>
      </c>
      <c r="P32" s="347">
        <v>94</v>
      </c>
      <c r="Q32" s="347">
        <v>85</v>
      </c>
      <c r="R32" s="347">
        <v>88</v>
      </c>
      <c r="S32" s="347">
        <v>81</v>
      </c>
      <c r="T32" s="330">
        <v>78</v>
      </c>
      <c r="U32" s="330"/>
      <c r="V32" s="330"/>
      <c r="W32" s="330"/>
      <c r="X32" s="327">
        <v>92</v>
      </c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</row>
    <row r="33" spans="1:24" ht="15" customHeight="1">
      <c r="A33" s="375" t="s">
        <v>1000</v>
      </c>
      <c r="D33" s="220" t="s">
        <v>795</v>
      </c>
      <c r="E33" s="114"/>
      <c r="F33" s="331">
        <f>(5/9)*(F32-32)</f>
        <v>32.222222222222221</v>
      </c>
      <c r="G33" s="345">
        <v>35</v>
      </c>
      <c r="H33" s="345">
        <v>42.222222222222221</v>
      </c>
      <c r="I33" s="345">
        <v>34.444444444444443</v>
      </c>
      <c r="J33" s="345">
        <v>37.222222222222221</v>
      </c>
      <c r="K33" s="345">
        <v>25.555555555555557</v>
      </c>
      <c r="L33" s="345">
        <v>32.777777777777779</v>
      </c>
      <c r="M33" s="345">
        <v>34.444444444444443</v>
      </c>
      <c r="N33" s="345">
        <v>30.555555555555557</v>
      </c>
      <c r="O33" s="345">
        <v>31.666666666666668</v>
      </c>
      <c r="P33" s="345">
        <v>34.444444444444443</v>
      </c>
      <c r="Q33" s="345">
        <v>29.444444444444446</v>
      </c>
      <c r="R33" s="345">
        <v>31.111111111111114</v>
      </c>
      <c r="S33" s="345">
        <v>27.222222222222225</v>
      </c>
      <c r="T33" s="331">
        <f>(5/9)*(T32-32)</f>
        <v>25.555555555555557</v>
      </c>
      <c r="U33" s="331"/>
      <c r="V33" s="331"/>
      <c r="W33" s="331"/>
      <c r="X33" s="325">
        <f>(5/9)*(X32-32)</f>
        <v>33.333333333333336</v>
      </c>
    </row>
    <row r="34" spans="1:24" s="180" customFormat="1" ht="15" customHeight="1">
      <c r="C34" s="2"/>
      <c r="D34" s="223" t="s">
        <v>793</v>
      </c>
      <c r="E34" s="109"/>
      <c r="F34" s="338">
        <f>ABS($B$28-F33)</f>
        <v>6.62222222222222</v>
      </c>
      <c r="G34" s="348">
        <v>9.375</v>
      </c>
      <c r="H34" s="348">
        <v>16.597222222222221</v>
      </c>
      <c r="I34" s="348">
        <v>8.8194444444444429</v>
      </c>
      <c r="J34" s="348">
        <v>11.597222222222221</v>
      </c>
      <c r="K34" s="348">
        <v>6.9444444444442865E-2</v>
      </c>
      <c r="L34" s="348">
        <v>7.1527777777777786</v>
      </c>
      <c r="M34" s="348">
        <v>8.8194444444444429</v>
      </c>
      <c r="N34" s="348">
        <v>4.9305555555555571</v>
      </c>
      <c r="O34" s="348">
        <v>6.0416666666666679</v>
      </c>
      <c r="P34" s="348">
        <v>8.8194444444444429</v>
      </c>
      <c r="Q34" s="348">
        <v>3.8194444444444464</v>
      </c>
      <c r="R34" s="348">
        <v>5.4861111111111143</v>
      </c>
      <c r="S34" s="348">
        <v>1.597222222222225</v>
      </c>
      <c r="T34" s="338">
        <f>ABS($B$28-T33)</f>
        <v>4.4444444444444287E-2</v>
      </c>
      <c r="U34" s="338"/>
      <c r="V34" s="338"/>
      <c r="W34" s="338"/>
      <c r="X34" s="326">
        <f>ABS($B$28-X33)</f>
        <v>7.7333333333333343</v>
      </c>
    </row>
    <row r="35" spans="1:24" s="180" customFormat="1" ht="15" customHeight="1">
      <c r="C35" s="2"/>
      <c r="D35" s="220" t="s">
        <v>796</v>
      </c>
      <c r="E35" s="103"/>
      <c r="F35" s="339">
        <f t="shared" ref="F35:X35" si="25">$B$13*$K$59*F31</f>
        <v>760.66129999999987</v>
      </c>
      <c r="G35" s="226">
        <f t="shared" si="25"/>
        <v>1275.7421083166669</v>
      </c>
      <c r="H35" s="226">
        <f t="shared" si="25"/>
        <v>1002.3687749833337</v>
      </c>
      <c r="I35" s="226">
        <f t="shared" si="25"/>
        <v>1651.6304416500002</v>
      </c>
      <c r="J35" s="226">
        <f t="shared" si="25"/>
        <v>1480.7721083166668</v>
      </c>
      <c r="K35" s="226">
        <f t="shared" si="25"/>
        <v>1002.3687749833337</v>
      </c>
      <c r="L35" s="226">
        <f t="shared" si="25"/>
        <v>1788.3171083166669</v>
      </c>
      <c r="M35" s="226">
        <f t="shared" si="25"/>
        <v>1685.8021083166668</v>
      </c>
      <c r="N35" s="226">
        <f t="shared" si="25"/>
        <v>1514.9437749833335</v>
      </c>
      <c r="O35" s="226">
        <f t="shared" si="25"/>
        <v>2335.0637749833336</v>
      </c>
      <c r="P35" s="226">
        <f t="shared" si="25"/>
        <v>2061.6904416500001</v>
      </c>
      <c r="Q35" s="226">
        <f t="shared" si="25"/>
        <v>2505.9221083166667</v>
      </c>
      <c r="R35" s="226">
        <f t="shared" si="25"/>
        <v>2710.9521083166669</v>
      </c>
      <c r="S35" s="226">
        <f t="shared" si="25"/>
        <v>2881.81044165</v>
      </c>
      <c r="T35" s="339">
        <f t="shared" si="25"/>
        <v>3972.7979666666665</v>
      </c>
      <c r="U35" s="339"/>
      <c r="V35" s="339"/>
      <c r="W35" s="339"/>
      <c r="X35" s="328">
        <f t="shared" si="25"/>
        <v>1785.8112999999998</v>
      </c>
    </row>
    <row r="36" spans="1:24" s="180" customFormat="1" ht="15" customHeight="1">
      <c r="C36" s="2"/>
      <c r="D36" s="220"/>
      <c r="E36" s="103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345"/>
      <c r="V36" s="345"/>
      <c r="W36" s="345"/>
      <c r="X36" s="15"/>
    </row>
    <row r="37" spans="1:24" s="180" customFormat="1" ht="15" customHeight="1">
      <c r="A37" s="180" t="e">
        <f>(1/3.5*(C33*B33)+(1/F6*((1-B33)*C32)))</f>
        <v>#VALUE!</v>
      </c>
      <c r="C37" s="2"/>
      <c r="D37" s="2"/>
      <c r="E37" s="2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345"/>
      <c r="V37" s="345"/>
      <c r="W37" s="345"/>
      <c r="X37" s="15"/>
    </row>
    <row r="39" spans="1:24" ht="15" customHeight="1">
      <c r="D39" s="368" t="s">
        <v>311</v>
      </c>
      <c r="E39" s="102" t="s">
        <v>232</v>
      </c>
      <c r="F39" s="333" t="s">
        <v>882</v>
      </c>
      <c r="G39" s="384" t="s">
        <v>823</v>
      </c>
      <c r="H39" s="384" t="s">
        <v>824</v>
      </c>
      <c r="I39" s="384" t="s">
        <v>825</v>
      </c>
      <c r="J39" s="384" t="s">
        <v>826</v>
      </c>
      <c r="K39" s="384" t="s">
        <v>827</v>
      </c>
      <c r="L39" s="384" t="s">
        <v>828</v>
      </c>
      <c r="M39" s="384" t="s">
        <v>829</v>
      </c>
      <c r="N39" s="384" t="s">
        <v>830</v>
      </c>
      <c r="O39" s="384" t="s">
        <v>831</v>
      </c>
      <c r="P39" s="384" t="s">
        <v>832</v>
      </c>
      <c r="Q39" s="384" t="s">
        <v>833</v>
      </c>
      <c r="R39" s="384" t="s">
        <v>834</v>
      </c>
      <c r="S39" s="384">
        <v>7</v>
      </c>
      <c r="T39" s="333">
        <v>8</v>
      </c>
      <c r="U39" s="430"/>
      <c r="V39" s="430"/>
      <c r="W39" s="430"/>
    </row>
    <row r="40" spans="1:24" ht="15" customHeight="1">
      <c r="D40" s="306" t="s">
        <v>313</v>
      </c>
      <c r="E40" s="103" t="s">
        <v>314</v>
      </c>
      <c r="F40" s="354">
        <v>13</v>
      </c>
      <c r="G40" s="342">
        <v>13</v>
      </c>
      <c r="H40" s="342">
        <v>13</v>
      </c>
      <c r="I40" s="342">
        <v>13</v>
      </c>
      <c r="J40" s="342">
        <v>13</v>
      </c>
      <c r="K40" s="342">
        <v>13</v>
      </c>
      <c r="L40" s="342">
        <v>13</v>
      </c>
      <c r="M40" s="342">
        <v>13</v>
      </c>
      <c r="N40" s="342">
        <v>20</v>
      </c>
      <c r="O40" s="342">
        <v>20</v>
      </c>
      <c r="P40" s="342">
        <v>20</v>
      </c>
      <c r="Q40" s="342">
        <v>20</v>
      </c>
      <c r="R40" s="342">
        <v>20</v>
      </c>
      <c r="S40" s="342">
        <v>21</v>
      </c>
      <c r="T40" s="354">
        <v>21</v>
      </c>
      <c r="U40" s="354"/>
      <c r="V40" s="354"/>
      <c r="W40" s="354"/>
    </row>
    <row r="41" spans="1:24" ht="15" customHeight="1">
      <c r="D41" s="306" t="s">
        <v>316</v>
      </c>
      <c r="E41" s="103" t="s">
        <v>314</v>
      </c>
      <c r="F41" s="354">
        <v>1.5</v>
      </c>
      <c r="G41" s="343">
        <v>1.5384615384615383</v>
      </c>
      <c r="H41" s="343">
        <v>1.5384615384615383</v>
      </c>
      <c r="I41" s="343">
        <v>2</v>
      </c>
      <c r="J41" s="343">
        <v>2</v>
      </c>
      <c r="K41" s="343">
        <v>2</v>
      </c>
      <c r="L41" s="343">
        <v>2.8571428571428572</v>
      </c>
      <c r="M41" s="343">
        <v>2.8571428571428572</v>
      </c>
      <c r="N41" s="343">
        <v>2.8571428571428572</v>
      </c>
      <c r="O41" s="343">
        <v>2.8571428571428572</v>
      </c>
      <c r="P41" s="343">
        <v>2.8571428571428572</v>
      </c>
      <c r="Q41" s="343">
        <v>2.8571428571428572</v>
      </c>
      <c r="R41" s="343">
        <v>2.8571428571428572</v>
      </c>
      <c r="S41" s="343">
        <v>2.8571428571428572</v>
      </c>
      <c r="T41" s="354">
        <v>2.9</v>
      </c>
      <c r="U41" s="354"/>
      <c r="V41" s="354"/>
      <c r="W41" s="354"/>
    </row>
    <row r="42" spans="1:24" ht="15" customHeight="1">
      <c r="D42" s="306" t="s">
        <v>318</v>
      </c>
      <c r="E42" s="103" t="s">
        <v>314</v>
      </c>
      <c r="F42" s="354">
        <v>13</v>
      </c>
      <c r="G42" s="342">
        <v>13</v>
      </c>
      <c r="H42" s="342">
        <v>13</v>
      </c>
      <c r="I42" s="342">
        <v>19</v>
      </c>
      <c r="J42" s="342">
        <v>19</v>
      </c>
      <c r="K42" s="342">
        <v>19</v>
      </c>
      <c r="L42" s="342">
        <v>19</v>
      </c>
      <c r="M42" s="342">
        <v>19</v>
      </c>
      <c r="N42" s="342">
        <v>19</v>
      </c>
      <c r="O42" s="342">
        <v>30</v>
      </c>
      <c r="P42" s="342">
        <v>30</v>
      </c>
      <c r="Q42" s="342">
        <v>30</v>
      </c>
      <c r="R42" s="342">
        <v>30</v>
      </c>
      <c r="S42" s="342">
        <v>38</v>
      </c>
      <c r="T42" s="354">
        <v>38</v>
      </c>
      <c r="U42" s="354"/>
      <c r="V42" s="354"/>
      <c r="W42" s="354"/>
    </row>
    <row r="43" spans="1:24" ht="15" customHeight="1">
      <c r="D43" s="306" t="s">
        <v>819</v>
      </c>
      <c r="E43" s="103" t="s">
        <v>320</v>
      </c>
      <c r="F43" s="334">
        <f t="shared" ref="F43:T43" si="26">$B$13*$K$59</f>
        <v>61.509</v>
      </c>
      <c r="G43" s="186">
        <f t="shared" si="26"/>
        <v>61.509</v>
      </c>
      <c r="H43" s="186">
        <f t="shared" si="26"/>
        <v>61.509</v>
      </c>
      <c r="I43" s="186">
        <f t="shared" si="26"/>
        <v>61.509</v>
      </c>
      <c r="J43" s="186">
        <f t="shared" si="26"/>
        <v>61.509</v>
      </c>
      <c r="K43" s="186">
        <f t="shared" si="26"/>
        <v>61.509</v>
      </c>
      <c r="L43" s="186">
        <f t="shared" si="26"/>
        <v>61.509</v>
      </c>
      <c r="M43" s="186">
        <f t="shared" si="26"/>
        <v>61.509</v>
      </c>
      <c r="N43" s="186">
        <f t="shared" si="26"/>
        <v>61.509</v>
      </c>
      <c r="O43" s="186">
        <f t="shared" si="26"/>
        <v>61.509</v>
      </c>
      <c r="P43" s="186">
        <f t="shared" si="26"/>
        <v>61.509</v>
      </c>
      <c r="Q43" s="186">
        <f t="shared" si="26"/>
        <v>61.509</v>
      </c>
      <c r="R43" s="186">
        <f t="shared" si="26"/>
        <v>61.509</v>
      </c>
      <c r="S43" s="186">
        <f t="shared" si="26"/>
        <v>61.509</v>
      </c>
      <c r="T43" s="334">
        <f t="shared" si="26"/>
        <v>61.509</v>
      </c>
      <c r="U43" s="334"/>
      <c r="V43" s="334"/>
      <c r="W43" s="334"/>
    </row>
    <row r="44" spans="1:24" ht="15" customHeight="1">
      <c r="D44" s="306" t="s">
        <v>319</v>
      </c>
      <c r="E44" s="104" t="s">
        <v>320</v>
      </c>
      <c r="F44" s="341">
        <f>(1/F40)*$B$6*5.6783*$C$6</f>
        <v>84.772644088246153</v>
      </c>
      <c r="G44" s="50">
        <f>1/G40*$B$6*5.678*$C$6</f>
        <v>84.768165319384622</v>
      </c>
      <c r="H44" s="50">
        <f>1/H40*$B$6*5.678*$C$6</f>
        <v>84.768165319384622</v>
      </c>
      <c r="I44" s="50">
        <f t="shared" ref="I44:T44" si="27">1/I40*$B$6*5.678*$C$6</f>
        <v>84.768165319384622</v>
      </c>
      <c r="J44" s="50">
        <f t="shared" si="27"/>
        <v>84.768165319384622</v>
      </c>
      <c r="K44" s="50">
        <f t="shared" si="27"/>
        <v>84.768165319384622</v>
      </c>
      <c r="L44" s="50">
        <f t="shared" si="27"/>
        <v>84.768165319384622</v>
      </c>
      <c r="M44" s="50">
        <f t="shared" si="27"/>
        <v>84.768165319384622</v>
      </c>
      <c r="N44" s="50">
        <f t="shared" si="27"/>
        <v>55.099307457599998</v>
      </c>
      <c r="O44" s="50">
        <f t="shared" si="27"/>
        <v>55.099307457599998</v>
      </c>
      <c r="P44" s="50">
        <f t="shared" si="27"/>
        <v>55.099307457599998</v>
      </c>
      <c r="Q44" s="50">
        <f t="shared" si="27"/>
        <v>55.099307457599998</v>
      </c>
      <c r="R44" s="50">
        <f t="shared" si="27"/>
        <v>55.099307457599998</v>
      </c>
      <c r="S44" s="50">
        <f t="shared" si="27"/>
        <v>52.475530911999996</v>
      </c>
      <c r="T44" s="341">
        <f t="shared" si="27"/>
        <v>52.475530911999996</v>
      </c>
      <c r="U44" s="341"/>
      <c r="V44" s="341"/>
      <c r="W44" s="341"/>
    </row>
    <row r="45" spans="1:24" ht="15" customHeight="1">
      <c r="D45" s="306" t="s">
        <v>321</v>
      </c>
      <c r="E45" s="104" t="s">
        <v>320</v>
      </c>
      <c r="F45" s="341">
        <f t="shared" ref="F45:T45" si="28">1/F41*$B$7*5.678*$C$7</f>
        <v>151.36760650666668</v>
      </c>
      <c r="G45" s="50">
        <f t="shared" si="28"/>
        <v>147.583416344</v>
      </c>
      <c r="H45" s="50">
        <f t="shared" si="28"/>
        <v>147.583416344</v>
      </c>
      <c r="I45" s="50">
        <f t="shared" si="28"/>
        <v>113.52570488000001</v>
      </c>
      <c r="J45" s="50">
        <f t="shared" si="28"/>
        <v>113.52570488000001</v>
      </c>
      <c r="K45" s="50">
        <f t="shared" si="28"/>
        <v>113.52570488000001</v>
      </c>
      <c r="L45" s="50">
        <f t="shared" si="28"/>
        <v>79.467993415999999</v>
      </c>
      <c r="M45" s="50">
        <f t="shared" si="28"/>
        <v>79.467993415999999</v>
      </c>
      <c r="N45" s="50">
        <f t="shared" si="28"/>
        <v>79.467993415999999</v>
      </c>
      <c r="O45" s="50">
        <f t="shared" si="28"/>
        <v>79.467993415999999</v>
      </c>
      <c r="P45" s="50">
        <f t="shared" si="28"/>
        <v>79.467993415999999</v>
      </c>
      <c r="Q45" s="50">
        <f t="shared" si="28"/>
        <v>79.467993415999999</v>
      </c>
      <c r="R45" s="50">
        <f t="shared" si="28"/>
        <v>79.467993415999999</v>
      </c>
      <c r="S45" s="50">
        <f t="shared" si="28"/>
        <v>79.467993415999999</v>
      </c>
      <c r="T45" s="341">
        <f t="shared" si="28"/>
        <v>78.293589572413808</v>
      </c>
      <c r="U45" s="341"/>
      <c r="V45" s="341"/>
      <c r="W45" s="341"/>
    </row>
    <row r="46" spans="1:24" ht="15" customHeight="1">
      <c r="D46" s="306" t="s">
        <v>322</v>
      </c>
      <c r="E46" s="104" t="s">
        <v>320</v>
      </c>
      <c r="F46" s="341">
        <f t="shared" ref="F46:T46" si="29">1/F42*$B$8*5.678*$C$8</f>
        <v>43.663732646153854</v>
      </c>
      <c r="G46" s="50">
        <f t="shared" si="29"/>
        <v>43.663732646153854</v>
      </c>
      <c r="H46" s="50">
        <f t="shared" si="29"/>
        <v>43.663732646153854</v>
      </c>
      <c r="I46" s="50">
        <f t="shared" si="29"/>
        <v>29.87518549473684</v>
      </c>
      <c r="J46" s="50">
        <f t="shared" si="29"/>
        <v>29.87518549473684</v>
      </c>
      <c r="K46" s="50">
        <f t="shared" si="29"/>
        <v>29.87518549473684</v>
      </c>
      <c r="L46" s="50">
        <f t="shared" si="29"/>
        <v>29.87518549473684</v>
      </c>
      <c r="M46" s="50">
        <f t="shared" si="29"/>
        <v>29.87518549473684</v>
      </c>
      <c r="N46" s="50">
        <f t="shared" si="29"/>
        <v>29.87518549473684</v>
      </c>
      <c r="O46" s="50">
        <f t="shared" si="29"/>
        <v>18.920950813333334</v>
      </c>
      <c r="P46" s="50">
        <f t="shared" si="29"/>
        <v>18.920950813333334</v>
      </c>
      <c r="Q46" s="50">
        <f t="shared" si="29"/>
        <v>18.920950813333334</v>
      </c>
      <c r="R46" s="50">
        <f t="shared" si="29"/>
        <v>18.920950813333334</v>
      </c>
      <c r="S46" s="50">
        <f t="shared" si="29"/>
        <v>14.93759274736842</v>
      </c>
      <c r="T46" s="341">
        <f t="shared" si="29"/>
        <v>14.93759274736842</v>
      </c>
      <c r="U46" s="341"/>
      <c r="V46" s="341"/>
      <c r="W46" s="341"/>
    </row>
    <row r="47" spans="1:24" ht="15" customHeight="1">
      <c r="D47" s="306" t="s">
        <v>323</v>
      </c>
      <c r="E47" s="104" t="s">
        <v>320</v>
      </c>
      <c r="F47" s="341">
        <f>20*5.678*0.3048^2</f>
        <v>10.550069222400001</v>
      </c>
      <c r="G47" s="50">
        <f t="shared" ref="G47:T47" si="30">20*5.678*0.3048^2</f>
        <v>10.550069222400001</v>
      </c>
      <c r="H47" s="50">
        <f t="shared" si="30"/>
        <v>10.550069222400001</v>
      </c>
      <c r="I47" s="50">
        <f t="shared" si="30"/>
        <v>10.550069222400001</v>
      </c>
      <c r="J47" s="50">
        <f t="shared" si="30"/>
        <v>10.550069222400001</v>
      </c>
      <c r="K47" s="50">
        <f t="shared" si="30"/>
        <v>10.550069222400001</v>
      </c>
      <c r="L47" s="50">
        <f t="shared" si="30"/>
        <v>10.550069222400001</v>
      </c>
      <c r="M47" s="50">
        <f t="shared" si="30"/>
        <v>10.550069222400001</v>
      </c>
      <c r="N47" s="50">
        <f t="shared" si="30"/>
        <v>10.550069222400001</v>
      </c>
      <c r="O47" s="50">
        <f t="shared" si="30"/>
        <v>10.550069222400001</v>
      </c>
      <c r="P47" s="50">
        <f t="shared" si="30"/>
        <v>10.550069222400001</v>
      </c>
      <c r="Q47" s="50">
        <f t="shared" si="30"/>
        <v>10.550069222400001</v>
      </c>
      <c r="R47" s="50">
        <f t="shared" si="30"/>
        <v>10.550069222400001</v>
      </c>
      <c r="S47" s="50">
        <f t="shared" si="30"/>
        <v>10.550069222400001</v>
      </c>
      <c r="T47" s="341">
        <f t="shared" si="30"/>
        <v>10.550069222400001</v>
      </c>
      <c r="U47" s="341"/>
      <c r="V47" s="341"/>
      <c r="W47" s="341"/>
    </row>
    <row r="48" spans="1:24" ht="15" customHeight="1">
      <c r="D48" s="51" t="s">
        <v>324</v>
      </c>
      <c r="E48" s="105" t="s">
        <v>320</v>
      </c>
      <c r="F48" s="364">
        <f>IF($B$12=0,SUM(F44:F47),SUM(F43,F44,F45,F47))</f>
        <v>290.3540524634667</v>
      </c>
      <c r="G48" s="364">
        <f t="shared" ref="G48:T48" si="31">IF($B$12=0,SUM(G44:G47),SUM(G43,G44,G45,G47))</f>
        <v>286.56538353193849</v>
      </c>
      <c r="H48" s="364">
        <f t="shared" si="31"/>
        <v>286.56538353193849</v>
      </c>
      <c r="I48" s="364">
        <f t="shared" si="31"/>
        <v>238.71912491652148</v>
      </c>
      <c r="J48" s="364">
        <f t="shared" si="31"/>
        <v>238.71912491652148</v>
      </c>
      <c r="K48" s="364">
        <f t="shared" si="31"/>
        <v>238.71912491652148</v>
      </c>
      <c r="L48" s="364">
        <f t="shared" si="31"/>
        <v>204.66141345252146</v>
      </c>
      <c r="M48" s="364">
        <f t="shared" si="31"/>
        <v>204.66141345252146</v>
      </c>
      <c r="N48" s="364">
        <f t="shared" si="31"/>
        <v>174.99255559073686</v>
      </c>
      <c r="O48" s="364">
        <f t="shared" si="31"/>
        <v>164.03832090933332</v>
      </c>
      <c r="P48" s="364">
        <f t="shared" si="31"/>
        <v>164.03832090933332</v>
      </c>
      <c r="Q48" s="364">
        <f t="shared" si="31"/>
        <v>164.03832090933332</v>
      </c>
      <c r="R48" s="364">
        <f t="shared" si="31"/>
        <v>164.03832090933332</v>
      </c>
      <c r="S48" s="364">
        <f t="shared" si="31"/>
        <v>157.43118629776842</v>
      </c>
      <c r="T48" s="364">
        <f t="shared" si="31"/>
        <v>156.25678245418223</v>
      </c>
      <c r="U48" s="364"/>
      <c r="V48" s="364"/>
      <c r="W48" s="364"/>
    </row>
    <row r="49" spans="2:24" ht="15" customHeight="1">
      <c r="D49" s="51" t="s">
        <v>326</v>
      </c>
      <c r="E49" s="105" t="s">
        <v>320</v>
      </c>
      <c r="F49" s="364">
        <f>SUM(F44,F45,F47)</f>
        <v>246.69031981731283</v>
      </c>
      <c r="G49" s="364">
        <f t="shared" ref="G49:T49" si="32">SUM(G44,G45,G47)</f>
        <v>242.90165088578462</v>
      </c>
      <c r="H49" s="364">
        <f t="shared" si="32"/>
        <v>242.90165088578462</v>
      </c>
      <c r="I49" s="364">
        <f t="shared" si="32"/>
        <v>208.84393942178463</v>
      </c>
      <c r="J49" s="364">
        <f t="shared" si="32"/>
        <v>208.84393942178463</v>
      </c>
      <c r="K49" s="364">
        <f t="shared" si="32"/>
        <v>208.84393942178463</v>
      </c>
      <c r="L49" s="364">
        <f t="shared" si="32"/>
        <v>174.7862279577846</v>
      </c>
      <c r="M49" s="364">
        <f t="shared" si="32"/>
        <v>174.7862279577846</v>
      </c>
      <c r="N49" s="364">
        <f t="shared" si="32"/>
        <v>145.117370096</v>
      </c>
      <c r="O49" s="364">
        <f t="shared" si="32"/>
        <v>145.117370096</v>
      </c>
      <c r="P49" s="364">
        <f t="shared" si="32"/>
        <v>145.117370096</v>
      </c>
      <c r="Q49" s="364">
        <f t="shared" si="32"/>
        <v>145.117370096</v>
      </c>
      <c r="R49" s="364">
        <f t="shared" si="32"/>
        <v>145.117370096</v>
      </c>
      <c r="S49" s="364">
        <f t="shared" si="32"/>
        <v>142.49359355039999</v>
      </c>
      <c r="T49" s="364">
        <f t="shared" si="32"/>
        <v>141.3191897068138</v>
      </c>
      <c r="U49" s="364"/>
      <c r="V49" s="364"/>
      <c r="W49" s="364"/>
    </row>
    <row r="55" spans="2:24" ht="15" customHeight="1">
      <c r="H55" s="210"/>
      <c r="I55" s="210"/>
      <c r="J55" s="210"/>
      <c r="S55" s="29"/>
      <c r="T55" s="29"/>
      <c r="U55" s="29"/>
      <c r="V55" s="29"/>
      <c r="W55" s="29"/>
    </row>
    <row r="56" spans="2:24" ht="15" customHeight="1">
      <c r="D56" s="438" t="s">
        <v>785</v>
      </c>
      <c r="E56" s="439"/>
      <c r="F56" s="440"/>
      <c r="G56" s="444" t="s">
        <v>778</v>
      </c>
      <c r="H56" s="439"/>
      <c r="I56" s="445"/>
      <c r="J56" s="446"/>
      <c r="K56" s="211" t="s">
        <v>776</v>
      </c>
      <c r="L56" s="212"/>
      <c r="N56" s="254" t="s">
        <v>811</v>
      </c>
      <c r="O56" s="101"/>
      <c r="P56" s="129"/>
      <c r="Q56" s="128"/>
      <c r="R56" s="257" t="s">
        <v>812</v>
      </c>
      <c r="S56" s="256"/>
      <c r="T56" s="256"/>
      <c r="U56" s="256"/>
      <c r="V56" s="256"/>
      <c r="W56" s="256"/>
      <c r="X56" s="129" t="s">
        <v>816</v>
      </c>
    </row>
    <row r="57" spans="2:24" ht="15" customHeight="1">
      <c r="D57" s="441" t="s">
        <v>777</v>
      </c>
      <c r="E57" s="442"/>
      <c r="F57" s="443"/>
      <c r="G57" s="447" t="s">
        <v>779</v>
      </c>
      <c r="H57" s="442"/>
      <c r="I57" s="448"/>
      <c r="J57" s="443"/>
      <c r="K57" s="449">
        <v>1.17</v>
      </c>
      <c r="L57" s="449"/>
      <c r="N57" s="220" t="s">
        <v>813</v>
      </c>
      <c r="Q57" s="114"/>
      <c r="R57" s="6">
        <v>0.1</v>
      </c>
      <c r="S57" s="29" t="s">
        <v>815</v>
      </c>
      <c r="T57" s="29"/>
      <c r="U57" s="29"/>
      <c r="V57" s="29"/>
      <c r="W57" s="29"/>
      <c r="X57" s="6">
        <f>1/(R57+0.12)</f>
        <v>4.5454545454545459</v>
      </c>
    </row>
    <row r="58" spans="2:24" ht="15" customHeight="1">
      <c r="D58" s="441"/>
      <c r="E58" s="442"/>
      <c r="F58" s="443"/>
      <c r="G58" s="447" t="s">
        <v>780</v>
      </c>
      <c r="H58" s="442"/>
      <c r="I58" s="448"/>
      <c r="J58" s="443"/>
      <c r="K58" s="449">
        <v>0.86</v>
      </c>
      <c r="L58" s="449"/>
      <c r="N58" s="255" t="s">
        <v>814</v>
      </c>
      <c r="S58" s="29"/>
      <c r="T58" s="29"/>
      <c r="U58" s="29"/>
      <c r="V58" s="29"/>
      <c r="W58" s="29"/>
    </row>
    <row r="59" spans="2:24" ht="15" customHeight="1">
      <c r="D59" s="441" t="s">
        <v>781</v>
      </c>
      <c r="E59" s="442"/>
      <c r="F59" s="443"/>
      <c r="G59" s="447" t="s">
        <v>779</v>
      </c>
      <c r="H59" s="442"/>
      <c r="I59" s="448"/>
      <c r="J59" s="443"/>
      <c r="K59" s="449">
        <v>1.45</v>
      </c>
      <c r="L59" s="449"/>
      <c r="S59" s="29"/>
      <c r="T59" s="29"/>
      <c r="U59" s="29"/>
      <c r="V59" s="29"/>
      <c r="W59" s="29"/>
    </row>
    <row r="60" spans="2:24" ht="15" customHeight="1">
      <c r="D60" s="441"/>
      <c r="E60" s="442"/>
      <c r="F60" s="443"/>
      <c r="G60" s="447" t="s">
        <v>780</v>
      </c>
      <c r="H60" s="442"/>
      <c r="I60" s="448"/>
      <c r="J60" s="443"/>
      <c r="K60" s="449">
        <v>0.85</v>
      </c>
      <c r="L60" s="449"/>
      <c r="S60" s="29"/>
      <c r="T60" s="29"/>
      <c r="U60" s="29"/>
      <c r="V60" s="29"/>
      <c r="W60" s="29"/>
    </row>
    <row r="61" spans="2:24" ht="15" customHeight="1">
      <c r="D61" s="441" t="s">
        <v>782</v>
      </c>
      <c r="E61" s="442"/>
      <c r="F61" s="443"/>
      <c r="G61" s="447" t="s">
        <v>779</v>
      </c>
      <c r="H61" s="442"/>
      <c r="I61" s="448"/>
      <c r="J61" s="443"/>
      <c r="K61" s="449">
        <v>2.0699999999999998</v>
      </c>
      <c r="L61" s="449"/>
      <c r="S61" s="29"/>
      <c r="T61" s="29"/>
      <c r="U61" s="29"/>
      <c r="V61" s="29"/>
      <c r="W61" s="29"/>
    </row>
    <row r="62" spans="2:24" ht="15" customHeight="1">
      <c r="B62" s="2"/>
      <c r="D62" s="441"/>
      <c r="E62" s="442"/>
      <c r="F62" s="443"/>
      <c r="G62" s="447" t="s">
        <v>780</v>
      </c>
      <c r="H62" s="442"/>
      <c r="I62" s="448"/>
      <c r="J62" s="443"/>
      <c r="K62" s="449">
        <v>0.92</v>
      </c>
      <c r="L62" s="449"/>
      <c r="S62" s="29"/>
      <c r="T62" s="29"/>
      <c r="U62" s="29"/>
      <c r="V62" s="29"/>
      <c r="W62" s="29"/>
    </row>
    <row r="63" spans="2:24" ht="15" customHeight="1">
      <c r="D63" s="441" t="s">
        <v>783</v>
      </c>
      <c r="E63" s="442"/>
      <c r="F63" s="443"/>
      <c r="G63" s="447" t="s">
        <v>779</v>
      </c>
      <c r="H63" s="442"/>
      <c r="I63" s="448"/>
      <c r="J63" s="443"/>
      <c r="K63" s="449">
        <v>3.67</v>
      </c>
      <c r="L63" s="449"/>
      <c r="S63" s="29"/>
      <c r="T63" s="29"/>
      <c r="U63" s="29"/>
      <c r="V63" s="29"/>
      <c r="W63" s="29"/>
    </row>
    <row r="64" spans="2:24" ht="15" customHeight="1">
      <c r="D64" s="441" t="s">
        <v>784</v>
      </c>
      <c r="E64" s="442"/>
      <c r="F64" s="443"/>
      <c r="G64" s="447" t="s">
        <v>780</v>
      </c>
      <c r="H64" s="442"/>
      <c r="I64" s="448"/>
      <c r="J64" s="443"/>
      <c r="K64" s="449">
        <v>1.24</v>
      </c>
      <c r="L64" s="449"/>
    </row>
    <row r="65" spans="4:25" ht="15" customHeight="1">
      <c r="D65" s="213" t="s">
        <v>786</v>
      </c>
    </row>
    <row r="69" spans="4:25" ht="15" customHeight="1">
      <c r="Y69" s="375" t="s">
        <v>954</v>
      </c>
    </row>
    <row r="71" spans="4:25" ht="15" customHeight="1">
      <c r="D71" s="403" t="s">
        <v>921</v>
      </c>
      <c r="F71" s="333" t="s">
        <v>882</v>
      </c>
      <c r="G71" s="384" t="s">
        <v>823</v>
      </c>
      <c r="H71" s="384" t="s">
        <v>824</v>
      </c>
      <c r="I71" s="384" t="s">
        <v>825</v>
      </c>
      <c r="J71" s="384" t="s">
        <v>826</v>
      </c>
      <c r="K71" s="384" t="s">
        <v>827</v>
      </c>
      <c r="L71" s="384" t="s">
        <v>828</v>
      </c>
      <c r="M71" s="384" t="s">
        <v>829</v>
      </c>
      <c r="N71" s="384" t="s">
        <v>830</v>
      </c>
      <c r="O71" s="384" t="s">
        <v>831</v>
      </c>
      <c r="P71" s="384" t="s">
        <v>832</v>
      </c>
      <c r="Q71" s="384" t="s">
        <v>833</v>
      </c>
      <c r="R71" s="384" t="s">
        <v>834</v>
      </c>
      <c r="S71" s="384">
        <v>7</v>
      </c>
      <c r="T71" s="333">
        <v>8</v>
      </c>
      <c r="U71" s="430"/>
      <c r="V71" s="430"/>
      <c r="W71" s="430"/>
      <c r="Y71" s="375" t="s">
        <v>946</v>
      </c>
    </row>
    <row r="72" spans="4:25" ht="15" customHeight="1">
      <c r="E72" s="306" t="s">
        <v>922</v>
      </c>
      <c r="F72" s="2">
        <v>0.65</v>
      </c>
      <c r="G72" s="2">
        <v>0.4</v>
      </c>
      <c r="H72" s="2">
        <v>0.35</v>
      </c>
      <c r="I72" s="306">
        <v>0.35</v>
      </c>
      <c r="J72" s="306">
        <v>0.35</v>
      </c>
      <c r="K72" s="306">
        <v>0.35</v>
      </c>
      <c r="L72" s="306">
        <v>0.35</v>
      </c>
      <c r="M72" s="306">
        <v>0.35</v>
      </c>
      <c r="N72" s="2">
        <v>0.32</v>
      </c>
      <c r="O72" s="2">
        <v>0.32</v>
      </c>
      <c r="P72" s="306">
        <v>0.32</v>
      </c>
      <c r="Q72" s="306">
        <v>0.32</v>
      </c>
      <c r="R72" s="306">
        <v>0.32</v>
      </c>
      <c r="S72" s="306">
        <v>0.32</v>
      </c>
      <c r="T72" s="306">
        <v>0.32</v>
      </c>
      <c r="U72" s="306"/>
      <c r="V72" s="306"/>
      <c r="W72" s="306"/>
    </row>
    <row r="73" spans="4:25" ht="15" customHeight="1">
      <c r="E73" s="306" t="s">
        <v>923</v>
      </c>
      <c r="F73" s="2">
        <v>0.25</v>
      </c>
      <c r="G73" s="306">
        <v>0.25</v>
      </c>
      <c r="H73" s="306">
        <v>0.25</v>
      </c>
      <c r="I73" s="306">
        <v>0.25</v>
      </c>
      <c r="J73" s="306">
        <v>0.25</v>
      </c>
      <c r="K73" s="306">
        <v>0.25</v>
      </c>
      <c r="L73" s="2">
        <v>0.4</v>
      </c>
      <c r="M73" s="306">
        <v>0.4</v>
      </c>
      <c r="N73" s="306" t="s">
        <v>924</v>
      </c>
      <c r="O73" s="306" t="s">
        <v>924</v>
      </c>
      <c r="P73" s="306" t="s">
        <v>924</v>
      </c>
      <c r="Q73" s="306" t="s">
        <v>924</v>
      </c>
      <c r="R73" s="306" t="s">
        <v>924</v>
      </c>
      <c r="S73" s="306" t="s">
        <v>924</v>
      </c>
      <c r="T73" s="306" t="s">
        <v>924</v>
      </c>
      <c r="U73" s="306"/>
      <c r="V73" s="306"/>
      <c r="W73" s="306"/>
    </row>
    <row r="74" spans="4:25" ht="15" customHeight="1">
      <c r="E74" s="306" t="s">
        <v>331</v>
      </c>
      <c r="F74" s="2">
        <v>30</v>
      </c>
      <c r="G74" s="2">
        <v>38</v>
      </c>
      <c r="H74" s="306">
        <v>38</v>
      </c>
      <c r="I74" s="306">
        <v>38</v>
      </c>
      <c r="J74" s="306">
        <v>38</v>
      </c>
      <c r="K74" s="306">
        <v>38</v>
      </c>
      <c r="L74" s="2">
        <v>49</v>
      </c>
      <c r="M74" s="306">
        <v>49</v>
      </c>
      <c r="N74" s="306">
        <v>49</v>
      </c>
      <c r="O74" s="306">
        <v>49</v>
      </c>
      <c r="P74" s="306">
        <v>49</v>
      </c>
      <c r="Q74" s="306">
        <v>49</v>
      </c>
      <c r="R74" s="306">
        <v>49</v>
      </c>
      <c r="S74" s="306">
        <v>49</v>
      </c>
      <c r="T74" s="306">
        <v>49</v>
      </c>
      <c r="U74" s="306"/>
      <c r="V74" s="306"/>
      <c r="W74" s="306"/>
    </row>
    <row r="75" spans="4:25" ht="15" customHeight="1">
      <c r="E75" s="306" t="s">
        <v>925</v>
      </c>
      <c r="F75" s="2">
        <v>13</v>
      </c>
      <c r="G75" s="2">
        <v>13</v>
      </c>
      <c r="H75" s="2">
        <v>13</v>
      </c>
      <c r="I75" s="306" t="s">
        <v>926</v>
      </c>
      <c r="J75" s="306" t="s">
        <v>926</v>
      </c>
      <c r="K75" s="306" t="s">
        <v>926</v>
      </c>
      <c r="L75" s="306" t="s">
        <v>926</v>
      </c>
      <c r="M75" s="306" t="s">
        <v>926</v>
      </c>
      <c r="N75" s="306" t="s">
        <v>926</v>
      </c>
      <c r="O75" s="306" t="s">
        <v>926</v>
      </c>
      <c r="P75" s="306" t="s">
        <v>926</v>
      </c>
      <c r="Q75" s="375" t="s">
        <v>927</v>
      </c>
      <c r="R75" s="375" t="s">
        <v>927</v>
      </c>
      <c r="S75" s="375" t="s">
        <v>927</v>
      </c>
      <c r="T75" s="375" t="s">
        <v>927</v>
      </c>
    </row>
    <row r="76" spans="4:25" ht="15" customHeight="1">
      <c r="E76" s="306" t="s">
        <v>317</v>
      </c>
      <c r="F76" s="2">
        <v>13</v>
      </c>
      <c r="G76" s="2">
        <v>13</v>
      </c>
      <c r="H76" s="2">
        <v>13</v>
      </c>
      <c r="I76" s="2">
        <v>19</v>
      </c>
      <c r="J76" s="306">
        <v>19</v>
      </c>
      <c r="K76" s="306">
        <v>19</v>
      </c>
      <c r="L76" s="306">
        <v>19</v>
      </c>
      <c r="M76" s="306">
        <v>19</v>
      </c>
      <c r="N76" s="2">
        <v>30</v>
      </c>
      <c r="O76" s="306">
        <v>30</v>
      </c>
      <c r="P76" s="306">
        <v>30</v>
      </c>
      <c r="Q76" s="306">
        <v>30</v>
      </c>
      <c r="R76" s="306">
        <v>30</v>
      </c>
      <c r="S76" s="6">
        <v>38</v>
      </c>
      <c r="T76" s="375">
        <v>38</v>
      </c>
    </row>
    <row r="77" spans="4:25" ht="15" customHeight="1">
      <c r="E77" s="306" t="s">
        <v>928</v>
      </c>
      <c r="F77" s="2">
        <v>0</v>
      </c>
      <c r="G77" s="306">
        <v>0</v>
      </c>
      <c r="H77" s="306">
        <v>0</v>
      </c>
      <c r="I77" s="306">
        <v>0</v>
      </c>
      <c r="J77" s="306">
        <v>0</v>
      </c>
      <c r="K77" s="306">
        <v>0</v>
      </c>
      <c r="L77" s="306" t="s">
        <v>929</v>
      </c>
      <c r="M77" s="306" t="s">
        <v>929</v>
      </c>
      <c r="N77" s="306" t="s">
        <v>929</v>
      </c>
      <c r="O77" s="306" t="s">
        <v>929</v>
      </c>
      <c r="P77" s="306" t="s">
        <v>929</v>
      </c>
      <c r="Q77" s="375" t="s">
        <v>930</v>
      </c>
      <c r="R77" s="375" t="s">
        <v>930</v>
      </c>
      <c r="S77" s="375" t="s">
        <v>930</v>
      </c>
      <c r="T77" s="375" t="s">
        <v>930</v>
      </c>
    </row>
    <row r="78" spans="4:25" ht="15" customHeight="1">
      <c r="E78" s="306" t="s">
        <v>931</v>
      </c>
      <c r="F78" s="2">
        <v>0</v>
      </c>
      <c r="G78" s="2">
        <v>0</v>
      </c>
      <c r="H78" s="2">
        <v>0</v>
      </c>
      <c r="I78" s="402" t="s">
        <v>932</v>
      </c>
      <c r="J78" s="402" t="s">
        <v>933</v>
      </c>
      <c r="K78" s="402" t="s">
        <v>934</v>
      </c>
      <c r="L78" s="306" t="s">
        <v>935</v>
      </c>
      <c r="M78" s="306" t="s">
        <v>936</v>
      </c>
      <c r="N78" s="306" t="s">
        <v>937</v>
      </c>
      <c r="O78" s="306" t="s">
        <v>938</v>
      </c>
      <c r="P78" s="306" t="s">
        <v>939</v>
      </c>
      <c r="Q78" s="306" t="s">
        <v>940</v>
      </c>
      <c r="R78" s="306" t="s">
        <v>941</v>
      </c>
      <c r="S78" s="306" t="s">
        <v>942</v>
      </c>
      <c r="T78" s="306" t="s">
        <v>943</v>
      </c>
      <c r="U78" s="306"/>
      <c r="V78" s="306"/>
      <c r="W78" s="306"/>
    </row>
    <row r="79" spans="4:25" ht="15" customHeight="1">
      <c r="E79" s="306" t="s">
        <v>944</v>
      </c>
      <c r="F79" s="2">
        <v>4</v>
      </c>
      <c r="G79" s="306">
        <v>4</v>
      </c>
      <c r="H79" s="306">
        <v>4</v>
      </c>
      <c r="I79" s="306">
        <v>4</v>
      </c>
      <c r="J79" s="306">
        <v>4</v>
      </c>
      <c r="K79" s="306">
        <v>4</v>
      </c>
      <c r="L79" s="306">
        <v>4</v>
      </c>
      <c r="M79" s="306">
        <v>4</v>
      </c>
      <c r="N79" s="306">
        <v>4</v>
      </c>
      <c r="O79" s="306">
        <v>4</v>
      </c>
      <c r="P79" s="306">
        <v>4</v>
      </c>
      <c r="Q79" s="306">
        <v>4</v>
      </c>
      <c r="R79" s="306">
        <v>4</v>
      </c>
      <c r="S79" s="306">
        <v>4</v>
      </c>
      <c r="T79" s="306">
        <v>4</v>
      </c>
      <c r="U79" s="306"/>
      <c r="V79" s="306"/>
      <c r="W79" s="306"/>
    </row>
    <row r="80" spans="4:25" ht="15" customHeight="1">
      <c r="E80" s="306" t="s">
        <v>945</v>
      </c>
      <c r="F80" s="2">
        <v>5</v>
      </c>
      <c r="G80" s="2">
        <v>5</v>
      </c>
      <c r="H80" s="2">
        <v>5</v>
      </c>
      <c r="I80" s="2">
        <v>3</v>
      </c>
      <c r="J80" s="306">
        <v>3</v>
      </c>
      <c r="K80" s="306">
        <v>3</v>
      </c>
      <c r="L80" s="306">
        <v>3</v>
      </c>
      <c r="M80" s="306">
        <v>3</v>
      </c>
      <c r="N80" s="306">
        <v>3</v>
      </c>
      <c r="O80" s="306">
        <v>3</v>
      </c>
      <c r="P80" s="306">
        <v>3</v>
      </c>
      <c r="Q80" s="306">
        <v>3</v>
      </c>
      <c r="R80" s="306">
        <v>3</v>
      </c>
      <c r="S80" s="306">
        <v>3</v>
      </c>
      <c r="T80" s="306">
        <v>3</v>
      </c>
      <c r="U80" s="306"/>
      <c r="V80" s="306"/>
      <c r="W80" s="306"/>
    </row>
    <row r="82" spans="4:25" ht="15" customHeight="1">
      <c r="D82" s="403" t="s">
        <v>951</v>
      </c>
      <c r="E82" s="306" t="s">
        <v>950</v>
      </c>
      <c r="F82" s="2">
        <v>1.4</v>
      </c>
      <c r="G82" s="306">
        <v>1.4</v>
      </c>
      <c r="H82" s="306">
        <v>1.4</v>
      </c>
      <c r="I82" s="306">
        <v>1.4</v>
      </c>
      <c r="J82" s="306">
        <v>1.4</v>
      </c>
      <c r="K82" s="306">
        <v>1.4</v>
      </c>
      <c r="L82" s="306">
        <v>1.4</v>
      </c>
      <c r="M82" s="306">
        <v>1.4</v>
      </c>
      <c r="N82" s="2">
        <v>1.2</v>
      </c>
      <c r="O82" s="306">
        <v>1.2</v>
      </c>
      <c r="P82" s="306">
        <v>1.2</v>
      </c>
      <c r="Q82" s="306">
        <v>1.2</v>
      </c>
      <c r="R82" s="306">
        <v>1.2</v>
      </c>
      <c r="S82" s="306">
        <v>1.2</v>
      </c>
      <c r="T82" s="306">
        <v>1.2</v>
      </c>
      <c r="U82" s="306"/>
      <c r="V82" s="306"/>
      <c r="W82" s="306"/>
      <c r="Y82" s="375" t="s">
        <v>953</v>
      </c>
    </row>
    <row r="83" spans="4:25" ht="15" customHeight="1">
      <c r="E83" s="306" t="s">
        <v>945</v>
      </c>
      <c r="F83" s="2">
        <v>3</v>
      </c>
      <c r="G83" s="306">
        <v>3</v>
      </c>
      <c r="H83" s="306">
        <v>3</v>
      </c>
      <c r="I83" s="2">
        <v>2.5</v>
      </c>
      <c r="J83" s="306">
        <v>2.5</v>
      </c>
      <c r="K83" s="306">
        <v>2.5</v>
      </c>
      <c r="L83" s="306">
        <v>2.5</v>
      </c>
      <c r="M83" s="306">
        <v>2.5</v>
      </c>
      <c r="N83" s="306">
        <v>2.5</v>
      </c>
      <c r="O83" s="2">
        <v>2</v>
      </c>
      <c r="P83" s="306">
        <v>2</v>
      </c>
      <c r="Q83" s="306">
        <v>2</v>
      </c>
      <c r="R83" s="306">
        <v>2</v>
      </c>
      <c r="S83" s="306">
        <v>2</v>
      </c>
      <c r="T83" s="6">
        <v>1.5</v>
      </c>
    </row>
    <row r="84" spans="4:25" ht="15" customHeight="1">
      <c r="E84" s="306" t="s">
        <v>922</v>
      </c>
      <c r="F84" s="2">
        <v>0.4</v>
      </c>
      <c r="G84" s="306">
        <v>0.4</v>
      </c>
      <c r="H84" s="306">
        <v>0.4</v>
      </c>
      <c r="I84" s="2">
        <v>0.3</v>
      </c>
      <c r="J84" s="306">
        <v>0.3</v>
      </c>
      <c r="K84" s="306">
        <v>0.3</v>
      </c>
      <c r="L84" s="306">
        <v>0.3</v>
      </c>
      <c r="M84" s="306">
        <v>0.3</v>
      </c>
      <c r="N84" s="2">
        <v>0.27</v>
      </c>
      <c r="O84" s="306">
        <v>0.27</v>
      </c>
      <c r="P84" s="306">
        <v>0.27</v>
      </c>
      <c r="Q84" s="306">
        <v>0.27</v>
      </c>
      <c r="R84" s="306">
        <v>0.27</v>
      </c>
      <c r="S84" s="306">
        <v>0.27</v>
      </c>
      <c r="T84" s="306">
        <v>0.27</v>
      </c>
      <c r="U84" s="306"/>
      <c r="V84" s="306"/>
      <c r="W84" s="306"/>
    </row>
    <row r="85" spans="4:25" ht="15" customHeight="1">
      <c r="E85" s="306" t="s">
        <v>923</v>
      </c>
      <c r="F85" s="2">
        <v>0.25</v>
      </c>
      <c r="G85" s="306">
        <v>0.25</v>
      </c>
      <c r="H85" s="306">
        <v>0.25</v>
      </c>
      <c r="I85" s="2">
        <v>0.27</v>
      </c>
      <c r="J85" s="306">
        <v>0.27</v>
      </c>
      <c r="K85" s="306">
        <v>0.27</v>
      </c>
      <c r="L85" s="306">
        <v>0.27</v>
      </c>
      <c r="M85" s="306">
        <v>0.27</v>
      </c>
      <c r="N85" s="306" t="s">
        <v>924</v>
      </c>
      <c r="O85" s="306" t="s">
        <v>924</v>
      </c>
      <c r="P85" s="306" t="s">
        <v>924</v>
      </c>
      <c r="Q85" s="306" t="s">
        <v>924</v>
      </c>
      <c r="R85" s="306" t="s">
        <v>924</v>
      </c>
      <c r="S85" s="306" t="s">
        <v>924</v>
      </c>
      <c r="T85" s="306" t="s">
        <v>924</v>
      </c>
      <c r="U85" s="306"/>
      <c r="V85" s="306"/>
      <c r="W85" s="306"/>
    </row>
    <row r="86" spans="4:25" ht="15" customHeight="1">
      <c r="E86" s="306" t="s">
        <v>952</v>
      </c>
      <c r="F86" s="2">
        <v>15</v>
      </c>
      <c r="G86" s="306">
        <v>15</v>
      </c>
      <c r="H86" s="306">
        <v>15</v>
      </c>
      <c r="I86" s="306">
        <v>15</v>
      </c>
      <c r="J86" s="306">
        <v>15</v>
      </c>
      <c r="K86" s="306">
        <v>15</v>
      </c>
      <c r="L86" s="306">
        <v>15</v>
      </c>
      <c r="M86" s="306">
        <v>15</v>
      </c>
      <c r="N86" s="306">
        <v>15</v>
      </c>
      <c r="O86" s="306">
        <v>15</v>
      </c>
      <c r="P86" s="306">
        <v>15</v>
      </c>
      <c r="Q86" s="306">
        <v>15</v>
      </c>
      <c r="R86" s="306">
        <v>15</v>
      </c>
      <c r="S86" s="306">
        <v>15</v>
      </c>
      <c r="T86" s="306">
        <v>15</v>
      </c>
      <c r="U86" s="306"/>
      <c r="V86" s="306"/>
      <c r="W86" s="306"/>
    </row>
    <row r="87" spans="4:25" ht="15" customHeight="1">
      <c r="E87" s="306" t="s">
        <v>955</v>
      </c>
    </row>
    <row r="89" spans="4:25" ht="15" customHeight="1">
      <c r="F89" s="2">
        <f>1/F84</f>
        <v>2.5</v>
      </c>
      <c r="G89" s="306">
        <f t="shared" ref="G89:T89" si="33">1/G84</f>
        <v>2.5</v>
      </c>
      <c r="H89" s="306">
        <f t="shared" si="33"/>
        <v>2.5</v>
      </c>
      <c r="I89" s="306">
        <f t="shared" si="33"/>
        <v>3.3333333333333335</v>
      </c>
      <c r="J89" s="306">
        <f t="shared" si="33"/>
        <v>3.3333333333333335</v>
      </c>
      <c r="K89" s="306">
        <f t="shared" si="33"/>
        <v>3.3333333333333335</v>
      </c>
      <c r="L89" s="306">
        <f t="shared" si="33"/>
        <v>3.3333333333333335</v>
      </c>
      <c r="M89" s="306">
        <f t="shared" si="33"/>
        <v>3.3333333333333335</v>
      </c>
      <c r="N89" s="306">
        <f t="shared" si="33"/>
        <v>3.7037037037037033</v>
      </c>
      <c r="O89" s="306">
        <f t="shared" si="33"/>
        <v>3.7037037037037033</v>
      </c>
      <c r="P89" s="306">
        <f t="shared" si="33"/>
        <v>3.7037037037037033</v>
      </c>
      <c r="Q89" s="306">
        <f t="shared" si="33"/>
        <v>3.7037037037037033</v>
      </c>
      <c r="R89" s="306">
        <f t="shared" si="33"/>
        <v>3.7037037037037033</v>
      </c>
      <c r="S89" s="306">
        <f t="shared" si="33"/>
        <v>3.7037037037037033</v>
      </c>
      <c r="T89" s="306">
        <f t="shared" si="33"/>
        <v>3.7037037037037033</v>
      </c>
      <c r="U89" s="306"/>
      <c r="V89" s="306"/>
      <c r="W89" s="306"/>
    </row>
    <row r="92" spans="4:25" ht="15" customHeight="1">
      <c r="D92" s="403" t="s">
        <v>956</v>
      </c>
    </row>
    <row r="93" spans="4:25" ht="15" customHeight="1">
      <c r="D93" s="403" t="s">
        <v>958</v>
      </c>
      <c r="Y93" s="306" t="s">
        <v>957</v>
      </c>
    </row>
    <row r="94" spans="4:25" ht="15" customHeight="1">
      <c r="E94" s="306" t="s">
        <v>959</v>
      </c>
      <c r="F94" s="2">
        <v>0</v>
      </c>
      <c r="G94" s="306">
        <v>0</v>
      </c>
      <c r="H94" s="306">
        <v>0</v>
      </c>
      <c r="I94" s="306">
        <v>0</v>
      </c>
      <c r="J94" s="306">
        <v>0</v>
      </c>
      <c r="K94" s="306">
        <v>0</v>
      </c>
      <c r="L94" s="306">
        <v>0</v>
      </c>
      <c r="M94" s="306">
        <v>0</v>
      </c>
      <c r="N94" s="306">
        <v>0</v>
      </c>
      <c r="O94" s="306">
        <v>0</v>
      </c>
      <c r="P94" s="306">
        <v>0</v>
      </c>
      <c r="Q94" s="306">
        <v>0</v>
      </c>
      <c r="R94" s="306">
        <v>0</v>
      </c>
      <c r="S94" s="306">
        <v>0</v>
      </c>
      <c r="T94" s="306">
        <v>0</v>
      </c>
      <c r="U94" s="306"/>
      <c r="V94" s="306"/>
      <c r="W94" s="306"/>
    </row>
    <row r="95" spans="4:25" ht="15" customHeight="1">
      <c r="E95" s="306" t="s">
        <v>960</v>
      </c>
      <c r="F95" s="2">
        <v>0.91</v>
      </c>
      <c r="G95" s="306">
        <v>0.91</v>
      </c>
      <c r="H95" s="306">
        <v>0.91</v>
      </c>
      <c r="I95" s="306">
        <v>0.91</v>
      </c>
      <c r="J95" s="306">
        <v>0.91</v>
      </c>
      <c r="K95" s="306">
        <v>0.91</v>
      </c>
      <c r="L95" s="306">
        <v>0.91</v>
      </c>
      <c r="M95" s="306">
        <v>0.91</v>
      </c>
      <c r="N95" s="306">
        <v>0.91</v>
      </c>
      <c r="O95" s="306">
        <v>0.91</v>
      </c>
      <c r="P95" s="306">
        <v>0.91</v>
      </c>
      <c r="Q95" s="306">
        <v>0.91</v>
      </c>
      <c r="R95" s="306">
        <v>0.91</v>
      </c>
      <c r="S95" s="306">
        <v>0.91</v>
      </c>
      <c r="T95" s="306">
        <v>0.91</v>
      </c>
      <c r="U95" s="306"/>
      <c r="V95" s="306"/>
      <c r="W95" s="306"/>
    </row>
    <row r="96" spans="4:25" ht="15" customHeight="1">
      <c r="E96" s="306" t="s">
        <v>961</v>
      </c>
      <c r="F96" s="2">
        <v>0.7</v>
      </c>
      <c r="G96" s="306">
        <v>0.7</v>
      </c>
      <c r="H96" s="306">
        <v>0.7</v>
      </c>
      <c r="I96" s="306">
        <v>0.7</v>
      </c>
      <c r="J96" s="306">
        <v>0.7</v>
      </c>
      <c r="K96" s="306">
        <v>0.7</v>
      </c>
      <c r="L96" s="306">
        <v>0.7</v>
      </c>
      <c r="M96" s="306">
        <v>0.7</v>
      </c>
      <c r="N96" s="306">
        <v>0.7</v>
      </c>
      <c r="O96" s="306">
        <v>0.7</v>
      </c>
      <c r="P96" s="306">
        <v>0.7</v>
      </c>
      <c r="Q96" s="306">
        <v>0.7</v>
      </c>
      <c r="R96" s="306">
        <v>0.7</v>
      </c>
      <c r="S96" s="306">
        <v>0.7</v>
      </c>
      <c r="T96" s="306">
        <v>0.7</v>
      </c>
      <c r="U96" s="306"/>
      <c r="V96" s="306"/>
      <c r="W96" s="306"/>
    </row>
    <row r="101" spans="1:37" ht="15" customHeight="1">
      <c r="D101" s="306" t="s">
        <v>969</v>
      </c>
      <c r="E101" s="403" t="s">
        <v>968</v>
      </c>
      <c r="F101" s="306" t="s">
        <v>967</v>
      </c>
      <c r="G101" s="306" t="s">
        <v>966</v>
      </c>
      <c r="Y101" s="375" t="s">
        <v>957</v>
      </c>
    </row>
    <row r="102" spans="1:37" ht="15" customHeight="1">
      <c r="E102" s="306" t="s">
        <v>962</v>
      </c>
      <c r="F102" s="2">
        <v>16</v>
      </c>
      <c r="G102" s="2">
        <v>0.23</v>
      </c>
    </row>
    <row r="103" spans="1:37" ht="15" customHeight="1">
      <c r="E103" s="306" t="s">
        <v>963</v>
      </c>
      <c r="F103" s="306">
        <v>16</v>
      </c>
      <c r="G103" s="2">
        <v>0.18</v>
      </c>
    </row>
    <row r="104" spans="1:37" ht="15" customHeight="1">
      <c r="E104" s="306" t="s">
        <v>964</v>
      </c>
      <c r="F104" s="306">
        <v>16</v>
      </c>
      <c r="G104" s="2">
        <v>0.13</v>
      </c>
    </row>
    <row r="105" spans="1:37" ht="15" customHeight="1">
      <c r="E105" s="306" t="s">
        <v>965</v>
      </c>
      <c r="F105" s="2">
        <v>24</v>
      </c>
      <c r="G105" s="2">
        <v>0.11</v>
      </c>
    </row>
    <row r="107" spans="1:37" s="375" customFormat="1" ht="15" customHeight="1">
      <c r="A107" s="6"/>
      <c r="B107" s="6"/>
      <c r="C107" s="2"/>
      <c r="D107" s="306" t="s">
        <v>978</v>
      </c>
      <c r="E107" s="403" t="s">
        <v>970</v>
      </c>
      <c r="F107" s="306" t="s">
        <v>470</v>
      </c>
      <c r="G107" s="306" t="s">
        <v>976</v>
      </c>
      <c r="H107" s="306" t="s">
        <v>977</v>
      </c>
      <c r="I107" s="2"/>
      <c r="J107" s="342" t="s">
        <v>986</v>
      </c>
      <c r="K107" s="2"/>
      <c r="L107" s="2"/>
      <c r="M107" s="2"/>
      <c r="N107" s="2"/>
      <c r="O107" s="2"/>
      <c r="P107" s="6"/>
      <c r="Q107" s="6"/>
      <c r="R107" s="6"/>
      <c r="S107" s="6"/>
      <c r="T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</row>
    <row r="108" spans="1:37" ht="15" customHeight="1">
      <c r="E108" s="306" t="s">
        <v>971</v>
      </c>
      <c r="F108" s="2">
        <v>90</v>
      </c>
      <c r="G108" s="405">
        <v>5.0000000000000001E-3</v>
      </c>
      <c r="H108" s="405">
        <v>1.4999999999999999E-2</v>
      </c>
    </row>
    <row r="109" spans="1:37" ht="15" customHeight="1">
      <c r="E109" s="306" t="s">
        <v>972</v>
      </c>
      <c r="F109" s="2">
        <v>80</v>
      </c>
      <c r="G109" s="405">
        <v>5.0000000000000001E-3</v>
      </c>
      <c r="H109" s="405">
        <v>1.4999999999999999E-2</v>
      </c>
    </row>
    <row r="110" spans="1:37" s="375" customFormat="1" ht="15" customHeight="1">
      <c r="A110" s="6"/>
      <c r="B110" s="6"/>
      <c r="C110" s="2"/>
      <c r="D110" s="2"/>
      <c r="E110" s="306" t="s">
        <v>973</v>
      </c>
      <c r="F110" s="2">
        <v>78</v>
      </c>
      <c r="G110" s="405">
        <v>5.0000000000000001E-3</v>
      </c>
      <c r="H110" s="405">
        <v>1.4999999999999999E-2</v>
      </c>
      <c r="I110" s="2"/>
      <c r="J110" s="2"/>
      <c r="K110" s="2"/>
      <c r="L110" s="2"/>
      <c r="M110" s="2"/>
      <c r="N110" s="2"/>
      <c r="O110" s="2"/>
      <c r="P110" s="6"/>
      <c r="Q110" s="6"/>
      <c r="R110" s="6"/>
      <c r="S110" s="6"/>
      <c r="T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</row>
    <row r="111" spans="1:37" ht="15" customHeight="1">
      <c r="E111" s="404" t="s">
        <v>974</v>
      </c>
      <c r="F111" s="2">
        <v>75</v>
      </c>
      <c r="G111" s="405">
        <v>5.0000000000000001E-3</v>
      </c>
      <c r="H111" s="405">
        <v>1.4999999999999999E-2</v>
      </c>
    </row>
    <row r="112" spans="1:37" ht="15" customHeight="1">
      <c r="E112" s="404" t="s">
        <v>975</v>
      </c>
      <c r="F112" s="2">
        <v>64</v>
      </c>
      <c r="G112" s="405">
        <v>5.0000000000000001E-3</v>
      </c>
      <c r="H112" s="405">
        <v>1.4999999999999999E-2</v>
      </c>
    </row>
    <row r="113" spans="1:37" ht="15" customHeight="1">
      <c r="E113" s="404"/>
    </row>
    <row r="114" spans="1:37" ht="15" customHeight="1">
      <c r="D114" s="306" t="s">
        <v>985</v>
      </c>
      <c r="E114" s="406" t="s">
        <v>979</v>
      </c>
      <c r="F114" s="306" t="s">
        <v>980</v>
      </c>
      <c r="G114" s="306" t="s">
        <v>981</v>
      </c>
      <c r="H114" s="306" t="s">
        <v>982</v>
      </c>
      <c r="I114" s="306" t="s">
        <v>976</v>
      </c>
      <c r="J114" s="306" t="s">
        <v>977</v>
      </c>
    </row>
    <row r="115" spans="1:37" s="375" customFormat="1" ht="15" customHeight="1">
      <c r="A115" s="6"/>
      <c r="B115" s="6"/>
      <c r="C115" s="2"/>
      <c r="D115" s="2"/>
      <c r="E115" s="404" t="s">
        <v>983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6"/>
      <c r="Q115" s="6"/>
      <c r="R115" s="6"/>
      <c r="S115" s="6"/>
      <c r="T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</row>
    <row r="116" spans="1:37" ht="15" customHeight="1">
      <c r="E116" s="404" t="s">
        <v>984</v>
      </c>
      <c r="F116" s="2">
        <v>6.5</v>
      </c>
      <c r="G116" s="2">
        <v>6.4</v>
      </c>
      <c r="H116" s="2">
        <v>6</v>
      </c>
      <c r="I116" s="306">
        <v>0.01</v>
      </c>
      <c r="J116" s="306">
        <v>0.03</v>
      </c>
    </row>
    <row r="118" spans="1:37" s="375" customFormat="1" ht="15" customHeight="1">
      <c r="A118" s="6"/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6"/>
      <c r="Q118" s="6"/>
      <c r="R118" s="6"/>
      <c r="S118" s="6"/>
      <c r="T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</row>
    <row r="119" spans="1:37" ht="15" customHeight="1">
      <c r="E119" s="404"/>
      <c r="F119" s="333" t="s">
        <v>882</v>
      </c>
      <c r="G119" s="384" t="s">
        <v>823</v>
      </c>
      <c r="H119" s="384" t="s">
        <v>824</v>
      </c>
      <c r="I119" s="384" t="s">
        <v>825</v>
      </c>
      <c r="J119" s="384" t="s">
        <v>826</v>
      </c>
      <c r="K119" s="384" t="s">
        <v>827</v>
      </c>
      <c r="L119" s="384" t="s">
        <v>828</v>
      </c>
      <c r="M119" s="384" t="s">
        <v>829</v>
      </c>
      <c r="N119" s="384" t="s">
        <v>830</v>
      </c>
      <c r="O119" s="384" t="s">
        <v>831</v>
      </c>
      <c r="P119" s="384" t="s">
        <v>832</v>
      </c>
      <c r="Q119" s="384" t="s">
        <v>833</v>
      </c>
      <c r="R119" s="384" t="s">
        <v>834</v>
      </c>
      <c r="S119" s="384">
        <v>7</v>
      </c>
      <c r="T119" s="333">
        <v>8</v>
      </c>
      <c r="U119" s="430"/>
      <c r="V119" s="430"/>
      <c r="W119" s="430"/>
      <c r="Y119" s="375" t="s">
        <v>987</v>
      </c>
    </row>
    <row r="120" spans="1:37" ht="15" customHeight="1">
      <c r="E120" s="404" t="s">
        <v>988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6">
        <v>12</v>
      </c>
      <c r="Q120" s="6">
        <v>13</v>
      </c>
      <c r="R120" s="6">
        <v>13</v>
      </c>
      <c r="S120" s="6">
        <v>13</v>
      </c>
      <c r="T120" s="6">
        <v>13</v>
      </c>
    </row>
    <row r="121" spans="1:37" ht="15" customHeight="1">
      <c r="E121" s="404"/>
    </row>
    <row r="122" spans="1:37" ht="15" customHeight="1">
      <c r="A122" s="375" t="s">
        <v>1017</v>
      </c>
      <c r="B122" s="6">
        <v>0</v>
      </c>
      <c r="E122" s="412" t="s">
        <v>1016</v>
      </c>
    </row>
    <row r="123" spans="1:37" ht="15" customHeight="1">
      <c r="B123" s="375" t="s">
        <v>1011</v>
      </c>
      <c r="C123" s="6"/>
      <c r="D123" s="375" t="s">
        <v>966</v>
      </c>
      <c r="E123" s="404"/>
    </row>
    <row r="124" spans="1:37" ht="15" customHeight="1">
      <c r="A124" s="375"/>
      <c r="B124" s="103" t="s">
        <v>314</v>
      </c>
      <c r="C124" s="375"/>
      <c r="D124" s="103" t="s">
        <v>314</v>
      </c>
      <c r="E124" s="404"/>
      <c r="F124" s="306"/>
      <c r="G124" s="306"/>
      <c r="H124" s="306"/>
      <c r="I124" s="306"/>
      <c r="J124" s="306"/>
      <c r="K124" s="306"/>
      <c r="L124" s="306"/>
      <c r="M124" s="306"/>
      <c r="N124" s="306"/>
      <c r="O124" s="306"/>
      <c r="P124" s="375"/>
      <c r="Q124" s="375"/>
      <c r="R124" s="375"/>
      <c r="S124" s="375"/>
      <c r="T124" s="375"/>
      <c r="X124" s="375"/>
      <c r="Y124" s="375"/>
      <c r="Z124" s="375"/>
      <c r="AA124" s="375"/>
      <c r="AB124" s="375"/>
      <c r="AC124" s="375"/>
      <c r="AD124" s="375"/>
      <c r="AE124" s="375"/>
      <c r="AF124" s="375"/>
      <c r="AG124" s="375"/>
      <c r="AH124" s="375"/>
      <c r="AI124" s="375"/>
      <c r="AJ124" s="375"/>
      <c r="AK124" s="375"/>
    </row>
    <row r="125" spans="1:37" ht="15" customHeight="1">
      <c r="A125" s="375" t="s">
        <v>1014</v>
      </c>
      <c r="B125" s="6">
        <v>0.17</v>
      </c>
      <c r="C125" s="375" t="s">
        <v>1010</v>
      </c>
      <c r="D125" s="6">
        <f>B125</f>
        <v>0.17</v>
      </c>
      <c r="E125" s="404"/>
    </row>
    <row r="126" spans="1:37" ht="15" customHeight="1">
      <c r="A126" s="375" t="s">
        <v>1001</v>
      </c>
      <c r="B126" s="6">
        <v>0.67</v>
      </c>
      <c r="C126" s="375" t="s">
        <v>1007</v>
      </c>
      <c r="D126" s="375">
        <f>B126</f>
        <v>0.67</v>
      </c>
      <c r="E126" s="103"/>
    </row>
    <row r="127" spans="1:37" ht="15" customHeight="1">
      <c r="A127" s="375" t="s">
        <v>1012</v>
      </c>
      <c r="B127" s="375">
        <v>5</v>
      </c>
      <c r="C127" s="375" t="s">
        <v>1012</v>
      </c>
      <c r="D127" s="375">
        <f>B127</f>
        <v>5</v>
      </c>
      <c r="E127" s="404"/>
      <c r="F127" s="306"/>
      <c r="G127" s="306"/>
      <c r="H127" s="306"/>
      <c r="I127" s="306"/>
      <c r="J127" s="306"/>
      <c r="K127" s="306"/>
      <c r="L127" s="306"/>
      <c r="M127" s="306"/>
      <c r="N127" s="306"/>
      <c r="O127" s="306"/>
      <c r="P127" s="375"/>
      <c r="Q127" s="375"/>
      <c r="R127" s="375"/>
      <c r="S127" s="375"/>
      <c r="T127" s="375"/>
      <c r="X127" s="375"/>
      <c r="Y127" s="375"/>
      <c r="Z127" s="375"/>
      <c r="AA127" s="375"/>
      <c r="AB127" s="375"/>
      <c r="AC127" s="375"/>
      <c r="AD127" s="375"/>
      <c r="AE127" s="375"/>
      <c r="AF127" s="375"/>
      <c r="AG127" s="375"/>
      <c r="AH127" s="375"/>
      <c r="AI127" s="375"/>
      <c r="AJ127" s="375"/>
      <c r="AK127" s="375"/>
    </row>
    <row r="128" spans="1:37" ht="15" customHeight="1">
      <c r="A128" s="375" t="s">
        <v>1002</v>
      </c>
      <c r="B128" s="6">
        <v>0.79</v>
      </c>
      <c r="C128" s="375" t="s">
        <v>1005</v>
      </c>
      <c r="D128" s="375">
        <f>B128</f>
        <v>0.79</v>
      </c>
      <c r="E128" s="404"/>
    </row>
    <row r="129" spans="1:37" ht="15" customHeight="1">
      <c r="A129" s="375" t="s">
        <v>1003</v>
      </c>
      <c r="B129" s="6">
        <v>20</v>
      </c>
      <c r="C129" s="375" t="s">
        <v>1008</v>
      </c>
      <c r="D129" s="6">
        <f>0.95*5.5</f>
        <v>5.2249999999999996</v>
      </c>
      <c r="E129" s="404"/>
    </row>
    <row r="130" spans="1:37" ht="15" customHeight="1">
      <c r="A130" s="375" t="s">
        <v>1004</v>
      </c>
      <c r="B130" s="6">
        <v>0.55000000000000004</v>
      </c>
      <c r="C130" s="375" t="s">
        <v>1006</v>
      </c>
      <c r="D130" s="375">
        <v>0.55000000000000004</v>
      </c>
      <c r="E130" s="404"/>
    </row>
    <row r="131" spans="1:37" ht="15" customHeight="1">
      <c r="A131" s="375" t="s">
        <v>1013</v>
      </c>
      <c r="B131" s="6">
        <v>0.68</v>
      </c>
      <c r="C131" s="375" t="s">
        <v>1009</v>
      </c>
      <c r="D131" s="375">
        <v>0.68</v>
      </c>
      <c r="E131" s="404"/>
    </row>
    <row r="132" spans="1:37" ht="15" customHeight="1">
      <c r="A132" s="375"/>
      <c r="B132" s="375"/>
      <c r="C132" s="375"/>
      <c r="D132" s="375"/>
      <c r="E132" s="404"/>
      <c r="F132" s="306"/>
      <c r="G132" s="306"/>
      <c r="H132" s="306"/>
      <c r="I132" s="306"/>
      <c r="J132" s="306"/>
      <c r="K132" s="306"/>
      <c r="L132" s="306"/>
      <c r="M132" s="306"/>
      <c r="N132" s="306"/>
      <c r="O132" s="306"/>
      <c r="P132" s="375"/>
      <c r="Q132" s="375"/>
      <c r="R132" s="375"/>
      <c r="S132" s="375"/>
      <c r="T132" s="375"/>
      <c r="X132" s="375"/>
      <c r="Y132" s="375"/>
      <c r="Z132" s="375"/>
      <c r="AA132" s="375"/>
      <c r="AB132" s="375"/>
      <c r="AC132" s="375"/>
      <c r="AD132" s="375"/>
      <c r="AE132" s="375"/>
      <c r="AF132" s="375"/>
      <c r="AG132" s="375"/>
      <c r="AH132" s="375"/>
      <c r="AI132" s="375"/>
      <c r="AJ132" s="375"/>
      <c r="AK132" s="375"/>
    </row>
    <row r="133" spans="1:37" ht="15" customHeight="1">
      <c r="A133" s="375" t="s">
        <v>447</v>
      </c>
      <c r="B133" s="6">
        <f>IF(B122=0,SUM(B125:B131),((1-0.19)*B129)+SUM(B125:B128,B130:B131))</f>
        <v>27.86</v>
      </c>
      <c r="D133" s="375">
        <f>SUM(D125:D131)</f>
        <v>13.085000000000001</v>
      </c>
      <c r="E133" s="404"/>
    </row>
    <row r="134" spans="1:37" ht="15" customHeight="1">
      <c r="A134" s="375" t="s">
        <v>1015</v>
      </c>
      <c r="B134" s="6">
        <f>1/B133</f>
        <v>3.5893754486719311E-2</v>
      </c>
      <c r="D134" s="375">
        <f>1/D133</f>
        <v>7.642338555598012E-2</v>
      </c>
      <c r="E134" s="404"/>
    </row>
    <row r="135" spans="1:37" ht="15" customHeight="1">
      <c r="A135" s="375"/>
      <c r="C135" s="306"/>
      <c r="D135" s="375"/>
      <c r="E135" s="404"/>
      <c r="F135" s="306"/>
      <c r="G135" s="306"/>
      <c r="H135" s="306"/>
      <c r="I135" s="306"/>
      <c r="J135" s="306"/>
      <c r="K135" s="306"/>
      <c r="L135" s="306"/>
      <c r="M135" s="306"/>
      <c r="N135" s="306"/>
      <c r="O135" s="306"/>
      <c r="P135" s="375"/>
      <c r="Q135" s="375"/>
      <c r="R135" s="375"/>
      <c r="S135" s="375"/>
      <c r="T135" s="375"/>
      <c r="X135" s="375"/>
      <c r="Y135" s="375"/>
      <c r="Z135" s="375"/>
      <c r="AA135" s="375"/>
      <c r="AB135" s="375"/>
      <c r="AC135" s="375"/>
      <c r="AD135" s="375"/>
      <c r="AE135" s="375"/>
      <c r="AF135" s="375"/>
      <c r="AG135" s="375"/>
      <c r="AH135" s="375"/>
      <c r="AI135" s="375"/>
      <c r="AJ135" s="375"/>
      <c r="AK135" s="375"/>
    </row>
    <row r="136" spans="1:37" ht="15" customHeight="1">
      <c r="A136" s="375" t="s">
        <v>966</v>
      </c>
      <c r="B136" s="6">
        <v>0.23</v>
      </c>
      <c r="E136" s="404"/>
    </row>
    <row r="137" spans="1:37" ht="15" customHeight="1">
      <c r="A137" s="375" t="s">
        <v>1023</v>
      </c>
      <c r="B137" s="375">
        <f>(B134*(1-B136))+(D134*B136)</f>
        <v>4.5215569632649298E-2</v>
      </c>
      <c r="E137" s="404"/>
    </row>
    <row r="138" spans="1:37" s="375" customFormat="1" ht="15" customHeight="1">
      <c r="C138" s="306"/>
      <c r="D138" s="306"/>
      <c r="E138" s="404"/>
      <c r="F138" s="306"/>
      <c r="G138" s="306"/>
      <c r="H138" s="306"/>
      <c r="I138" s="306"/>
      <c r="J138" s="306"/>
      <c r="K138" s="306"/>
      <c r="L138" s="306"/>
      <c r="M138" s="306"/>
      <c r="N138" s="306"/>
      <c r="O138" s="306"/>
    </row>
    <row r="139" spans="1:37" s="375" customFormat="1" ht="15" customHeight="1">
      <c r="A139" s="375" t="s">
        <v>1018</v>
      </c>
      <c r="B139" s="6">
        <v>261.39999999999998</v>
      </c>
      <c r="C139" s="306"/>
      <c r="D139" s="306"/>
      <c r="E139" s="404"/>
      <c r="F139" s="306"/>
      <c r="G139" s="306"/>
      <c r="H139" s="306"/>
      <c r="I139" s="306"/>
      <c r="J139" s="306"/>
      <c r="K139" s="306"/>
      <c r="L139" s="306"/>
      <c r="M139" s="306"/>
      <c r="N139" s="306"/>
      <c r="O139" s="306"/>
    </row>
    <row r="140" spans="1:37" ht="15" customHeight="1">
      <c r="A140" s="375" t="s">
        <v>1019</v>
      </c>
      <c r="B140" s="2">
        <f>B137*B139*5.6783</f>
        <v>67.113814548381953</v>
      </c>
      <c r="E140" s="404"/>
    </row>
    <row r="141" spans="1:37" ht="15" customHeight="1">
      <c r="E141" s="404"/>
    </row>
    <row r="142" spans="1:37" ht="15" customHeight="1">
      <c r="E142" s="404"/>
    </row>
    <row r="143" spans="1:37" ht="15" customHeight="1">
      <c r="E143" s="404"/>
    </row>
    <row r="144" spans="1:37" ht="15" customHeight="1">
      <c r="A144" s="375" t="s">
        <v>1027</v>
      </c>
      <c r="B144" s="375" t="s">
        <v>1028</v>
      </c>
      <c r="C144" s="375" t="s">
        <v>1029</v>
      </c>
      <c r="E144" s="404"/>
    </row>
    <row r="145" spans="1:5" ht="15" customHeight="1">
      <c r="A145" s="375" t="s">
        <v>1024</v>
      </c>
      <c r="B145" s="375">
        <v>8.5736552962920293E-2</v>
      </c>
      <c r="E145" s="404"/>
    </row>
    <row r="146" spans="1:5" ht="15" customHeight="1">
      <c r="A146" s="375" t="s">
        <v>1021</v>
      </c>
      <c r="B146" s="6">
        <v>5.7476006036368224E-2</v>
      </c>
      <c r="E146" s="404"/>
    </row>
    <row r="147" spans="1:5" ht="15" customHeight="1">
      <c r="A147" s="375" t="s">
        <v>1022</v>
      </c>
      <c r="B147" s="6">
        <v>6.2131032322258431E-2</v>
      </c>
      <c r="E147" s="404"/>
    </row>
    <row r="148" spans="1:5" ht="15" customHeight="1">
      <c r="A148" s="375" t="s">
        <v>1025</v>
      </c>
      <c r="B148" s="6">
        <v>3.5893754486719311E-2</v>
      </c>
      <c r="E148" s="404"/>
    </row>
    <row r="149" spans="1:5" ht="15" customHeight="1">
      <c r="A149" s="375" t="s">
        <v>1026</v>
      </c>
      <c r="B149" s="6">
        <v>4.3986404300048673E-2</v>
      </c>
      <c r="E149" s="404"/>
    </row>
    <row r="150" spans="1:5" ht="15" customHeight="1">
      <c r="E150" s="404"/>
    </row>
    <row r="151" spans="1:5" ht="15" customHeight="1">
      <c r="E151" s="404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 enableFormatConditionsCalculation="0"/>
  <dimension ref="A1:T115"/>
  <sheetViews>
    <sheetView topLeftCell="A37" zoomScale="85" zoomScaleNormal="85" zoomScalePageLayoutView="85" workbookViewId="0">
      <selection activeCell="A62" sqref="A62"/>
    </sheetView>
  </sheetViews>
  <sheetFormatPr defaultColWidth="8.85546875" defaultRowHeight="15" customHeight="1"/>
  <cols>
    <col min="1" max="1" width="28.42578125" style="1" customWidth="1"/>
    <col min="2" max="2" width="9" style="14" customWidth="1"/>
    <col min="3" max="3" width="9" style="287" customWidth="1"/>
    <col min="4" max="4" width="5.7109375" style="14" customWidth="1"/>
    <col min="5" max="5" width="7.140625" style="14" customWidth="1"/>
    <col min="6" max="6" width="5.7109375" style="14" customWidth="1"/>
    <col min="7" max="7" width="25.7109375" style="14" customWidth="1"/>
    <col min="8" max="8" width="12.28515625" style="14" bestFit="1" customWidth="1"/>
    <col min="9" max="9" width="9.42578125" style="14" customWidth="1"/>
    <col min="10" max="10" width="7.42578125" style="14" customWidth="1"/>
    <col min="11" max="11" width="8.85546875" style="14"/>
    <col min="12" max="12" width="13.85546875" style="14" bestFit="1" customWidth="1"/>
    <col min="13" max="13" width="15.42578125" style="14" customWidth="1"/>
    <col min="14" max="14" width="8.28515625" style="14" customWidth="1"/>
    <col min="15" max="17" width="8.85546875" style="14"/>
    <col min="18" max="18" width="94.140625" style="1" bestFit="1" customWidth="1"/>
    <col min="19" max="19" width="10.42578125" style="1" bestFit="1" customWidth="1"/>
    <col min="20" max="21" width="119.7109375" style="1" bestFit="1" customWidth="1"/>
    <col min="22" max="16384" width="8.85546875" style="1"/>
  </cols>
  <sheetData>
    <row r="1" spans="1:18" ht="15" customHeight="1">
      <c r="A1" s="4" t="s">
        <v>78</v>
      </c>
      <c r="H1" s="236" t="s">
        <v>1236</v>
      </c>
      <c r="I1" s="101">
        <v>25</v>
      </c>
      <c r="J1" s="101">
        <v>50</v>
      </c>
      <c r="K1" s="101">
        <v>75</v>
      </c>
      <c r="L1" s="101">
        <v>100</v>
      </c>
      <c r="M1" s="368">
        <v>125</v>
      </c>
      <c r="N1" s="101">
        <v>200</v>
      </c>
      <c r="O1" s="101">
        <v>300</v>
      </c>
    </row>
    <row r="2" spans="1:18" ht="15" customHeight="1">
      <c r="A2" s="26" t="s">
        <v>619</v>
      </c>
      <c r="G2" s="307" t="s">
        <v>1050</v>
      </c>
      <c r="H2" s="104" t="s">
        <v>799</v>
      </c>
      <c r="I2" s="63">
        <f>L2*0.25</f>
        <v>9.2477350000000005</v>
      </c>
      <c r="J2" s="63">
        <f>L2*0.5</f>
        <v>18.495470000000001</v>
      </c>
      <c r="K2" s="63">
        <f>L2*0.75</f>
        <v>27.743205000000003</v>
      </c>
      <c r="L2" s="455">
        <f>IF(mainINPUT!E1="existing",0.15*A_houseSI+3.5*(B5+1)+(65/4),0.15*A_houseSI+3.5*(B5+1))</f>
        <v>36.990940000000002</v>
      </c>
      <c r="M2" s="366">
        <f>1.25*L2</f>
        <v>46.238675000000001</v>
      </c>
      <c r="N2" s="63">
        <f>L2*2</f>
        <v>73.981880000000004</v>
      </c>
      <c r="O2" s="63">
        <f>L2*3</f>
        <v>110.97282000000001</v>
      </c>
    </row>
    <row r="3" spans="1:18" ht="15" customHeight="1">
      <c r="A3" s="26" t="s">
        <v>339</v>
      </c>
      <c r="B3" s="59"/>
      <c r="C3" s="288"/>
      <c r="G3" s="307" t="s">
        <v>1051</v>
      </c>
      <c r="H3" s="2" t="s">
        <v>850</v>
      </c>
      <c r="I3" s="274">
        <f>L3*0.25</f>
        <v>19.89151776103337</v>
      </c>
      <c r="J3" s="63">
        <f>L3*0.5</f>
        <v>39.78303552206674</v>
      </c>
      <c r="K3" s="63">
        <f>L3*0.75</f>
        <v>59.67455328310011</v>
      </c>
      <c r="L3" s="456">
        <f>IF(mainINPUT!E1="existing",0.03*A_houseFT+7.5*(B5+1)+(130/4),0.03*A_houseFT+7.5*(B5+1))</f>
        <v>79.56607104413348</v>
      </c>
      <c r="M3" s="366">
        <f>1.25*L3</f>
        <v>99.45758880516685</v>
      </c>
      <c r="N3" s="63">
        <f>L3*2</f>
        <v>159.13214208826696</v>
      </c>
      <c r="O3" s="63">
        <f>L3*3</f>
        <v>238.69821313240044</v>
      </c>
    </row>
    <row r="4" spans="1:18" ht="15" customHeight="1">
      <c r="A4" s="26"/>
      <c r="B4" s="59"/>
      <c r="C4" s="288"/>
      <c r="H4" s="2"/>
      <c r="L4" s="307"/>
    </row>
    <row r="5" spans="1:18" ht="15" customHeight="1">
      <c r="A5" s="26" t="s">
        <v>744</v>
      </c>
      <c r="B5" s="454">
        <f>mainINPUT!C122</f>
        <v>1</v>
      </c>
      <c r="C5" s="288"/>
      <c r="H5" s="2"/>
    </row>
    <row r="6" spans="1:18" ht="15" customHeight="1">
      <c r="A6" s="184" t="s">
        <v>1140</v>
      </c>
      <c r="B6" s="454">
        <f>VLOOKUP(CONCATENATE(mainINPUT!B1,mainINPUT!A1),'Internal gains'!C28:F37,2,FALSE)</f>
        <v>1</v>
      </c>
      <c r="D6" s="307"/>
      <c r="E6" s="307"/>
      <c r="F6" s="307"/>
      <c r="G6" s="288" t="s">
        <v>1237</v>
      </c>
      <c r="H6" s="306"/>
      <c r="I6" s="307"/>
      <c r="J6" s="307"/>
      <c r="K6" s="307"/>
      <c r="L6" s="307"/>
      <c r="M6" s="307"/>
      <c r="N6" s="307"/>
      <c r="O6" s="307"/>
      <c r="P6" s="307"/>
      <c r="Q6" s="307"/>
    </row>
    <row r="7" spans="1:18" ht="15" customHeight="1"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307"/>
    </row>
    <row r="8" spans="1:18" ht="15" customHeight="1">
      <c r="A8" s="1" t="s">
        <v>1129</v>
      </c>
      <c r="B8" s="90" t="s">
        <v>882</v>
      </c>
      <c r="C8" s="90" t="s">
        <v>823</v>
      </c>
      <c r="D8" s="90" t="s">
        <v>824</v>
      </c>
      <c r="E8" s="90" t="s">
        <v>825</v>
      </c>
      <c r="F8" s="90" t="s">
        <v>826</v>
      </c>
      <c r="G8" s="90" t="s">
        <v>827</v>
      </c>
      <c r="H8" s="90" t="s">
        <v>828</v>
      </c>
      <c r="I8" s="90" t="s">
        <v>829</v>
      </c>
      <c r="J8" s="90" t="s">
        <v>830</v>
      </c>
      <c r="K8" s="90" t="s">
        <v>831</v>
      </c>
      <c r="L8" s="90" t="s">
        <v>832</v>
      </c>
      <c r="M8" s="90" t="s">
        <v>833</v>
      </c>
      <c r="N8" s="90" t="s">
        <v>834</v>
      </c>
      <c r="O8" s="90">
        <v>7</v>
      </c>
      <c r="P8" s="90">
        <v>8</v>
      </c>
      <c r="Q8" s="307" t="s">
        <v>1152</v>
      </c>
      <c r="R8" s="1" t="s">
        <v>1153</v>
      </c>
    </row>
    <row r="9" spans="1:18" ht="15" customHeight="1">
      <c r="A9" s="184" t="s">
        <v>1058</v>
      </c>
      <c r="B9" s="288">
        <f>(Leakage!H34*A_houseSI*Weather!B25)/1.44</f>
        <v>11.441560328513861</v>
      </c>
      <c r="C9" s="288">
        <f>(Leakage!I34*A_houseSI*Weather!C25)/1.44</f>
        <v>11.720622775550783</v>
      </c>
      <c r="D9" s="288">
        <f>(Leakage!J34*A_houseSI*Weather!D25)/1.44</f>
        <v>11.999685222587708</v>
      </c>
      <c r="E9" s="288">
        <f>(Leakage!K34*A_houseSI*Weather!E25)/1.44</f>
        <v>10.697393803082067</v>
      </c>
      <c r="F9" s="288">
        <f>(Leakage!L34*A_houseSI*Weather!F25)/1.44</f>
        <v>11.162497881476938</v>
      </c>
      <c r="G9" s="288">
        <f>(Leakage!M34*A_houseSI*Weather!G25)/1.44</f>
        <v>13.953122351846172</v>
      </c>
      <c r="H9" s="288">
        <f>(Leakage!N34*A_houseSI*Weather!H25)/1.44</f>
        <v>11.627601959871811</v>
      </c>
      <c r="I9" s="288">
        <f>(Leakage!O34*A_houseSI*Weather!I25)/1.44</f>
        <v>12.557810116661555</v>
      </c>
      <c r="J9" s="288">
        <f>(Leakage!P34*A_houseSI*Weather!J25)/1.44</f>
        <v>12.790362155858993</v>
      </c>
      <c r="K9" s="288">
        <f>(Leakage!Q34*A_houseSI*Weather!K25)/1.44</f>
        <v>11.162497881476938</v>
      </c>
      <c r="L9" s="288">
        <f>(Leakage!R34*A_houseSI*Weather!L25)/1.44</f>
        <v>10.418331356045144</v>
      </c>
      <c r="M9" s="288">
        <f>(Leakage!S34*A_houseSI*Weather!M25)/1.44</f>
        <v>11.348539512834886</v>
      </c>
      <c r="N9" s="288">
        <f>(Leakage!T34*A_houseSI*Weather!N25)/1.44</f>
        <v>11.720622775550787</v>
      </c>
      <c r="O9" s="288">
        <f>(Leakage!U34*A_houseSI*Weather!O25)/1.44</f>
        <v>13.022914195056428</v>
      </c>
      <c r="P9" s="288">
        <f>(Leakage!V34*A_houseSI*Weather!P25)/1.44</f>
        <v>9.7671856462923188</v>
      </c>
      <c r="Q9" s="288">
        <f>(Leakage!W34*A_houseSI*Weather!Q25)/1.44</f>
        <v>10.604372987403091</v>
      </c>
      <c r="R9" s="288">
        <f>(Leakage!X34*A_houseSI*Weather!R25)/1.44</f>
        <v>9.9997376854897571</v>
      </c>
    </row>
    <row r="10" spans="1:18" ht="15" customHeight="1">
      <c r="A10" s="1" t="s">
        <v>1057</v>
      </c>
      <c r="B10" s="427">
        <f>mainINPUT!$D$1*IF($L$2=0,0,$L$2-B9)</f>
        <v>12.774689835743072</v>
      </c>
      <c r="C10" s="427">
        <f>mainINPUT!$D$1*IF($L$2=0,0,$L$2-C9)</f>
        <v>12.635158612224609</v>
      </c>
      <c r="D10" s="427">
        <f>mainINPUT!$D$1*IF($L$2=0,0,$L$2-D9)</f>
        <v>12.495627388706147</v>
      </c>
      <c r="E10" s="427">
        <f>mainINPUT!$D$1*IF($L$2=0,0,$L$2-E9)</f>
        <v>13.146773098458969</v>
      </c>
      <c r="F10" s="427">
        <f>mainINPUT!$D$1*IF($L$2=0,0,$L$2-F9)</f>
        <v>12.914221059261532</v>
      </c>
      <c r="G10" s="427">
        <f>mainINPUT!$D$1*IF($L$2=0,0,$L$2-G9)</f>
        <v>11.518908824076915</v>
      </c>
      <c r="H10" s="427">
        <f>mainINPUT!$D$1*IF($L$2=0,0,$L$2-H9)</f>
        <v>12.681669020064096</v>
      </c>
      <c r="I10" s="427">
        <f>mainINPUT!$D$1*IF($L$2=0,0,$L$2-I9)</f>
        <v>12.216564941669223</v>
      </c>
      <c r="J10" s="427">
        <f>mainINPUT!$D$1*IF($L$2=0,0,$L$2-J9)</f>
        <v>12.100288922070504</v>
      </c>
      <c r="K10" s="427">
        <f>mainINPUT!$D$1*IF($L$2=0,0,$L$2-K9)</f>
        <v>12.914221059261532</v>
      </c>
      <c r="L10" s="427">
        <f>mainINPUT!$D$1*IF($L$2=0,0,$L$2-L9)</f>
        <v>13.286304321977429</v>
      </c>
      <c r="M10" s="427">
        <f>mainINPUT!$D$1*IF($L$2=0,0,$L$2-M9)</f>
        <v>12.821200243582558</v>
      </c>
      <c r="N10" s="427">
        <f>mainINPUT!$D$1*IF($L$2=0,0,$L$2-N9)</f>
        <v>12.635158612224608</v>
      </c>
      <c r="O10" s="427">
        <f>mainINPUT!$D$1*IF($L$2=0,0,$L$2-O9)</f>
        <v>11.984012902471786</v>
      </c>
      <c r="P10" s="427">
        <f>mainINPUT!$D$1*IF($L$2=0,0,$L$2-P9)</f>
        <v>13.611877176853842</v>
      </c>
      <c r="Q10" s="427">
        <f>mainINPUT!$D$1*IF($L$2=0,0,$L$2-Q9)</f>
        <v>13.193283506298457</v>
      </c>
      <c r="R10" s="427">
        <f>mainINPUT!$D$1*IF($L$2=0,0,$L$2-R9)</f>
        <v>13.495601157255123</v>
      </c>
    </row>
    <row r="11" spans="1:18" ht="15" customHeight="1">
      <c r="A11" s="1" t="s">
        <v>1130</v>
      </c>
      <c r="B11" s="307">
        <f>B10*0.4361</f>
        <v>5.5710422373675534</v>
      </c>
      <c r="C11" s="307">
        <f>C10*0.4361</f>
        <v>5.5101926707911524</v>
      </c>
      <c r="D11" s="307">
        <f t="shared" ref="D11:P11" si="0">D10*0.4361</f>
        <v>5.4493431042147504</v>
      </c>
      <c r="E11" s="307">
        <f t="shared" si="0"/>
        <v>5.733307748237956</v>
      </c>
      <c r="F11" s="307">
        <f t="shared" si="0"/>
        <v>5.6318918039439536</v>
      </c>
      <c r="G11" s="307">
        <f t="shared" si="0"/>
        <v>5.0233961381799421</v>
      </c>
      <c r="H11" s="307">
        <f t="shared" si="0"/>
        <v>5.5304758596499521</v>
      </c>
      <c r="I11" s="307">
        <f t="shared" si="0"/>
        <v>5.3276439710619474</v>
      </c>
      <c r="J11" s="307">
        <f t="shared" si="0"/>
        <v>5.2769359989149471</v>
      </c>
      <c r="K11" s="307">
        <f t="shared" si="0"/>
        <v>5.6318918039439536</v>
      </c>
      <c r="L11" s="307">
        <f t="shared" si="0"/>
        <v>5.794157314814357</v>
      </c>
      <c r="M11" s="307">
        <f t="shared" si="0"/>
        <v>5.5913254262263532</v>
      </c>
      <c r="N11" s="307">
        <f t="shared" si="0"/>
        <v>5.5101926707911515</v>
      </c>
      <c r="O11" s="307">
        <f t="shared" si="0"/>
        <v>5.226228026767946</v>
      </c>
      <c r="P11" s="307">
        <f t="shared" si="0"/>
        <v>5.9361396368259598</v>
      </c>
      <c r="Q11" s="307">
        <f>Q10*0.4361</f>
        <v>5.7535909370967566</v>
      </c>
      <c r="R11" s="307">
        <f>R10*0.4361</f>
        <v>5.8854316646789595</v>
      </c>
    </row>
    <row r="12" spans="1:18" ht="15" customHeight="1">
      <c r="B12" s="307"/>
      <c r="C12" s="307"/>
      <c r="D12" s="307"/>
      <c r="E12" s="307"/>
      <c r="F12" s="307"/>
      <c r="G12" s="307"/>
      <c r="H12" s="306"/>
      <c r="I12" s="307"/>
      <c r="J12" s="307"/>
      <c r="K12" s="288"/>
      <c r="L12" s="307"/>
      <c r="M12" s="307"/>
      <c r="N12" s="307"/>
      <c r="O12" s="307"/>
      <c r="P12" s="307"/>
      <c r="Q12" s="307"/>
    </row>
    <row r="13" spans="1:18" ht="15" customHeight="1">
      <c r="B13" s="307"/>
      <c r="C13" s="307"/>
      <c r="D13" s="307"/>
      <c r="E13" s="307"/>
      <c r="F13" s="307"/>
      <c r="G13" s="307"/>
      <c r="H13" s="306"/>
      <c r="I13" s="307"/>
      <c r="J13" s="307"/>
      <c r="K13" s="288"/>
      <c r="L13" s="307"/>
      <c r="M13" s="307"/>
      <c r="N13" s="307"/>
      <c r="O13" s="307"/>
      <c r="P13" s="307"/>
      <c r="Q13" s="307"/>
    </row>
    <row r="14" spans="1:18" ht="15" customHeight="1">
      <c r="A14" s="111" t="s">
        <v>340</v>
      </c>
      <c r="B14" s="309" t="s">
        <v>880</v>
      </c>
      <c r="C14" s="309" t="s">
        <v>881</v>
      </c>
      <c r="D14" s="116" t="s">
        <v>189</v>
      </c>
      <c r="E14" s="116" t="s">
        <v>342</v>
      </c>
      <c r="F14" s="116" t="s">
        <v>189</v>
      </c>
      <c r="G14" s="116" t="s">
        <v>343</v>
      </c>
      <c r="H14" s="116" t="s">
        <v>716</v>
      </c>
      <c r="I14" s="116" t="s">
        <v>344</v>
      </c>
      <c r="J14" s="116"/>
      <c r="K14" s="116" t="s">
        <v>587</v>
      </c>
      <c r="L14" s="116" t="s">
        <v>588</v>
      </c>
      <c r="M14" s="116" t="s">
        <v>345</v>
      </c>
      <c r="N14" s="116"/>
      <c r="O14" s="116" t="s">
        <v>346</v>
      </c>
      <c r="P14" s="116" t="s">
        <v>347</v>
      </c>
      <c r="Q14" s="116" t="s">
        <v>348</v>
      </c>
      <c r="R14" s="116" t="s">
        <v>3</v>
      </c>
    </row>
    <row r="15" spans="1:18" ht="15" customHeight="1">
      <c r="A15" s="120" t="s">
        <v>349</v>
      </c>
      <c r="B15" s="307">
        <v>50</v>
      </c>
      <c r="C15" s="293">
        <f>E15/1000*-1</f>
        <v>-2.3596035865974516E-2</v>
      </c>
      <c r="D15" s="14" t="s">
        <v>350</v>
      </c>
      <c r="E15" s="63">
        <f>B15/2.119</f>
        <v>23.596035865974514</v>
      </c>
      <c r="F15" s="14" t="s">
        <v>251</v>
      </c>
      <c r="G15" s="14">
        <v>1</v>
      </c>
      <c r="H15" s="63">
        <f>E15*G15</f>
        <v>23.596035865974514</v>
      </c>
      <c r="I15" s="14">
        <f>F27*G15</f>
        <v>10.199999999999999</v>
      </c>
      <c r="K15" s="56">
        <f>E15*10^-3*3600/V_houseSI</f>
        <v>0.16994278095486484</v>
      </c>
      <c r="L15" s="58">
        <f>E15*10^-3*3600/V_houseSI+10/100*A_houseSI*3600/1000/V_houseSI</f>
        <v>0.31394278095486483</v>
      </c>
      <c r="M15" s="60">
        <v>31</v>
      </c>
      <c r="N15" s="61">
        <v>0.25</v>
      </c>
      <c r="O15" s="62">
        <f t="shared" ref="O15:O21" si="1">$H$17*(1+N15)</f>
        <v>41.293062765455403</v>
      </c>
      <c r="P15" s="62">
        <f t="shared" ref="P15:P21" si="2">O15*10^-3/(0.3048^3)*60</f>
        <v>87.495044968294053</v>
      </c>
      <c r="Q15" s="62">
        <f t="shared" ref="Q15:Q21" si="3">$F$48</f>
        <v>16.2</v>
      </c>
    </row>
    <row r="16" spans="1:18" ht="15" customHeight="1">
      <c r="A16" s="120" t="s">
        <v>351</v>
      </c>
      <c r="B16" s="307">
        <v>100</v>
      </c>
      <c r="C16" s="293">
        <f>E16/1000*-1</f>
        <v>-4.7192071731949031E-2</v>
      </c>
      <c r="D16" s="14" t="s">
        <v>350</v>
      </c>
      <c r="E16" s="63">
        <f>B16/2.119</f>
        <v>47.192071731949028</v>
      </c>
      <c r="F16" s="14" t="s">
        <v>251</v>
      </c>
      <c r="G16" s="14">
        <v>1</v>
      </c>
      <c r="H16" s="63">
        <f>E16*G16</f>
        <v>47.192071731949028</v>
      </c>
      <c r="I16" s="14">
        <f>F22*G16</f>
        <v>37.200000000000003</v>
      </c>
      <c r="K16" s="56">
        <f>E16*10^-3*3600/V_houseSI</f>
        <v>0.33988556190972968</v>
      </c>
      <c r="L16" s="58">
        <f>E16*10^-3*3600/V_houseSI+10/100*A_houseSI*3600/1000/V_houseSI</f>
        <v>0.48388556190972964</v>
      </c>
      <c r="M16" s="60">
        <v>32</v>
      </c>
      <c r="N16" s="61">
        <v>0.25</v>
      </c>
      <c r="O16" s="62">
        <f t="shared" si="1"/>
        <v>41.293062765455403</v>
      </c>
      <c r="P16" s="62">
        <f t="shared" si="2"/>
        <v>87.495044968294053</v>
      </c>
      <c r="Q16" s="62">
        <f t="shared" si="3"/>
        <v>16.2</v>
      </c>
    </row>
    <row r="17" spans="1:17" ht="15" customHeight="1">
      <c r="A17" s="120" t="s">
        <v>352</v>
      </c>
      <c r="B17" s="306">
        <v>70</v>
      </c>
      <c r="C17" s="297">
        <f>E17/1000*-1</f>
        <v>-3.303445021236432E-2</v>
      </c>
      <c r="D17" s="2" t="s">
        <v>350</v>
      </c>
      <c r="E17" s="63">
        <f>B17/2.119</f>
        <v>33.03445021236432</v>
      </c>
      <c r="F17" s="14" t="s">
        <v>251</v>
      </c>
      <c r="G17" s="14">
        <v>1</v>
      </c>
      <c r="H17" s="63">
        <f>E17*G17</f>
        <v>33.03445021236432</v>
      </c>
      <c r="I17" s="14">
        <f>F40</f>
        <v>11.8</v>
      </c>
      <c r="K17" s="56">
        <f>E17*10^-3*3600/V_houseSI</f>
        <v>0.23791989333681079</v>
      </c>
      <c r="L17" s="58">
        <f>E17*10^-3*3600/V_houseSI+10/100*A_houseSI*3600/1000/V_houseSI</f>
        <v>0.38191989333681076</v>
      </c>
      <c r="M17" s="60">
        <v>33</v>
      </c>
      <c r="N17" s="61">
        <v>0.25</v>
      </c>
      <c r="O17" s="62">
        <f t="shared" si="1"/>
        <v>41.293062765455403</v>
      </c>
      <c r="P17" s="62">
        <f t="shared" si="2"/>
        <v>87.495044968294053</v>
      </c>
      <c r="Q17" s="62">
        <f t="shared" si="3"/>
        <v>16.2</v>
      </c>
    </row>
    <row r="18" spans="1:17" ht="15" customHeight="1">
      <c r="A18" s="120" t="s">
        <v>87</v>
      </c>
      <c r="B18" s="307">
        <v>150</v>
      </c>
      <c r="C18" s="293">
        <f>E18/1000*-1</f>
        <v>-7.0788107597923547E-2</v>
      </c>
      <c r="D18" s="14" t="s">
        <v>350</v>
      </c>
      <c r="E18" s="63">
        <f>B18/2.119</f>
        <v>70.788107597923542</v>
      </c>
      <c r="F18" s="14" t="s">
        <v>251</v>
      </c>
      <c r="G18" s="14">
        <v>1</v>
      </c>
      <c r="H18" s="63">
        <f>E18*G18</f>
        <v>70.788107597923542</v>
      </c>
      <c r="I18" s="63">
        <v>0</v>
      </c>
      <c r="K18" s="56">
        <f>E18*10^-3*3600/V_houseSI</f>
        <v>0.50982834286459466</v>
      </c>
      <c r="L18" s="58">
        <f>E18*10^-3*3600/V_houseSI+10/100*A_houseSI*3600/1000/V_houseSI</f>
        <v>0.65382834286459468</v>
      </c>
      <c r="M18" s="60">
        <v>34</v>
      </c>
      <c r="N18" s="61">
        <v>0.25</v>
      </c>
      <c r="O18" s="62">
        <f t="shared" si="1"/>
        <v>41.293062765455403</v>
      </c>
      <c r="P18" s="62">
        <f t="shared" si="2"/>
        <v>87.495044968294053</v>
      </c>
      <c r="Q18" s="62">
        <f t="shared" si="3"/>
        <v>16.2</v>
      </c>
    </row>
    <row r="19" spans="1:17" ht="15" customHeight="1">
      <c r="M19" s="60">
        <v>35</v>
      </c>
      <c r="N19" s="61">
        <v>0.25</v>
      </c>
      <c r="O19" s="62">
        <f t="shared" si="1"/>
        <v>41.293062765455403</v>
      </c>
      <c r="P19" s="62">
        <f t="shared" si="2"/>
        <v>87.495044968294053</v>
      </c>
      <c r="Q19" s="62">
        <f t="shared" si="3"/>
        <v>16.2</v>
      </c>
    </row>
    <row r="20" spans="1:17" ht="15" customHeight="1">
      <c r="A20" s="4" t="s">
        <v>353</v>
      </c>
      <c r="M20" s="60">
        <v>36</v>
      </c>
      <c r="N20" s="61">
        <v>0.25</v>
      </c>
      <c r="O20" s="62">
        <f t="shared" si="1"/>
        <v>41.293062765455403</v>
      </c>
      <c r="P20" s="62">
        <f t="shared" si="2"/>
        <v>87.495044968294053</v>
      </c>
      <c r="Q20" s="60">
        <f t="shared" si="3"/>
        <v>16.2</v>
      </c>
    </row>
    <row r="21" spans="1:17" ht="15" customHeight="1">
      <c r="A21" s="117" t="s">
        <v>354</v>
      </c>
      <c r="B21" s="304" t="s">
        <v>880</v>
      </c>
      <c r="C21" s="305" t="s">
        <v>881</v>
      </c>
      <c r="D21" s="47" t="s">
        <v>355</v>
      </c>
      <c r="E21" s="47" t="s">
        <v>356</v>
      </c>
      <c r="F21" s="47" t="s">
        <v>45</v>
      </c>
      <c r="G21" s="101" t="s">
        <v>357</v>
      </c>
      <c r="H21" s="295" t="s">
        <v>251</v>
      </c>
      <c r="M21" s="60">
        <v>37</v>
      </c>
      <c r="N21" s="61">
        <v>0.25</v>
      </c>
      <c r="O21" s="62">
        <f t="shared" si="1"/>
        <v>41.293062765455403</v>
      </c>
      <c r="P21" s="62">
        <f t="shared" si="2"/>
        <v>87.495044968294053</v>
      </c>
      <c r="Q21" s="60">
        <f t="shared" si="3"/>
        <v>16.2</v>
      </c>
    </row>
    <row r="22" spans="1:17" ht="15" customHeight="1">
      <c r="A22" s="118" t="s">
        <v>358</v>
      </c>
      <c r="B22" s="64">
        <v>100</v>
      </c>
      <c r="C22" s="293">
        <f>H22/1000*-1</f>
        <v>-4.7192071731949031E-2</v>
      </c>
      <c r="D22" s="64">
        <v>0.8</v>
      </c>
      <c r="E22" s="64">
        <v>0.02</v>
      </c>
      <c r="F22" s="64">
        <v>37.200000000000003</v>
      </c>
      <c r="G22" s="123" t="s">
        <v>622</v>
      </c>
      <c r="H22" s="294">
        <f>B22/2.119</f>
        <v>47.192071731949028</v>
      </c>
      <c r="M22" s="60">
        <v>38</v>
      </c>
      <c r="N22" s="61"/>
      <c r="O22" s="62"/>
      <c r="P22" s="62"/>
      <c r="Q22" s="60"/>
    </row>
    <row r="23" spans="1:17" ht="15" customHeight="1">
      <c r="A23" s="120" t="s">
        <v>359</v>
      </c>
      <c r="B23" s="65">
        <v>100</v>
      </c>
      <c r="C23" s="293">
        <f>H23/1000*-1</f>
        <v>-4.7192071731949031E-2</v>
      </c>
      <c r="D23" s="65">
        <v>0.9</v>
      </c>
      <c r="E23" s="65">
        <v>0.02</v>
      </c>
      <c r="F23" s="65">
        <v>36.700000000000003</v>
      </c>
      <c r="G23" s="123" t="s">
        <v>360</v>
      </c>
      <c r="H23" s="294">
        <f>B23/2.119</f>
        <v>47.192071731949028</v>
      </c>
      <c r="M23" s="60">
        <v>39</v>
      </c>
      <c r="N23" s="61"/>
      <c r="O23" s="62"/>
      <c r="P23" s="62"/>
      <c r="Q23" s="60"/>
    </row>
    <row r="24" spans="1:17" ht="15" customHeight="1">
      <c r="M24" s="60">
        <v>40</v>
      </c>
      <c r="N24" s="61">
        <v>0.25</v>
      </c>
      <c r="O24" s="62">
        <f>$H$17*(1+N24)</f>
        <v>41.293062765455403</v>
      </c>
      <c r="P24" s="62">
        <f>O24*10^-3/(0.3048^3)*60</f>
        <v>87.495044968294053</v>
      </c>
      <c r="Q24" s="60">
        <f>$F$48</f>
        <v>16.2</v>
      </c>
    </row>
    <row r="25" spans="1:17" ht="15" customHeight="1">
      <c r="M25" s="60">
        <v>41</v>
      </c>
      <c r="N25" s="61">
        <v>0.25</v>
      </c>
      <c r="O25" s="62">
        <f>$H$17*(1+N25)</f>
        <v>41.293062765455403</v>
      </c>
      <c r="P25" s="62">
        <f>O25*10^-3/(0.3048^3)*60</f>
        <v>87.495044968294053</v>
      </c>
      <c r="Q25" s="60">
        <f>$F$48</f>
        <v>16.2</v>
      </c>
    </row>
    <row r="26" spans="1:17" ht="15" customHeight="1">
      <c r="A26" s="117" t="s">
        <v>361</v>
      </c>
      <c r="B26" s="302" t="s">
        <v>880</v>
      </c>
      <c r="C26" s="303" t="s">
        <v>881</v>
      </c>
      <c r="D26" s="47" t="s">
        <v>355</v>
      </c>
      <c r="E26" s="47" t="s">
        <v>356</v>
      </c>
      <c r="F26" s="47" t="s">
        <v>45</v>
      </c>
      <c r="G26" s="47" t="s">
        <v>357</v>
      </c>
      <c r="H26" s="295" t="s">
        <v>251</v>
      </c>
      <c r="M26" s="60">
        <v>42</v>
      </c>
      <c r="N26" s="61"/>
      <c r="O26" s="62"/>
      <c r="P26" s="62"/>
      <c r="Q26" s="60"/>
    </row>
    <row r="27" spans="1:17" ht="15" customHeight="1">
      <c r="A27" s="118" t="s">
        <v>362</v>
      </c>
      <c r="B27" s="64">
        <v>50</v>
      </c>
      <c r="C27" s="293">
        <f t="shared" ref="C27:C32" si="4">H27/1000*-1</f>
        <v>-2.3596035865974516E-2</v>
      </c>
      <c r="D27" s="64" t="s">
        <v>363</v>
      </c>
      <c r="E27" s="64">
        <v>0.25</v>
      </c>
      <c r="F27" s="64">
        <v>10.199999999999999</v>
      </c>
      <c r="G27" s="64" t="s">
        <v>364</v>
      </c>
      <c r="H27" s="294">
        <f t="shared" ref="H27:H32" si="5">B27/2.119</f>
        <v>23.596035865974514</v>
      </c>
      <c r="I27" s="63"/>
      <c r="J27" s="307">
        <f>F27/H27</f>
        <v>0.43227599999999999</v>
      </c>
      <c r="K27" s="63"/>
      <c r="M27" s="60">
        <v>43</v>
      </c>
      <c r="N27" s="61"/>
      <c r="O27" s="62"/>
      <c r="P27" s="62"/>
      <c r="Q27" s="60"/>
    </row>
    <row r="28" spans="1:17" ht="15" customHeight="1">
      <c r="A28" s="120" t="s">
        <v>365</v>
      </c>
      <c r="B28" s="65">
        <v>50</v>
      </c>
      <c r="C28" s="293">
        <f t="shared" si="4"/>
        <v>-2.3596035865974516E-2</v>
      </c>
      <c r="D28" s="65" t="s">
        <v>363</v>
      </c>
      <c r="E28" s="65">
        <v>0.25</v>
      </c>
      <c r="F28" s="65">
        <v>10.199999999999999</v>
      </c>
      <c r="G28" s="65" t="s">
        <v>366</v>
      </c>
      <c r="H28" s="294">
        <f t="shared" si="5"/>
        <v>23.596035865974514</v>
      </c>
      <c r="I28" s="63"/>
      <c r="J28" s="307">
        <f>F28/H28</f>
        <v>0.43227599999999999</v>
      </c>
      <c r="K28" s="63"/>
      <c r="M28" s="60">
        <v>44</v>
      </c>
      <c r="N28" s="61"/>
      <c r="O28" s="62"/>
      <c r="P28" s="62"/>
      <c r="Q28" s="60"/>
    </row>
    <row r="29" spans="1:17" ht="15" customHeight="1">
      <c r="A29" s="120" t="s">
        <v>367</v>
      </c>
      <c r="B29" s="14">
        <v>50</v>
      </c>
      <c r="C29" s="293">
        <f t="shared" si="4"/>
        <v>-2.3596035865974516E-2</v>
      </c>
      <c r="D29" s="14" t="s">
        <v>363</v>
      </c>
      <c r="E29" s="14">
        <v>0.25</v>
      </c>
      <c r="F29" s="14">
        <v>11.2</v>
      </c>
      <c r="G29" s="14" t="s">
        <v>364</v>
      </c>
      <c r="H29" s="294">
        <f t="shared" si="5"/>
        <v>23.596035865974514</v>
      </c>
      <c r="I29" s="63"/>
      <c r="J29" s="307">
        <f>F29/H29</f>
        <v>0.47465600000000002</v>
      </c>
      <c r="K29" s="63"/>
      <c r="M29" s="60">
        <v>45</v>
      </c>
      <c r="N29" s="61"/>
      <c r="O29" s="62"/>
      <c r="P29" s="62"/>
      <c r="Q29" s="60"/>
    </row>
    <row r="30" spans="1:17" ht="15" customHeight="1">
      <c r="A30" s="122" t="s">
        <v>368</v>
      </c>
      <c r="B30" s="14">
        <v>50</v>
      </c>
      <c r="C30" s="293">
        <f t="shared" si="4"/>
        <v>-2.3596035865974516E-2</v>
      </c>
      <c r="D30" s="2" t="s">
        <v>363</v>
      </c>
      <c r="E30" s="14">
        <v>0.1</v>
      </c>
      <c r="F30" s="14">
        <v>19.7</v>
      </c>
      <c r="G30" s="2" t="s">
        <v>369</v>
      </c>
      <c r="H30" s="294">
        <f t="shared" si="5"/>
        <v>23.596035865974514</v>
      </c>
      <c r="M30" s="60">
        <v>46</v>
      </c>
      <c r="N30" s="61"/>
      <c r="O30" s="62"/>
      <c r="P30" s="62"/>
      <c r="Q30" s="60"/>
    </row>
    <row r="31" spans="1:17" ht="15" customHeight="1">
      <c r="A31" s="120" t="s">
        <v>370</v>
      </c>
      <c r="B31" s="66">
        <v>50</v>
      </c>
      <c r="C31" s="293">
        <f t="shared" si="4"/>
        <v>-2.3596035865974516E-2</v>
      </c>
      <c r="D31" s="2" t="s">
        <v>363</v>
      </c>
      <c r="E31" s="14">
        <v>0.25</v>
      </c>
      <c r="F31" s="14">
        <v>11.8</v>
      </c>
      <c r="G31" s="2" t="s">
        <v>371</v>
      </c>
      <c r="H31" s="294">
        <f t="shared" si="5"/>
        <v>23.596035865974514</v>
      </c>
      <c r="M31" s="60">
        <v>47</v>
      </c>
      <c r="N31" s="61"/>
      <c r="O31" s="62"/>
      <c r="P31" s="62"/>
      <c r="Q31" s="60"/>
    </row>
    <row r="32" spans="1:17" ht="15" customHeight="1">
      <c r="A32" s="120" t="s">
        <v>621</v>
      </c>
      <c r="B32" s="14">
        <v>50</v>
      </c>
      <c r="C32" s="293">
        <f t="shared" si="4"/>
        <v>-2.3596035865974516E-2</v>
      </c>
      <c r="F32" s="14">
        <v>55</v>
      </c>
      <c r="G32" s="14" t="s">
        <v>620</v>
      </c>
      <c r="H32" s="294">
        <f t="shared" si="5"/>
        <v>23.596035865974514</v>
      </c>
      <c r="M32" s="60">
        <v>48</v>
      </c>
      <c r="N32" s="61"/>
      <c r="O32" s="62"/>
      <c r="P32" s="62"/>
      <c r="Q32" s="60"/>
    </row>
    <row r="33" spans="1:20" ht="15" customHeight="1">
      <c r="M33" s="60">
        <v>49</v>
      </c>
      <c r="N33" s="61"/>
      <c r="O33" s="62"/>
      <c r="P33" s="62"/>
      <c r="Q33" s="60"/>
      <c r="R33" s="191" t="s">
        <v>642</v>
      </c>
      <c r="S33" s="192" t="s">
        <v>643</v>
      </c>
      <c r="T33" s="191" t="s">
        <v>644</v>
      </c>
    </row>
    <row r="34" spans="1:20" ht="15" customHeight="1">
      <c r="A34" s="117" t="s">
        <v>372</v>
      </c>
      <c r="B34" s="301" t="s">
        <v>880</v>
      </c>
      <c r="C34" s="308" t="s">
        <v>881</v>
      </c>
      <c r="D34" s="47" t="s">
        <v>355</v>
      </c>
      <c r="E34" s="47" t="s">
        <v>356</v>
      </c>
      <c r="F34" s="47" t="s">
        <v>45</v>
      </c>
      <c r="G34" s="47" t="s">
        <v>357</v>
      </c>
      <c r="H34" s="295" t="s">
        <v>251</v>
      </c>
      <c r="M34" s="60">
        <v>50</v>
      </c>
      <c r="N34" s="61">
        <v>0.25</v>
      </c>
      <c r="O34" s="62">
        <f>$H$17*(1+N34)</f>
        <v>41.293062765455403</v>
      </c>
      <c r="P34" s="62">
        <f>O34*10^-3/(0.3048^3)*60</f>
        <v>87.495044968294053</v>
      </c>
      <c r="Q34" s="60">
        <f>$F$48</f>
        <v>16.2</v>
      </c>
      <c r="R34" s="190" t="s">
        <v>645</v>
      </c>
      <c r="S34" s="193" t="s">
        <v>646</v>
      </c>
      <c r="T34" s="190" t="s">
        <v>647</v>
      </c>
    </row>
    <row r="35" spans="1:20" ht="15" customHeight="1">
      <c r="A35" s="121" t="s">
        <v>373</v>
      </c>
      <c r="B35" s="67">
        <v>70</v>
      </c>
      <c r="C35" s="293">
        <f t="shared" ref="C35:C40" si="6">H35/1000*-1</f>
        <v>-3.303445021236432E-2</v>
      </c>
      <c r="D35" s="67">
        <v>0.60000000000000009</v>
      </c>
      <c r="E35" s="67" t="s">
        <v>374</v>
      </c>
      <c r="F35" s="67">
        <v>19.399999999999999</v>
      </c>
      <c r="G35" s="67" t="s">
        <v>375</v>
      </c>
      <c r="H35" s="294">
        <f t="shared" ref="H35:H40" si="7">B35/2.119</f>
        <v>33.03445021236432</v>
      </c>
      <c r="R35" s="190" t="s">
        <v>648</v>
      </c>
      <c r="S35" s="193" t="s">
        <v>649</v>
      </c>
      <c r="T35" s="190" t="s">
        <v>650</v>
      </c>
    </row>
    <row r="36" spans="1:20" ht="15" customHeight="1">
      <c r="A36" s="119" t="s">
        <v>376</v>
      </c>
      <c r="B36" s="68">
        <v>72</v>
      </c>
      <c r="C36" s="293">
        <f t="shared" si="6"/>
        <v>-3.3978291647003306E-2</v>
      </c>
      <c r="D36" s="68">
        <v>0.64</v>
      </c>
      <c r="E36" s="68" t="s">
        <v>374</v>
      </c>
      <c r="F36" s="68">
        <v>20</v>
      </c>
      <c r="G36" s="68" t="s">
        <v>377</v>
      </c>
      <c r="H36" s="294">
        <f t="shared" si="7"/>
        <v>33.978291647003303</v>
      </c>
      <c r="R36" s="190" t="s">
        <v>651</v>
      </c>
      <c r="S36" s="193" t="s">
        <v>649</v>
      </c>
      <c r="T36" s="190" t="s">
        <v>650</v>
      </c>
    </row>
    <row r="37" spans="1:20" ht="15" customHeight="1">
      <c r="A37" s="119" t="s">
        <v>378</v>
      </c>
      <c r="B37" s="68">
        <v>68</v>
      </c>
      <c r="C37" s="293">
        <f t="shared" si="6"/>
        <v>-3.2090608777725335E-2</v>
      </c>
      <c r="D37" s="68">
        <v>0.9</v>
      </c>
      <c r="E37" s="68" t="s">
        <v>374</v>
      </c>
      <c r="F37" s="68">
        <v>28.3</v>
      </c>
      <c r="G37" s="68" t="s">
        <v>379</v>
      </c>
      <c r="H37" s="294">
        <f t="shared" si="7"/>
        <v>32.090608777725336</v>
      </c>
      <c r="R37" s="190" t="s">
        <v>652</v>
      </c>
      <c r="S37" s="193">
        <v>3</v>
      </c>
      <c r="T37" s="190" t="s">
        <v>650</v>
      </c>
    </row>
    <row r="38" spans="1:20" ht="15" customHeight="1">
      <c r="A38" s="119" t="s">
        <v>380</v>
      </c>
      <c r="B38" s="68">
        <v>70</v>
      </c>
      <c r="C38" s="293">
        <f t="shared" si="6"/>
        <v>-3.303445021236432E-2</v>
      </c>
      <c r="D38" s="68">
        <v>0.25</v>
      </c>
      <c r="E38" s="68" t="s">
        <v>374</v>
      </c>
      <c r="F38" s="68">
        <v>24.5</v>
      </c>
      <c r="G38" s="68" t="s">
        <v>381</v>
      </c>
      <c r="H38" s="294">
        <f t="shared" si="7"/>
        <v>33.03445021236432</v>
      </c>
      <c r="R38" s="190" t="s">
        <v>653</v>
      </c>
      <c r="S38" s="193"/>
      <c r="T38" s="190"/>
    </row>
    <row r="39" spans="1:20" ht="15" customHeight="1">
      <c r="A39" s="120" t="s">
        <v>382</v>
      </c>
      <c r="B39" s="2">
        <v>70</v>
      </c>
      <c r="C39" s="293">
        <f t="shared" si="6"/>
        <v>-3.303445021236432E-2</v>
      </c>
      <c r="D39" s="2">
        <v>0.30000000000000004</v>
      </c>
      <c r="E39" s="2">
        <v>0.25</v>
      </c>
      <c r="F39" s="2">
        <v>14</v>
      </c>
      <c r="G39" s="2" t="s">
        <v>383</v>
      </c>
      <c r="H39" s="294">
        <f t="shared" si="7"/>
        <v>33.03445021236432</v>
      </c>
      <c r="J39" s="14">
        <f>F39/H39</f>
        <v>0.42380000000000007</v>
      </c>
      <c r="R39" s="190" t="s">
        <v>654</v>
      </c>
      <c r="S39" s="193" t="s">
        <v>655</v>
      </c>
      <c r="T39" s="190" t="s">
        <v>656</v>
      </c>
    </row>
    <row r="40" spans="1:20" ht="15" customHeight="1">
      <c r="A40" s="120" t="s">
        <v>382</v>
      </c>
      <c r="B40" s="14">
        <v>60</v>
      </c>
      <c r="C40" s="293">
        <f t="shared" si="6"/>
        <v>-2.8315243039169418E-2</v>
      </c>
      <c r="D40" s="14">
        <v>0.30000000000000004</v>
      </c>
      <c r="E40" s="14">
        <v>0.25</v>
      </c>
      <c r="F40" s="14">
        <v>11.8</v>
      </c>
      <c r="G40" s="2" t="s">
        <v>383</v>
      </c>
      <c r="H40" s="294">
        <f t="shared" si="7"/>
        <v>28.315243039169417</v>
      </c>
      <c r="J40" s="307">
        <f>F40/H40</f>
        <v>0.41673666666666676</v>
      </c>
      <c r="R40" s="190" t="s">
        <v>657</v>
      </c>
      <c r="S40" s="193">
        <v>7</v>
      </c>
      <c r="T40" s="190" t="s">
        <v>658</v>
      </c>
    </row>
    <row r="41" spans="1:20" ht="15" customHeight="1">
      <c r="R41" s="190" t="s">
        <v>659</v>
      </c>
      <c r="S41" s="193">
        <v>8</v>
      </c>
      <c r="T41" s="190" t="s">
        <v>660</v>
      </c>
    </row>
    <row r="42" spans="1:20" ht="15" customHeight="1">
      <c r="A42" s="117" t="s">
        <v>384</v>
      </c>
      <c r="B42" s="298" t="s">
        <v>880</v>
      </c>
      <c r="C42" s="299" t="s">
        <v>881</v>
      </c>
      <c r="D42" s="47" t="s">
        <v>355</v>
      </c>
      <c r="E42" s="47" t="s">
        <v>356</v>
      </c>
      <c r="F42" s="47" t="s">
        <v>45</v>
      </c>
      <c r="G42" s="47" t="s">
        <v>357</v>
      </c>
      <c r="H42" s="295" t="s">
        <v>251</v>
      </c>
      <c r="R42" s="190" t="s">
        <v>661</v>
      </c>
      <c r="S42" s="193"/>
      <c r="T42" s="190"/>
    </row>
    <row r="43" spans="1:20" ht="15" customHeight="1">
      <c r="A43" s="118" t="s">
        <v>385</v>
      </c>
      <c r="B43" s="69">
        <v>83</v>
      </c>
      <c r="C43" s="286">
        <f>H43/1000*-1</f>
        <v>-3.9169419537517687E-2</v>
      </c>
      <c r="D43" s="70">
        <v>0.30000000000000004</v>
      </c>
      <c r="E43" s="64">
        <v>0.25</v>
      </c>
      <c r="F43" s="64">
        <v>16.3</v>
      </c>
      <c r="G43" s="70" t="s">
        <v>386</v>
      </c>
      <c r="H43" s="294">
        <f>B43/2.119</f>
        <v>39.16941953751769</v>
      </c>
      <c r="R43" s="190" t="s">
        <v>662</v>
      </c>
      <c r="S43" s="193">
        <v>5</v>
      </c>
      <c r="T43" s="190" t="s">
        <v>663</v>
      </c>
    </row>
    <row r="44" spans="1:20" ht="15" customHeight="1">
      <c r="A44" s="119" t="s">
        <v>387</v>
      </c>
      <c r="B44" s="68">
        <v>80</v>
      </c>
      <c r="C44" s="286">
        <f t="shared" ref="C44:C50" si="8">H44/1000*-1</f>
        <v>-3.7753657385559219E-2</v>
      </c>
      <c r="D44" s="68">
        <v>0.7</v>
      </c>
      <c r="E44" s="68" t="s">
        <v>374</v>
      </c>
      <c r="F44" s="68">
        <v>23.6</v>
      </c>
      <c r="G44" s="68" t="s">
        <v>388</v>
      </c>
      <c r="H44" s="294">
        <f t="shared" ref="H44:H50" si="9">B44/2.119</f>
        <v>37.753657385559222</v>
      </c>
      <c r="R44" s="190" t="s">
        <v>664</v>
      </c>
      <c r="S44" s="193" t="s">
        <v>665</v>
      </c>
      <c r="T44" s="190" t="s">
        <v>650</v>
      </c>
    </row>
    <row r="45" spans="1:20" ht="15" customHeight="1">
      <c r="A45" s="119" t="s">
        <v>389</v>
      </c>
      <c r="B45" s="68">
        <v>80</v>
      </c>
      <c r="C45" s="286">
        <f t="shared" si="8"/>
        <v>-3.7753657385559219E-2</v>
      </c>
      <c r="D45" s="68">
        <v>1</v>
      </c>
      <c r="E45" s="68" t="s">
        <v>374</v>
      </c>
      <c r="F45" s="68">
        <v>27.2</v>
      </c>
      <c r="G45" s="68" t="s">
        <v>390</v>
      </c>
      <c r="H45" s="294">
        <f t="shared" si="9"/>
        <v>37.753657385559222</v>
      </c>
      <c r="R45" s="190" t="s">
        <v>666</v>
      </c>
      <c r="S45" s="193" t="s">
        <v>667</v>
      </c>
      <c r="T45" s="190" t="s">
        <v>650</v>
      </c>
    </row>
    <row r="46" spans="1:20" ht="15" customHeight="1">
      <c r="A46" s="120" t="s">
        <v>391</v>
      </c>
      <c r="B46" s="14">
        <v>83</v>
      </c>
      <c r="C46" s="286">
        <f t="shared" si="8"/>
        <v>-3.9169419537517687E-2</v>
      </c>
      <c r="D46" s="14">
        <v>0.7</v>
      </c>
      <c r="E46" s="2" t="s">
        <v>392</v>
      </c>
      <c r="F46" s="14">
        <v>24.11</v>
      </c>
      <c r="G46" s="2" t="s">
        <v>393</v>
      </c>
      <c r="H46" s="294">
        <f t="shared" si="9"/>
        <v>39.16941953751769</v>
      </c>
      <c r="R46" s="190" t="s">
        <v>668</v>
      </c>
      <c r="S46" s="193" t="s">
        <v>669</v>
      </c>
      <c r="T46" s="190" t="s">
        <v>656</v>
      </c>
    </row>
    <row r="47" spans="1:20" ht="15" customHeight="1">
      <c r="A47" s="120" t="s">
        <v>394</v>
      </c>
      <c r="B47" s="14">
        <v>80</v>
      </c>
      <c r="C47" s="286">
        <f t="shared" si="8"/>
        <v>-3.7753657385559219E-2</v>
      </c>
      <c r="D47" s="14">
        <v>0.8</v>
      </c>
      <c r="E47" s="2" t="s">
        <v>392</v>
      </c>
      <c r="F47" s="14">
        <v>28.6</v>
      </c>
      <c r="G47" s="2" t="s">
        <v>395</v>
      </c>
      <c r="H47" s="294">
        <f t="shared" si="9"/>
        <v>37.753657385559222</v>
      </c>
      <c r="R47" s="190" t="s">
        <v>670</v>
      </c>
      <c r="S47" s="193">
        <v>7</v>
      </c>
      <c r="T47" s="190" t="s">
        <v>656</v>
      </c>
    </row>
    <row r="48" spans="1:20" ht="15" customHeight="1">
      <c r="A48" s="120" t="s">
        <v>382</v>
      </c>
      <c r="B48" s="14">
        <v>80</v>
      </c>
      <c r="C48" s="286">
        <f t="shared" si="8"/>
        <v>-3.7753657385559219E-2</v>
      </c>
      <c r="D48" s="14">
        <v>0.30000000000000004</v>
      </c>
      <c r="E48" s="14">
        <v>0.25</v>
      </c>
      <c r="F48" s="14">
        <v>16.2</v>
      </c>
      <c r="G48" s="2" t="s">
        <v>396</v>
      </c>
      <c r="H48" s="294">
        <f t="shared" si="9"/>
        <v>37.753657385559222</v>
      </c>
      <c r="J48" s="307">
        <f>F48/H48</f>
        <v>0.42909750000000002</v>
      </c>
      <c r="R48" s="190" t="s">
        <v>671</v>
      </c>
      <c r="S48" s="193" t="s">
        <v>672</v>
      </c>
      <c r="T48" s="190" t="s">
        <v>656</v>
      </c>
    </row>
    <row r="49" spans="1:20" ht="15" customHeight="1">
      <c r="A49" s="90" t="s">
        <v>853</v>
      </c>
      <c r="B49" s="279">
        <v>100</v>
      </c>
      <c r="C49" s="296">
        <f t="shared" si="8"/>
        <v>-4.7192071731949031E-2</v>
      </c>
      <c r="D49" s="279">
        <v>0.9</v>
      </c>
      <c r="E49" s="279">
        <v>0.25</v>
      </c>
      <c r="F49" s="279">
        <v>27.3</v>
      </c>
      <c r="G49" s="279" t="s">
        <v>854</v>
      </c>
      <c r="H49" s="294">
        <f t="shared" si="9"/>
        <v>47.192071731949028</v>
      </c>
      <c r="R49" s="190" t="s">
        <v>673</v>
      </c>
      <c r="S49" s="193">
        <v>4</v>
      </c>
      <c r="T49" s="190" t="s">
        <v>674</v>
      </c>
    </row>
    <row r="50" spans="1:20" ht="15" customHeight="1">
      <c r="A50" s="90" t="s">
        <v>851</v>
      </c>
      <c r="B50" s="279">
        <v>150</v>
      </c>
      <c r="C50" s="296">
        <f t="shared" si="8"/>
        <v>-7.0788107597923547E-2</v>
      </c>
      <c r="D50" s="279">
        <v>0.6</v>
      </c>
      <c r="E50" s="279">
        <v>0.25</v>
      </c>
      <c r="F50" s="279">
        <v>31.4</v>
      </c>
      <c r="G50" s="279" t="s">
        <v>852</v>
      </c>
      <c r="H50" s="294">
        <f t="shared" si="9"/>
        <v>70.788107597923542</v>
      </c>
      <c r="J50" s="307">
        <f>F50/H50</f>
        <v>0.44357733333333338</v>
      </c>
      <c r="R50" s="190" t="s">
        <v>675</v>
      </c>
      <c r="S50" s="193">
        <v>4</v>
      </c>
      <c r="T50" s="190" t="s">
        <v>674</v>
      </c>
    </row>
    <row r="51" spans="1:20" ht="15" customHeight="1">
      <c r="R51" s="190" t="s">
        <v>676</v>
      </c>
      <c r="S51" s="193">
        <v>6</v>
      </c>
      <c r="T51" s="190" t="s">
        <v>650</v>
      </c>
    </row>
    <row r="52" spans="1:20" ht="15" customHeight="1">
      <c r="A52" s="117" t="s">
        <v>855</v>
      </c>
      <c r="B52" s="300" t="s">
        <v>880</v>
      </c>
      <c r="C52" s="308" t="s">
        <v>881</v>
      </c>
      <c r="D52" s="47" t="s">
        <v>856</v>
      </c>
      <c r="E52" s="47" t="s">
        <v>857</v>
      </c>
      <c r="F52" s="47" t="s">
        <v>45</v>
      </c>
      <c r="G52" s="47" t="s">
        <v>357</v>
      </c>
      <c r="H52" s="101" t="s">
        <v>251</v>
      </c>
      <c r="J52" s="14">
        <f>AVERAGE(J27:J29,J39:J40,J48,J50)</f>
        <v>0.43605992857142867</v>
      </c>
      <c r="R52" s="190" t="s">
        <v>683</v>
      </c>
      <c r="S52" s="193"/>
      <c r="T52" s="190"/>
    </row>
    <row r="53" spans="1:20" ht="15" customHeight="1">
      <c r="A53" s="118" t="s">
        <v>858</v>
      </c>
      <c r="B53" s="280">
        <v>89</v>
      </c>
      <c r="C53" s="286">
        <f t="shared" ref="C53:C58" si="10">H53/1000*-1</f>
        <v>-4.2000943841434636E-2</v>
      </c>
      <c r="D53" s="70">
        <v>73</v>
      </c>
      <c r="E53" s="64">
        <v>84</v>
      </c>
      <c r="F53" s="64">
        <v>89</v>
      </c>
      <c r="G53" s="70" t="s">
        <v>859</v>
      </c>
      <c r="H53" s="63">
        <f>B53/2.119</f>
        <v>42.000943841434633</v>
      </c>
      <c r="R53" s="190" t="s">
        <v>677</v>
      </c>
      <c r="S53" s="193" t="s">
        <v>678</v>
      </c>
      <c r="T53" s="190" t="s">
        <v>679</v>
      </c>
    </row>
    <row r="54" spans="1:20" ht="15" customHeight="1">
      <c r="A54" s="120" t="s">
        <v>860</v>
      </c>
      <c r="B54" s="14">
        <v>114</v>
      </c>
      <c r="C54" s="286">
        <f t="shared" si="10"/>
        <v>-5.3798961774421887E-2</v>
      </c>
      <c r="D54" s="14">
        <v>78</v>
      </c>
      <c r="E54" s="14">
        <v>86</v>
      </c>
      <c r="F54" s="14">
        <v>98</v>
      </c>
      <c r="G54" s="154" t="s">
        <v>861</v>
      </c>
      <c r="H54" s="63">
        <f>B54/2.119</f>
        <v>53.79896177442189</v>
      </c>
      <c r="R54" s="190" t="s">
        <v>680</v>
      </c>
      <c r="S54" s="193" t="s">
        <v>504</v>
      </c>
      <c r="T54" s="190" t="s">
        <v>681</v>
      </c>
    </row>
    <row r="55" spans="1:20" ht="15" customHeight="1">
      <c r="A55" s="1" t="s">
        <v>862</v>
      </c>
      <c r="B55" s="14">
        <v>155</v>
      </c>
      <c r="C55" s="286">
        <f t="shared" si="10"/>
        <v>-7.3147711184520986E-2</v>
      </c>
      <c r="D55" s="14">
        <v>75</v>
      </c>
      <c r="E55" s="14">
        <v>82</v>
      </c>
      <c r="F55" s="14">
        <v>123</v>
      </c>
      <c r="G55" s="154" t="s">
        <v>863</v>
      </c>
      <c r="H55" s="63">
        <f>B55/2.119</f>
        <v>73.147711184520986</v>
      </c>
      <c r="R55" s="190" t="s">
        <v>682</v>
      </c>
      <c r="S55" s="194"/>
      <c r="T55" s="190"/>
    </row>
    <row r="56" spans="1:20" ht="15" customHeight="1">
      <c r="A56" s="147" t="s">
        <v>864</v>
      </c>
      <c r="B56" s="281">
        <f>H56*2.119</f>
        <v>84.76</v>
      </c>
      <c r="C56" s="310">
        <f t="shared" si="10"/>
        <v>-0.04</v>
      </c>
      <c r="D56" s="279">
        <v>68</v>
      </c>
      <c r="E56" s="279">
        <v>75</v>
      </c>
      <c r="F56" s="279">
        <v>64</v>
      </c>
      <c r="G56" s="279" t="s">
        <v>865</v>
      </c>
      <c r="H56" s="281">
        <v>40</v>
      </c>
      <c r="I56" s="282">
        <v>1200</v>
      </c>
    </row>
    <row r="57" spans="1:20" ht="15" customHeight="1">
      <c r="A57" s="147" t="s">
        <v>866</v>
      </c>
      <c r="B57" s="281">
        <f>H57*2.119</f>
        <v>118.66400000000002</v>
      </c>
      <c r="C57" s="310">
        <f t="shared" si="10"/>
        <v>-5.6000000000000001E-2</v>
      </c>
      <c r="D57" s="279">
        <v>65</v>
      </c>
      <c r="E57" s="279">
        <v>75</v>
      </c>
      <c r="F57" s="279">
        <v>114</v>
      </c>
      <c r="G57" s="279" t="s">
        <v>865</v>
      </c>
      <c r="H57" s="281">
        <v>56</v>
      </c>
      <c r="I57" s="282">
        <v>2100</v>
      </c>
    </row>
    <row r="58" spans="1:20" ht="15" customHeight="1">
      <c r="A58" s="147" t="s">
        <v>867</v>
      </c>
      <c r="B58" s="281">
        <f>H58*2.119</f>
        <v>137.73500000000001</v>
      </c>
      <c r="C58" s="310">
        <f t="shared" si="10"/>
        <v>-6.5000000000000002E-2</v>
      </c>
      <c r="D58" s="279">
        <v>64</v>
      </c>
      <c r="E58" s="279">
        <v>72</v>
      </c>
      <c r="F58" s="279">
        <v>124</v>
      </c>
      <c r="G58" s="279" t="s">
        <v>865</v>
      </c>
      <c r="H58" s="281">
        <v>65</v>
      </c>
      <c r="I58" s="282">
        <v>2700</v>
      </c>
    </row>
    <row r="61" spans="1:20" ht="15" customHeight="1">
      <c r="A61" s="1" t="s">
        <v>1238</v>
      </c>
    </row>
    <row r="62" spans="1:20" ht="15" customHeight="1">
      <c r="A62" s="90" t="s">
        <v>1053</v>
      </c>
      <c r="B62" s="90"/>
      <c r="C62" s="90"/>
      <c r="D62" s="90"/>
      <c r="E62" s="90"/>
      <c r="F62" s="90"/>
      <c r="G62" s="90"/>
      <c r="H62" s="90"/>
      <c r="I62" s="90"/>
      <c r="J62" s="90"/>
      <c r="K62" s="90"/>
      <c r="L62" s="90"/>
      <c r="M62" s="90"/>
      <c r="N62" s="90"/>
      <c r="O62" s="90"/>
      <c r="P62" s="90"/>
      <c r="Q62" s="90"/>
    </row>
    <row r="63" spans="1:20" ht="15" customHeight="1">
      <c r="A63" s="90" t="s">
        <v>1058</v>
      </c>
      <c r="B63" s="90"/>
      <c r="C63" s="90" t="s">
        <v>803</v>
      </c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</row>
    <row r="64" spans="1:20" ht="15" customHeight="1">
      <c r="A64" s="90" t="s">
        <v>1055</v>
      </c>
      <c r="B64" s="90" t="s">
        <v>1054</v>
      </c>
      <c r="C64" s="90" t="s">
        <v>882</v>
      </c>
      <c r="D64" s="90" t="s">
        <v>823</v>
      </c>
      <c r="E64" s="90" t="s">
        <v>824</v>
      </c>
      <c r="F64" s="90" t="s">
        <v>825</v>
      </c>
      <c r="G64" s="90" t="s">
        <v>826</v>
      </c>
      <c r="H64" s="90" t="s">
        <v>827</v>
      </c>
      <c r="I64" s="90" t="s">
        <v>828</v>
      </c>
      <c r="J64" s="90" t="s">
        <v>829</v>
      </c>
      <c r="K64" s="90" t="s">
        <v>830</v>
      </c>
      <c r="L64" s="90" t="s">
        <v>831</v>
      </c>
      <c r="M64" s="90" t="s">
        <v>832</v>
      </c>
      <c r="N64" s="90" t="s">
        <v>833</v>
      </c>
      <c r="O64" s="90" t="s">
        <v>834</v>
      </c>
      <c r="P64" s="90">
        <v>7</v>
      </c>
      <c r="Q64" s="90">
        <v>8</v>
      </c>
    </row>
    <row r="65" spans="1:19" ht="15" customHeight="1">
      <c r="A65" s="90">
        <v>10</v>
      </c>
      <c r="B65" s="90" t="b">
        <f>Leakage!AF11</f>
        <v>0</v>
      </c>
      <c r="C65" s="90">
        <f>($B$65*A_houseSI*Weather!B25)/1.44</f>
        <v>0</v>
      </c>
      <c r="D65" s="90">
        <f>($B$65*A_houseSI*Weather!C25)/1.44</f>
        <v>0</v>
      </c>
      <c r="E65" s="90">
        <f>($B$65*A_houseSI*Weather!D25)/1.44</f>
        <v>0</v>
      </c>
      <c r="F65" s="90">
        <f>($B$65*A_houseSI*Weather!E25)/1.44</f>
        <v>0</v>
      </c>
      <c r="G65" s="90">
        <f>($B$65*A_houseSI*Weather!F25)/1.44</f>
        <v>0</v>
      </c>
      <c r="H65" s="90">
        <f>($B$65*A_houseSI*Weather!G25)/1.44</f>
        <v>0</v>
      </c>
      <c r="I65" s="90">
        <f>($B$65*A_houseSI*Weather!H25)/1.44</f>
        <v>0</v>
      </c>
      <c r="J65" s="90">
        <f>($B$65*A_houseSI*Weather!I25)/1.44</f>
        <v>0</v>
      </c>
      <c r="K65" s="90">
        <f>($B$65*A_houseSI*Weather!J25)/1.44</f>
        <v>0</v>
      </c>
      <c r="L65" s="90">
        <f>($B$65*A_houseSI*Weather!K25)/1.44</f>
        <v>0</v>
      </c>
      <c r="M65" s="90">
        <f>($B$65*A_houseSI*Weather!L25)/1.44</f>
        <v>0</v>
      </c>
      <c r="N65" s="90">
        <f>($B$65*A_houseSI*Weather!M25)/1.44</f>
        <v>0</v>
      </c>
      <c r="O65" s="90">
        <f>($B$65*A_houseSI*Weather!N25)/1.44</f>
        <v>0</v>
      </c>
      <c r="P65" s="90">
        <f>($B$65*A_houseSI*Weather!O25)/1.44</f>
        <v>0</v>
      </c>
      <c r="Q65" s="90">
        <f>($B$65*A_houseSI*Weather!P25)/1.44</f>
        <v>0</v>
      </c>
    </row>
    <row r="66" spans="1:19" ht="15" customHeight="1">
      <c r="A66" s="90">
        <v>7</v>
      </c>
      <c r="B66" s="90">
        <f>Leakage!AF12</f>
        <v>0.46896653891678425</v>
      </c>
      <c r="C66" s="90">
        <f>($B$66*A_houseSI*Weather!B25)/1.44</f>
        <v>26.696974099865677</v>
      </c>
      <c r="D66" s="90">
        <f>($B$66*A_houseSI*Weather!C25)/1.44</f>
        <v>27.348119809618503</v>
      </c>
      <c r="E66" s="90">
        <f>($B$66*A_houseSI*Weather!D25)/1.44</f>
        <v>27.99926551937132</v>
      </c>
      <c r="F66" s="90">
        <f>($B$66*A_houseSI*Weather!E25)/1.44</f>
        <v>29.952702648629788</v>
      </c>
      <c r="G66" s="90">
        <f>($B$66*A_houseSI*Weather!F25)/1.44</f>
        <v>31.254994068135424</v>
      </c>
      <c r="H66" s="90">
        <f>($B$66*A_houseSI*Weather!G25)/1.44</f>
        <v>39.068742585169282</v>
      </c>
      <c r="I66" s="90">
        <f>($B$66*A_houseSI*Weather!H25)/1.44</f>
        <v>32.557285487641067</v>
      </c>
      <c r="J66" s="90">
        <f>($B$66*A_houseSI*Weather!I25)/1.44</f>
        <v>35.16186832665236</v>
      </c>
      <c r="K66" s="90">
        <f>($B$66*A_houseSI*Weather!J25)/1.44</f>
        <v>35.813014036405178</v>
      </c>
      <c r="L66" s="90">
        <f>($B$66*A_houseSI*Weather!K25)/1.44</f>
        <v>39.068742585169282</v>
      </c>
      <c r="M66" s="90">
        <f>($B$66*A_houseSI*Weather!L25)/1.44</f>
        <v>36.464159746158003</v>
      </c>
      <c r="N66" s="90">
        <f>($B$66*A_houseSI*Weather!M25)/1.44</f>
        <v>39.719888294922107</v>
      </c>
      <c r="O66" s="90">
        <f>($B$66*A_houseSI*Weather!N25)/1.44</f>
        <v>41.02217971442775</v>
      </c>
      <c r="P66" s="90">
        <f>($B$66*A_houseSI*Weather!O25)/1.44</f>
        <v>45.580199682697497</v>
      </c>
      <c r="Q66" s="90">
        <f>($B$66*A_houseSI*Weather!P25)/1.44</f>
        <v>45.580199682697497</v>
      </c>
    </row>
    <row r="67" spans="1:19" ht="15" customHeight="1">
      <c r="A67" s="90">
        <v>5</v>
      </c>
      <c r="B67" s="90">
        <f>Leakage!AF13</f>
        <v>0.33497609922627442</v>
      </c>
      <c r="C67" s="90">
        <f>($B$67*A_houseSI*Weather!B25)/1.44</f>
        <v>19.069267214189768</v>
      </c>
      <c r="D67" s="90">
        <f>($B$67*A_houseSI*Weather!C25)/1.44</f>
        <v>19.534371292584641</v>
      </c>
      <c r="E67" s="90">
        <f>($B$67*A_houseSI*Weather!D25)/1.44</f>
        <v>19.999475370979514</v>
      </c>
      <c r="F67" s="90">
        <f>($B$67*A_houseSI*Weather!E25)/1.44</f>
        <v>21.394787606164133</v>
      </c>
      <c r="G67" s="90">
        <f>($B$67*A_houseSI*Weather!F25)/1.44</f>
        <v>22.324995762953876</v>
      </c>
      <c r="H67" s="90">
        <f>($B$67*A_houseSI*Weather!G25)/1.44</f>
        <v>27.906244703692344</v>
      </c>
      <c r="I67" s="90">
        <f>($B$67*A_houseSI*Weather!H25)/1.44</f>
        <v>23.255203919743622</v>
      </c>
      <c r="J67" s="90">
        <f>($B$67*A_houseSI*Weather!I25)/1.44</f>
        <v>25.11562023332311</v>
      </c>
      <c r="K67" s="90">
        <f>($B$67*A_houseSI*Weather!J25)/1.44</f>
        <v>25.580724311717987</v>
      </c>
      <c r="L67" s="90">
        <f>($B$67*A_houseSI*Weather!K25)/1.44</f>
        <v>27.906244703692344</v>
      </c>
      <c r="M67" s="90">
        <f>($B$67*A_houseSI*Weather!L25)/1.44</f>
        <v>26.04582839011286</v>
      </c>
      <c r="N67" s="90">
        <f>($B$67*A_houseSI*Weather!M25)/1.44</f>
        <v>28.371348782087217</v>
      </c>
      <c r="O67" s="90">
        <f>($B$67*A_houseSI*Weather!N25)/1.44</f>
        <v>29.301556938876963</v>
      </c>
      <c r="P67" s="90">
        <f>($B$67*A_houseSI*Weather!O25)/1.44</f>
        <v>32.557285487641067</v>
      </c>
      <c r="Q67" s="90">
        <f>($B$67*A_houseSI*Weather!P25)/1.44</f>
        <v>32.557285487641067</v>
      </c>
    </row>
    <row r="68" spans="1:19" ht="15" customHeight="1">
      <c r="A68" s="90">
        <v>3</v>
      </c>
      <c r="B68" s="90">
        <f>Leakage!AF14</f>
        <v>0.20098565953576467</v>
      </c>
      <c r="C68" s="90">
        <f>($B$68*A_houseSI*Weather!B25)/1.44</f>
        <v>11.441560328513861</v>
      </c>
      <c r="D68" s="90">
        <f>($B$68*A_houseSI*Weather!C25)/1.44</f>
        <v>11.720622775550783</v>
      </c>
      <c r="E68" s="90">
        <f>($B$68*A_houseSI*Weather!D25)/1.44</f>
        <v>11.999685222587708</v>
      </c>
      <c r="F68" s="90">
        <f>($B$68*A_houseSI*Weather!E25)/1.44</f>
        <v>12.83687256369848</v>
      </c>
      <c r="G68" s="90">
        <f>($B$68*A_houseSI*Weather!F25)/1.44</f>
        <v>13.394997457772325</v>
      </c>
      <c r="H68" s="90">
        <f>($B$68*A_houseSI*Weather!G25)/1.44</f>
        <v>16.743746822215407</v>
      </c>
      <c r="I68" s="90">
        <f>($B$68*A_houseSI*Weather!H25)/1.44</f>
        <v>13.953122351846172</v>
      </c>
      <c r="J68" s="90">
        <f>($B$68*A_houseSI*Weather!I25)/1.44</f>
        <v>15.069372139993867</v>
      </c>
      <c r="K68" s="90">
        <f>($B$68*A_houseSI*Weather!J25)/1.44</f>
        <v>15.348434587030791</v>
      </c>
      <c r="L68" s="90">
        <f>($B$68*A_houseSI*Weather!K25)/1.44</f>
        <v>16.743746822215407</v>
      </c>
      <c r="M68" s="90">
        <f>($B$68*A_houseSI*Weather!L25)/1.44</f>
        <v>15.627497034067714</v>
      </c>
      <c r="N68" s="90">
        <f>($B$68*A_houseSI*Weather!M25)/1.44</f>
        <v>17.022809269252328</v>
      </c>
      <c r="O68" s="90">
        <f>($B$68*A_houseSI*Weather!N25)/1.44</f>
        <v>17.580934163326177</v>
      </c>
      <c r="P68" s="90">
        <f>($B$68*A_houseSI*Weather!O25)/1.44</f>
        <v>19.534371292584638</v>
      </c>
      <c r="Q68" s="90">
        <f>($B$68*A_houseSI*Weather!P25)/1.44</f>
        <v>19.534371292584638</v>
      </c>
    </row>
    <row r="69" spans="1:19" ht="15" customHeight="1">
      <c r="A69" s="90">
        <v>1.5</v>
      </c>
      <c r="B69" s="90">
        <f>Leakage!AF15</f>
        <v>0.10049282976788233</v>
      </c>
      <c r="C69" s="90">
        <f>($B$69*A_houseSI*Weather!B25)/1.44</f>
        <v>5.7207801642569303</v>
      </c>
      <c r="D69" s="90">
        <f>($B$69*A_houseSI*Weather!C25)/1.44</f>
        <v>5.8603113877753916</v>
      </c>
      <c r="E69" s="90">
        <f>($B$69*A_houseSI*Weather!D25)/1.44</f>
        <v>5.9998426112938539</v>
      </c>
      <c r="F69" s="90">
        <f>($B$69*A_houseSI*Weather!E25)/1.44</f>
        <v>6.4184362818492398</v>
      </c>
      <c r="G69" s="90">
        <f>($B$69*A_houseSI*Weather!F25)/1.44</f>
        <v>6.6974987288861625</v>
      </c>
      <c r="H69" s="90">
        <f>($B$69*A_houseSI*Weather!G25)/1.44</f>
        <v>8.3718734111077033</v>
      </c>
      <c r="I69" s="90">
        <f>($B$69*A_houseSI*Weather!H25)/1.44</f>
        <v>6.9765611759230861</v>
      </c>
      <c r="J69" s="90">
        <f>($B$69*A_houseSI*Weather!I25)/1.44</f>
        <v>7.5346860699969334</v>
      </c>
      <c r="K69" s="90">
        <f>($B$69*A_houseSI*Weather!J25)/1.44</f>
        <v>7.6742172935153956</v>
      </c>
      <c r="L69" s="90">
        <f>($B$69*A_houseSI*Weather!K25)/1.44</f>
        <v>8.3718734111077033</v>
      </c>
      <c r="M69" s="90">
        <f>($B$69*A_houseSI*Weather!L25)/1.44</f>
        <v>7.813748517033857</v>
      </c>
      <c r="N69" s="90">
        <f>($B$69*A_houseSI*Weather!M25)/1.44</f>
        <v>8.5114046346261638</v>
      </c>
      <c r="O69" s="90">
        <f>($B$69*A_houseSI*Weather!N25)/1.44</f>
        <v>8.7904670816630883</v>
      </c>
      <c r="P69" s="90">
        <f>($B$69*A_houseSI*Weather!O25)/1.44</f>
        <v>9.7671856462923188</v>
      </c>
      <c r="Q69" s="90">
        <f>($B$69*A_houseSI*Weather!P25)/1.44</f>
        <v>9.7671856462923188</v>
      </c>
    </row>
    <row r="70" spans="1:19" ht="15" customHeight="1">
      <c r="A70" s="90">
        <v>0.6</v>
      </c>
      <c r="B70" s="90">
        <f>Leakage!AF16</f>
        <v>4.0197131907152933E-2</v>
      </c>
      <c r="C70" s="90">
        <f>($B$70*A_houseSI*Weather!B25)/1.44</f>
        <v>2.2883120657027725</v>
      </c>
      <c r="D70" s="90">
        <f>($B$70*A_houseSI*Weather!C25)/1.44</f>
        <v>2.3441245551101568</v>
      </c>
      <c r="E70" s="90">
        <f>($B$70*A_houseSI*Weather!D25)/1.44</f>
        <v>2.3999370445175416</v>
      </c>
      <c r="F70" s="90">
        <f>($B$70*A_houseSI*Weather!E25)/1.44</f>
        <v>2.5673745127396961</v>
      </c>
      <c r="G70" s="90">
        <f>($B$70*A_houseSI*Weather!F25)/1.44</f>
        <v>2.6789994915544653</v>
      </c>
      <c r="H70" s="90">
        <f>($B$70*A_houseSI*Weather!G25)/1.44</f>
        <v>3.3487493644430817</v>
      </c>
      <c r="I70" s="90">
        <f>($B$70*A_houseSI*Weather!H25)/1.44</f>
        <v>2.7906244703692344</v>
      </c>
      <c r="J70" s="90">
        <f>($B$70*A_houseSI*Weather!I25)/1.44</f>
        <v>3.0138744279987733</v>
      </c>
      <c r="K70" s="90">
        <f>($B$70*A_houseSI*Weather!J25)/1.44</f>
        <v>3.0696869174061585</v>
      </c>
      <c r="L70" s="90">
        <f>($B$70*A_houseSI*Weather!K25)/1.44</f>
        <v>3.3487493644430817</v>
      </c>
      <c r="M70" s="90">
        <f>($B$70*A_houseSI*Weather!L25)/1.44</f>
        <v>3.1254994068135429</v>
      </c>
      <c r="N70" s="90">
        <f>($B$70*A_houseSI*Weather!M25)/1.44</f>
        <v>3.4045618538504661</v>
      </c>
      <c r="O70" s="90">
        <f>($B$70*A_houseSI*Weather!N25)/1.44</f>
        <v>3.5161868326652357</v>
      </c>
      <c r="P70" s="90">
        <f>($B$70*A_houseSI*Weather!O25)/1.44</f>
        <v>3.906874258516928</v>
      </c>
      <c r="Q70" s="90">
        <f>($B$70*A_houseSI*Weather!P25)/1.44</f>
        <v>3.906874258516928</v>
      </c>
    </row>
    <row r="71" spans="1:19" ht="15" customHeight="1">
      <c r="A71" s="90" t="s">
        <v>1071</v>
      </c>
      <c r="B71" s="90" t="s">
        <v>924</v>
      </c>
      <c r="C71" s="90">
        <v>0</v>
      </c>
      <c r="D71" s="90">
        <v>0</v>
      </c>
      <c r="E71" s="90">
        <v>0</v>
      </c>
      <c r="F71" s="90">
        <v>0</v>
      </c>
      <c r="G71" s="90">
        <v>0</v>
      </c>
      <c r="H71" s="90">
        <v>0</v>
      </c>
      <c r="I71" s="90">
        <v>0</v>
      </c>
      <c r="J71" s="90">
        <v>0</v>
      </c>
      <c r="K71" s="90">
        <v>0</v>
      </c>
      <c r="L71" s="90">
        <v>0</v>
      </c>
      <c r="M71" s="90">
        <v>0</v>
      </c>
      <c r="N71" s="90">
        <v>0</v>
      </c>
      <c r="O71" s="90">
        <v>0</v>
      </c>
      <c r="P71" s="90">
        <v>0</v>
      </c>
      <c r="Q71" s="90">
        <v>0</v>
      </c>
    </row>
    <row r="72" spans="1:19" ht="15" customHeight="1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90"/>
      <c r="Q72" s="90"/>
    </row>
    <row r="73" spans="1:19" ht="15" customHeight="1">
      <c r="A73" s="420" t="s">
        <v>1056</v>
      </c>
      <c r="B73" s="420"/>
      <c r="C73" s="420"/>
      <c r="D73" s="420"/>
      <c r="E73" s="420"/>
      <c r="F73" s="420"/>
      <c r="G73" s="420"/>
      <c r="H73" s="420"/>
      <c r="I73" s="420"/>
      <c r="J73" s="420"/>
      <c r="K73" s="420"/>
      <c r="L73" s="420"/>
      <c r="M73" s="420"/>
      <c r="N73" s="420"/>
      <c r="O73" s="420"/>
      <c r="P73" s="420"/>
      <c r="Q73" s="420"/>
    </row>
    <row r="74" spans="1:19" ht="15" customHeight="1">
      <c r="A74" s="420" t="s">
        <v>1057</v>
      </c>
      <c r="B74" s="420"/>
      <c r="C74" s="420" t="s">
        <v>803</v>
      </c>
      <c r="D74" s="420"/>
      <c r="E74" s="420"/>
      <c r="F74" s="420"/>
      <c r="G74" s="420"/>
      <c r="H74" s="420"/>
      <c r="I74" s="420"/>
      <c r="J74" s="420"/>
      <c r="K74" s="420"/>
      <c r="L74" s="420"/>
      <c r="M74" s="420"/>
      <c r="N74" s="420"/>
      <c r="O74" s="420"/>
      <c r="P74" s="420"/>
      <c r="Q74" s="420"/>
    </row>
    <row r="75" spans="1:19" ht="15" customHeight="1">
      <c r="A75" s="420" t="s">
        <v>1055</v>
      </c>
      <c r="B75" s="420" t="s">
        <v>1054</v>
      </c>
      <c r="C75" s="420" t="s">
        <v>882</v>
      </c>
      <c r="D75" s="420" t="s">
        <v>823</v>
      </c>
      <c r="E75" s="420" t="s">
        <v>824</v>
      </c>
      <c r="F75" s="420" t="s">
        <v>825</v>
      </c>
      <c r="G75" s="420" t="s">
        <v>826</v>
      </c>
      <c r="H75" s="420" t="s">
        <v>827</v>
      </c>
      <c r="I75" s="420" t="s">
        <v>828</v>
      </c>
      <c r="J75" s="420" t="s">
        <v>829</v>
      </c>
      <c r="K75" s="420" t="s">
        <v>830</v>
      </c>
      <c r="L75" s="420" t="s">
        <v>831</v>
      </c>
      <c r="M75" s="420" t="s">
        <v>832</v>
      </c>
      <c r="N75" s="420" t="s">
        <v>833</v>
      </c>
      <c r="O75" s="420" t="s">
        <v>834</v>
      </c>
      <c r="P75" s="420">
        <v>7</v>
      </c>
      <c r="Q75" s="420">
        <v>8</v>
      </c>
      <c r="R75" s="1" t="s">
        <v>1060</v>
      </c>
      <c r="S75" s="1" t="s">
        <v>1059</v>
      </c>
    </row>
    <row r="76" spans="1:19" ht="15" customHeight="1">
      <c r="A76" s="420">
        <v>10</v>
      </c>
      <c r="B76" s="420" t="b">
        <f>Leakage!AF11</f>
        <v>0</v>
      </c>
      <c r="C76" s="420">
        <f>IF(mainINPUT!$E$1="existing",IF(Fans!$L$2-Fans!C65&lt;=0,0,Fans!$L$2-Fans!C65),IF(C65&lt;(2/3)*Fans!$L$2,Fans!$L$2-Fans!C65,(1/3)*Fans!$L$2))</f>
        <v>36.990940000000002</v>
      </c>
      <c r="D76" s="420">
        <f>IF(mainINPUT!$E$1="existing",IF(Fans!$L$2-Fans!D65&lt;=0,0,Fans!$L$2-Fans!D65),IF(D65&lt;(2/3)*Fans!$L$2,Fans!$L$2-Fans!D65,(1/3)*Fans!$L$2))</f>
        <v>36.990940000000002</v>
      </c>
      <c r="E76" s="420">
        <f>IF(mainINPUT!$E$1="existing",IF(Fans!$L$2-Fans!E65&lt;=0,0,Fans!$L$2-Fans!E65),IF(E65&lt;(2/3)*Fans!$L$2,Fans!$L$2-Fans!E65,(1/3)*Fans!$L$2))</f>
        <v>36.990940000000002</v>
      </c>
      <c r="F76" s="420">
        <f>IF(mainINPUT!$E$1="existing",IF(Fans!$L$2-Fans!F65&lt;=0,0,Fans!$L$2-Fans!F65),IF(F65&lt;(2/3)*Fans!$L$2,Fans!$L$2-Fans!F65,(1/3)*Fans!$L$2))</f>
        <v>36.990940000000002</v>
      </c>
      <c r="G76" s="420">
        <f>IF(mainINPUT!$E$1="existing",IF(Fans!$L$2-Fans!G65&lt;=0,0,Fans!$L$2-Fans!G65),IF(G65&lt;(2/3)*Fans!$L$2,Fans!$L$2-Fans!G65,(1/3)*Fans!$L$2))</f>
        <v>36.990940000000002</v>
      </c>
      <c r="H76" s="420">
        <f>IF(mainINPUT!$E$1="existing",IF(Fans!$L$2-Fans!H65&lt;=0,0,Fans!$L$2-Fans!H65),IF(H65&lt;(2/3)*Fans!$L$2,Fans!$L$2-Fans!H65,(1/3)*Fans!$L$2))</f>
        <v>36.990940000000002</v>
      </c>
      <c r="I76" s="420">
        <f>IF(mainINPUT!$E$1="existing",IF(Fans!$L$2-Fans!I65&lt;=0,0,Fans!$L$2-Fans!I65),IF(I65&lt;(2/3)*Fans!$L$2,Fans!$L$2-Fans!I65,(1/3)*Fans!$L$2))</f>
        <v>36.990940000000002</v>
      </c>
      <c r="J76" s="420">
        <f>IF(mainINPUT!$E$1="existing",IF(Fans!$L$2-Fans!J65&lt;=0,0,Fans!$L$2-Fans!J65),IF(J65&lt;(2/3)*Fans!$L$2,Fans!$L$2-Fans!J65,(1/3)*Fans!$L$2))</f>
        <v>36.990940000000002</v>
      </c>
      <c r="K76" s="420">
        <f>IF(mainINPUT!$E$1="existing",IF(Fans!$L$2-Fans!K65&lt;=0,0,Fans!$L$2-Fans!K65),IF(K65&lt;(2/3)*Fans!$L$2,Fans!$L$2-Fans!K65,(1/3)*Fans!$L$2))</f>
        <v>36.990940000000002</v>
      </c>
      <c r="L76" s="420">
        <f>IF(mainINPUT!$E$1="existing",IF(Fans!$L$2-Fans!L65&lt;=0,0,Fans!$L$2-Fans!L65),IF(L65&lt;(2/3)*Fans!$L$2,Fans!$L$2-Fans!L65,(1/3)*Fans!$L$2))</f>
        <v>36.990940000000002</v>
      </c>
      <c r="M76" s="420">
        <f>IF(mainINPUT!$E$1="existing",IF(Fans!$L$2-Fans!M65&lt;=0,0,Fans!$L$2-Fans!M65),IF(M65&lt;(2/3)*Fans!$L$2,Fans!$L$2-Fans!M65,(1/3)*Fans!$L$2))</f>
        <v>36.990940000000002</v>
      </c>
      <c r="N76" s="420">
        <f>IF(mainINPUT!$E$1="existing",IF(Fans!$L$2-Fans!N65&lt;=0,0,Fans!$L$2-Fans!N65),IF(N65&lt;(2/3)*Fans!$L$2,Fans!$L$2-Fans!N65,(1/3)*Fans!$L$2))</f>
        <v>36.990940000000002</v>
      </c>
      <c r="O76" s="420">
        <f>IF(mainINPUT!$E$1="existing",IF(Fans!$L$2-Fans!O65&lt;=0,0,Fans!$L$2-Fans!O65),IF(O65&lt;(2/3)*Fans!$L$2,Fans!$L$2-Fans!O65,(1/3)*Fans!$L$2))</f>
        <v>36.990940000000002</v>
      </c>
      <c r="P76" s="420">
        <f>IF(mainINPUT!$E$1="existing",IF(Fans!$L$2-Fans!P65&lt;=0,0,Fans!$L$2-Fans!P65),IF(P65&lt;(2/3)*Fans!$L$2,Fans!$L$2-Fans!P65,(1/3)*Fans!$L$2))</f>
        <v>36.990940000000002</v>
      </c>
      <c r="Q76" s="420">
        <f>IF(mainINPUT!$E$1="existing",IF(Fans!$L$2-Fans!Q65&lt;=0,0,Fans!$L$2-Fans!Q65),IF(Q65&lt;(2/3)*Fans!$L$2,Fans!$L$2-Fans!Q65,(1/3)*Fans!$L$2))</f>
        <v>36.990940000000002</v>
      </c>
      <c r="R76" s="118" t="s">
        <v>362</v>
      </c>
      <c r="S76" s="1">
        <v>50</v>
      </c>
    </row>
    <row r="77" spans="1:19" ht="15" customHeight="1">
      <c r="A77" s="420">
        <v>7</v>
      </c>
      <c r="B77" s="420">
        <f>Leakage!AF12</f>
        <v>0.46896653891678425</v>
      </c>
      <c r="C77" s="420">
        <f>IF(mainINPUT!$E$1="existing",IF(Fans!$L$2-Fans!C66&lt;=0,0,Fans!$L$2-Fans!C66),IF(C66&lt;(2/3)*Fans!$L$2,Fans!$L$2-Fans!C66,(1/3)*Fans!$L$2))</f>
        <v>12.330313333333333</v>
      </c>
      <c r="D77" s="420">
        <f>IF(mainINPUT!$E$1="existing",IF(Fans!$L$2-Fans!D66&lt;=0,0,Fans!$L$2-Fans!D66),IF(D66&lt;(2/3)*Fans!$L$2,Fans!$L$2-Fans!D66,(1/3)*Fans!$L$2))</f>
        <v>12.330313333333333</v>
      </c>
      <c r="E77" s="420">
        <f>IF(mainINPUT!$E$1="existing",IF(Fans!$L$2-Fans!E66&lt;=0,0,Fans!$L$2-Fans!E66),IF(E66&lt;(2/3)*Fans!$L$2,Fans!$L$2-Fans!E66,(1/3)*Fans!$L$2))</f>
        <v>12.330313333333333</v>
      </c>
      <c r="F77" s="420">
        <f>IF(mainINPUT!$E$1="existing",IF(Fans!$L$2-Fans!F66&lt;=0,0,Fans!$L$2-Fans!F66),IF(F66&lt;(2/3)*Fans!$L$2,Fans!$L$2-Fans!F66,(1/3)*Fans!$L$2))</f>
        <v>12.330313333333333</v>
      </c>
      <c r="G77" s="420">
        <f>IF(mainINPUT!$E$1="existing",IF(Fans!$L$2-Fans!G66&lt;=0,0,Fans!$L$2-Fans!G66),IF(G66&lt;(2/3)*Fans!$L$2,Fans!$L$2-Fans!G66,(1/3)*Fans!$L$2))</f>
        <v>12.330313333333333</v>
      </c>
      <c r="H77" s="420">
        <f>IF(mainINPUT!$E$1="existing",IF(Fans!$L$2-Fans!H66&lt;=0,0,Fans!$L$2-Fans!H66),IF(H66&lt;(2/3)*Fans!$L$2,Fans!$L$2-Fans!H66,(1/3)*Fans!$L$2))</f>
        <v>12.330313333333333</v>
      </c>
      <c r="I77" s="420">
        <f>IF(mainINPUT!$E$1="existing",IF(Fans!$L$2-Fans!I66&lt;=0,0,Fans!$L$2-Fans!I66),IF(I66&lt;(2/3)*Fans!$L$2,Fans!$L$2-Fans!I66,(1/3)*Fans!$L$2))</f>
        <v>12.330313333333333</v>
      </c>
      <c r="J77" s="420">
        <f>IF(mainINPUT!$E$1="existing",IF(Fans!$L$2-Fans!J66&lt;=0,0,Fans!$L$2-Fans!J66),IF(J66&lt;(2/3)*Fans!$L$2,Fans!$L$2-Fans!J66,(1/3)*Fans!$L$2))</f>
        <v>12.330313333333333</v>
      </c>
      <c r="K77" s="420">
        <f>IF(mainINPUT!$E$1="existing",IF(Fans!$L$2-Fans!K66&lt;=0,0,Fans!$L$2-Fans!K66),IF(K66&lt;(2/3)*Fans!$L$2,Fans!$L$2-Fans!K66,(1/3)*Fans!$L$2))</f>
        <v>12.330313333333333</v>
      </c>
      <c r="L77" s="420">
        <f>IF(mainINPUT!$E$1="existing",IF(Fans!$L$2-Fans!L66&lt;=0,0,Fans!$L$2-Fans!L66),IF(L66&lt;(2/3)*Fans!$L$2,Fans!$L$2-Fans!L66,(1/3)*Fans!$L$2))</f>
        <v>12.330313333333333</v>
      </c>
      <c r="M77" s="420">
        <f>IF(mainINPUT!$E$1="existing",IF(Fans!$L$2-Fans!M66&lt;=0,0,Fans!$L$2-Fans!M66),IF(M66&lt;(2/3)*Fans!$L$2,Fans!$L$2-Fans!M66,(1/3)*Fans!$L$2))</f>
        <v>12.330313333333333</v>
      </c>
      <c r="N77" s="420">
        <f>IF(mainINPUT!$E$1="existing",IF(Fans!$L$2-Fans!N66&lt;=0,0,Fans!$L$2-Fans!N66),IF(N66&lt;(2/3)*Fans!$L$2,Fans!$L$2-Fans!N66,(1/3)*Fans!$L$2))</f>
        <v>12.330313333333333</v>
      </c>
      <c r="O77" s="420">
        <f>IF(mainINPUT!$E$1="existing",IF(Fans!$L$2-Fans!O66&lt;=0,0,Fans!$L$2-Fans!O66),IF(O66&lt;(2/3)*Fans!$L$2,Fans!$L$2-Fans!O66,(1/3)*Fans!$L$2))</f>
        <v>12.330313333333333</v>
      </c>
      <c r="P77" s="420">
        <f>IF(mainINPUT!$E$1="existing",IF(Fans!$L$2-Fans!P66&lt;=0,0,Fans!$L$2-Fans!P66),IF(P66&lt;(2/3)*Fans!$L$2,Fans!$L$2-Fans!P66,(1/3)*Fans!$L$2))</f>
        <v>12.330313333333333</v>
      </c>
      <c r="Q77" s="420">
        <f>IF(mainINPUT!$E$1="existing",IF(Fans!$L$2-Fans!Q66&lt;=0,0,Fans!$L$2-Fans!Q66),IF(Q66&lt;(2/3)*Fans!$L$2,Fans!$L$2-Fans!Q66,(1/3)*Fans!$L$2))</f>
        <v>12.330313333333333</v>
      </c>
      <c r="R77" s="118" t="s">
        <v>362</v>
      </c>
      <c r="S77" s="1">
        <v>50</v>
      </c>
    </row>
    <row r="78" spans="1:19" ht="15" customHeight="1">
      <c r="A78" s="420">
        <v>5</v>
      </c>
      <c r="B78" s="420">
        <f>Leakage!AF13</f>
        <v>0.33497609922627442</v>
      </c>
      <c r="C78" s="420">
        <f>IF(mainINPUT!$E$1="existing",IF(Fans!$L$2-Fans!C67&lt;=0,0,Fans!$L$2-Fans!C67),IF(C67&lt;(2/3)*Fans!$L$2,Fans!$L$2-Fans!C67,(1/3)*Fans!$L$2))</f>
        <v>17.921672785810234</v>
      </c>
      <c r="D78" s="420">
        <f>IF(mainINPUT!$E$1="existing",IF(Fans!$L$2-Fans!D67&lt;=0,0,Fans!$L$2-Fans!D67),IF(D67&lt;(2/3)*Fans!$L$2,Fans!$L$2-Fans!D67,(1/3)*Fans!$L$2))</f>
        <v>17.456568707415361</v>
      </c>
      <c r="E78" s="420">
        <f>IF(mainINPUT!$E$1="existing",IF(Fans!$L$2-Fans!E67&lt;=0,0,Fans!$L$2-Fans!E67),IF(E67&lt;(2/3)*Fans!$L$2,Fans!$L$2-Fans!E67,(1/3)*Fans!$L$2))</f>
        <v>16.991464629020488</v>
      </c>
      <c r="F78" s="420">
        <f>IF(mainINPUT!$E$1="existing",IF(Fans!$L$2-Fans!F67&lt;=0,0,Fans!$L$2-Fans!F67),IF(F67&lt;(2/3)*Fans!$L$2,Fans!$L$2-Fans!F67,(1/3)*Fans!$L$2))</f>
        <v>15.596152393835869</v>
      </c>
      <c r="G78" s="420">
        <f>IF(mainINPUT!$E$1="existing",IF(Fans!$L$2-Fans!G67&lt;=0,0,Fans!$L$2-Fans!G67),IF(G67&lt;(2/3)*Fans!$L$2,Fans!$L$2-Fans!G67,(1/3)*Fans!$L$2))</f>
        <v>14.665944237046126</v>
      </c>
      <c r="H78" s="420">
        <f>IF(mainINPUT!$E$1="existing",IF(Fans!$L$2-Fans!H67&lt;=0,0,Fans!$L$2-Fans!H67),IF(H67&lt;(2/3)*Fans!$L$2,Fans!$L$2-Fans!H67,(1/3)*Fans!$L$2))</f>
        <v>12.330313333333333</v>
      </c>
      <c r="I78" s="420">
        <f>IF(mainINPUT!$E$1="existing",IF(Fans!$L$2-Fans!I67&lt;=0,0,Fans!$L$2-Fans!I67),IF(I67&lt;(2/3)*Fans!$L$2,Fans!$L$2-Fans!I67,(1/3)*Fans!$L$2))</f>
        <v>13.73573608025638</v>
      </c>
      <c r="J78" s="420">
        <f>IF(mainINPUT!$E$1="existing",IF(Fans!$L$2-Fans!J67&lt;=0,0,Fans!$L$2-Fans!J67),IF(J67&lt;(2/3)*Fans!$L$2,Fans!$L$2-Fans!J67,(1/3)*Fans!$L$2))</f>
        <v>12.330313333333333</v>
      </c>
      <c r="K78" s="420">
        <f>IF(mainINPUT!$E$1="existing",IF(Fans!$L$2-Fans!K67&lt;=0,0,Fans!$L$2-Fans!K67),IF(K67&lt;(2/3)*Fans!$L$2,Fans!$L$2-Fans!K67,(1/3)*Fans!$L$2))</f>
        <v>12.330313333333333</v>
      </c>
      <c r="L78" s="420">
        <f>IF(mainINPUT!$E$1="existing",IF(Fans!$L$2-Fans!L67&lt;=0,0,Fans!$L$2-Fans!L67),IF(L67&lt;(2/3)*Fans!$L$2,Fans!$L$2-Fans!L67,(1/3)*Fans!$L$2))</f>
        <v>12.330313333333333</v>
      </c>
      <c r="M78" s="420">
        <f>IF(mainINPUT!$E$1="existing",IF(Fans!$L$2-Fans!M67&lt;=0,0,Fans!$L$2-Fans!M67),IF(M67&lt;(2/3)*Fans!$L$2,Fans!$L$2-Fans!M67,(1/3)*Fans!$L$2))</f>
        <v>12.330313333333333</v>
      </c>
      <c r="N78" s="420">
        <f>IF(mainINPUT!$E$1="existing",IF(Fans!$L$2-Fans!N67&lt;=0,0,Fans!$L$2-Fans!N67),IF(N67&lt;(2/3)*Fans!$L$2,Fans!$L$2-Fans!N67,(1/3)*Fans!$L$2))</f>
        <v>12.330313333333333</v>
      </c>
      <c r="O78" s="420">
        <f>IF(mainINPUT!$E$1="existing",IF(Fans!$L$2-Fans!O67&lt;=0,0,Fans!$L$2-Fans!O67),IF(O67&lt;(2/3)*Fans!$L$2,Fans!$L$2-Fans!O67,(1/3)*Fans!$L$2))</f>
        <v>12.330313333333333</v>
      </c>
      <c r="P78" s="420">
        <f>IF(mainINPUT!$E$1="existing",IF(Fans!$L$2-Fans!P67&lt;=0,0,Fans!$L$2-Fans!P67),IF(P67&lt;(2/3)*Fans!$L$2,Fans!$L$2-Fans!P67,(1/3)*Fans!$L$2))</f>
        <v>12.330313333333333</v>
      </c>
      <c r="Q78" s="420">
        <f>IF(mainINPUT!$E$1="existing",IF(Fans!$L$2-Fans!Q67&lt;=0,0,Fans!$L$2-Fans!Q67),IF(Q67&lt;(2/3)*Fans!$L$2,Fans!$L$2-Fans!Q67,(1/3)*Fans!$L$2))</f>
        <v>12.330313333333333</v>
      </c>
      <c r="R78" s="118" t="s">
        <v>362</v>
      </c>
      <c r="S78" s="1">
        <v>50</v>
      </c>
    </row>
    <row r="79" spans="1:19" ht="15" customHeight="1">
      <c r="A79" s="420">
        <v>3</v>
      </c>
      <c r="B79" s="420">
        <f>Leakage!AF14</f>
        <v>0.20098565953576467</v>
      </c>
      <c r="C79" s="420">
        <f>IF(mainINPUT!$E$1="existing",IF(Fans!$L$2-Fans!C68&lt;=0,0,Fans!$L$2-Fans!C68),IF(C68&lt;(2/3)*Fans!$L$2,Fans!$L$2-Fans!C68,(1/3)*Fans!$L$2))</f>
        <v>25.549379671486143</v>
      </c>
      <c r="D79" s="420">
        <f>IF(mainINPUT!$E$1="existing",IF(Fans!$L$2-Fans!D68&lt;=0,0,Fans!$L$2-Fans!D68),IF(D68&lt;(2/3)*Fans!$L$2,Fans!$L$2-Fans!D68,(1/3)*Fans!$L$2))</f>
        <v>25.270317224449219</v>
      </c>
      <c r="E79" s="420">
        <f>IF(mainINPUT!$E$1="existing",IF(Fans!$L$2-Fans!E68&lt;=0,0,Fans!$L$2-Fans!E68),IF(E68&lt;(2/3)*Fans!$L$2,Fans!$L$2-Fans!E68,(1/3)*Fans!$L$2))</f>
        <v>24.991254777412294</v>
      </c>
      <c r="F79" s="420">
        <f>IF(mainINPUT!$E$1="existing",IF(Fans!$L$2-Fans!F68&lt;=0,0,Fans!$L$2-Fans!F68),IF(F68&lt;(2/3)*Fans!$L$2,Fans!$L$2-Fans!F68,(1/3)*Fans!$L$2))</f>
        <v>24.154067436301524</v>
      </c>
      <c r="G79" s="420">
        <f>IF(mainINPUT!$E$1="existing",IF(Fans!$L$2-Fans!G68&lt;=0,0,Fans!$L$2-Fans!G68),IF(G68&lt;(2/3)*Fans!$L$2,Fans!$L$2-Fans!G68,(1/3)*Fans!$L$2))</f>
        <v>23.595942542227675</v>
      </c>
      <c r="H79" s="420">
        <f>IF(mainINPUT!$E$1="existing",IF(Fans!$L$2-Fans!H68&lt;=0,0,Fans!$L$2-Fans!H68),IF(H68&lt;(2/3)*Fans!$L$2,Fans!$L$2-Fans!H68,(1/3)*Fans!$L$2))</f>
        <v>20.247193177784595</v>
      </c>
      <c r="I79" s="420">
        <f>IF(mainINPUT!$E$1="existing",IF(Fans!$L$2-Fans!I68&lt;=0,0,Fans!$L$2-Fans!I68),IF(I68&lt;(2/3)*Fans!$L$2,Fans!$L$2-Fans!I68,(1/3)*Fans!$L$2))</f>
        <v>23.03781764815383</v>
      </c>
      <c r="J79" s="420">
        <f>IF(mainINPUT!$E$1="existing",IF(Fans!$L$2-Fans!J68&lt;=0,0,Fans!$L$2-Fans!J68),IF(J68&lt;(2/3)*Fans!$L$2,Fans!$L$2-Fans!J68,(1/3)*Fans!$L$2))</f>
        <v>21.921567860006135</v>
      </c>
      <c r="K79" s="420">
        <f>IF(mainINPUT!$E$1="existing",IF(Fans!$L$2-Fans!K68&lt;=0,0,Fans!$L$2-Fans!K68),IF(K68&lt;(2/3)*Fans!$L$2,Fans!$L$2-Fans!K68,(1/3)*Fans!$L$2))</f>
        <v>21.642505412969211</v>
      </c>
      <c r="L79" s="420">
        <f>IF(mainINPUT!$E$1="existing",IF(Fans!$L$2-Fans!L68&lt;=0,0,Fans!$L$2-Fans!L68),IF(L68&lt;(2/3)*Fans!$L$2,Fans!$L$2-Fans!L68,(1/3)*Fans!$L$2))</f>
        <v>20.247193177784595</v>
      </c>
      <c r="M79" s="420">
        <f>IF(mainINPUT!$E$1="existing",IF(Fans!$L$2-Fans!M68&lt;=0,0,Fans!$L$2-Fans!M68),IF(M68&lt;(2/3)*Fans!$L$2,Fans!$L$2-Fans!M68,(1/3)*Fans!$L$2))</f>
        <v>21.363442965932286</v>
      </c>
      <c r="N79" s="420">
        <f>IF(mainINPUT!$E$1="existing",IF(Fans!$L$2-Fans!N68&lt;=0,0,Fans!$L$2-Fans!N68),IF(N68&lt;(2/3)*Fans!$L$2,Fans!$L$2-Fans!N68,(1/3)*Fans!$L$2))</f>
        <v>19.968130730747674</v>
      </c>
      <c r="O79" s="420">
        <f>IF(mainINPUT!$E$1="existing",IF(Fans!$L$2-Fans!O68&lt;=0,0,Fans!$L$2-Fans!O68),IF(O68&lt;(2/3)*Fans!$L$2,Fans!$L$2-Fans!O68,(1/3)*Fans!$L$2))</f>
        <v>19.410005836673825</v>
      </c>
      <c r="P79" s="420">
        <f>IF(mainINPUT!$E$1="existing",IF(Fans!$L$2-Fans!P68&lt;=0,0,Fans!$L$2-Fans!P68),IF(P68&lt;(2/3)*Fans!$L$2,Fans!$L$2-Fans!P68,(1/3)*Fans!$L$2))</f>
        <v>17.456568707415364</v>
      </c>
      <c r="Q79" s="420">
        <f>IF(mainINPUT!$E$1="existing",IF(Fans!$L$2-Fans!Q68&lt;=0,0,Fans!$L$2-Fans!Q68),IF(Q68&lt;(2/3)*Fans!$L$2,Fans!$L$2-Fans!Q68,(1/3)*Fans!$L$2))</f>
        <v>17.456568707415364</v>
      </c>
      <c r="R79" s="120" t="s">
        <v>382</v>
      </c>
      <c r="S79" s="1">
        <v>70</v>
      </c>
    </row>
    <row r="80" spans="1:19" ht="15" customHeight="1">
      <c r="A80" s="420">
        <v>1.5</v>
      </c>
      <c r="B80" s="420">
        <f>Leakage!AF15</f>
        <v>0.10049282976788233</v>
      </c>
      <c r="C80" s="420">
        <f>IF(mainINPUT!$E$1="existing",IF(Fans!$L$2-Fans!C69&lt;=0,0,Fans!$L$2-Fans!C69),IF(C69&lt;(2/3)*Fans!$L$2,Fans!$L$2-Fans!C69,(1/3)*Fans!$L$2))</f>
        <v>31.270159835743073</v>
      </c>
      <c r="D80" s="420">
        <f>IF(mainINPUT!$E$1="existing",IF(Fans!$L$2-Fans!D69&lt;=0,0,Fans!$L$2-Fans!D69),IF(D69&lt;(2/3)*Fans!$L$2,Fans!$L$2-Fans!D69,(1/3)*Fans!$L$2))</f>
        <v>31.130628612224612</v>
      </c>
      <c r="E80" s="420">
        <f>IF(mainINPUT!$E$1="existing",IF(Fans!$L$2-Fans!E69&lt;=0,0,Fans!$L$2-Fans!E69),IF(E69&lt;(2/3)*Fans!$L$2,Fans!$L$2-Fans!E69,(1/3)*Fans!$L$2))</f>
        <v>30.991097388706148</v>
      </c>
      <c r="F80" s="420">
        <f>IF(mainINPUT!$E$1="existing",IF(Fans!$L$2-Fans!F69&lt;=0,0,Fans!$L$2-Fans!F69),IF(F69&lt;(2/3)*Fans!$L$2,Fans!$L$2-Fans!F69,(1/3)*Fans!$L$2))</f>
        <v>30.572503718150763</v>
      </c>
      <c r="G80" s="420">
        <f>IF(mainINPUT!$E$1="existing",IF(Fans!$L$2-Fans!G69&lt;=0,0,Fans!$L$2-Fans!G69),IF(G69&lt;(2/3)*Fans!$L$2,Fans!$L$2-Fans!G69,(1/3)*Fans!$L$2))</f>
        <v>30.293441271113839</v>
      </c>
      <c r="H80" s="420">
        <f>IF(mainINPUT!$E$1="existing",IF(Fans!$L$2-Fans!H69&lt;=0,0,Fans!$L$2-Fans!H69),IF(H69&lt;(2/3)*Fans!$L$2,Fans!$L$2-Fans!H69,(1/3)*Fans!$L$2))</f>
        <v>28.619066588892299</v>
      </c>
      <c r="I80" s="420">
        <f>IF(mainINPUT!$E$1="existing",IF(Fans!$L$2-Fans!I69&lt;=0,0,Fans!$L$2-Fans!I69),IF(I69&lt;(2/3)*Fans!$L$2,Fans!$L$2-Fans!I69,(1/3)*Fans!$L$2))</f>
        <v>30.014378824076914</v>
      </c>
      <c r="J80" s="420">
        <f>IF(mainINPUT!$E$1="existing",IF(Fans!$L$2-Fans!J69&lt;=0,0,Fans!$L$2-Fans!J69),IF(J69&lt;(2/3)*Fans!$L$2,Fans!$L$2-Fans!J69,(1/3)*Fans!$L$2))</f>
        <v>29.456253930003069</v>
      </c>
      <c r="K80" s="420">
        <f>IF(mainINPUT!$E$1="existing",IF(Fans!$L$2-Fans!K69&lt;=0,0,Fans!$L$2-Fans!K69),IF(K69&lt;(2/3)*Fans!$L$2,Fans!$L$2-Fans!K69,(1/3)*Fans!$L$2))</f>
        <v>29.316722706484605</v>
      </c>
      <c r="L80" s="420">
        <f>IF(mainINPUT!$E$1="existing",IF(Fans!$L$2-Fans!L69&lt;=0,0,Fans!$L$2-Fans!L69),IF(L69&lt;(2/3)*Fans!$L$2,Fans!$L$2-Fans!L69,(1/3)*Fans!$L$2))</f>
        <v>28.619066588892299</v>
      </c>
      <c r="M80" s="420">
        <f>IF(mainINPUT!$E$1="existing",IF(Fans!$L$2-Fans!M69&lt;=0,0,Fans!$L$2-Fans!M69),IF(M69&lt;(2/3)*Fans!$L$2,Fans!$L$2-Fans!M69,(1/3)*Fans!$L$2))</f>
        <v>29.177191482966144</v>
      </c>
      <c r="N80" s="420">
        <f>IF(mainINPUT!$E$1="existing",IF(Fans!$L$2-Fans!N69&lt;=0,0,Fans!$L$2-Fans!N69),IF(N69&lt;(2/3)*Fans!$L$2,Fans!$L$2-Fans!N69,(1/3)*Fans!$L$2))</f>
        <v>28.479535365373838</v>
      </c>
      <c r="O80" s="420">
        <f>IF(mainINPUT!$E$1="existing",IF(Fans!$L$2-Fans!O69&lt;=0,0,Fans!$L$2-Fans!O69),IF(O69&lt;(2/3)*Fans!$L$2,Fans!$L$2-Fans!O69,(1/3)*Fans!$L$2))</f>
        <v>28.200472918336914</v>
      </c>
      <c r="P80" s="420">
        <f>IF(mainINPUT!$E$1="existing",IF(Fans!$L$2-Fans!P69&lt;=0,0,Fans!$L$2-Fans!P69),IF(P69&lt;(2/3)*Fans!$L$2,Fans!$L$2-Fans!P69,(1/3)*Fans!$L$2))</f>
        <v>27.223754353707683</v>
      </c>
      <c r="Q80" s="420">
        <f>IF(mainINPUT!$E$1="existing",IF(Fans!$L$2-Fans!Q69&lt;=0,0,Fans!$L$2-Fans!Q69),IF(Q69&lt;(2/3)*Fans!$L$2,Fans!$L$2-Fans!Q69,(1/3)*Fans!$L$2))</f>
        <v>27.223754353707683</v>
      </c>
      <c r="R80" s="120" t="s">
        <v>382</v>
      </c>
      <c r="S80" s="1">
        <v>80</v>
      </c>
    </row>
    <row r="81" spans="1:19" ht="15" customHeight="1">
      <c r="A81" s="420">
        <v>0.6</v>
      </c>
      <c r="B81" s="420">
        <f>Leakage!AF16</f>
        <v>4.0197131907152933E-2</v>
      </c>
      <c r="C81" s="420">
        <f>IF(mainINPUT!$E$1="existing",IF(Fans!$L$2-Fans!C70&lt;=0,0,Fans!$L$2-Fans!C70),IF(C70&lt;(2/3)*Fans!$L$2,Fans!$L$2-Fans!C70,(1/3)*Fans!$L$2))</f>
        <v>34.702627934297226</v>
      </c>
      <c r="D81" s="420">
        <f>IF(mainINPUT!$E$1="existing",IF(Fans!$L$2-Fans!D70&lt;=0,0,Fans!$L$2-Fans!D70),IF(D70&lt;(2/3)*Fans!$L$2,Fans!$L$2-Fans!D70,(1/3)*Fans!$L$2))</f>
        <v>34.646815444889846</v>
      </c>
      <c r="E81" s="420">
        <f>IF(mainINPUT!$E$1="existing",IF(Fans!$L$2-Fans!E70&lt;=0,0,Fans!$L$2-Fans!E70),IF(E70&lt;(2/3)*Fans!$L$2,Fans!$L$2-Fans!E70,(1/3)*Fans!$L$2))</f>
        <v>34.591002955482459</v>
      </c>
      <c r="F81" s="420">
        <f>IF(mainINPUT!$E$1="existing",IF(Fans!$L$2-Fans!F70&lt;=0,0,Fans!$L$2-Fans!F70),IF(F70&lt;(2/3)*Fans!$L$2,Fans!$L$2-Fans!F70,(1/3)*Fans!$L$2))</f>
        <v>34.423565487260305</v>
      </c>
      <c r="G81" s="420">
        <f>IF(mainINPUT!$E$1="existing",IF(Fans!$L$2-Fans!G70&lt;=0,0,Fans!$L$2-Fans!G70),IF(G70&lt;(2/3)*Fans!$L$2,Fans!$L$2-Fans!G70,(1/3)*Fans!$L$2))</f>
        <v>34.311940508445538</v>
      </c>
      <c r="H81" s="420">
        <f>IF(mainINPUT!$E$1="existing",IF(Fans!$L$2-Fans!H70&lt;=0,0,Fans!$L$2-Fans!H70),IF(H70&lt;(2/3)*Fans!$L$2,Fans!$L$2-Fans!H70,(1/3)*Fans!$L$2))</f>
        <v>33.642190635556922</v>
      </c>
      <c r="I81" s="420">
        <f>IF(mainINPUT!$E$1="existing",IF(Fans!$L$2-Fans!I70&lt;=0,0,Fans!$L$2-Fans!I70),IF(I70&lt;(2/3)*Fans!$L$2,Fans!$L$2-Fans!I70,(1/3)*Fans!$L$2))</f>
        <v>34.200315529630771</v>
      </c>
      <c r="J81" s="420">
        <f>IF(mainINPUT!$E$1="existing",IF(Fans!$L$2-Fans!J70&lt;=0,0,Fans!$L$2-Fans!J70),IF(J70&lt;(2/3)*Fans!$L$2,Fans!$L$2-Fans!J70,(1/3)*Fans!$L$2))</f>
        <v>33.97706557200123</v>
      </c>
      <c r="K81" s="420">
        <f>IF(mainINPUT!$E$1="existing",IF(Fans!$L$2-Fans!K70&lt;=0,0,Fans!$L$2-Fans!K70),IF(K70&lt;(2/3)*Fans!$L$2,Fans!$L$2-Fans!K70,(1/3)*Fans!$L$2))</f>
        <v>33.921253082593843</v>
      </c>
      <c r="L81" s="420">
        <f>IF(mainINPUT!$E$1="existing",IF(Fans!$L$2-Fans!L70&lt;=0,0,Fans!$L$2-Fans!L70),IF(L70&lt;(2/3)*Fans!$L$2,Fans!$L$2-Fans!L70,(1/3)*Fans!$L$2))</f>
        <v>33.642190635556922</v>
      </c>
      <c r="M81" s="420">
        <f>IF(mainINPUT!$E$1="existing",IF(Fans!$L$2-Fans!M70&lt;=0,0,Fans!$L$2-Fans!M70),IF(M70&lt;(2/3)*Fans!$L$2,Fans!$L$2-Fans!M70,(1/3)*Fans!$L$2))</f>
        <v>33.865440593186456</v>
      </c>
      <c r="N81" s="420">
        <f>IF(mainINPUT!$E$1="existing",IF(Fans!$L$2-Fans!N70&lt;=0,0,Fans!$L$2-Fans!N70),IF(N70&lt;(2/3)*Fans!$L$2,Fans!$L$2-Fans!N70,(1/3)*Fans!$L$2))</f>
        <v>33.586378146149535</v>
      </c>
      <c r="O81" s="420">
        <f>IF(mainINPUT!$E$1="existing",IF(Fans!$L$2-Fans!O70&lt;=0,0,Fans!$L$2-Fans!O70),IF(O70&lt;(2/3)*Fans!$L$2,Fans!$L$2-Fans!O70,(1/3)*Fans!$L$2))</f>
        <v>33.474753167334768</v>
      </c>
      <c r="P81" s="420">
        <f>IF(mainINPUT!$E$1="existing",IF(Fans!$L$2-Fans!P70&lt;=0,0,Fans!$L$2-Fans!P70),IF(P70&lt;(2/3)*Fans!$L$2,Fans!$L$2-Fans!P70,(1/3)*Fans!$L$2))</f>
        <v>33.084065741483073</v>
      </c>
      <c r="Q81" s="420">
        <f>IF(mainINPUT!$E$1="existing",IF(Fans!$L$2-Fans!Q70&lt;=0,0,Fans!$L$2-Fans!Q70),IF(Q70&lt;(2/3)*Fans!$L$2,Fans!$L$2-Fans!Q70,(1/3)*Fans!$L$2))</f>
        <v>33.084065741483073</v>
      </c>
      <c r="R81" s="147" t="s">
        <v>864</v>
      </c>
      <c r="S81" s="1">
        <v>84.5</v>
      </c>
    </row>
    <row r="82" spans="1:19" ht="15" customHeight="1">
      <c r="A82" s="420" t="s">
        <v>1071</v>
      </c>
      <c r="B82" s="420" t="s">
        <v>924</v>
      </c>
      <c r="C82" s="421">
        <f>$L$2</f>
        <v>36.990940000000002</v>
      </c>
      <c r="D82" s="421">
        <f t="shared" ref="D82:Q82" si="11">$L$2</f>
        <v>36.990940000000002</v>
      </c>
      <c r="E82" s="421">
        <f t="shared" si="11"/>
        <v>36.990940000000002</v>
      </c>
      <c r="F82" s="421">
        <f t="shared" si="11"/>
        <v>36.990940000000002</v>
      </c>
      <c r="G82" s="421">
        <f t="shared" si="11"/>
        <v>36.990940000000002</v>
      </c>
      <c r="H82" s="421">
        <f t="shared" si="11"/>
        <v>36.990940000000002</v>
      </c>
      <c r="I82" s="421">
        <f t="shared" si="11"/>
        <v>36.990940000000002</v>
      </c>
      <c r="J82" s="421">
        <f t="shared" si="11"/>
        <v>36.990940000000002</v>
      </c>
      <c r="K82" s="421">
        <f t="shared" si="11"/>
        <v>36.990940000000002</v>
      </c>
      <c r="L82" s="421">
        <f t="shared" si="11"/>
        <v>36.990940000000002</v>
      </c>
      <c r="M82" s="421">
        <f t="shared" si="11"/>
        <v>36.990940000000002</v>
      </c>
      <c r="N82" s="421">
        <f t="shared" si="11"/>
        <v>36.990940000000002</v>
      </c>
      <c r="O82" s="421">
        <f t="shared" si="11"/>
        <v>36.990940000000002</v>
      </c>
      <c r="P82" s="421">
        <f t="shared" si="11"/>
        <v>36.990940000000002</v>
      </c>
      <c r="Q82" s="421">
        <f t="shared" si="11"/>
        <v>36.990940000000002</v>
      </c>
      <c r="R82" s="419"/>
    </row>
    <row r="83" spans="1:19" ht="15" customHeight="1">
      <c r="A83" s="420"/>
      <c r="B83" s="422"/>
      <c r="C83" s="422"/>
      <c r="D83" s="422"/>
      <c r="E83" s="422"/>
      <c r="F83" s="422"/>
      <c r="G83" s="422"/>
      <c r="H83" s="422"/>
      <c r="I83" s="422"/>
      <c r="J83" s="422"/>
      <c r="K83" s="422"/>
      <c r="L83" s="422"/>
      <c r="M83" s="422"/>
      <c r="N83" s="422"/>
      <c r="O83" s="422"/>
      <c r="P83" s="422"/>
      <c r="Q83" s="422"/>
    </row>
    <row r="84" spans="1:19" ht="15" customHeight="1">
      <c r="A84" s="90" t="s">
        <v>1072</v>
      </c>
      <c r="B84" s="279"/>
      <c r="C84" s="279"/>
      <c r="D84" s="279"/>
      <c r="E84" s="279"/>
      <c r="F84" s="279"/>
      <c r="G84" s="279"/>
      <c r="H84" s="279"/>
      <c r="I84" s="279"/>
      <c r="J84" s="279"/>
      <c r="K84" s="279"/>
      <c r="L84" s="279"/>
      <c r="M84" s="279"/>
      <c r="N84" s="279"/>
      <c r="O84" s="279"/>
      <c r="P84" s="279"/>
      <c r="Q84" s="279"/>
    </row>
    <row r="85" spans="1:19" ht="15" customHeight="1">
      <c r="A85" s="90" t="s">
        <v>1057</v>
      </c>
      <c r="B85" s="90"/>
      <c r="C85" s="90" t="s">
        <v>803</v>
      </c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90"/>
      <c r="Q85" s="90"/>
    </row>
    <row r="86" spans="1:19" ht="15" customHeight="1">
      <c r="A86" s="90" t="s">
        <v>1055</v>
      </c>
      <c r="B86" s="90" t="s">
        <v>1054</v>
      </c>
      <c r="C86" s="90" t="s">
        <v>882</v>
      </c>
      <c r="D86" s="90" t="s">
        <v>823</v>
      </c>
      <c r="E86" s="90" t="s">
        <v>824</v>
      </c>
      <c r="F86" s="90" t="s">
        <v>825</v>
      </c>
      <c r="G86" s="90" t="s">
        <v>826</v>
      </c>
      <c r="H86" s="90" t="s">
        <v>827</v>
      </c>
      <c r="I86" s="90" t="s">
        <v>828</v>
      </c>
      <c r="J86" s="90" t="s">
        <v>829</v>
      </c>
      <c r="K86" s="90" t="s">
        <v>830</v>
      </c>
      <c r="L86" s="90" t="s">
        <v>831</v>
      </c>
      <c r="M86" s="90" t="s">
        <v>832</v>
      </c>
      <c r="N86" s="90" t="s">
        <v>833</v>
      </c>
      <c r="O86" s="90" t="s">
        <v>834</v>
      </c>
      <c r="P86" s="90">
        <v>7</v>
      </c>
      <c r="Q86" s="90">
        <v>8</v>
      </c>
    </row>
    <row r="87" spans="1:19" ht="15" customHeight="1">
      <c r="A87" s="90">
        <v>10</v>
      </c>
      <c r="B87" s="279" t="b">
        <f>Leakage!AF11</f>
        <v>0</v>
      </c>
      <c r="C87" s="279">
        <f>1.1*C76</f>
        <v>40.690034000000004</v>
      </c>
      <c r="D87" s="279">
        <f t="shared" ref="D87:Q87" si="12">1.1*D76</f>
        <v>40.690034000000004</v>
      </c>
      <c r="E87" s="279">
        <f t="shared" si="12"/>
        <v>40.690034000000004</v>
      </c>
      <c r="F87" s="279">
        <f t="shared" si="12"/>
        <v>40.690034000000004</v>
      </c>
      <c r="G87" s="279">
        <f t="shared" si="12"/>
        <v>40.690034000000004</v>
      </c>
      <c r="H87" s="279">
        <f t="shared" si="12"/>
        <v>40.690034000000004</v>
      </c>
      <c r="I87" s="279">
        <f t="shared" si="12"/>
        <v>40.690034000000004</v>
      </c>
      <c r="J87" s="279">
        <f t="shared" si="12"/>
        <v>40.690034000000004</v>
      </c>
      <c r="K87" s="279">
        <f t="shared" si="12"/>
        <v>40.690034000000004</v>
      </c>
      <c r="L87" s="279">
        <f t="shared" si="12"/>
        <v>40.690034000000004</v>
      </c>
      <c r="M87" s="279">
        <f t="shared" si="12"/>
        <v>40.690034000000004</v>
      </c>
      <c r="N87" s="279">
        <f t="shared" si="12"/>
        <v>40.690034000000004</v>
      </c>
      <c r="O87" s="279">
        <f t="shared" si="12"/>
        <v>40.690034000000004</v>
      </c>
      <c r="P87" s="279">
        <f t="shared" si="12"/>
        <v>40.690034000000004</v>
      </c>
      <c r="Q87" s="279">
        <f t="shared" si="12"/>
        <v>40.690034000000004</v>
      </c>
    </row>
    <row r="88" spans="1:19" ht="15" customHeight="1">
      <c r="A88" s="90">
        <v>7</v>
      </c>
      <c r="B88" s="279">
        <f>Leakage!AF12</f>
        <v>0.46896653891678425</v>
      </c>
      <c r="C88" s="279">
        <f t="shared" ref="C88:Q88" si="13">1.1*C77</f>
        <v>13.563344666666667</v>
      </c>
      <c r="D88" s="279">
        <f t="shared" si="13"/>
        <v>13.563344666666667</v>
      </c>
      <c r="E88" s="279">
        <f t="shared" si="13"/>
        <v>13.563344666666667</v>
      </c>
      <c r="F88" s="279">
        <f t="shared" si="13"/>
        <v>13.563344666666667</v>
      </c>
      <c r="G88" s="279">
        <f t="shared" si="13"/>
        <v>13.563344666666667</v>
      </c>
      <c r="H88" s="279">
        <f t="shared" si="13"/>
        <v>13.563344666666667</v>
      </c>
      <c r="I88" s="279">
        <f t="shared" si="13"/>
        <v>13.563344666666667</v>
      </c>
      <c r="J88" s="279">
        <f t="shared" si="13"/>
        <v>13.563344666666667</v>
      </c>
      <c r="K88" s="279">
        <f t="shared" si="13"/>
        <v>13.563344666666667</v>
      </c>
      <c r="L88" s="279">
        <f t="shared" si="13"/>
        <v>13.563344666666667</v>
      </c>
      <c r="M88" s="279">
        <f t="shared" si="13"/>
        <v>13.563344666666667</v>
      </c>
      <c r="N88" s="279">
        <f t="shared" si="13"/>
        <v>13.563344666666667</v>
      </c>
      <c r="O88" s="279">
        <f t="shared" si="13"/>
        <v>13.563344666666667</v>
      </c>
      <c r="P88" s="279">
        <f t="shared" si="13"/>
        <v>13.563344666666667</v>
      </c>
      <c r="Q88" s="279">
        <f t="shared" si="13"/>
        <v>13.563344666666667</v>
      </c>
    </row>
    <row r="89" spans="1:19" ht="15" customHeight="1">
      <c r="A89" s="90">
        <v>5</v>
      </c>
      <c r="B89" s="279">
        <f>Leakage!AF13</f>
        <v>0.33497609922627442</v>
      </c>
      <c r="C89" s="279">
        <f t="shared" ref="C89:Q89" si="14">1.1*C78</f>
        <v>19.71384006439126</v>
      </c>
      <c r="D89" s="279">
        <f t="shared" si="14"/>
        <v>19.202225578156899</v>
      </c>
      <c r="E89" s="279">
        <f t="shared" si="14"/>
        <v>18.690611091922538</v>
      </c>
      <c r="F89" s="279">
        <f t="shared" si="14"/>
        <v>17.155767633219458</v>
      </c>
      <c r="G89" s="279">
        <f t="shared" si="14"/>
        <v>16.13253866075074</v>
      </c>
      <c r="H89" s="279">
        <f t="shared" si="14"/>
        <v>13.563344666666667</v>
      </c>
      <c r="I89" s="279">
        <f t="shared" si="14"/>
        <v>15.109309688282019</v>
      </c>
      <c r="J89" s="279">
        <f t="shared" si="14"/>
        <v>13.563344666666667</v>
      </c>
      <c r="K89" s="279">
        <f t="shared" si="14"/>
        <v>13.563344666666667</v>
      </c>
      <c r="L89" s="279">
        <f t="shared" si="14"/>
        <v>13.563344666666667</v>
      </c>
      <c r="M89" s="279">
        <f t="shared" si="14"/>
        <v>13.563344666666667</v>
      </c>
      <c r="N89" s="279">
        <f t="shared" si="14"/>
        <v>13.563344666666667</v>
      </c>
      <c r="O89" s="279">
        <f t="shared" si="14"/>
        <v>13.563344666666667</v>
      </c>
      <c r="P89" s="279">
        <f t="shared" si="14"/>
        <v>13.563344666666667</v>
      </c>
      <c r="Q89" s="279">
        <f t="shared" si="14"/>
        <v>13.563344666666667</v>
      </c>
    </row>
    <row r="90" spans="1:19" ht="15" customHeight="1">
      <c r="A90" s="90">
        <v>3</v>
      </c>
      <c r="B90" s="279">
        <f>Leakage!AF14</f>
        <v>0.20098565953576467</v>
      </c>
      <c r="C90" s="279">
        <f t="shared" ref="C90:Q90" si="15">1.1*C79</f>
        <v>28.104317638634761</v>
      </c>
      <c r="D90" s="279">
        <f t="shared" si="15"/>
        <v>27.797348946894143</v>
      </c>
      <c r="E90" s="279">
        <f t="shared" si="15"/>
        <v>27.490380255153525</v>
      </c>
      <c r="F90" s="279">
        <f t="shared" si="15"/>
        <v>26.569474179931678</v>
      </c>
      <c r="G90" s="279">
        <f t="shared" si="15"/>
        <v>25.955536796450446</v>
      </c>
      <c r="H90" s="279">
        <f t="shared" si="15"/>
        <v>22.271912495563058</v>
      </c>
      <c r="I90" s="279">
        <f t="shared" si="15"/>
        <v>25.341599412969213</v>
      </c>
      <c r="J90" s="279">
        <f t="shared" si="15"/>
        <v>24.113724646006752</v>
      </c>
      <c r="K90" s="279">
        <f t="shared" si="15"/>
        <v>23.806755954266134</v>
      </c>
      <c r="L90" s="279">
        <f t="shared" si="15"/>
        <v>22.271912495563058</v>
      </c>
      <c r="M90" s="279">
        <f t="shared" si="15"/>
        <v>23.499787262525516</v>
      </c>
      <c r="N90" s="279">
        <f t="shared" si="15"/>
        <v>21.964943803822443</v>
      </c>
      <c r="O90" s="279">
        <f t="shared" si="15"/>
        <v>21.351006420341211</v>
      </c>
      <c r="P90" s="279">
        <f t="shared" si="15"/>
        <v>19.202225578156902</v>
      </c>
      <c r="Q90" s="279">
        <f t="shared" si="15"/>
        <v>19.202225578156902</v>
      </c>
    </row>
    <row r="91" spans="1:19" ht="15" customHeight="1">
      <c r="A91" s="90">
        <v>1.5</v>
      </c>
      <c r="B91" s="279">
        <f>Leakage!AF15</f>
        <v>0.10049282976788233</v>
      </c>
      <c r="C91" s="279">
        <f t="shared" ref="C91:Q91" si="16">1.1*C80</f>
        <v>34.397175819317383</v>
      </c>
      <c r="D91" s="279">
        <f t="shared" si="16"/>
        <v>34.243691473447079</v>
      </c>
      <c r="E91" s="279">
        <f t="shared" si="16"/>
        <v>34.090207127576768</v>
      </c>
      <c r="F91" s="279">
        <f t="shared" si="16"/>
        <v>33.629754089965843</v>
      </c>
      <c r="G91" s="279">
        <f t="shared" si="16"/>
        <v>33.322785398225228</v>
      </c>
      <c r="H91" s="279">
        <f t="shared" si="16"/>
        <v>31.480973247781531</v>
      </c>
      <c r="I91" s="279">
        <f t="shared" si="16"/>
        <v>33.015816706484607</v>
      </c>
      <c r="J91" s="279">
        <f t="shared" si="16"/>
        <v>32.401879323003378</v>
      </c>
      <c r="K91" s="279">
        <f t="shared" si="16"/>
        <v>32.248394977133067</v>
      </c>
      <c r="L91" s="279">
        <f t="shared" si="16"/>
        <v>31.480973247781531</v>
      </c>
      <c r="M91" s="279">
        <f t="shared" si="16"/>
        <v>32.094910631262763</v>
      </c>
      <c r="N91" s="279">
        <f t="shared" si="16"/>
        <v>31.327488901911224</v>
      </c>
      <c r="O91" s="279">
        <f t="shared" si="16"/>
        <v>31.020520210170609</v>
      </c>
      <c r="P91" s="279">
        <f t="shared" si="16"/>
        <v>29.946129789078455</v>
      </c>
      <c r="Q91" s="279">
        <f t="shared" si="16"/>
        <v>29.946129789078455</v>
      </c>
    </row>
    <row r="92" spans="1:19" ht="15" customHeight="1">
      <c r="A92" s="90">
        <v>0.6</v>
      </c>
      <c r="B92" s="279">
        <f>Leakage!AF16</f>
        <v>4.0197131907152933E-2</v>
      </c>
      <c r="C92" s="279">
        <f t="shared" ref="C92:Q92" si="17">1.1*C81</f>
        <v>38.172890727726951</v>
      </c>
      <c r="D92" s="279">
        <f t="shared" si="17"/>
        <v>38.111496989378836</v>
      </c>
      <c r="E92" s="279">
        <f t="shared" si="17"/>
        <v>38.050103251030706</v>
      </c>
      <c r="F92" s="279">
        <f t="shared" si="17"/>
        <v>37.865922035986337</v>
      </c>
      <c r="G92" s="279">
        <f t="shared" si="17"/>
        <v>37.743134559290098</v>
      </c>
      <c r="H92" s="279">
        <f t="shared" si="17"/>
        <v>37.006409699112616</v>
      </c>
      <c r="I92" s="279">
        <f t="shared" si="17"/>
        <v>37.620347082593852</v>
      </c>
      <c r="J92" s="279">
        <f t="shared" si="17"/>
        <v>37.374772129201354</v>
      </c>
      <c r="K92" s="279">
        <f t="shared" si="17"/>
        <v>37.313378390853231</v>
      </c>
      <c r="L92" s="279">
        <f t="shared" si="17"/>
        <v>37.006409699112616</v>
      </c>
      <c r="M92" s="279">
        <f t="shared" si="17"/>
        <v>37.251984652505108</v>
      </c>
      <c r="N92" s="279">
        <f t="shared" si="17"/>
        <v>36.945015960764493</v>
      </c>
      <c r="O92" s="279">
        <f t="shared" si="17"/>
        <v>36.822228484068248</v>
      </c>
      <c r="P92" s="279">
        <f t="shared" si="17"/>
        <v>36.39247231563138</v>
      </c>
      <c r="Q92" s="279">
        <f t="shared" si="17"/>
        <v>36.39247231563138</v>
      </c>
    </row>
    <row r="93" spans="1:19" ht="15" customHeight="1">
      <c r="A93" s="90"/>
      <c r="B93" s="279"/>
      <c r="C93" s="279"/>
      <c r="D93" s="279"/>
      <c r="E93" s="279"/>
      <c r="F93" s="279"/>
      <c r="G93" s="279"/>
      <c r="H93" s="279"/>
      <c r="I93" s="279"/>
      <c r="J93" s="279"/>
      <c r="K93" s="279"/>
      <c r="L93" s="279"/>
      <c r="M93" s="279"/>
      <c r="N93" s="279"/>
      <c r="O93" s="279"/>
      <c r="P93" s="279"/>
      <c r="Q93" s="279"/>
    </row>
    <row r="94" spans="1:19" ht="15" customHeight="1">
      <c r="A94" s="420" t="s">
        <v>1063</v>
      </c>
      <c r="B94" s="422"/>
      <c r="C94" s="422"/>
      <c r="D94" s="422"/>
      <c r="E94" s="422"/>
      <c r="F94" s="422"/>
      <c r="G94" s="422"/>
      <c r="H94" s="422"/>
      <c r="I94" s="422"/>
      <c r="J94" s="422"/>
      <c r="K94" s="422"/>
      <c r="L94" s="422"/>
      <c r="M94" s="422"/>
      <c r="N94" s="422"/>
      <c r="O94" s="422"/>
      <c r="P94" s="422"/>
      <c r="Q94" s="422"/>
    </row>
    <row r="95" spans="1:19" ht="15" customHeight="1">
      <c r="A95" s="420" t="s">
        <v>1064</v>
      </c>
      <c r="B95" s="422"/>
      <c r="C95" s="420" t="s">
        <v>803</v>
      </c>
      <c r="D95" s="420"/>
      <c r="E95" s="420"/>
      <c r="F95" s="420"/>
      <c r="G95" s="420"/>
      <c r="H95" s="420"/>
      <c r="I95" s="420"/>
      <c r="J95" s="420"/>
      <c r="K95" s="420"/>
      <c r="L95" s="420"/>
      <c r="M95" s="420"/>
      <c r="N95" s="420"/>
      <c r="O95" s="420"/>
      <c r="P95" s="420"/>
      <c r="Q95" s="420"/>
    </row>
    <row r="96" spans="1:19" ht="15" customHeight="1">
      <c r="A96" s="420" t="s">
        <v>1055</v>
      </c>
      <c r="B96" s="422"/>
      <c r="C96" s="420" t="s">
        <v>882</v>
      </c>
      <c r="D96" s="420" t="s">
        <v>823</v>
      </c>
      <c r="E96" s="420" t="s">
        <v>824</v>
      </c>
      <c r="F96" s="420" t="s">
        <v>825</v>
      </c>
      <c r="G96" s="420" t="s">
        <v>826</v>
      </c>
      <c r="H96" s="420" t="s">
        <v>827</v>
      </c>
      <c r="I96" s="420" t="s">
        <v>828</v>
      </c>
      <c r="J96" s="420" t="s">
        <v>829</v>
      </c>
      <c r="K96" s="420" t="s">
        <v>830</v>
      </c>
      <c r="L96" s="420" t="s">
        <v>831</v>
      </c>
      <c r="M96" s="420" t="s">
        <v>832</v>
      </c>
      <c r="N96" s="420" t="s">
        <v>833</v>
      </c>
      <c r="O96" s="420" t="s">
        <v>834</v>
      </c>
      <c r="P96" s="420">
        <v>7</v>
      </c>
      <c r="Q96" s="420">
        <v>8</v>
      </c>
    </row>
    <row r="97" spans="1:17" ht="15" customHeight="1">
      <c r="A97" s="420">
        <v>10</v>
      </c>
      <c r="B97" s="422" t="b">
        <f>Leakage!AF11</f>
        <v>0</v>
      </c>
      <c r="C97" s="422">
        <f>C76*0.4361</f>
        <v>16.131748934000001</v>
      </c>
      <c r="D97" s="422">
        <f t="shared" ref="D97:Q97" si="18">D76*0.4361</f>
        <v>16.131748934000001</v>
      </c>
      <c r="E97" s="422">
        <f t="shared" si="18"/>
        <v>16.131748934000001</v>
      </c>
      <c r="F97" s="422">
        <f t="shared" si="18"/>
        <v>16.131748934000001</v>
      </c>
      <c r="G97" s="422">
        <f t="shared" si="18"/>
        <v>16.131748934000001</v>
      </c>
      <c r="H97" s="422">
        <f t="shared" si="18"/>
        <v>16.131748934000001</v>
      </c>
      <c r="I97" s="422">
        <f t="shared" si="18"/>
        <v>16.131748934000001</v>
      </c>
      <c r="J97" s="422">
        <f t="shared" si="18"/>
        <v>16.131748934000001</v>
      </c>
      <c r="K97" s="422">
        <f t="shared" si="18"/>
        <v>16.131748934000001</v>
      </c>
      <c r="L97" s="422">
        <f t="shared" si="18"/>
        <v>16.131748934000001</v>
      </c>
      <c r="M97" s="422">
        <f t="shared" si="18"/>
        <v>16.131748934000001</v>
      </c>
      <c r="N97" s="422">
        <f t="shared" si="18"/>
        <v>16.131748934000001</v>
      </c>
      <c r="O97" s="422">
        <f t="shared" si="18"/>
        <v>16.131748934000001</v>
      </c>
      <c r="P97" s="422">
        <f t="shared" si="18"/>
        <v>16.131748934000001</v>
      </c>
      <c r="Q97" s="422">
        <f t="shared" si="18"/>
        <v>16.131748934000001</v>
      </c>
    </row>
    <row r="98" spans="1:17" ht="15" customHeight="1">
      <c r="A98" s="420">
        <v>7</v>
      </c>
      <c r="B98" s="422">
        <f>Leakage!AF12</f>
        <v>0.46896653891678425</v>
      </c>
      <c r="C98" s="422">
        <f t="shared" ref="C98:Q98" si="19">C77*0.4361</f>
        <v>5.3772496446666667</v>
      </c>
      <c r="D98" s="422">
        <f t="shared" si="19"/>
        <v>5.3772496446666667</v>
      </c>
      <c r="E98" s="422">
        <f t="shared" si="19"/>
        <v>5.3772496446666667</v>
      </c>
      <c r="F98" s="422">
        <f t="shared" si="19"/>
        <v>5.3772496446666667</v>
      </c>
      <c r="G98" s="422">
        <f t="shared" si="19"/>
        <v>5.3772496446666667</v>
      </c>
      <c r="H98" s="422">
        <f t="shared" si="19"/>
        <v>5.3772496446666667</v>
      </c>
      <c r="I98" s="422">
        <f t="shared" si="19"/>
        <v>5.3772496446666667</v>
      </c>
      <c r="J98" s="422">
        <f t="shared" si="19"/>
        <v>5.3772496446666667</v>
      </c>
      <c r="K98" s="422">
        <f t="shared" si="19"/>
        <v>5.3772496446666667</v>
      </c>
      <c r="L98" s="422">
        <f t="shared" si="19"/>
        <v>5.3772496446666667</v>
      </c>
      <c r="M98" s="422">
        <f t="shared" si="19"/>
        <v>5.3772496446666667</v>
      </c>
      <c r="N98" s="422">
        <f t="shared" si="19"/>
        <v>5.3772496446666667</v>
      </c>
      <c r="O98" s="422">
        <f t="shared" si="19"/>
        <v>5.3772496446666667</v>
      </c>
      <c r="P98" s="422">
        <f t="shared" si="19"/>
        <v>5.3772496446666667</v>
      </c>
      <c r="Q98" s="422">
        <f t="shared" si="19"/>
        <v>5.3772496446666667</v>
      </c>
    </row>
    <row r="99" spans="1:17" ht="15" customHeight="1">
      <c r="A99" s="420">
        <v>5</v>
      </c>
      <c r="B99" s="422">
        <f>Leakage!AF13</f>
        <v>0.33497609922627442</v>
      </c>
      <c r="C99" s="422">
        <f t="shared" ref="C99:Q99" si="20">C78*0.4361</f>
        <v>7.815641501891843</v>
      </c>
      <c r="D99" s="422">
        <f t="shared" si="20"/>
        <v>7.6128096133038383</v>
      </c>
      <c r="E99" s="422">
        <f t="shared" si="20"/>
        <v>7.4099777247158345</v>
      </c>
      <c r="F99" s="422">
        <f t="shared" si="20"/>
        <v>6.8014820589518221</v>
      </c>
      <c r="G99" s="422">
        <f t="shared" si="20"/>
        <v>6.3958182817758154</v>
      </c>
      <c r="H99" s="422">
        <f t="shared" si="20"/>
        <v>5.3772496446666667</v>
      </c>
      <c r="I99" s="422">
        <f t="shared" si="20"/>
        <v>5.9901545045998077</v>
      </c>
      <c r="J99" s="422">
        <f t="shared" si="20"/>
        <v>5.3772496446666667</v>
      </c>
      <c r="K99" s="422">
        <f t="shared" si="20"/>
        <v>5.3772496446666667</v>
      </c>
      <c r="L99" s="422">
        <f t="shared" si="20"/>
        <v>5.3772496446666667</v>
      </c>
      <c r="M99" s="422">
        <f t="shared" si="20"/>
        <v>5.3772496446666667</v>
      </c>
      <c r="N99" s="422">
        <f t="shared" si="20"/>
        <v>5.3772496446666667</v>
      </c>
      <c r="O99" s="422">
        <f t="shared" si="20"/>
        <v>5.3772496446666667</v>
      </c>
      <c r="P99" s="422">
        <f t="shared" si="20"/>
        <v>5.3772496446666667</v>
      </c>
      <c r="Q99" s="422">
        <f t="shared" si="20"/>
        <v>5.3772496446666667</v>
      </c>
    </row>
    <row r="100" spans="1:17" ht="15" customHeight="1">
      <c r="A100" s="420">
        <v>3</v>
      </c>
      <c r="B100" s="422">
        <f>Leakage!AF14</f>
        <v>0.20098565953576467</v>
      </c>
      <c r="C100" s="422">
        <f t="shared" ref="C100:Q100" si="21">C79*0.4361</f>
        <v>11.142084474735107</v>
      </c>
      <c r="D100" s="422">
        <f t="shared" si="21"/>
        <v>11.020385341582305</v>
      </c>
      <c r="E100" s="422">
        <f t="shared" si="21"/>
        <v>10.898686208429501</v>
      </c>
      <c r="F100" s="422">
        <f t="shared" si="21"/>
        <v>10.533588808971095</v>
      </c>
      <c r="G100" s="422">
        <f t="shared" si="21"/>
        <v>10.290190542665488</v>
      </c>
      <c r="H100" s="422">
        <f t="shared" si="21"/>
        <v>8.8298009448318613</v>
      </c>
      <c r="I100" s="422">
        <f t="shared" si="21"/>
        <v>10.046792276359884</v>
      </c>
      <c r="J100" s="422">
        <f t="shared" si="21"/>
        <v>9.5599957437486758</v>
      </c>
      <c r="K100" s="422">
        <f t="shared" si="21"/>
        <v>9.4382966105958719</v>
      </c>
      <c r="L100" s="422">
        <f t="shared" si="21"/>
        <v>8.8298009448318613</v>
      </c>
      <c r="M100" s="422">
        <f t="shared" si="21"/>
        <v>9.3165974774430698</v>
      </c>
      <c r="N100" s="422">
        <f t="shared" si="21"/>
        <v>8.7081018116790609</v>
      </c>
      <c r="O100" s="422">
        <f t="shared" si="21"/>
        <v>8.4647035453734549</v>
      </c>
      <c r="P100" s="422">
        <f t="shared" si="21"/>
        <v>7.6128096133038401</v>
      </c>
      <c r="Q100" s="422">
        <f t="shared" si="21"/>
        <v>7.6128096133038401</v>
      </c>
    </row>
    <row r="101" spans="1:17" ht="15" customHeight="1">
      <c r="A101" s="420">
        <v>1.5</v>
      </c>
      <c r="B101" s="422">
        <f>Leakage!AF15</f>
        <v>0.10049282976788233</v>
      </c>
      <c r="C101" s="422">
        <f t="shared" ref="C101:Q101" si="22">C80*0.4361</f>
        <v>13.636916704367554</v>
      </c>
      <c r="D101" s="422">
        <f t="shared" si="22"/>
        <v>13.576067137791153</v>
      </c>
      <c r="E101" s="422">
        <f t="shared" si="22"/>
        <v>13.51521757121475</v>
      </c>
      <c r="F101" s="422">
        <f t="shared" si="22"/>
        <v>13.332668871485547</v>
      </c>
      <c r="G101" s="422">
        <f t="shared" si="22"/>
        <v>13.210969738332745</v>
      </c>
      <c r="H101" s="422">
        <f t="shared" si="22"/>
        <v>12.48077493941593</v>
      </c>
      <c r="I101" s="422">
        <f t="shared" si="22"/>
        <v>13.089270605179943</v>
      </c>
      <c r="J101" s="422">
        <f t="shared" si="22"/>
        <v>12.845872338874338</v>
      </c>
      <c r="K101" s="422">
        <f t="shared" si="22"/>
        <v>12.785022772297935</v>
      </c>
      <c r="L101" s="422">
        <f t="shared" si="22"/>
        <v>12.48077493941593</v>
      </c>
      <c r="M101" s="422">
        <f t="shared" si="22"/>
        <v>12.724173205721534</v>
      </c>
      <c r="N101" s="422">
        <f t="shared" si="22"/>
        <v>12.419925372839531</v>
      </c>
      <c r="O101" s="422">
        <f t="shared" si="22"/>
        <v>12.298226239686727</v>
      </c>
      <c r="P101" s="422">
        <f t="shared" si="22"/>
        <v>11.87227927365192</v>
      </c>
      <c r="Q101" s="422">
        <f t="shared" si="22"/>
        <v>11.87227927365192</v>
      </c>
    </row>
    <row r="102" spans="1:17" ht="15" customHeight="1">
      <c r="A102" s="420">
        <v>0.6</v>
      </c>
      <c r="B102" s="422">
        <f>Leakage!AF16</f>
        <v>4.0197131907152933E-2</v>
      </c>
      <c r="C102" s="422">
        <f t="shared" ref="C102:Q102" si="23">C81*0.4361</f>
        <v>15.13381604214702</v>
      </c>
      <c r="D102" s="422">
        <f t="shared" si="23"/>
        <v>15.109476215516461</v>
      </c>
      <c r="E102" s="422">
        <f t="shared" si="23"/>
        <v>15.0851363888859</v>
      </c>
      <c r="F102" s="422">
        <f t="shared" si="23"/>
        <v>15.012116908994219</v>
      </c>
      <c r="G102" s="422">
        <f t="shared" si="23"/>
        <v>14.963437255733099</v>
      </c>
      <c r="H102" s="422">
        <f t="shared" si="23"/>
        <v>14.671359336166374</v>
      </c>
      <c r="I102" s="422">
        <f t="shared" si="23"/>
        <v>14.91475760247198</v>
      </c>
      <c r="J102" s="422">
        <f t="shared" si="23"/>
        <v>14.817398295949737</v>
      </c>
      <c r="K102" s="422">
        <f t="shared" si="23"/>
        <v>14.793058469319174</v>
      </c>
      <c r="L102" s="422">
        <f t="shared" si="23"/>
        <v>14.671359336166374</v>
      </c>
      <c r="M102" s="422">
        <f t="shared" si="23"/>
        <v>14.768718642688613</v>
      </c>
      <c r="N102" s="422">
        <f t="shared" si="23"/>
        <v>14.647019509535811</v>
      </c>
      <c r="O102" s="422">
        <f t="shared" si="23"/>
        <v>14.598339856274691</v>
      </c>
      <c r="P102" s="422">
        <f t="shared" si="23"/>
        <v>14.427961069860768</v>
      </c>
      <c r="Q102" s="422">
        <f t="shared" si="23"/>
        <v>14.427961069860768</v>
      </c>
    </row>
    <row r="103" spans="1:17" ht="15" customHeight="1">
      <c r="A103" s="420" t="s">
        <v>1071</v>
      </c>
      <c r="B103" s="422" t="s">
        <v>924</v>
      </c>
      <c r="C103" s="422">
        <f t="shared" ref="C103:Q103" si="24">C82*0.4361</f>
        <v>16.131748934000001</v>
      </c>
      <c r="D103" s="422">
        <f t="shared" si="24"/>
        <v>16.131748934000001</v>
      </c>
      <c r="E103" s="422">
        <f t="shared" si="24"/>
        <v>16.131748934000001</v>
      </c>
      <c r="F103" s="422">
        <f t="shared" si="24"/>
        <v>16.131748934000001</v>
      </c>
      <c r="G103" s="422">
        <f t="shared" si="24"/>
        <v>16.131748934000001</v>
      </c>
      <c r="H103" s="422">
        <f t="shared" si="24"/>
        <v>16.131748934000001</v>
      </c>
      <c r="I103" s="422">
        <f t="shared" si="24"/>
        <v>16.131748934000001</v>
      </c>
      <c r="J103" s="422">
        <f t="shared" si="24"/>
        <v>16.131748934000001</v>
      </c>
      <c r="K103" s="422">
        <f t="shared" si="24"/>
        <v>16.131748934000001</v>
      </c>
      <c r="L103" s="422">
        <f t="shared" si="24"/>
        <v>16.131748934000001</v>
      </c>
      <c r="M103" s="422">
        <f t="shared" si="24"/>
        <v>16.131748934000001</v>
      </c>
      <c r="N103" s="422">
        <f t="shared" si="24"/>
        <v>16.131748934000001</v>
      </c>
      <c r="O103" s="422">
        <f t="shared" si="24"/>
        <v>16.131748934000001</v>
      </c>
      <c r="P103" s="422">
        <f t="shared" si="24"/>
        <v>16.131748934000001</v>
      </c>
      <c r="Q103" s="422">
        <f t="shared" si="24"/>
        <v>16.131748934000001</v>
      </c>
    </row>
    <row r="104" spans="1:17" ht="15" customHeight="1">
      <c r="A104" s="420"/>
      <c r="B104" s="422"/>
      <c r="C104" s="422"/>
      <c r="D104" s="422"/>
      <c r="E104" s="422"/>
      <c r="F104" s="422"/>
      <c r="G104" s="422"/>
      <c r="H104" s="422"/>
      <c r="I104" s="422"/>
      <c r="J104" s="422"/>
      <c r="K104" s="422"/>
      <c r="L104" s="422"/>
      <c r="M104" s="422"/>
      <c r="N104" s="422"/>
      <c r="O104" s="422"/>
      <c r="P104" s="422"/>
      <c r="Q104" s="422"/>
    </row>
    <row r="105" spans="1:17" ht="15" customHeight="1">
      <c r="A105" s="420"/>
      <c r="B105" s="422"/>
      <c r="C105" s="422"/>
      <c r="D105" s="422"/>
      <c r="E105" s="422"/>
      <c r="F105" s="422"/>
      <c r="G105" s="422">
        <f>43.3*0.4361</f>
        <v>18.883129999999998</v>
      </c>
      <c r="H105" s="422"/>
      <c r="I105" s="422"/>
      <c r="J105" s="422"/>
      <c r="K105" s="422"/>
      <c r="L105" s="422"/>
      <c r="M105" s="422"/>
      <c r="N105" s="422"/>
      <c r="O105" s="422"/>
      <c r="P105" s="422"/>
      <c r="Q105" s="422"/>
    </row>
    <row r="106" spans="1:17" ht="15" customHeight="1">
      <c r="A106" s="90" t="s">
        <v>1073</v>
      </c>
      <c r="B106" s="279"/>
      <c r="C106" s="279"/>
      <c r="D106" s="279"/>
      <c r="E106" s="279"/>
      <c r="F106" s="279"/>
      <c r="G106" s="279"/>
      <c r="H106" s="279"/>
      <c r="I106" s="279"/>
      <c r="J106" s="279"/>
      <c r="K106" s="279"/>
      <c r="L106" s="279"/>
      <c r="M106" s="279"/>
      <c r="N106" s="279"/>
      <c r="O106" s="279"/>
      <c r="P106" s="279"/>
      <c r="Q106" s="279"/>
    </row>
    <row r="107" spans="1:17" ht="15" customHeight="1">
      <c r="A107" s="90" t="s">
        <v>1064</v>
      </c>
      <c r="B107" s="279"/>
      <c r="C107" s="90" t="s">
        <v>803</v>
      </c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</row>
    <row r="108" spans="1:17" ht="15" customHeight="1">
      <c r="A108" s="90" t="s">
        <v>1055</v>
      </c>
      <c r="B108" s="279"/>
      <c r="C108" s="90" t="s">
        <v>882</v>
      </c>
      <c r="D108" s="90" t="s">
        <v>823</v>
      </c>
      <c r="E108" s="90" t="s">
        <v>824</v>
      </c>
      <c r="F108" s="90" t="s">
        <v>825</v>
      </c>
      <c r="G108" s="90" t="s">
        <v>826</v>
      </c>
      <c r="H108" s="90" t="s">
        <v>827</v>
      </c>
      <c r="I108" s="90" t="s">
        <v>828</v>
      </c>
      <c r="J108" s="90" t="s">
        <v>829</v>
      </c>
      <c r="K108" s="90" t="s">
        <v>830</v>
      </c>
      <c r="L108" s="90" t="s">
        <v>831</v>
      </c>
      <c r="M108" s="90" t="s">
        <v>832</v>
      </c>
      <c r="N108" s="90" t="s">
        <v>833</v>
      </c>
      <c r="O108" s="90" t="s">
        <v>834</v>
      </c>
      <c r="P108" s="90">
        <v>7</v>
      </c>
      <c r="Q108" s="90">
        <v>8</v>
      </c>
    </row>
    <row r="109" spans="1:17" ht="15" customHeight="1">
      <c r="A109" s="90">
        <v>10</v>
      </c>
      <c r="B109" s="279" t="b">
        <f>Leakage!AF11</f>
        <v>0</v>
      </c>
      <c r="C109" s="279">
        <f>C97*1.1</f>
        <v>17.744923827400001</v>
      </c>
      <c r="D109" s="279">
        <f t="shared" ref="D109:Q109" si="25">D97*1.1</f>
        <v>17.744923827400001</v>
      </c>
      <c r="E109" s="279">
        <f t="shared" si="25"/>
        <v>17.744923827400001</v>
      </c>
      <c r="F109" s="279">
        <f t="shared" si="25"/>
        <v>17.744923827400001</v>
      </c>
      <c r="G109" s="279">
        <f t="shared" si="25"/>
        <v>17.744923827400001</v>
      </c>
      <c r="H109" s="279">
        <f t="shared" si="25"/>
        <v>17.744923827400001</v>
      </c>
      <c r="I109" s="279">
        <f t="shared" si="25"/>
        <v>17.744923827400001</v>
      </c>
      <c r="J109" s="279">
        <f t="shared" si="25"/>
        <v>17.744923827400001</v>
      </c>
      <c r="K109" s="279">
        <f t="shared" si="25"/>
        <v>17.744923827400001</v>
      </c>
      <c r="L109" s="279">
        <f t="shared" si="25"/>
        <v>17.744923827400001</v>
      </c>
      <c r="M109" s="279">
        <f t="shared" si="25"/>
        <v>17.744923827400001</v>
      </c>
      <c r="N109" s="279">
        <f t="shared" si="25"/>
        <v>17.744923827400001</v>
      </c>
      <c r="O109" s="279">
        <f t="shared" si="25"/>
        <v>17.744923827400001</v>
      </c>
      <c r="P109" s="279">
        <f t="shared" si="25"/>
        <v>17.744923827400001</v>
      </c>
      <c r="Q109" s="279">
        <f t="shared" si="25"/>
        <v>17.744923827400001</v>
      </c>
    </row>
    <row r="110" spans="1:17" ht="15" customHeight="1">
      <c r="A110" s="90">
        <v>7</v>
      </c>
      <c r="B110" s="279">
        <f>Leakage!AF12</f>
        <v>0.46896653891678425</v>
      </c>
      <c r="C110" s="279">
        <f t="shared" ref="C110:Q110" si="26">C98*1.1</f>
        <v>5.9149746091333339</v>
      </c>
      <c r="D110" s="279">
        <f t="shared" si="26"/>
        <v>5.9149746091333339</v>
      </c>
      <c r="E110" s="279">
        <f t="shared" si="26"/>
        <v>5.9149746091333339</v>
      </c>
      <c r="F110" s="279">
        <f t="shared" si="26"/>
        <v>5.9149746091333339</v>
      </c>
      <c r="G110" s="279">
        <f t="shared" si="26"/>
        <v>5.9149746091333339</v>
      </c>
      <c r="H110" s="279">
        <f t="shared" si="26"/>
        <v>5.9149746091333339</v>
      </c>
      <c r="I110" s="279">
        <f t="shared" si="26"/>
        <v>5.9149746091333339</v>
      </c>
      <c r="J110" s="279">
        <f t="shared" si="26"/>
        <v>5.9149746091333339</v>
      </c>
      <c r="K110" s="279">
        <f t="shared" si="26"/>
        <v>5.9149746091333339</v>
      </c>
      <c r="L110" s="279">
        <f t="shared" si="26"/>
        <v>5.9149746091333339</v>
      </c>
      <c r="M110" s="279">
        <f t="shared" si="26"/>
        <v>5.9149746091333339</v>
      </c>
      <c r="N110" s="279">
        <f t="shared" si="26"/>
        <v>5.9149746091333339</v>
      </c>
      <c r="O110" s="279">
        <f t="shared" si="26"/>
        <v>5.9149746091333339</v>
      </c>
      <c r="P110" s="279">
        <f t="shared" si="26"/>
        <v>5.9149746091333339</v>
      </c>
      <c r="Q110" s="279">
        <f t="shared" si="26"/>
        <v>5.9149746091333339</v>
      </c>
    </row>
    <row r="111" spans="1:17" ht="15" customHeight="1">
      <c r="A111" s="90">
        <v>5</v>
      </c>
      <c r="B111" s="279">
        <f>Leakage!AF13</f>
        <v>0.33497609922627442</v>
      </c>
      <c r="C111" s="279">
        <f t="shared" ref="C111:Q111" si="27">C99*1.1</f>
        <v>8.597205652081028</v>
      </c>
      <c r="D111" s="279">
        <f t="shared" si="27"/>
        <v>8.3740905746342236</v>
      </c>
      <c r="E111" s="279">
        <f t="shared" si="27"/>
        <v>8.1509754971874191</v>
      </c>
      <c r="F111" s="279">
        <f t="shared" si="27"/>
        <v>7.4816302648470048</v>
      </c>
      <c r="G111" s="279">
        <f t="shared" si="27"/>
        <v>7.0354001099533976</v>
      </c>
      <c r="H111" s="279">
        <f t="shared" si="27"/>
        <v>5.9149746091333339</v>
      </c>
      <c r="I111" s="279">
        <f t="shared" si="27"/>
        <v>6.5891699550597886</v>
      </c>
      <c r="J111" s="279">
        <f t="shared" si="27"/>
        <v>5.9149746091333339</v>
      </c>
      <c r="K111" s="279">
        <f t="shared" si="27"/>
        <v>5.9149746091333339</v>
      </c>
      <c r="L111" s="279">
        <f t="shared" si="27"/>
        <v>5.9149746091333339</v>
      </c>
      <c r="M111" s="279">
        <f t="shared" si="27"/>
        <v>5.9149746091333339</v>
      </c>
      <c r="N111" s="279">
        <f t="shared" si="27"/>
        <v>5.9149746091333339</v>
      </c>
      <c r="O111" s="279">
        <f t="shared" si="27"/>
        <v>5.9149746091333339</v>
      </c>
      <c r="P111" s="279">
        <f t="shared" si="27"/>
        <v>5.9149746091333339</v>
      </c>
      <c r="Q111" s="279">
        <f t="shared" si="27"/>
        <v>5.9149746091333339</v>
      </c>
    </row>
    <row r="112" spans="1:17" ht="15" customHeight="1">
      <c r="A112" s="90">
        <v>3</v>
      </c>
      <c r="B112" s="279">
        <f>Leakage!AF14</f>
        <v>0.20098565953576467</v>
      </c>
      <c r="C112" s="279">
        <f t="shared" ref="C112:Q112" si="28">C100*1.1</f>
        <v>12.256292922208619</v>
      </c>
      <c r="D112" s="279">
        <f t="shared" si="28"/>
        <v>12.122423875740536</v>
      </c>
      <c r="E112" s="279">
        <f t="shared" si="28"/>
        <v>11.988554829272452</v>
      </c>
      <c r="F112" s="279">
        <f t="shared" si="28"/>
        <v>11.586947689868206</v>
      </c>
      <c r="G112" s="279">
        <f t="shared" si="28"/>
        <v>11.319209596932039</v>
      </c>
      <c r="H112" s="279">
        <f t="shared" si="28"/>
        <v>9.7127810393150487</v>
      </c>
      <c r="I112" s="279">
        <f t="shared" si="28"/>
        <v>11.051471503995874</v>
      </c>
      <c r="J112" s="279">
        <f t="shared" si="28"/>
        <v>10.515995318123544</v>
      </c>
      <c r="K112" s="279">
        <f t="shared" si="28"/>
        <v>10.38212627165546</v>
      </c>
      <c r="L112" s="279">
        <f t="shared" si="28"/>
        <v>9.7127810393150487</v>
      </c>
      <c r="M112" s="279">
        <f t="shared" si="28"/>
        <v>10.248257225187377</v>
      </c>
      <c r="N112" s="279">
        <f t="shared" si="28"/>
        <v>9.578911992846967</v>
      </c>
      <c r="O112" s="279">
        <f t="shared" si="28"/>
        <v>9.311173899910802</v>
      </c>
      <c r="P112" s="279">
        <f t="shared" si="28"/>
        <v>8.3740905746342253</v>
      </c>
      <c r="Q112" s="279">
        <f t="shared" si="28"/>
        <v>8.3740905746342253</v>
      </c>
    </row>
    <row r="113" spans="1:17" ht="15" customHeight="1">
      <c r="A113" s="90">
        <v>1.5</v>
      </c>
      <c r="B113" s="279">
        <f>Leakage!AF15</f>
        <v>0.10049282976788233</v>
      </c>
      <c r="C113" s="279">
        <f t="shared" ref="C113:Q113" si="29">C101*1.1</f>
        <v>15.00060837480431</v>
      </c>
      <c r="D113" s="279">
        <f t="shared" si="29"/>
        <v>14.933673851570269</v>
      </c>
      <c r="E113" s="279">
        <f t="shared" si="29"/>
        <v>14.866739328336227</v>
      </c>
      <c r="F113" s="279">
        <f t="shared" si="29"/>
        <v>14.665935758634102</v>
      </c>
      <c r="G113" s="279">
        <f t="shared" si="29"/>
        <v>14.532066712166021</v>
      </c>
      <c r="H113" s="279">
        <f t="shared" si="29"/>
        <v>13.728852433357524</v>
      </c>
      <c r="I113" s="279">
        <f t="shared" si="29"/>
        <v>14.398197665697937</v>
      </c>
      <c r="J113" s="279">
        <f t="shared" si="29"/>
        <v>14.130459572761774</v>
      </c>
      <c r="K113" s="279">
        <f t="shared" si="29"/>
        <v>14.06352504952773</v>
      </c>
      <c r="L113" s="279">
        <f t="shared" si="29"/>
        <v>13.728852433357524</v>
      </c>
      <c r="M113" s="279">
        <f t="shared" si="29"/>
        <v>13.996590526293689</v>
      </c>
      <c r="N113" s="279">
        <f t="shared" si="29"/>
        <v>13.661917910123485</v>
      </c>
      <c r="O113" s="279">
        <f t="shared" si="29"/>
        <v>13.528048863655401</v>
      </c>
      <c r="P113" s="279">
        <f t="shared" si="29"/>
        <v>13.059507201017112</v>
      </c>
      <c r="Q113" s="279">
        <f t="shared" si="29"/>
        <v>13.059507201017112</v>
      </c>
    </row>
    <row r="114" spans="1:17" ht="15" customHeight="1">
      <c r="A114" s="90">
        <v>0.6</v>
      </c>
      <c r="B114" s="279">
        <f>Leakage!AF16</f>
        <v>4.0197131907152933E-2</v>
      </c>
      <c r="C114" s="279">
        <f t="shared" ref="C114:Q114" si="30">C102*1.1</f>
        <v>16.647197646361722</v>
      </c>
      <c r="D114" s="279">
        <f t="shared" si="30"/>
        <v>16.62042383706811</v>
      </c>
      <c r="E114" s="279">
        <f t="shared" si="30"/>
        <v>16.59365002777449</v>
      </c>
      <c r="F114" s="279">
        <f t="shared" si="30"/>
        <v>16.513328599893644</v>
      </c>
      <c r="G114" s="279">
        <f t="shared" si="30"/>
        <v>16.459780981306412</v>
      </c>
      <c r="H114" s="279">
        <f t="shared" si="30"/>
        <v>16.138495269783011</v>
      </c>
      <c r="I114" s="279">
        <f t="shared" si="30"/>
        <v>16.406233362719178</v>
      </c>
      <c r="J114" s="279">
        <f t="shared" si="30"/>
        <v>16.299138125544712</v>
      </c>
      <c r="K114" s="279">
        <f t="shared" si="30"/>
        <v>16.272364316251092</v>
      </c>
      <c r="L114" s="279">
        <f t="shared" si="30"/>
        <v>16.138495269783011</v>
      </c>
      <c r="M114" s="279">
        <f t="shared" si="30"/>
        <v>16.245590506957477</v>
      </c>
      <c r="N114" s="279">
        <f t="shared" si="30"/>
        <v>16.111721460489395</v>
      </c>
      <c r="O114" s="279">
        <f t="shared" si="30"/>
        <v>16.05817384190216</v>
      </c>
      <c r="P114" s="279">
        <f t="shared" si="30"/>
        <v>15.870757176846846</v>
      </c>
      <c r="Q114" s="279">
        <f t="shared" si="30"/>
        <v>15.870757176846846</v>
      </c>
    </row>
    <row r="115" spans="1:17" ht="15" customHeight="1">
      <c r="A115" s="90"/>
      <c r="B115" s="279"/>
      <c r="C115" s="279"/>
      <c r="D115" s="279"/>
      <c r="E115" s="279"/>
      <c r="F115" s="279"/>
      <c r="G115" s="279"/>
      <c r="H115" s="279"/>
      <c r="I115" s="279"/>
      <c r="J115" s="279"/>
      <c r="K115" s="279"/>
      <c r="L115" s="279"/>
      <c r="M115" s="279"/>
      <c r="N115" s="279"/>
      <c r="O115" s="279"/>
      <c r="P115" s="279"/>
      <c r="Q115" s="279"/>
    </row>
  </sheetData>
  <hyperlinks>
    <hyperlink ref="G22" r:id="rId1"/>
    <hyperlink ref="G23" r:id="rId2"/>
  </hyperlinks>
  <pageMargins left="0.7" right="0.7" top="0.75" bottom="0.75" header="0.51180555555555551" footer="0.51180555555555551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:S54"/>
  <sheetViews>
    <sheetView workbookViewId="0">
      <selection activeCell="F25" sqref="F25"/>
    </sheetView>
  </sheetViews>
  <sheetFormatPr defaultColWidth="8.7109375" defaultRowHeight="15" customHeight="1"/>
  <cols>
    <col min="1" max="1" width="13.140625" style="6" customWidth="1"/>
    <col min="2" max="3" width="19" style="6" customWidth="1"/>
    <col min="4" max="4" width="18.7109375" style="6" customWidth="1"/>
    <col min="5" max="8" width="8.7109375" style="6"/>
    <col min="9" max="9" width="8.7109375" style="6" customWidth="1"/>
    <col min="10" max="10" width="8.7109375" style="6"/>
    <col min="11" max="11" width="8.7109375" style="6" customWidth="1"/>
    <col min="12" max="14" width="8.7109375" style="6"/>
    <col min="15" max="16" width="10.140625" style="6" bestFit="1" customWidth="1"/>
    <col min="17" max="17" width="12.140625" style="6" bestFit="1" customWidth="1"/>
    <col min="18" max="18" width="12.85546875" style="6" bestFit="1" customWidth="1"/>
    <col min="19" max="19" width="11.7109375" style="6" customWidth="1"/>
    <col min="20" max="16384" width="8.7109375" style="6"/>
  </cols>
  <sheetData>
    <row r="1" spans="1:19" ht="45" customHeight="1">
      <c r="A1" s="4" t="s">
        <v>397</v>
      </c>
      <c r="B1" s="4"/>
      <c r="C1" s="4"/>
      <c r="D1" s="4"/>
      <c r="E1" s="4"/>
      <c r="G1" s="6" t="s">
        <v>753</v>
      </c>
      <c r="O1" s="450" t="s">
        <v>720</v>
      </c>
      <c r="P1" s="206" t="s">
        <v>759</v>
      </c>
      <c r="Q1" s="206" t="s">
        <v>761</v>
      </c>
      <c r="R1" s="201" t="s">
        <v>762</v>
      </c>
    </row>
    <row r="2" spans="1:19" ht="15" customHeight="1">
      <c r="A2" s="26" t="s">
        <v>692</v>
      </c>
      <c r="G2" s="71" t="s">
        <v>752</v>
      </c>
      <c r="O2" s="451"/>
      <c r="P2" s="207" t="s">
        <v>760</v>
      </c>
      <c r="Q2" s="207" t="s">
        <v>760</v>
      </c>
      <c r="R2" s="205" t="s">
        <v>763</v>
      </c>
    </row>
    <row r="3" spans="1:19" ht="15" customHeight="1">
      <c r="G3" s="6" t="s">
        <v>754</v>
      </c>
      <c r="O3" s="203">
        <v>2</v>
      </c>
      <c r="P3" s="208">
        <v>7.8</v>
      </c>
      <c r="Q3" s="208">
        <v>3.2</v>
      </c>
      <c r="R3" s="202" t="s">
        <v>764</v>
      </c>
    </row>
    <row r="4" spans="1:19" ht="15" customHeight="1">
      <c r="A4" s="128" t="s">
        <v>623</v>
      </c>
      <c r="B4" s="129" t="s">
        <v>341</v>
      </c>
      <c r="C4" s="129" t="s">
        <v>189</v>
      </c>
      <c r="D4" s="129" t="s">
        <v>398</v>
      </c>
      <c r="E4" s="129" t="s">
        <v>189</v>
      </c>
      <c r="G4" s="6" t="s">
        <v>592</v>
      </c>
      <c r="O4" s="203">
        <v>3</v>
      </c>
      <c r="P4" s="208">
        <v>12.1</v>
      </c>
      <c r="Q4" s="208">
        <v>3.6</v>
      </c>
      <c r="R4" s="202" t="s">
        <v>765</v>
      </c>
    </row>
    <row r="5" spans="1:19" ht="15" customHeight="1">
      <c r="A5" s="103" t="s">
        <v>399</v>
      </c>
      <c r="B5" s="432">
        <f>20000+15*Geometry!B8</f>
        <v>52283.035522066741</v>
      </c>
      <c r="C5" s="6" t="s">
        <v>400</v>
      </c>
      <c r="D5" s="433">
        <f>B5*0.00029307107</f>
        <v>15.322645163300107</v>
      </c>
      <c r="E5" s="6" t="s">
        <v>401</v>
      </c>
      <c r="O5" s="203">
        <v>4</v>
      </c>
      <c r="P5" s="208">
        <v>13.8</v>
      </c>
      <c r="Q5" s="208">
        <v>4</v>
      </c>
      <c r="R5" s="202" t="s">
        <v>766</v>
      </c>
    </row>
    <row r="6" spans="1:19" ht="15" customHeight="1">
      <c r="D6" s="409">
        <f>1000*A54</f>
        <v>705.30462253361054</v>
      </c>
      <c r="E6" s="6" t="s">
        <v>45</v>
      </c>
      <c r="G6" s="375" t="s">
        <v>1239</v>
      </c>
      <c r="O6" s="204">
        <v>5</v>
      </c>
      <c r="P6" s="207">
        <v>14.7</v>
      </c>
      <c r="Q6" s="207">
        <v>4.4000000000000004</v>
      </c>
      <c r="R6" s="205" t="s">
        <v>767</v>
      </c>
    </row>
    <row r="7" spans="1:19" ht="15" customHeight="1">
      <c r="O7" s="200" t="s">
        <v>775</v>
      </c>
      <c r="P7" s="32"/>
      <c r="Q7" s="32"/>
      <c r="R7" s="32"/>
    </row>
    <row r="8" spans="1:19" s="180" customFormat="1" ht="15" customHeight="1">
      <c r="O8" s="200"/>
      <c r="P8" s="32"/>
      <c r="Q8" s="32"/>
      <c r="R8" s="32"/>
    </row>
    <row r="9" spans="1:19" ht="45" customHeight="1">
      <c r="O9" s="450" t="s">
        <v>768</v>
      </c>
      <c r="P9" s="452" t="s">
        <v>720</v>
      </c>
      <c r="Q9" s="206" t="s">
        <v>623</v>
      </c>
      <c r="R9" s="201" t="s">
        <v>770</v>
      </c>
      <c r="S9" s="201" t="s">
        <v>770</v>
      </c>
    </row>
    <row r="10" spans="1:19" ht="15" customHeight="1">
      <c r="A10" s="130" t="s">
        <v>624</v>
      </c>
      <c r="B10" s="131" t="s">
        <v>341</v>
      </c>
      <c r="C10" s="131" t="s">
        <v>189</v>
      </c>
      <c r="D10" s="131" t="s">
        <v>190</v>
      </c>
      <c r="E10" s="131" t="s">
        <v>189</v>
      </c>
      <c r="G10" s="6" t="s">
        <v>742</v>
      </c>
      <c r="O10" s="451"/>
      <c r="P10" s="453"/>
      <c r="Q10" s="207" t="s">
        <v>769</v>
      </c>
      <c r="R10" s="205" t="s">
        <v>760</v>
      </c>
      <c r="S10" s="205" t="s">
        <v>769</v>
      </c>
    </row>
    <row r="11" spans="1:19" ht="15" customHeight="1">
      <c r="A11" s="125" t="s">
        <v>399</v>
      </c>
      <c r="B11" s="89"/>
      <c r="C11" s="89"/>
      <c r="D11" s="89">
        <f>VLOOKUP(mainINPUT!B1,'Internal gains'!A28:F37,6,FALSE)</f>
        <v>3</v>
      </c>
      <c r="E11" s="89" t="s">
        <v>402</v>
      </c>
      <c r="G11" s="6" t="s">
        <v>736</v>
      </c>
      <c r="O11" s="203" t="s">
        <v>771</v>
      </c>
      <c r="P11" s="208">
        <v>4</v>
      </c>
      <c r="Q11" s="208">
        <v>464</v>
      </c>
      <c r="R11" s="202">
        <v>9.8000000000000007</v>
      </c>
      <c r="S11" s="202">
        <v>277</v>
      </c>
    </row>
    <row r="12" spans="1:19" ht="15" customHeight="1">
      <c r="A12" s="126"/>
      <c r="B12" s="89"/>
      <c r="C12" s="89"/>
      <c r="D12" s="408">
        <f>D11/(3600*24)</f>
        <v>3.4722222222222222E-5</v>
      </c>
      <c r="E12" s="89" t="s">
        <v>403</v>
      </c>
      <c r="G12" s="6" t="s">
        <v>737</v>
      </c>
      <c r="O12" s="203" t="s">
        <v>772</v>
      </c>
      <c r="P12" s="208">
        <v>4</v>
      </c>
      <c r="Q12" s="208">
        <v>628.9</v>
      </c>
      <c r="R12" s="202">
        <v>9.8000000000000007</v>
      </c>
      <c r="S12" s="202">
        <v>277</v>
      </c>
    </row>
    <row r="13" spans="1:19" ht="15" customHeight="1">
      <c r="G13" s="6" t="s">
        <v>738</v>
      </c>
      <c r="O13" s="209" t="s">
        <v>773</v>
      </c>
      <c r="P13" s="207">
        <v>5</v>
      </c>
      <c r="Q13" s="207">
        <v>738.8</v>
      </c>
      <c r="R13" s="205">
        <v>10.3</v>
      </c>
      <c r="S13" s="205">
        <v>291</v>
      </c>
    </row>
    <row r="14" spans="1:19" ht="15" customHeight="1">
      <c r="G14" s="6" t="s">
        <v>739</v>
      </c>
      <c r="O14" s="199" t="s">
        <v>774</v>
      </c>
    </row>
    <row r="15" spans="1:19" ht="15" customHeight="1">
      <c r="A15" s="4" t="s">
        <v>693</v>
      </c>
      <c r="G15" s="6" t="s">
        <v>740</v>
      </c>
    </row>
    <row r="16" spans="1:19" ht="15" customHeight="1">
      <c r="A16" s="26" t="s">
        <v>694</v>
      </c>
      <c r="G16" s="6" t="s">
        <v>741</v>
      </c>
      <c r="Q16" s="375" t="s">
        <v>989</v>
      </c>
      <c r="R16" s="375" t="s">
        <v>990</v>
      </c>
      <c r="S16" s="375" t="s">
        <v>991</v>
      </c>
    </row>
    <row r="17" spans="1:18" ht="15" customHeight="1">
      <c r="P17" s="375" t="s">
        <v>400</v>
      </c>
      <c r="Q17" s="407">
        <v>43316</v>
      </c>
      <c r="R17" s="407">
        <v>4687</v>
      </c>
    </row>
    <row r="18" spans="1:18" ht="15" customHeight="1">
      <c r="A18" s="128" t="s">
        <v>695</v>
      </c>
      <c r="B18" s="101" t="s">
        <v>45</v>
      </c>
      <c r="C18" s="101" t="s">
        <v>699</v>
      </c>
      <c r="P18" s="375" t="s">
        <v>45</v>
      </c>
      <c r="Q18" s="29">
        <f>(Q17/24)/3.412</f>
        <v>528.96639312231343</v>
      </c>
      <c r="R18" s="29">
        <f>(R17/24)/3.412</f>
        <v>57.236713559984366</v>
      </c>
    </row>
    <row r="19" spans="1:18" ht="15" customHeight="1">
      <c r="A19" s="114" t="s">
        <v>696</v>
      </c>
      <c r="B19" s="27">
        <f>136+2.2*A_houseSI+22*A23</f>
        <v>619.86712000000011</v>
      </c>
      <c r="C19" s="29">
        <f>B19/1000</f>
        <v>0.6198671200000001</v>
      </c>
      <c r="Q19" s="375" t="s">
        <v>992</v>
      </c>
    </row>
    <row r="20" spans="1:18" ht="15" customHeight="1">
      <c r="A20" s="114" t="s">
        <v>697</v>
      </c>
      <c r="B20" s="27">
        <f>20+0.22*A_houseSI+12*'Internal gains'!A23</f>
        <v>87.986712000000011</v>
      </c>
      <c r="C20" s="29">
        <f>B20/1000</f>
        <v>8.7986712000000009E-2</v>
      </c>
    </row>
    <row r="21" spans="1:18" ht="15" customHeight="1">
      <c r="K21" s="6">
        <f>2.51*50*24/100</f>
        <v>30.119999999999994</v>
      </c>
      <c r="L21" s="6">
        <f>50/0.61</f>
        <v>81.967213114754102</v>
      </c>
    </row>
    <row r="22" spans="1:18" ht="15" customHeight="1">
      <c r="A22" s="101" t="s">
        <v>698</v>
      </c>
      <c r="F22" s="375"/>
      <c r="G22" s="375"/>
    </row>
    <row r="23" spans="1:18" ht="15" customHeight="1">
      <c r="A23" s="2">
        <f>VLOOKUP(CONCATENATE(mainINPUT!B1,mainINPUT!A1),'Internal gains'!C28:G37,5,FALSE)</f>
        <v>2</v>
      </c>
      <c r="F23" s="375"/>
      <c r="G23" s="375"/>
      <c r="H23" s="375"/>
    </row>
    <row r="28" spans="1:18" ht="15" customHeight="1">
      <c r="A28" s="375" t="s">
        <v>1131</v>
      </c>
      <c r="B28" s="375" t="s">
        <v>1137</v>
      </c>
      <c r="C28" s="375" t="s">
        <v>1138</v>
      </c>
      <c r="D28" s="375" t="s">
        <v>1135</v>
      </c>
      <c r="E28" s="375" t="s">
        <v>1136</v>
      </c>
      <c r="F28" s="375" t="s">
        <v>624</v>
      </c>
      <c r="G28" s="375" t="s">
        <v>1139</v>
      </c>
      <c r="H28" s="375" t="s">
        <v>1158</v>
      </c>
      <c r="O28" s="375"/>
    </row>
    <row r="29" spans="1:18" ht="15" customHeight="1">
      <c r="A29" s="375" t="s">
        <v>1133</v>
      </c>
      <c r="B29" s="375" t="s">
        <v>1127</v>
      </c>
      <c r="C29" s="6" t="str">
        <f>CONCATENATE(A29,B29)</f>
        <v>LowSmall</v>
      </c>
      <c r="D29" s="375">
        <v>1</v>
      </c>
      <c r="E29" s="6">
        <v>1</v>
      </c>
      <c r="F29" s="6">
        <v>3</v>
      </c>
      <c r="G29" s="375">
        <v>2</v>
      </c>
      <c r="H29" s="375">
        <f>29200</f>
        <v>29200</v>
      </c>
      <c r="J29" s="375"/>
      <c r="K29" s="375"/>
    </row>
    <row r="30" spans="1:18" ht="15" customHeight="1">
      <c r="A30" s="375" t="s">
        <v>1132</v>
      </c>
      <c r="B30" s="375" t="s">
        <v>1127</v>
      </c>
      <c r="C30" s="375" t="str">
        <f t="shared" ref="C30:C37" si="0">CONCATENATE(A30,B30)</f>
        <v>MedSmall</v>
      </c>
      <c r="D30" s="375">
        <v>2</v>
      </c>
      <c r="E30" s="6">
        <v>1</v>
      </c>
      <c r="F30" s="6">
        <v>6.5</v>
      </c>
      <c r="G30" s="375">
        <v>4</v>
      </c>
      <c r="H30" s="375">
        <f>2*29200</f>
        <v>58400</v>
      </c>
      <c r="J30" s="375"/>
      <c r="K30" s="375"/>
    </row>
    <row r="31" spans="1:18" ht="15" customHeight="1">
      <c r="A31" s="375" t="s">
        <v>1134</v>
      </c>
      <c r="B31" s="375" t="s">
        <v>1127</v>
      </c>
      <c r="C31" s="375" t="str">
        <f t="shared" si="0"/>
        <v>HighSmall</v>
      </c>
      <c r="D31" s="375">
        <v>3</v>
      </c>
      <c r="E31" s="6">
        <v>3</v>
      </c>
      <c r="F31" s="6">
        <v>11.8</v>
      </c>
      <c r="G31" s="375">
        <v>6</v>
      </c>
      <c r="H31" s="375">
        <f>3*29200</f>
        <v>87600</v>
      </c>
      <c r="J31" s="375"/>
      <c r="K31" s="375"/>
    </row>
    <row r="32" spans="1:18" ht="15" customHeight="1">
      <c r="A32" s="375" t="s">
        <v>1133</v>
      </c>
      <c r="B32" s="375" t="s">
        <v>1132</v>
      </c>
      <c r="C32" s="375" t="str">
        <f t="shared" si="0"/>
        <v>LowMed</v>
      </c>
      <c r="D32" s="375">
        <v>1</v>
      </c>
      <c r="E32" s="6">
        <v>1</v>
      </c>
      <c r="F32" s="375">
        <v>3</v>
      </c>
      <c r="G32" s="375">
        <v>2</v>
      </c>
      <c r="H32" s="375">
        <f>29200</f>
        <v>29200</v>
      </c>
      <c r="J32" s="375"/>
      <c r="K32" s="375"/>
    </row>
    <row r="33" spans="1:11" ht="15" customHeight="1">
      <c r="A33" s="375" t="s">
        <v>1132</v>
      </c>
      <c r="B33" s="375" t="s">
        <v>1132</v>
      </c>
      <c r="C33" s="375" t="str">
        <f t="shared" si="0"/>
        <v>MedMed</v>
      </c>
      <c r="D33" s="375">
        <v>2</v>
      </c>
      <c r="E33" s="6">
        <v>1</v>
      </c>
      <c r="F33" s="375">
        <v>6.5</v>
      </c>
      <c r="G33" s="375">
        <v>4</v>
      </c>
      <c r="H33" s="375">
        <f>2*29200</f>
        <v>58400</v>
      </c>
      <c r="J33" s="375"/>
      <c r="K33" s="375"/>
    </row>
    <row r="34" spans="1:11" ht="15" customHeight="1">
      <c r="A34" s="375" t="s">
        <v>1134</v>
      </c>
      <c r="B34" s="375" t="s">
        <v>1132</v>
      </c>
      <c r="C34" s="375" t="str">
        <f t="shared" si="0"/>
        <v>HighMed</v>
      </c>
      <c r="D34" s="375">
        <v>3</v>
      </c>
      <c r="E34" s="6">
        <v>3</v>
      </c>
      <c r="F34" s="375">
        <v>11.8</v>
      </c>
      <c r="G34" s="375">
        <v>6</v>
      </c>
      <c r="H34" s="375">
        <f>3*29200</f>
        <v>87600</v>
      </c>
      <c r="J34" s="375"/>
      <c r="K34" s="375"/>
    </row>
    <row r="35" spans="1:11" ht="15" customHeight="1">
      <c r="A35" s="375" t="s">
        <v>1133</v>
      </c>
      <c r="B35" s="375" t="s">
        <v>1128</v>
      </c>
      <c r="C35" s="375" t="str">
        <f t="shared" si="0"/>
        <v>LowLarge</v>
      </c>
      <c r="D35" s="375">
        <v>1</v>
      </c>
      <c r="E35" s="6">
        <v>1</v>
      </c>
      <c r="F35" s="375">
        <v>3</v>
      </c>
      <c r="G35" s="375">
        <v>2</v>
      </c>
      <c r="H35" s="375">
        <f>29200</f>
        <v>29200</v>
      </c>
      <c r="J35" s="375"/>
      <c r="K35" s="375"/>
    </row>
    <row r="36" spans="1:11" ht="15" customHeight="1">
      <c r="A36" s="375" t="s">
        <v>1132</v>
      </c>
      <c r="B36" s="375" t="s">
        <v>1128</v>
      </c>
      <c r="C36" s="375" t="str">
        <f t="shared" si="0"/>
        <v>MedLarge</v>
      </c>
      <c r="D36" s="375">
        <v>2</v>
      </c>
      <c r="E36" s="6">
        <v>1</v>
      </c>
      <c r="F36" s="375">
        <v>6.5</v>
      </c>
      <c r="G36" s="375">
        <v>4</v>
      </c>
      <c r="H36" s="375">
        <f>2*29200</f>
        <v>58400</v>
      </c>
      <c r="J36" s="375"/>
      <c r="K36" s="375"/>
    </row>
    <row r="37" spans="1:11" ht="15" customHeight="1">
      <c r="A37" s="375" t="s">
        <v>1134</v>
      </c>
      <c r="B37" s="375" t="s">
        <v>1128</v>
      </c>
      <c r="C37" s="375" t="str">
        <f t="shared" si="0"/>
        <v>HighLarge</v>
      </c>
      <c r="D37" s="375">
        <v>3</v>
      </c>
      <c r="E37" s="6">
        <v>3</v>
      </c>
      <c r="F37" s="375">
        <v>11.8</v>
      </c>
      <c r="G37" s="375">
        <v>6</v>
      </c>
      <c r="H37" s="375">
        <f>3*29200</f>
        <v>87600</v>
      </c>
      <c r="J37" s="375"/>
      <c r="K37" s="375"/>
    </row>
    <row r="39" spans="1:11" ht="15" customHeight="1">
      <c r="A39" s="375" t="s">
        <v>1160</v>
      </c>
      <c r="B39" s="375" t="s">
        <v>1161</v>
      </c>
      <c r="C39" s="375" t="s">
        <v>280</v>
      </c>
    </row>
    <row r="40" spans="1:11" ht="15" customHeight="1">
      <c r="A40" s="6">
        <v>0</v>
      </c>
      <c r="B40" s="6">
        <v>7.27</v>
      </c>
      <c r="C40" s="6">
        <v>0</v>
      </c>
      <c r="D40" s="6" t="s">
        <v>1224</v>
      </c>
      <c r="E40" s="375" t="s">
        <v>1162</v>
      </c>
    </row>
    <row r="41" spans="1:11" ht="15" customHeight="1">
      <c r="A41" s="6">
        <v>4253</v>
      </c>
      <c r="B41" s="6">
        <v>7.48</v>
      </c>
      <c r="C41" s="6">
        <v>0</v>
      </c>
      <c r="D41" s="6" t="s">
        <v>1225</v>
      </c>
    </row>
    <row r="42" spans="1:11" ht="15" customHeight="1">
      <c r="A42" s="375">
        <v>5955</v>
      </c>
      <c r="B42" s="375">
        <v>0</v>
      </c>
      <c r="C42" s="375">
        <v>168</v>
      </c>
      <c r="D42" s="6" t="s">
        <v>1226</v>
      </c>
    </row>
    <row r="43" spans="1:11" ht="15" customHeight="1">
      <c r="A43" s="6">
        <v>3861</v>
      </c>
      <c r="B43" s="375">
        <v>0</v>
      </c>
      <c r="C43" s="6">
        <v>645</v>
      </c>
      <c r="D43" s="6" t="s">
        <v>1227</v>
      </c>
    </row>
    <row r="44" spans="1:11" ht="15" customHeight="1">
      <c r="A44" s="375">
        <v>2228</v>
      </c>
      <c r="B44" s="375">
        <v>0</v>
      </c>
      <c r="C44" s="375">
        <v>262</v>
      </c>
      <c r="D44" s="6" t="s">
        <v>1228</v>
      </c>
    </row>
    <row r="45" spans="1:11" ht="15" customHeight="1">
      <c r="A45" s="375">
        <v>3934</v>
      </c>
      <c r="B45" s="375">
        <v>0</v>
      </c>
      <c r="C45" s="375">
        <v>470</v>
      </c>
      <c r="D45" s="6" t="s">
        <v>1229</v>
      </c>
    </row>
    <row r="46" spans="1:11" ht="15" customHeight="1">
      <c r="A46" s="6">
        <v>661</v>
      </c>
      <c r="B46" s="375">
        <v>0</v>
      </c>
      <c r="C46" s="375">
        <v>188</v>
      </c>
      <c r="D46" s="6" t="s">
        <v>1230</v>
      </c>
    </row>
    <row r="47" spans="1:11" ht="15" customHeight="1">
      <c r="A47" s="375">
        <v>685</v>
      </c>
      <c r="B47" s="375">
        <v>0</v>
      </c>
      <c r="C47" s="375">
        <v>194</v>
      </c>
      <c r="D47" s="6" t="s">
        <v>1231</v>
      </c>
    </row>
    <row r="48" spans="1:11" ht="15" customHeight="1">
      <c r="A48" s="375">
        <v>219</v>
      </c>
      <c r="B48" s="375">
        <v>0</v>
      </c>
      <c r="C48" s="375">
        <v>87</v>
      </c>
      <c r="D48" s="6" t="s">
        <v>1232</v>
      </c>
    </row>
    <row r="49" spans="1:4" ht="15" customHeight="1">
      <c r="A49" s="6">
        <v>95</v>
      </c>
      <c r="B49" s="375">
        <v>0</v>
      </c>
      <c r="C49" s="375">
        <v>26</v>
      </c>
      <c r="D49" s="6" t="s">
        <v>1233</v>
      </c>
    </row>
    <row r="50" spans="1:4" ht="15" customHeight="1">
      <c r="A50" s="375">
        <v>-1227</v>
      </c>
      <c r="B50" s="375">
        <v>0</v>
      </c>
      <c r="C50" s="375">
        <v>-409</v>
      </c>
      <c r="D50" s="6" t="s">
        <v>1234</v>
      </c>
    </row>
    <row r="51" spans="1:4" ht="15" customHeight="1">
      <c r="A51" s="375">
        <v>0</v>
      </c>
      <c r="B51" s="375">
        <v>0</v>
      </c>
      <c r="C51" s="375">
        <v>3716</v>
      </c>
      <c r="D51" s="6" t="s">
        <v>698</v>
      </c>
    </row>
    <row r="53" spans="1:4" ht="15" customHeight="1">
      <c r="A53" s="6">
        <f>SUM(A40:A51)+SUM(B40:B51)*A_houseFT+SUM('Internal gains'!C40:C51)*mainINPUT!C122</f>
        <v>57755.984930032297</v>
      </c>
    </row>
    <row r="54" spans="1:4" ht="15" customHeight="1">
      <c r="A54" s="6">
        <f>A53/24/3412</f>
        <v>0.70530462253361059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 enableFormatConditionsCalculation="0"/>
  <dimension ref="A1:K31"/>
  <sheetViews>
    <sheetView workbookViewId="0">
      <selection activeCell="G25" sqref="G25"/>
    </sheetView>
  </sheetViews>
  <sheetFormatPr defaultColWidth="8.85546875" defaultRowHeight="15" customHeight="1"/>
  <cols>
    <col min="1" max="1" width="29" style="1" customWidth="1"/>
    <col min="2" max="2" width="7.7109375" style="1" customWidth="1"/>
    <col min="3" max="3" width="10.42578125" style="1" customWidth="1"/>
    <col min="4" max="4" width="7.140625" style="1" customWidth="1"/>
    <col min="5" max="5" width="8.85546875" style="1" customWidth="1"/>
    <col min="6" max="6" width="14.42578125" style="1" bestFit="1" customWidth="1"/>
    <col min="7" max="16384" width="8.85546875" style="1"/>
  </cols>
  <sheetData>
    <row r="1" spans="1:7" ht="15" customHeight="1">
      <c r="A1" s="4" t="s">
        <v>404</v>
      </c>
      <c r="G1" s="4"/>
    </row>
    <row r="2" spans="1:7" ht="15" customHeight="1">
      <c r="A2" s="184" t="s">
        <v>710</v>
      </c>
    </row>
    <row r="3" spans="1:7" ht="15" customHeight="1">
      <c r="A3" s="26" t="s">
        <v>405</v>
      </c>
    </row>
    <row r="4" spans="1:7" ht="15" customHeight="1">
      <c r="A4" s="26" t="s">
        <v>406</v>
      </c>
    </row>
    <row r="5" spans="1:7" ht="15" customHeight="1">
      <c r="A5" s="26" t="s">
        <v>407</v>
      </c>
    </row>
    <row r="6" spans="1:7" ht="15" customHeight="1">
      <c r="A6" s="26" t="s">
        <v>408</v>
      </c>
    </row>
    <row r="7" spans="1:7" ht="15" customHeight="1">
      <c r="A7" s="26"/>
    </row>
    <row r="9" spans="1:7" ht="15" customHeight="1">
      <c r="A9" s="144"/>
      <c r="B9" s="129" t="s">
        <v>341</v>
      </c>
      <c r="C9" s="129" t="s">
        <v>189</v>
      </c>
      <c r="D9" s="129" t="s">
        <v>342</v>
      </c>
      <c r="E9" s="129" t="s">
        <v>189</v>
      </c>
      <c r="F9" s="129" t="s">
        <v>4</v>
      </c>
    </row>
    <row r="10" spans="1:7" ht="15" customHeight="1">
      <c r="A10" s="120" t="s">
        <v>409</v>
      </c>
      <c r="B10" s="30"/>
      <c r="C10" s="1" t="s">
        <v>196</v>
      </c>
      <c r="D10" s="37">
        <f>IF(Geometry!D10&gt;0,Geometry!D10/300,Geometry!D9/300)</f>
        <v>0.33323266666666668</v>
      </c>
      <c r="E10" s="1" t="s">
        <v>197</v>
      </c>
      <c r="F10" s="26" t="s">
        <v>410</v>
      </c>
      <c r="G10" s="1" t="s">
        <v>999</v>
      </c>
    </row>
    <row r="11" spans="1:7" ht="15" customHeight="1">
      <c r="A11" s="147" t="s">
        <v>411</v>
      </c>
      <c r="D11" s="37">
        <f>IF(Geometry!D10&gt;0,0.003*Geometry!D10,0.003*A_ceilingSI)</f>
        <v>0.29990940000000005</v>
      </c>
      <c r="E11" s="1" t="s">
        <v>197</v>
      </c>
      <c r="F11" s="26" t="s">
        <v>412</v>
      </c>
    </row>
    <row r="12" spans="1:7" ht="15" customHeight="1">
      <c r="A12" s="120" t="s">
        <v>413</v>
      </c>
      <c r="D12" s="37">
        <f>D10-D11</f>
        <v>3.3323266666666629E-2</v>
      </c>
      <c r="E12" s="1" t="s">
        <v>197</v>
      </c>
      <c r="F12" s="26" t="s">
        <v>414</v>
      </c>
    </row>
    <row r="13" spans="1:7" ht="15" customHeight="1">
      <c r="A13" s="120" t="s">
        <v>415</v>
      </c>
      <c r="D13" s="1">
        <v>0.6</v>
      </c>
      <c r="F13"/>
    </row>
    <row r="14" spans="1:7" ht="15" customHeight="1">
      <c r="A14" s="133" t="s">
        <v>416</v>
      </c>
      <c r="B14" s="72"/>
      <c r="C14" s="72"/>
      <c r="D14" s="53">
        <f>D11*D13/(SQRT(1.2/2)*4^(0.65-0.5))</f>
        <v>0.18869339761941342</v>
      </c>
      <c r="E14" s="72" t="s">
        <v>800</v>
      </c>
    </row>
    <row r="17" spans="1:11" ht="15" customHeight="1">
      <c r="A17" s="128" t="s">
        <v>417</v>
      </c>
      <c r="B17" s="145"/>
      <c r="C17" s="145"/>
      <c r="D17" s="145"/>
      <c r="E17" s="145"/>
      <c r="F17" s="1" t="s">
        <v>4</v>
      </c>
    </row>
    <row r="18" spans="1:11" ht="15" customHeight="1">
      <c r="A18" s="120" t="s">
        <v>114</v>
      </c>
      <c r="C18" s="2"/>
      <c r="D18" s="43">
        <v>0.35</v>
      </c>
      <c r="E18" s="1" t="s">
        <v>17</v>
      </c>
      <c r="F18" s="6" t="s">
        <v>418</v>
      </c>
      <c r="K18" s="1" t="s">
        <v>593</v>
      </c>
    </row>
    <row r="19" spans="1:11" ht="15" customHeight="1">
      <c r="A19" s="120" t="s">
        <v>419</v>
      </c>
      <c r="C19" s="2"/>
      <c r="D19" s="43">
        <v>0.35</v>
      </c>
      <c r="E19" s="1" t="s">
        <v>17</v>
      </c>
      <c r="F19" s="6" t="s">
        <v>420</v>
      </c>
      <c r="K19" s="1" t="s">
        <v>594</v>
      </c>
    </row>
    <row r="20" spans="1:11" ht="15" customHeight="1">
      <c r="A20" s="120" t="s">
        <v>421</v>
      </c>
      <c r="C20" s="2"/>
      <c r="D20" s="43">
        <v>0.1</v>
      </c>
      <c r="E20" s="1" t="s">
        <v>17</v>
      </c>
      <c r="F20" s="6" t="s">
        <v>422</v>
      </c>
    </row>
    <row r="21" spans="1:11" ht="15" customHeight="1">
      <c r="A21" s="120" t="s">
        <v>423</v>
      </c>
      <c r="C21" s="2"/>
      <c r="D21" s="43">
        <v>0.1</v>
      </c>
      <c r="E21" s="1" t="s">
        <v>17</v>
      </c>
      <c r="F21" s="6" t="s">
        <v>424</v>
      </c>
    </row>
    <row r="22" spans="1:11" ht="15" customHeight="1">
      <c r="A22" s="120" t="s">
        <v>425</v>
      </c>
      <c r="C22" s="2"/>
      <c r="D22" s="43">
        <v>0.1</v>
      </c>
      <c r="E22" s="1" t="s">
        <v>17</v>
      </c>
      <c r="F22" s="6" t="s">
        <v>426</v>
      </c>
    </row>
    <row r="23" spans="1:11" ht="15" customHeight="1">
      <c r="A23" s="120" t="s">
        <v>427</v>
      </c>
      <c r="D23" s="1">
        <f>SUM(D18:D22)</f>
        <v>0.99999999999999989</v>
      </c>
    </row>
    <row r="25" spans="1:11" ht="15" customHeight="1">
      <c r="A25" s="128" t="s">
        <v>719</v>
      </c>
      <c r="B25" s="129"/>
      <c r="C25" s="129"/>
    </row>
    <row r="26" spans="1:11" ht="15" customHeight="1">
      <c r="A26" s="120" t="s">
        <v>597</v>
      </c>
      <c r="B26" s="26"/>
      <c r="C26" s="30">
        <f>W_houseSI/2</f>
        <v>3.5350000000000001</v>
      </c>
    </row>
    <row r="27" spans="1:11" ht="15" customHeight="1">
      <c r="A27" s="120" t="s">
        <v>598</v>
      </c>
      <c r="C27" s="30">
        <f>L_houseSI</f>
        <v>14.14</v>
      </c>
    </row>
    <row r="28" spans="1:11" ht="15" customHeight="1">
      <c r="A28" s="120" t="s">
        <v>599</v>
      </c>
      <c r="C28" s="37" t="e">
        <f>C26*Geometry!#REF!</f>
        <v>#REF!</v>
      </c>
    </row>
    <row r="29" spans="1:11" ht="15" customHeight="1">
      <c r="A29" s="120" t="s">
        <v>600</v>
      </c>
      <c r="C29" s="37" t="e">
        <f>SQRT(C26^2+Geometry!#REF!^2)*Attic!C27</f>
        <v>#REF!</v>
      </c>
    </row>
    <row r="30" spans="1:11" ht="15" customHeight="1">
      <c r="A30" s="120" t="s">
        <v>601</v>
      </c>
      <c r="B30" s="32"/>
      <c r="C30" s="195" t="e">
        <f>C28/(C28*2+C29*2)</f>
        <v>#REF!</v>
      </c>
    </row>
    <row r="31" spans="1:11" ht="15" customHeight="1">
      <c r="A31" s="120" t="s">
        <v>602</v>
      </c>
      <c r="C31" s="37" t="e">
        <f>C29/(2*(C28+C29))</f>
        <v>#REF!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AQ17"/>
  <sheetViews>
    <sheetView workbookViewId="0">
      <selection activeCell="B10" sqref="B10"/>
    </sheetView>
  </sheetViews>
  <sheetFormatPr defaultColWidth="8.7109375" defaultRowHeight="15" customHeight="1"/>
  <cols>
    <col min="1" max="1" width="12" style="6" customWidth="1"/>
    <col min="2" max="2" width="7.42578125" style="6" bestFit="1" customWidth="1"/>
    <col min="3" max="3" width="3.42578125" style="6" bestFit="1" customWidth="1"/>
    <col min="4" max="4" width="7.140625" style="6" bestFit="1" customWidth="1"/>
    <col min="5" max="5" width="3.7109375" style="6" bestFit="1" customWidth="1"/>
    <col min="6" max="6" width="15" style="6" customWidth="1"/>
    <col min="7" max="7" width="15.28515625" style="6" bestFit="1" customWidth="1"/>
    <col min="8" max="8" width="10.28515625" style="6" bestFit="1" customWidth="1"/>
    <col min="9" max="9" width="8.42578125" style="6" bestFit="1" customWidth="1"/>
    <col min="10" max="24" width="4.42578125" style="6" bestFit="1" customWidth="1"/>
    <col min="25" max="25" width="8.7109375" style="6"/>
    <col min="26" max="26" width="13.28515625" style="6" customWidth="1"/>
    <col min="27" max="27" width="10.28515625" style="6" bestFit="1" customWidth="1"/>
    <col min="28" max="43" width="4.42578125" style="6" bestFit="1" customWidth="1"/>
    <col min="44" max="16384" width="8.7109375" style="6"/>
  </cols>
  <sheetData>
    <row r="1" spans="1:43" ht="15" customHeight="1">
      <c r="A1" s="4" t="s">
        <v>145</v>
      </c>
      <c r="G1" s="4" t="s">
        <v>428</v>
      </c>
    </row>
    <row r="2" spans="1:43" ht="15" customHeight="1">
      <c r="A2" s="26" t="s">
        <v>801</v>
      </c>
      <c r="G2" s="26" t="s">
        <v>429</v>
      </c>
    </row>
    <row r="4" spans="1:43" ht="15" customHeight="1">
      <c r="A4" s="128" t="s">
        <v>430</v>
      </c>
      <c r="B4" s="129" t="s">
        <v>341</v>
      </c>
      <c r="C4" s="129" t="s">
        <v>189</v>
      </c>
      <c r="D4" s="129" t="s">
        <v>342</v>
      </c>
      <c r="E4" s="129" t="s">
        <v>189</v>
      </c>
      <c r="G4" s="6" t="s">
        <v>433</v>
      </c>
      <c r="P4" s="29"/>
    </row>
    <row r="5" spans="1:43" ht="15" customHeight="1">
      <c r="A5" s="132" t="s">
        <v>432</v>
      </c>
      <c r="B5" s="6">
        <v>1</v>
      </c>
      <c r="C5" s="6" t="s">
        <v>17</v>
      </c>
      <c r="G5" s="375" t="s">
        <v>447</v>
      </c>
      <c r="H5" s="124"/>
      <c r="I5" s="124"/>
      <c r="J5" s="128" t="s">
        <v>431</v>
      </c>
      <c r="K5" s="124"/>
      <c r="P5" s="29"/>
    </row>
    <row r="6" spans="1:43" ht="15" customHeight="1">
      <c r="A6" s="114" t="s">
        <v>434</v>
      </c>
      <c r="B6" s="6">
        <v>0.65</v>
      </c>
      <c r="C6" s="6" t="s">
        <v>17</v>
      </c>
      <c r="G6" s="114">
        <v>4</v>
      </c>
      <c r="J6" s="29">
        <v>2.5000000000000001E-2</v>
      </c>
      <c r="K6" s="6" t="s">
        <v>193</v>
      </c>
      <c r="P6" s="29"/>
    </row>
    <row r="7" spans="1:43" ht="15" customHeight="1">
      <c r="A7" s="114" t="s">
        <v>435</v>
      </c>
      <c r="B7" s="6">
        <v>0.05</v>
      </c>
      <c r="C7" s="6" t="s">
        <v>17</v>
      </c>
      <c r="G7" s="114">
        <v>6</v>
      </c>
      <c r="J7" s="29">
        <f>J6*1.5</f>
        <v>3.7500000000000006E-2</v>
      </c>
      <c r="K7" s="6" t="s">
        <v>193</v>
      </c>
      <c r="P7" s="29"/>
    </row>
    <row r="8" spans="1:43" ht="15" customHeight="1">
      <c r="A8" s="114" t="s">
        <v>436</v>
      </c>
      <c r="B8" s="6">
        <v>0.1</v>
      </c>
      <c r="C8" s="6" t="s">
        <v>17</v>
      </c>
      <c r="G8" s="114">
        <v>8</v>
      </c>
      <c r="J8" s="29">
        <f>J6*2</f>
        <v>0.05</v>
      </c>
      <c r="K8" s="6" t="s">
        <v>193</v>
      </c>
      <c r="P8" s="29"/>
    </row>
    <row r="9" spans="1:43" ht="15" customHeight="1">
      <c r="A9" s="114" t="s">
        <v>437</v>
      </c>
      <c r="B9" s="6">
        <f>0.27*A_houseFT*IF(storeys=1,B5,B6)</f>
        <v>377.71151560818089</v>
      </c>
      <c r="C9" s="6" t="s">
        <v>703</v>
      </c>
      <c r="D9" s="29">
        <f>B9*0.3048^2</f>
        <v>35.090548043007459</v>
      </c>
      <c r="E9" s="6" t="s">
        <v>702</v>
      </c>
      <c r="G9" s="114">
        <v>1</v>
      </c>
      <c r="J9" s="29">
        <f>J6/4</f>
        <v>6.2500000000000003E-3</v>
      </c>
      <c r="K9" s="6" t="s">
        <v>193</v>
      </c>
      <c r="P9" s="29"/>
    </row>
    <row r="10" spans="1:43" ht="15" customHeight="1">
      <c r="A10" s="114" t="s">
        <v>438</v>
      </c>
      <c r="B10" s="6">
        <f>A_houseFT*IF(storeys=1,B7,B8)</f>
        <v>215.22023681377829</v>
      </c>
      <c r="C10" s="180" t="s">
        <v>703</v>
      </c>
      <c r="D10" s="29">
        <f>B10*0.3048^2</f>
        <v>19.994614269519918</v>
      </c>
      <c r="E10" s="180" t="s">
        <v>702</v>
      </c>
      <c r="P10" s="29"/>
    </row>
    <row r="11" spans="1:43" ht="15" customHeight="1">
      <c r="A11" s="35" t="s">
        <v>439</v>
      </c>
      <c r="G11" s="4" t="s">
        <v>306</v>
      </c>
      <c r="P11" s="29"/>
      <c r="Z11" s="4" t="s">
        <v>307</v>
      </c>
      <c r="AI11" s="29"/>
    </row>
    <row r="12" spans="1:43" ht="15" customHeight="1">
      <c r="A12" s="133" t="s">
        <v>440</v>
      </c>
      <c r="B12" s="73">
        <f>D12/(0.3048/12)</f>
        <v>9.8425196850393686</v>
      </c>
      <c r="C12" s="72" t="s">
        <v>276</v>
      </c>
      <c r="D12" s="72">
        <v>0.25</v>
      </c>
      <c r="E12" s="72" t="s">
        <v>193</v>
      </c>
      <c r="F12"/>
      <c r="G12" s="129" t="s">
        <v>441</v>
      </c>
      <c r="H12" s="102" t="s">
        <v>17</v>
      </c>
      <c r="I12" s="129">
        <v>1</v>
      </c>
      <c r="J12" s="129">
        <v>2</v>
      </c>
      <c r="K12" s="129">
        <v>3</v>
      </c>
      <c r="L12" s="129">
        <v>4</v>
      </c>
      <c r="M12" s="129">
        <v>5</v>
      </c>
      <c r="N12" s="129">
        <v>6</v>
      </c>
      <c r="O12" s="129">
        <v>7</v>
      </c>
      <c r="P12" s="129">
        <v>8</v>
      </c>
      <c r="Q12" s="129">
        <v>9</v>
      </c>
      <c r="R12" s="129">
        <v>10</v>
      </c>
      <c r="S12" s="129">
        <v>11</v>
      </c>
      <c r="T12" s="129">
        <v>12</v>
      </c>
      <c r="U12" s="129">
        <v>13</v>
      </c>
      <c r="V12" s="129">
        <v>14</v>
      </c>
      <c r="W12" s="129">
        <v>15</v>
      </c>
      <c r="X12" s="129">
        <v>16</v>
      </c>
      <c r="Z12" s="129" t="s">
        <v>441</v>
      </c>
      <c r="AA12" s="102" t="s">
        <v>17</v>
      </c>
      <c r="AB12" s="129">
        <v>1</v>
      </c>
      <c r="AC12" s="129">
        <v>2</v>
      </c>
      <c r="AD12" s="129">
        <v>3</v>
      </c>
      <c r="AE12" s="129">
        <v>4</v>
      </c>
      <c r="AF12" s="129">
        <v>5</v>
      </c>
      <c r="AG12" s="129">
        <v>6</v>
      </c>
      <c r="AH12" s="129">
        <v>7</v>
      </c>
      <c r="AI12" s="129">
        <v>8</v>
      </c>
      <c r="AJ12" s="129">
        <v>9</v>
      </c>
      <c r="AK12" s="129">
        <v>10</v>
      </c>
      <c r="AL12" s="129">
        <v>11</v>
      </c>
      <c r="AM12" s="129">
        <v>12</v>
      </c>
      <c r="AN12" s="129">
        <v>13</v>
      </c>
      <c r="AO12" s="129">
        <v>14</v>
      </c>
      <c r="AP12" s="129">
        <v>15</v>
      </c>
      <c r="AQ12" s="129">
        <v>16</v>
      </c>
    </row>
    <row r="13" spans="1:43" ht="15" customHeight="1">
      <c r="A13" s="133" t="s">
        <v>442</v>
      </c>
      <c r="B13" s="73">
        <f>D13/(0.3048/12)</f>
        <v>17.716535433070867</v>
      </c>
      <c r="C13" s="72" t="s">
        <v>276</v>
      </c>
      <c r="D13" s="72">
        <v>0.45</v>
      </c>
      <c r="E13" s="72" t="s">
        <v>193</v>
      </c>
      <c r="F13"/>
      <c r="G13" s="6" t="s">
        <v>22</v>
      </c>
      <c r="H13" s="103" t="s">
        <v>751</v>
      </c>
      <c r="I13" s="6">
        <v>8</v>
      </c>
      <c r="J13" s="6">
        <v>8</v>
      </c>
      <c r="K13" s="6">
        <v>8</v>
      </c>
      <c r="L13" s="6">
        <v>8</v>
      </c>
      <c r="M13" s="6">
        <v>8</v>
      </c>
      <c r="N13" s="6">
        <v>8</v>
      </c>
      <c r="O13" s="6">
        <v>8</v>
      </c>
      <c r="P13" s="6">
        <v>8</v>
      </c>
      <c r="Q13" s="6">
        <v>8</v>
      </c>
      <c r="R13" s="6">
        <v>8</v>
      </c>
      <c r="S13" s="6">
        <v>8</v>
      </c>
      <c r="T13" s="6">
        <v>8</v>
      </c>
      <c r="U13" s="6">
        <v>8</v>
      </c>
      <c r="V13" s="6">
        <v>8</v>
      </c>
      <c r="W13" s="6">
        <v>8</v>
      </c>
      <c r="X13" s="6">
        <v>8</v>
      </c>
      <c r="Y13" s="375">
        <v>8</v>
      </c>
      <c r="Z13" s="6" t="s">
        <v>22</v>
      </c>
      <c r="AA13" s="103" t="s">
        <v>751</v>
      </c>
      <c r="AB13" s="6">
        <v>8</v>
      </c>
      <c r="AC13" s="6">
        <f>AB13</f>
        <v>8</v>
      </c>
      <c r="AD13" s="6">
        <f t="shared" ref="AD13:AQ13" si="0">AC13</f>
        <v>8</v>
      </c>
      <c r="AE13" s="6">
        <f t="shared" si="0"/>
        <v>8</v>
      </c>
      <c r="AF13" s="6">
        <f t="shared" si="0"/>
        <v>8</v>
      </c>
      <c r="AG13" s="6">
        <f t="shared" si="0"/>
        <v>8</v>
      </c>
      <c r="AH13" s="6">
        <f t="shared" si="0"/>
        <v>8</v>
      </c>
      <c r="AI13" s="6">
        <f t="shared" si="0"/>
        <v>8</v>
      </c>
      <c r="AJ13" s="6">
        <f t="shared" si="0"/>
        <v>8</v>
      </c>
      <c r="AK13" s="6">
        <f t="shared" si="0"/>
        <v>8</v>
      </c>
      <c r="AL13" s="6">
        <f t="shared" si="0"/>
        <v>8</v>
      </c>
      <c r="AM13" s="6">
        <f t="shared" si="0"/>
        <v>8</v>
      </c>
      <c r="AN13" s="6">
        <f t="shared" si="0"/>
        <v>8</v>
      </c>
      <c r="AO13" s="6">
        <f t="shared" si="0"/>
        <v>8</v>
      </c>
      <c r="AP13" s="6">
        <f t="shared" si="0"/>
        <v>8</v>
      </c>
      <c r="AQ13" s="6">
        <f t="shared" si="0"/>
        <v>8</v>
      </c>
    </row>
    <row r="14" spans="1:43" ht="15" customHeight="1">
      <c r="A14" s="114" t="s">
        <v>443</v>
      </c>
      <c r="B14" s="27">
        <f>D14/(0.3048/12)</f>
        <v>30.921187535332606</v>
      </c>
      <c r="C14" s="6" t="s">
        <v>276</v>
      </c>
      <c r="D14" s="27">
        <f>PI()*D12</f>
        <v>0.78539816339744828</v>
      </c>
      <c r="E14" s="6" t="s">
        <v>193</v>
      </c>
      <c r="F14"/>
      <c r="G14" s="72" t="s">
        <v>431</v>
      </c>
      <c r="H14" s="106" t="s">
        <v>193</v>
      </c>
      <c r="I14" s="53">
        <f>VLOOKUP(I13,$G$6:$J$9,4,FALSE)</f>
        <v>0.05</v>
      </c>
      <c r="J14" s="365">
        <f t="shared" ref="J14:X14" si="1">VLOOKUP(J13,$G$6:$J$9,4,FALSE)</f>
        <v>0.05</v>
      </c>
      <c r="K14" s="365">
        <f t="shared" si="1"/>
        <v>0.05</v>
      </c>
      <c r="L14" s="365">
        <f t="shared" si="1"/>
        <v>0.05</v>
      </c>
      <c r="M14" s="365">
        <f t="shared" si="1"/>
        <v>0.05</v>
      </c>
      <c r="N14" s="365">
        <f t="shared" si="1"/>
        <v>0.05</v>
      </c>
      <c r="O14" s="365">
        <f t="shared" si="1"/>
        <v>0.05</v>
      </c>
      <c r="P14" s="365">
        <f t="shared" si="1"/>
        <v>0.05</v>
      </c>
      <c r="Q14" s="365">
        <f t="shared" si="1"/>
        <v>0.05</v>
      </c>
      <c r="R14" s="365">
        <f t="shared" si="1"/>
        <v>0.05</v>
      </c>
      <c r="S14" s="365">
        <f t="shared" si="1"/>
        <v>0.05</v>
      </c>
      <c r="T14" s="365">
        <f t="shared" si="1"/>
        <v>0.05</v>
      </c>
      <c r="U14" s="365">
        <f t="shared" si="1"/>
        <v>0.05</v>
      </c>
      <c r="V14" s="365">
        <f t="shared" si="1"/>
        <v>0.05</v>
      </c>
      <c r="W14" s="365">
        <f t="shared" si="1"/>
        <v>0.05</v>
      </c>
      <c r="X14" s="365">
        <f t="shared" si="1"/>
        <v>0.05</v>
      </c>
      <c r="Y14" s="365">
        <f>VLOOKUP(Y13,$G$6:$J$9,4,FALSE)</f>
        <v>0.05</v>
      </c>
      <c r="Z14" s="72" t="s">
        <v>431</v>
      </c>
      <c r="AA14" s="106" t="s">
        <v>193</v>
      </c>
      <c r="AB14" s="365">
        <f>VLOOKUP(AB13,$G$6:$J$9,4,FALSE)</f>
        <v>0.05</v>
      </c>
      <c r="AC14" s="365">
        <f t="shared" ref="AC14:AQ14" si="2">VLOOKUP(AC13,$G$6:$J$9,4,FALSE)</f>
        <v>0.05</v>
      </c>
      <c r="AD14" s="365">
        <f t="shared" si="2"/>
        <v>0.05</v>
      </c>
      <c r="AE14" s="365">
        <f t="shared" si="2"/>
        <v>0.05</v>
      </c>
      <c r="AF14" s="365">
        <f t="shared" si="2"/>
        <v>0.05</v>
      </c>
      <c r="AG14" s="365">
        <f t="shared" si="2"/>
        <v>0.05</v>
      </c>
      <c r="AH14" s="365">
        <f t="shared" si="2"/>
        <v>0.05</v>
      </c>
      <c r="AI14" s="365">
        <f t="shared" si="2"/>
        <v>0.05</v>
      </c>
      <c r="AJ14" s="365">
        <f t="shared" si="2"/>
        <v>0.05</v>
      </c>
      <c r="AK14" s="365">
        <f t="shared" si="2"/>
        <v>0.05</v>
      </c>
      <c r="AL14" s="365">
        <f t="shared" si="2"/>
        <v>0.05</v>
      </c>
      <c r="AM14" s="365">
        <f t="shared" si="2"/>
        <v>0.05</v>
      </c>
      <c r="AN14" s="365">
        <f t="shared" si="2"/>
        <v>0.05</v>
      </c>
      <c r="AO14" s="365">
        <f t="shared" si="2"/>
        <v>0.05</v>
      </c>
      <c r="AP14" s="365">
        <f t="shared" si="2"/>
        <v>0.05</v>
      </c>
      <c r="AQ14" s="365">
        <f t="shared" si="2"/>
        <v>0.05</v>
      </c>
    </row>
    <row r="15" spans="1:43" ht="15" customHeight="1">
      <c r="A15" s="114" t="s">
        <v>444</v>
      </c>
      <c r="B15" s="27">
        <f>D15/(0.3048/12)</f>
        <v>55.658137563598693</v>
      </c>
      <c r="C15" s="6" t="s">
        <v>276</v>
      </c>
      <c r="D15" s="27">
        <f>PI()*D13</f>
        <v>1.4137166941154069</v>
      </c>
      <c r="E15" s="6" t="s">
        <v>193</v>
      </c>
      <c r="G15" s="6" t="s">
        <v>445</v>
      </c>
      <c r="H15" s="103" t="s">
        <v>17</v>
      </c>
      <c r="I15" s="6">
        <v>0.7</v>
      </c>
      <c r="J15" s="6">
        <v>0.7</v>
      </c>
      <c r="K15" s="6">
        <v>0.7</v>
      </c>
      <c r="L15" s="6">
        <v>0.7</v>
      </c>
      <c r="M15" s="6">
        <v>0.7</v>
      </c>
      <c r="N15" s="6">
        <v>0.7</v>
      </c>
      <c r="O15" s="6">
        <v>0.7</v>
      </c>
      <c r="P15" s="6">
        <v>0.7</v>
      </c>
      <c r="Q15" s="6">
        <v>0.7</v>
      </c>
      <c r="R15" s="6">
        <v>0.7</v>
      </c>
      <c r="S15" s="6">
        <v>0.7</v>
      </c>
      <c r="T15" s="6">
        <v>0.7</v>
      </c>
      <c r="U15" s="6">
        <v>0.7</v>
      </c>
      <c r="V15" s="6">
        <v>0.7</v>
      </c>
      <c r="W15" s="6">
        <v>0.7</v>
      </c>
      <c r="X15" s="6">
        <v>0.7</v>
      </c>
      <c r="Y15" s="375">
        <v>0.7</v>
      </c>
      <c r="Z15" s="6" t="s">
        <v>445</v>
      </c>
      <c r="AA15" s="103" t="s">
        <v>17</v>
      </c>
      <c r="AB15" s="6">
        <v>0.7</v>
      </c>
      <c r="AC15" s="6">
        <v>0.7</v>
      </c>
      <c r="AD15" s="6">
        <v>0.7</v>
      </c>
      <c r="AE15" s="6">
        <v>0.7</v>
      </c>
      <c r="AF15" s="6">
        <v>0.7</v>
      </c>
      <c r="AG15" s="6">
        <v>0.7</v>
      </c>
      <c r="AH15" s="6">
        <v>0.7</v>
      </c>
      <c r="AI15" s="6">
        <v>0.7</v>
      </c>
      <c r="AJ15" s="6">
        <v>0.7</v>
      </c>
      <c r="AK15" s="6">
        <v>0.7</v>
      </c>
      <c r="AL15" s="6">
        <v>0.7</v>
      </c>
      <c r="AM15" s="6">
        <v>0.7</v>
      </c>
      <c r="AN15" s="6">
        <v>0.7</v>
      </c>
      <c r="AO15" s="6">
        <v>0.7</v>
      </c>
      <c r="AP15" s="6">
        <v>0.7</v>
      </c>
      <c r="AQ15" s="6">
        <v>0.7</v>
      </c>
    </row>
    <row r="16" spans="1:43" ht="15" customHeight="1">
      <c r="A16" s="133" t="s">
        <v>446</v>
      </c>
      <c r="B16" s="73">
        <f>D16/0.3048</f>
        <v>146.5835741954927</v>
      </c>
      <c r="C16" s="72" t="s">
        <v>192</v>
      </c>
      <c r="D16" s="73">
        <f>D9/D14</f>
        <v>44.678673414786175</v>
      </c>
      <c r="E16" s="72" t="s">
        <v>193</v>
      </c>
      <c r="G16" s="72" t="s">
        <v>447</v>
      </c>
      <c r="H16" s="106" t="s">
        <v>750</v>
      </c>
      <c r="I16" s="53">
        <f t="shared" ref="I16:X16" si="3">(I13+I15)/5.678</f>
        <v>1.5322296583303978</v>
      </c>
      <c r="J16" s="53">
        <f t="shared" si="3"/>
        <v>1.5322296583303978</v>
      </c>
      <c r="K16" s="53">
        <f t="shared" si="3"/>
        <v>1.5322296583303978</v>
      </c>
      <c r="L16" s="53">
        <f t="shared" si="3"/>
        <v>1.5322296583303978</v>
      </c>
      <c r="M16" s="53">
        <f t="shared" si="3"/>
        <v>1.5322296583303978</v>
      </c>
      <c r="N16" s="53">
        <f t="shared" si="3"/>
        <v>1.5322296583303978</v>
      </c>
      <c r="O16" s="53">
        <f t="shared" si="3"/>
        <v>1.5322296583303978</v>
      </c>
      <c r="P16" s="53">
        <f t="shared" si="3"/>
        <v>1.5322296583303978</v>
      </c>
      <c r="Q16" s="53">
        <f t="shared" si="3"/>
        <v>1.5322296583303978</v>
      </c>
      <c r="R16" s="53">
        <f t="shared" si="3"/>
        <v>1.5322296583303978</v>
      </c>
      <c r="S16" s="53">
        <f t="shared" si="3"/>
        <v>1.5322296583303978</v>
      </c>
      <c r="T16" s="53">
        <f t="shared" si="3"/>
        <v>1.5322296583303978</v>
      </c>
      <c r="U16" s="53">
        <f t="shared" si="3"/>
        <v>1.5322296583303978</v>
      </c>
      <c r="V16" s="53">
        <f t="shared" si="3"/>
        <v>1.5322296583303978</v>
      </c>
      <c r="W16" s="53">
        <f t="shared" si="3"/>
        <v>1.5322296583303978</v>
      </c>
      <c r="X16" s="53">
        <f t="shared" si="3"/>
        <v>1.5322296583303978</v>
      </c>
      <c r="Y16" s="365">
        <f>(Y13+Y15)/5.678</f>
        <v>1.5322296583303978</v>
      </c>
      <c r="Z16" s="72" t="s">
        <v>447</v>
      </c>
      <c r="AA16" s="106" t="s">
        <v>750</v>
      </c>
      <c r="AB16" s="53">
        <f t="shared" ref="AB16:AQ16" si="4">(AB13+AB15)/5.678</f>
        <v>1.5322296583303978</v>
      </c>
      <c r="AC16" s="53">
        <f t="shared" si="4"/>
        <v>1.5322296583303978</v>
      </c>
      <c r="AD16" s="53">
        <f t="shared" si="4"/>
        <v>1.5322296583303978</v>
      </c>
      <c r="AE16" s="53">
        <f t="shared" si="4"/>
        <v>1.5322296583303978</v>
      </c>
      <c r="AF16" s="53">
        <f t="shared" si="4"/>
        <v>1.5322296583303978</v>
      </c>
      <c r="AG16" s="53">
        <f t="shared" si="4"/>
        <v>1.5322296583303978</v>
      </c>
      <c r="AH16" s="53">
        <f t="shared" si="4"/>
        <v>1.5322296583303978</v>
      </c>
      <c r="AI16" s="53">
        <f t="shared" si="4"/>
        <v>1.5322296583303978</v>
      </c>
      <c r="AJ16" s="53">
        <f t="shared" si="4"/>
        <v>1.5322296583303978</v>
      </c>
      <c r="AK16" s="53">
        <f t="shared" si="4"/>
        <v>1.5322296583303978</v>
      </c>
      <c r="AL16" s="53">
        <f t="shared" si="4"/>
        <v>1.5322296583303978</v>
      </c>
      <c r="AM16" s="53">
        <f t="shared" si="4"/>
        <v>1.5322296583303978</v>
      </c>
      <c r="AN16" s="53">
        <f t="shared" si="4"/>
        <v>1.5322296583303978</v>
      </c>
      <c r="AO16" s="53">
        <f t="shared" si="4"/>
        <v>1.5322296583303978</v>
      </c>
      <c r="AP16" s="53">
        <f t="shared" si="4"/>
        <v>1.5322296583303978</v>
      </c>
      <c r="AQ16" s="53">
        <f t="shared" si="4"/>
        <v>1.5322296583303978</v>
      </c>
    </row>
    <row r="17" spans="1:5" ht="15" customHeight="1">
      <c r="A17" s="133" t="s">
        <v>448</v>
      </c>
      <c r="B17" s="73">
        <f>D17/0.3048</f>
        <v>46.401891166664349</v>
      </c>
      <c r="C17" s="72" t="s">
        <v>192</v>
      </c>
      <c r="D17" s="73">
        <f>D10/D15</f>
        <v>14.143296427599294</v>
      </c>
      <c r="E17" s="72" t="s">
        <v>193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 enableFormatConditionsCalculation="0"/>
  <dimension ref="A1:AD95"/>
  <sheetViews>
    <sheetView topLeftCell="A4" zoomScale="85" zoomScaleNormal="85" zoomScalePageLayoutView="85" workbookViewId="0">
      <selection activeCell="J12" sqref="J12"/>
    </sheetView>
  </sheetViews>
  <sheetFormatPr defaultColWidth="8.7109375" defaultRowHeight="15" customHeight="1"/>
  <cols>
    <col min="1" max="1" width="18.42578125" style="6" customWidth="1"/>
    <col min="2" max="2" width="12" style="6" bestFit="1" customWidth="1"/>
    <col min="3" max="3" width="6.7109375" style="6" bestFit="1" customWidth="1"/>
    <col min="4" max="4" width="12.85546875" style="6" customWidth="1"/>
    <col min="5" max="5" width="8.42578125" style="6" bestFit="1" customWidth="1"/>
    <col min="6" max="7" width="6.42578125" style="6" bestFit="1" customWidth="1"/>
    <col min="8" max="8" width="10.42578125" style="6" bestFit="1" customWidth="1"/>
    <col min="9" max="9" width="15.42578125" style="6" bestFit="1" customWidth="1"/>
    <col min="10" max="10" width="14.140625" style="6" bestFit="1" customWidth="1"/>
    <col min="11" max="11" width="15.42578125" style="6" bestFit="1" customWidth="1"/>
    <col min="12" max="12" width="14.85546875" style="6" bestFit="1" customWidth="1"/>
    <col min="13" max="13" width="11.28515625" style="6" bestFit="1" customWidth="1"/>
    <col min="14" max="14" width="10" style="6" customWidth="1"/>
    <col min="15" max="15" width="8.85546875" style="6" bestFit="1" customWidth="1"/>
    <col min="16" max="16" width="7" style="6" bestFit="1" customWidth="1"/>
    <col min="17" max="17" width="11.85546875" style="6" bestFit="1" customWidth="1"/>
    <col min="18" max="18" width="9" style="6" bestFit="1" customWidth="1"/>
    <col min="19" max="19" width="19" style="6" customWidth="1"/>
    <col min="20" max="20" width="8.7109375" style="6"/>
    <col min="21" max="21" width="11.85546875" style="6" bestFit="1" customWidth="1"/>
    <col min="22" max="25" width="11.85546875" style="375" customWidth="1"/>
    <col min="26" max="26" width="8.42578125" style="6" customWidth="1"/>
    <col min="27" max="27" width="8" style="6" customWidth="1"/>
    <col min="28" max="28" width="13.42578125" style="6" customWidth="1"/>
    <col min="29" max="29" width="13.7109375" style="6" customWidth="1"/>
    <col min="30" max="30" width="20.85546875" style="6" customWidth="1"/>
    <col min="31" max="16384" width="8.7109375" style="6"/>
  </cols>
  <sheetData>
    <row r="1" spans="1:30" ht="15" customHeight="1">
      <c r="A1" s="93" t="s">
        <v>449</v>
      </c>
      <c r="Z1" s="135" t="s">
        <v>450</v>
      </c>
      <c r="AA1" s="136"/>
      <c r="AB1" s="137" t="s">
        <v>451</v>
      </c>
      <c r="AC1" s="137" t="s">
        <v>452</v>
      </c>
      <c r="AD1" s="136" t="s">
        <v>453</v>
      </c>
    </row>
    <row r="2" spans="1:30" ht="17.25" customHeight="1">
      <c r="A2" s="94" t="s">
        <v>454</v>
      </c>
      <c r="H2" s="360"/>
      <c r="J2" s="6" t="s">
        <v>908</v>
      </c>
      <c r="Z2" s="138"/>
      <c r="AA2" s="139"/>
      <c r="AB2" s="140" t="s">
        <v>625</v>
      </c>
      <c r="AC2" s="140" t="s">
        <v>626</v>
      </c>
      <c r="AD2" s="139" t="s">
        <v>457</v>
      </c>
    </row>
    <row r="3" spans="1:30" ht="15" customHeight="1">
      <c r="A3" s="4" t="s">
        <v>458</v>
      </c>
      <c r="H3" s="360"/>
      <c r="J3" s="6" t="s">
        <v>909</v>
      </c>
      <c r="N3" s="6" t="s">
        <v>911</v>
      </c>
      <c r="P3" s="74"/>
      <c r="Q3" s="74"/>
      <c r="R3" s="74"/>
      <c r="S3" s="74"/>
      <c r="Z3" s="135" t="s">
        <v>459</v>
      </c>
      <c r="AA3" s="136" t="s">
        <v>460</v>
      </c>
      <c r="AB3" s="134">
        <v>2.2000000000000002</v>
      </c>
      <c r="AC3" s="134">
        <v>45.8</v>
      </c>
      <c r="AD3" s="132">
        <v>4.9000000000000004</v>
      </c>
    </row>
    <row r="4" spans="1:30" ht="15" customHeight="1">
      <c r="A4" s="26" t="s">
        <v>461</v>
      </c>
      <c r="H4" s="360"/>
      <c r="I4" s="75"/>
      <c r="J4" s="75" t="s">
        <v>910</v>
      </c>
      <c r="K4" s="75"/>
      <c r="L4" s="75"/>
      <c r="M4" s="75"/>
      <c r="N4" s="75" t="s">
        <v>912</v>
      </c>
      <c r="O4" s="75"/>
      <c r="P4" s="75"/>
      <c r="Q4" s="75"/>
      <c r="R4" s="75"/>
      <c r="Z4" s="138"/>
      <c r="AA4" s="139" t="s">
        <v>462</v>
      </c>
      <c r="AB4" s="107">
        <v>5</v>
      </c>
      <c r="AC4" s="107">
        <v>113.2</v>
      </c>
      <c r="AD4" s="114">
        <v>7.5</v>
      </c>
    </row>
    <row r="5" spans="1:30" ht="15" customHeight="1">
      <c r="A5" s="26"/>
      <c r="I5" s="75"/>
      <c r="J5" s="75"/>
      <c r="K5" s="75"/>
      <c r="L5" s="75"/>
      <c r="M5" s="75"/>
      <c r="N5" s="75"/>
      <c r="O5" s="75"/>
      <c r="P5" s="75"/>
      <c r="Q5" s="76"/>
      <c r="R5" s="76"/>
      <c r="S5" s="28"/>
      <c r="Z5" s="138"/>
      <c r="AA5" s="139" t="s">
        <v>463</v>
      </c>
      <c r="AB5" s="107">
        <v>0.8</v>
      </c>
      <c r="AC5" s="107">
        <v>20.100000000000001</v>
      </c>
      <c r="AD5" s="114">
        <v>2.8</v>
      </c>
    </row>
    <row r="6" spans="1:30" ht="15" customHeight="1">
      <c r="D6" s="6" t="s">
        <v>4</v>
      </c>
      <c r="I6" s="75"/>
      <c r="J6" s="75" t="s">
        <v>913</v>
      </c>
      <c r="K6" s="75"/>
      <c r="L6" s="75"/>
      <c r="M6" s="77"/>
      <c r="N6" s="78"/>
      <c r="O6" s="75"/>
      <c r="P6" s="79"/>
      <c r="Q6" s="76"/>
      <c r="R6" s="76"/>
      <c r="S6" s="28"/>
      <c r="Z6" s="138"/>
      <c r="AA6" s="139" t="s">
        <v>464</v>
      </c>
      <c r="AB6" s="107">
        <v>0.7</v>
      </c>
      <c r="AC6" s="107">
        <v>16.899999999999999</v>
      </c>
      <c r="AD6" s="114">
        <v>1</v>
      </c>
    </row>
    <row r="7" spans="1:30" s="375" customFormat="1" ht="15" customHeight="1">
      <c r="I7" s="383"/>
      <c r="J7" s="383"/>
      <c r="K7" s="383"/>
      <c r="L7" s="383"/>
      <c r="M7" s="77"/>
      <c r="N7" s="78"/>
      <c r="O7" s="383"/>
      <c r="P7" s="357"/>
      <c r="Q7" s="76"/>
      <c r="R7" s="76"/>
      <c r="S7" s="363"/>
      <c r="Z7" s="138"/>
      <c r="AA7" s="139"/>
      <c r="AB7" s="107"/>
      <c r="AC7" s="107"/>
      <c r="AD7" s="289"/>
    </row>
    <row r="8" spans="1:30" s="375" customFormat="1" ht="15" customHeight="1">
      <c r="C8" s="333" t="s">
        <v>882</v>
      </c>
      <c r="D8" s="384" t="s">
        <v>823</v>
      </c>
      <c r="E8" s="384" t="s">
        <v>824</v>
      </c>
      <c r="F8" s="384" t="s">
        <v>825</v>
      </c>
      <c r="G8" s="384" t="s">
        <v>826</v>
      </c>
      <c r="H8" s="384" t="s">
        <v>827</v>
      </c>
      <c r="I8" s="384" t="s">
        <v>828</v>
      </c>
      <c r="J8" s="384" t="s">
        <v>829</v>
      </c>
      <c r="K8" s="384" t="s">
        <v>830</v>
      </c>
      <c r="L8" s="384" t="s">
        <v>831</v>
      </c>
      <c r="M8" s="384" t="s">
        <v>832</v>
      </c>
      <c r="N8" s="384" t="s">
        <v>833</v>
      </c>
      <c r="O8" s="384" t="s">
        <v>834</v>
      </c>
      <c r="P8" s="384">
        <v>7</v>
      </c>
      <c r="Q8" s="333">
        <v>8</v>
      </c>
      <c r="R8" s="375" t="s">
        <v>1152</v>
      </c>
      <c r="S8" s="375" t="s">
        <v>1153</v>
      </c>
      <c r="Z8" s="138"/>
      <c r="AA8" s="139"/>
      <c r="AB8" s="107"/>
      <c r="AC8" s="107"/>
      <c r="AD8" s="289"/>
    </row>
    <row r="9" spans="1:30" ht="15" customHeight="1">
      <c r="A9" s="89" t="s">
        <v>465</v>
      </c>
      <c r="B9" s="89">
        <v>13</v>
      </c>
      <c r="C9" s="6">
        <v>18</v>
      </c>
      <c r="D9" s="375">
        <v>18</v>
      </c>
      <c r="E9" s="375">
        <v>18</v>
      </c>
      <c r="F9" s="89">
        <v>15</v>
      </c>
      <c r="G9" s="89">
        <v>15</v>
      </c>
      <c r="H9" s="89">
        <v>15</v>
      </c>
      <c r="I9" s="89">
        <v>15</v>
      </c>
      <c r="J9" s="89">
        <v>15</v>
      </c>
      <c r="K9" s="75">
        <v>13</v>
      </c>
      <c r="L9" s="383">
        <v>13</v>
      </c>
      <c r="M9" s="383">
        <v>13</v>
      </c>
      <c r="N9" s="383">
        <v>13</v>
      </c>
      <c r="O9" s="383">
        <v>13</v>
      </c>
      <c r="P9" s="383">
        <v>13</v>
      </c>
      <c r="Q9" s="383">
        <v>13</v>
      </c>
      <c r="R9" s="6">
        <f>D9</f>
        <v>18</v>
      </c>
      <c r="S9" s="6">
        <f>F9</f>
        <v>15</v>
      </c>
      <c r="T9" s="89" t="s">
        <v>17</v>
      </c>
      <c r="U9" s="94" t="s">
        <v>466</v>
      </c>
      <c r="Z9" s="138"/>
      <c r="AA9" s="139" t="s">
        <v>467</v>
      </c>
      <c r="AB9" s="107">
        <v>31.9</v>
      </c>
      <c r="AC9" s="107">
        <v>37</v>
      </c>
      <c r="AD9" s="114">
        <v>19.8</v>
      </c>
    </row>
    <row r="10" spans="1:30" ht="15" customHeight="1">
      <c r="A10" s="72" t="s">
        <v>458</v>
      </c>
      <c r="B10" s="410">
        <v>11</v>
      </c>
      <c r="C10" s="6">
        <v>15.2</v>
      </c>
      <c r="D10" s="375">
        <v>15.2</v>
      </c>
      <c r="E10" s="375">
        <v>15.2</v>
      </c>
      <c r="F10" s="6">
        <v>13</v>
      </c>
      <c r="G10" s="375">
        <v>13</v>
      </c>
      <c r="H10" s="375">
        <v>13</v>
      </c>
      <c r="I10" s="375">
        <v>13</v>
      </c>
      <c r="J10" s="375">
        <v>13</v>
      </c>
      <c r="K10" s="75">
        <v>11.1</v>
      </c>
      <c r="L10" s="383">
        <v>11.1</v>
      </c>
      <c r="M10" s="383">
        <v>11.1</v>
      </c>
      <c r="N10" s="383">
        <v>11.1</v>
      </c>
      <c r="O10" s="383">
        <v>11.1</v>
      </c>
      <c r="P10" s="383">
        <v>11.1</v>
      </c>
      <c r="Q10" s="383">
        <v>11.1</v>
      </c>
      <c r="R10" s="375">
        <f>D10</f>
        <v>15.2</v>
      </c>
      <c r="S10" s="375">
        <f>F10</f>
        <v>13</v>
      </c>
      <c r="T10" s="72" t="s">
        <v>17</v>
      </c>
      <c r="U10" s="29" t="s">
        <v>468</v>
      </c>
      <c r="Z10" s="141"/>
      <c r="AA10" s="127"/>
      <c r="AB10" s="124"/>
      <c r="AC10" s="124"/>
      <c r="AD10" s="109"/>
    </row>
    <row r="11" spans="1:30" ht="15" customHeight="1">
      <c r="I11" s="75"/>
      <c r="J11" s="75"/>
      <c r="K11" s="75"/>
      <c r="L11" s="75"/>
      <c r="M11" s="77"/>
      <c r="N11" s="78"/>
      <c r="O11" s="75"/>
      <c r="P11" s="79"/>
      <c r="Q11" s="76"/>
      <c r="R11" s="76"/>
      <c r="S11" s="28"/>
      <c r="Z11" s="135" t="s">
        <v>627</v>
      </c>
      <c r="AA11" s="136" t="s">
        <v>460</v>
      </c>
      <c r="AB11" s="134">
        <v>2</v>
      </c>
      <c r="AC11" s="134">
        <v>32.6</v>
      </c>
      <c r="AD11" s="132">
        <v>6.5</v>
      </c>
    </row>
    <row r="12" spans="1:30" ht="15" customHeight="1">
      <c r="A12" s="26"/>
      <c r="I12" s="75"/>
      <c r="J12" s="75"/>
      <c r="K12" s="75"/>
      <c r="L12" s="75"/>
      <c r="M12" s="77"/>
      <c r="N12" s="78"/>
      <c r="O12" s="75"/>
      <c r="P12" s="79"/>
      <c r="Q12" s="76"/>
      <c r="R12" s="76"/>
      <c r="S12" s="28"/>
      <c r="Z12" s="138"/>
      <c r="AA12" s="139" t="s">
        <v>473</v>
      </c>
      <c r="AB12" s="107">
        <v>2.1</v>
      </c>
      <c r="AC12" s="107">
        <v>45.7</v>
      </c>
      <c r="AD12" s="114">
        <v>7.5</v>
      </c>
    </row>
    <row r="13" spans="1:30" ht="15" customHeight="1">
      <c r="A13" s="4" t="s">
        <v>469</v>
      </c>
      <c r="C13" s="333" t="s">
        <v>882</v>
      </c>
      <c r="D13" s="384" t="s">
        <v>823</v>
      </c>
      <c r="E13" s="384" t="s">
        <v>824</v>
      </c>
      <c r="F13" s="384" t="s">
        <v>825</v>
      </c>
      <c r="G13" s="384" t="s">
        <v>826</v>
      </c>
      <c r="H13" s="384" t="s">
        <v>827</v>
      </c>
      <c r="I13" s="384" t="s">
        <v>828</v>
      </c>
      <c r="J13" s="384" t="s">
        <v>829</v>
      </c>
      <c r="K13" s="384" t="s">
        <v>830</v>
      </c>
      <c r="L13" s="384" t="s">
        <v>831</v>
      </c>
      <c r="M13" s="384" t="s">
        <v>832</v>
      </c>
      <c r="N13" s="384" t="s">
        <v>833</v>
      </c>
      <c r="O13" s="384" t="s">
        <v>834</v>
      </c>
      <c r="P13" s="384">
        <v>7</v>
      </c>
      <c r="Q13" s="333">
        <v>8</v>
      </c>
      <c r="R13" s="375" t="s">
        <v>1152</v>
      </c>
      <c r="S13" s="375" t="s">
        <v>1153</v>
      </c>
      <c r="Z13" s="138"/>
      <c r="AA13" s="139" t="s">
        <v>475</v>
      </c>
      <c r="AB13" s="107">
        <v>1.8</v>
      </c>
      <c r="AC13" s="107">
        <v>24.2</v>
      </c>
      <c r="AD13" s="114">
        <v>4.4000000000000004</v>
      </c>
    </row>
    <row r="14" spans="1:30" ht="15" customHeight="1">
      <c r="A14" s="89" t="s">
        <v>470</v>
      </c>
      <c r="B14" s="428">
        <v>0.8</v>
      </c>
      <c r="C14" s="428">
        <v>0.8</v>
      </c>
      <c r="D14" s="428">
        <v>0.8</v>
      </c>
      <c r="E14" s="428">
        <v>0.8</v>
      </c>
      <c r="F14" s="428">
        <v>0.9</v>
      </c>
      <c r="G14" s="428">
        <v>0.9</v>
      </c>
      <c r="H14" s="428">
        <v>0.9</v>
      </c>
      <c r="I14" s="428">
        <v>0.9</v>
      </c>
      <c r="J14" s="428">
        <v>0.9</v>
      </c>
      <c r="K14" s="428">
        <v>0.94</v>
      </c>
      <c r="L14" s="428">
        <v>0.94</v>
      </c>
      <c r="M14" s="428">
        <v>0.94</v>
      </c>
      <c r="N14" s="428">
        <v>0.94</v>
      </c>
      <c r="O14" s="428">
        <v>0.94</v>
      </c>
      <c r="P14" s="428">
        <v>0.94</v>
      </c>
      <c r="Q14" s="428">
        <v>0.94</v>
      </c>
      <c r="R14" s="375">
        <f>D14</f>
        <v>0.8</v>
      </c>
      <c r="S14" s="375">
        <f>F14</f>
        <v>0.9</v>
      </c>
      <c r="Z14" s="138"/>
      <c r="AA14" s="139" t="s">
        <v>471</v>
      </c>
      <c r="AB14" s="107">
        <v>7.2</v>
      </c>
      <c r="AC14" s="107">
        <v>35.1</v>
      </c>
      <c r="AD14" s="114">
        <v>27.9</v>
      </c>
    </row>
    <row r="15" spans="1:30" ht="15" customHeight="1">
      <c r="S15" s="26" t="s">
        <v>4</v>
      </c>
      <c r="Z15" s="141"/>
      <c r="AA15" s="127"/>
      <c r="AB15" s="124"/>
      <c r="AC15" s="124"/>
      <c r="AD15" s="109"/>
    </row>
    <row r="16" spans="1:30" ht="15" customHeight="1">
      <c r="A16" s="129" t="s">
        <v>441</v>
      </c>
      <c r="B16" s="128"/>
      <c r="C16" s="333" t="s">
        <v>882</v>
      </c>
      <c r="D16" s="376" t="s">
        <v>823</v>
      </c>
      <c r="E16" s="376" t="s">
        <v>824</v>
      </c>
      <c r="F16" s="376" t="s">
        <v>825</v>
      </c>
      <c r="G16" s="376" t="s">
        <v>826</v>
      </c>
      <c r="H16" s="376" t="s">
        <v>827</v>
      </c>
      <c r="I16" s="376" t="s">
        <v>828</v>
      </c>
      <c r="J16" s="376" t="s">
        <v>829</v>
      </c>
      <c r="K16" s="376" t="s">
        <v>830</v>
      </c>
      <c r="L16" s="376" t="s">
        <v>831</v>
      </c>
      <c r="M16" s="376" t="s">
        <v>832</v>
      </c>
      <c r="N16" s="376" t="s">
        <v>833</v>
      </c>
      <c r="O16" s="376" t="s">
        <v>834</v>
      </c>
      <c r="P16" s="376">
        <v>7</v>
      </c>
      <c r="Q16" s="333">
        <v>8</v>
      </c>
      <c r="R16" s="375" t="s">
        <v>1152</v>
      </c>
      <c r="S16" s="375" t="s">
        <v>1153</v>
      </c>
      <c r="Z16" s="135" t="s">
        <v>628</v>
      </c>
      <c r="AA16" s="136" t="s">
        <v>460</v>
      </c>
      <c r="AB16" s="134">
        <v>2.1</v>
      </c>
      <c r="AC16" s="134">
        <v>33</v>
      </c>
      <c r="AD16" s="132">
        <v>6.3</v>
      </c>
    </row>
    <row r="17" spans="1:30" ht="15" customHeight="1">
      <c r="A17" s="6" t="s">
        <v>472</v>
      </c>
      <c r="B17" s="120" t="s">
        <v>455</v>
      </c>
      <c r="C17" s="178">
        <f>VLOOKUP(CONCATENATE('Heat - Cool'!C16,mainINPUT!$A$1),'Heat - Cool'!$D$53:$K$71,8,FALSE)</f>
        <v>1.2909343200740055</v>
      </c>
      <c r="D17" s="382">
        <f>VLOOKUP(CONCATENATE('Heat - Cool'!D16,mainINPUT!$A$1),'Heat - Cool'!$D$53:$K$71,8,FALSE)</f>
        <v>1.2636447733580021</v>
      </c>
      <c r="E17" s="382" t="e">
        <f>VLOOKUP(CONCATENATE('Heat - Cool'!E16,mainINPUT!$A$1),'Heat - Cool'!$D$53:$K$71,8,FALSE)</f>
        <v>#N/A</v>
      </c>
      <c r="F17" s="382">
        <f>VLOOKUP(CONCATENATE('Heat - Cool'!F16,mainINPUT!$A$1),'Heat - Cool'!$D$53:$K$71,8,FALSE)</f>
        <v>1.2341967314215234</v>
      </c>
      <c r="G17" s="382" t="e">
        <f>VLOOKUP(CONCATENATE('Heat - Cool'!G16,mainINPUT!$A$1),'Heat - Cool'!$D$53:$K$71,8,FALSE)</f>
        <v>#N/A</v>
      </c>
      <c r="H17" s="382" t="e">
        <f>VLOOKUP(CONCATENATE('Heat - Cool'!H16,mainINPUT!$A$1),'Heat - Cool'!$D$53:$K$71,8,FALSE)</f>
        <v>#N/A</v>
      </c>
      <c r="I17" s="382">
        <f>VLOOKUP(CONCATENATE('Heat - Cool'!I16,mainINPUT!$A$1),'Heat - Cool'!$D$53:$K$71,8,FALSE)</f>
        <v>1.1216466234967624</v>
      </c>
      <c r="J17" s="382" t="e">
        <f>VLOOKUP(CONCATENATE('Heat - Cool'!J16,mainINPUT!$A$1),'Heat - Cool'!$D$53:$K$71,8,FALSE)</f>
        <v>#N/A</v>
      </c>
      <c r="K17" s="382" t="e">
        <f>VLOOKUP(CONCATENATE('Heat - Cool'!K16,mainINPUT!$A$1),'Heat - Cool'!$D$53:$K$71,8,FALSE)</f>
        <v>#N/A</v>
      </c>
      <c r="L17" s="382" t="e">
        <f>VLOOKUP(CONCATENATE('Heat - Cool'!L16,mainINPUT!$A$1),'Heat - Cool'!$D$53:$K$71,8,FALSE)</f>
        <v>#N/A</v>
      </c>
      <c r="M17" s="382" t="e">
        <f>VLOOKUP(CONCATENATE('Heat - Cool'!M16,mainINPUT!$A$1),'Heat - Cool'!$D$53:$K$71,8,FALSE)</f>
        <v>#N/A</v>
      </c>
      <c r="N17" s="382" t="e">
        <f>VLOOKUP(CONCATENATE('Heat - Cool'!N16,mainINPUT!$A$1),'Heat - Cool'!$D$53:$K$71,8,FALSE)</f>
        <v>#N/A</v>
      </c>
      <c r="O17" s="382" t="e">
        <f>VLOOKUP(CONCATENATE('Heat - Cool'!O16,mainINPUT!$A$1),'Heat - Cool'!$D$53:$K$71,8,FALSE)</f>
        <v>#N/A</v>
      </c>
      <c r="P17" s="382" t="e">
        <f>VLOOKUP(CONCATENATE('Heat - Cool'!P16,mainINPUT!$A$1),'Heat - Cool'!$D$53:$K$71,8,FALSE)</f>
        <v>#N/A</v>
      </c>
      <c r="Q17" s="382" t="e">
        <f>VLOOKUP(CONCATENATE('Heat - Cool'!Q16,mainINPUT!$A$1),'Heat - Cool'!$D$53:$K$71,8,FALSE)</f>
        <v>#N/A</v>
      </c>
      <c r="R17" s="382">
        <f>VLOOKUP(CONCATENATE('Heat - Cool'!R16,mainINPUT!$A$1),'Heat - Cool'!$D$53:$K$71,8,FALSE)</f>
        <v>1.1992753623188406</v>
      </c>
      <c r="S17" s="382">
        <f>VLOOKUP(CONCATENATE('Heat - Cool'!S16,mainINPUT!$A$1),'Heat - Cool'!$D$53:$K$71,8,FALSE)</f>
        <v>1.2185476410730807</v>
      </c>
      <c r="Z17" s="138"/>
      <c r="AA17" s="139" t="s">
        <v>473</v>
      </c>
      <c r="AB17" s="107">
        <v>2.1</v>
      </c>
      <c r="AC17" s="107">
        <v>35.1</v>
      </c>
      <c r="AD17" s="114">
        <v>6.7</v>
      </c>
    </row>
    <row r="18" spans="1:30" ht="15" customHeight="1">
      <c r="A18" s="6" t="s">
        <v>474</v>
      </c>
      <c r="B18" s="120" t="s">
        <v>456</v>
      </c>
      <c r="C18" s="178">
        <f>VLOOKUP(CONCATENATE('Heat - Cool'!C16,mainINPUT!$A$1),'Heat - Cool'!$D$53:$K$71,7,FALSE)</f>
        <v>4.534690101757632</v>
      </c>
      <c r="D18" s="382">
        <f>VLOOKUP(CONCATENATE('Heat - Cool'!D16,mainINPUT!$A$1),'Heat - Cool'!$D$53:$K$71,7,FALSE)</f>
        <v>10.469010175763183</v>
      </c>
      <c r="E18" s="382" t="e">
        <f>VLOOKUP(CONCATENATE('Heat - Cool'!E16,mainINPUT!$A$1),'Heat - Cool'!$D$53:$K$71,7,FALSE)</f>
        <v>#N/A</v>
      </c>
      <c r="F18" s="382">
        <f>VLOOKUP(CONCATENATE('Heat - Cool'!F16,mainINPUT!$A$1),'Heat - Cool'!$D$53:$K$71,7,FALSE)</f>
        <v>12.999074930619798</v>
      </c>
      <c r="G18" s="382" t="e">
        <f>VLOOKUP(CONCATENATE('Heat - Cool'!G16,mainINPUT!$A$1),'Heat - Cool'!$D$53:$K$71,7,FALSE)</f>
        <v>#N/A</v>
      </c>
      <c r="H18" s="382" t="e">
        <f>VLOOKUP(CONCATENATE('Heat - Cool'!H16,mainINPUT!$A$1),'Heat - Cool'!$D$53:$K$71,7,FALSE)</f>
        <v>#N/A</v>
      </c>
      <c r="I18" s="382">
        <f>VLOOKUP(CONCATENATE('Heat - Cool'!I16,mainINPUT!$A$1),'Heat - Cool'!$D$53:$K$71,7,FALSE)</f>
        <v>15.165587419056431</v>
      </c>
      <c r="J18" s="382" t="e">
        <f>VLOOKUP(CONCATENATE('Heat - Cool'!J16,mainINPUT!$A$1),'Heat - Cool'!$D$53:$K$71,7,FALSE)</f>
        <v>#N/A</v>
      </c>
      <c r="K18" s="382" t="e">
        <f>VLOOKUP(CONCATENATE('Heat - Cool'!K16,mainINPUT!$A$1),'Heat - Cool'!$D$53:$K$71,7,FALSE)</f>
        <v>#N/A</v>
      </c>
      <c r="L18" s="382" t="e">
        <f>VLOOKUP(CONCATENATE('Heat - Cool'!L16,mainINPUT!$A$1),'Heat - Cool'!$D$53:$K$71,7,FALSE)</f>
        <v>#N/A</v>
      </c>
      <c r="M18" s="382" t="e">
        <f>VLOOKUP(CONCATENATE('Heat - Cool'!M16,mainINPUT!$A$1),'Heat - Cool'!$D$53:$K$71,7,FALSE)</f>
        <v>#N/A</v>
      </c>
      <c r="N18" s="382" t="e">
        <f>VLOOKUP(CONCATENATE('Heat - Cool'!N16,mainINPUT!$A$1),'Heat - Cool'!$D$53:$K$71,7,FALSE)</f>
        <v>#N/A</v>
      </c>
      <c r="O18" s="382" t="e">
        <f>VLOOKUP(CONCATENATE('Heat - Cool'!O16,mainINPUT!$A$1),'Heat - Cool'!$D$53:$K$71,7,FALSE)</f>
        <v>#N/A</v>
      </c>
      <c r="P18" s="382" t="e">
        <f>VLOOKUP(CONCATENATE('Heat - Cool'!P16,mainINPUT!$A$1),'Heat - Cool'!$D$53:$K$71,7,FALSE)</f>
        <v>#N/A</v>
      </c>
      <c r="Q18" s="382" t="e">
        <f>VLOOKUP(CONCATENATE('Heat - Cool'!Q16,mainINPUT!$A$1),'Heat - Cool'!$D$53:$K$71,7,FALSE)</f>
        <v>#N/A</v>
      </c>
      <c r="R18" s="382">
        <f>VLOOKUP(CONCATENATE('Heat - Cool'!R16,mainINPUT!$A$1),'Heat - Cool'!$D$53:$K$71,7,FALSE)</f>
        <v>7.6151711378353379</v>
      </c>
      <c r="S18" s="382">
        <f>VLOOKUP(CONCATENATE('Heat - Cool'!S16,mainINPUT!$A$1),'Heat - Cool'!$D$53:$K$71,7,FALSE)</f>
        <v>10.553191489361703</v>
      </c>
      <c r="Z18" s="138"/>
      <c r="AA18" s="139" t="s">
        <v>475</v>
      </c>
      <c r="AB18" s="107">
        <v>1.9</v>
      </c>
      <c r="AC18" s="107">
        <v>31.9</v>
      </c>
      <c r="AD18" s="114">
        <v>5.6</v>
      </c>
    </row>
    <row r="19" spans="1:30" ht="15" customHeight="1">
      <c r="A19" s="6" t="s">
        <v>476</v>
      </c>
      <c r="B19" s="114" t="s">
        <v>477</v>
      </c>
      <c r="C19" s="178">
        <f>C17*A_houseFT/1000</f>
        <v>2.7783519007736133</v>
      </c>
      <c r="D19" s="178">
        <f t="shared" ref="D19:Q19" si="0">D17*A_houseFT/1000</f>
        <v>2.7196192737060239</v>
      </c>
      <c r="E19" s="178" t="e">
        <f t="shared" si="0"/>
        <v>#N/A</v>
      </c>
      <c r="F19" s="178">
        <f t="shared" si="0"/>
        <v>2.6562411281133138</v>
      </c>
      <c r="G19" s="178" t="e">
        <f t="shared" si="0"/>
        <v>#N/A</v>
      </c>
      <c r="H19" s="178" t="e">
        <f t="shared" si="0"/>
        <v>#N/A</v>
      </c>
      <c r="I19" s="178">
        <f t="shared" si="0"/>
        <v>2.41401051930348</v>
      </c>
      <c r="J19" s="178" t="e">
        <f t="shared" si="0"/>
        <v>#N/A</v>
      </c>
      <c r="K19" s="178" t="e">
        <f t="shared" si="0"/>
        <v>#N/A</v>
      </c>
      <c r="L19" s="178" t="e">
        <f t="shared" si="0"/>
        <v>#N/A</v>
      </c>
      <c r="M19" s="178" t="e">
        <f t="shared" si="0"/>
        <v>#N/A</v>
      </c>
      <c r="N19" s="178" t="e">
        <f t="shared" si="0"/>
        <v>#N/A</v>
      </c>
      <c r="O19" s="178" t="e">
        <f t="shared" si="0"/>
        <v>#N/A</v>
      </c>
      <c r="P19" s="178" t="e">
        <f t="shared" si="0"/>
        <v>#N/A</v>
      </c>
      <c r="Q19" s="178" t="e">
        <f t="shared" si="0"/>
        <v>#N/A</v>
      </c>
      <c r="R19" s="382">
        <f>R17*A_houseFT/1000</f>
        <v>2.5810832748319061</v>
      </c>
      <c r="S19" s="382">
        <f>S17*A_houseFT/1000</f>
        <v>2.622561118806193</v>
      </c>
      <c r="Z19" s="138"/>
      <c r="AA19" s="139" t="s">
        <v>471</v>
      </c>
      <c r="AB19" s="107">
        <v>5.2</v>
      </c>
      <c r="AC19" s="107">
        <v>5.4</v>
      </c>
      <c r="AD19" s="114">
        <v>10.199999999999999</v>
      </c>
    </row>
    <row r="20" spans="1:30" ht="15" customHeight="1">
      <c r="A20" s="72" t="s">
        <v>478</v>
      </c>
      <c r="B20" s="133" t="s">
        <v>477</v>
      </c>
      <c r="C20" s="72">
        <f>IF(AND(C19-ROUNDDOWN(C19,0)&gt;=0.25,C19-ROUNDDOWN(C19,0)&lt;0.75),ROUNDDOWN(C19,0)+0.5,ROUND(C19,0))</f>
        <v>3</v>
      </c>
      <c r="D20" s="72">
        <f>IF(AND(D19-ROUNDDOWN(D19,0)&gt;=0.25,D19-ROUNDDOWN(D19,0)&lt;0.75),ROUNDDOWN(D19,0)+0.5,ROUND(D19,0))</f>
        <v>2.5</v>
      </c>
      <c r="E20" s="72" t="e">
        <f t="shared" ref="E20:Q20" si="1">IF(AND(E19-ROUNDDOWN(E19,0)&gt;=0.25,E19-ROUNDDOWN(E19,0)&lt;0.75),ROUNDDOWN(E19,0)+0.5,ROUND(E19,0))</f>
        <v>#N/A</v>
      </c>
      <c r="F20" s="72">
        <f t="shared" si="1"/>
        <v>2.5</v>
      </c>
      <c r="G20" s="72" t="e">
        <f t="shared" si="1"/>
        <v>#N/A</v>
      </c>
      <c r="H20" s="72" t="e">
        <f t="shared" si="1"/>
        <v>#N/A</v>
      </c>
      <c r="I20" s="72">
        <f t="shared" si="1"/>
        <v>2.5</v>
      </c>
      <c r="J20" s="72" t="e">
        <f t="shared" si="1"/>
        <v>#N/A</v>
      </c>
      <c r="K20" s="72" t="e">
        <f t="shared" si="1"/>
        <v>#N/A</v>
      </c>
      <c r="L20" s="72" t="e">
        <f t="shared" si="1"/>
        <v>#N/A</v>
      </c>
      <c r="M20" s="72" t="e">
        <f t="shared" si="1"/>
        <v>#N/A</v>
      </c>
      <c r="N20" s="72" t="e">
        <f t="shared" si="1"/>
        <v>#N/A</v>
      </c>
      <c r="O20" s="72" t="e">
        <f t="shared" si="1"/>
        <v>#N/A</v>
      </c>
      <c r="P20" s="72" t="e">
        <f t="shared" si="1"/>
        <v>#N/A</v>
      </c>
      <c r="Q20" s="72" t="e">
        <f t="shared" si="1"/>
        <v>#N/A</v>
      </c>
      <c r="R20" s="72">
        <f>IF(AND(R19-ROUNDDOWN(R19,0)&gt;=0.25,R19-ROUNDDOWN(R19,0)&lt;0.75),ROUNDDOWN(R19,0)+0.5,ROUND(R19,0))</f>
        <v>2.5</v>
      </c>
      <c r="S20" s="72">
        <f>IF(AND(S19-ROUNDDOWN(S19,0)&gt;=0.25,S19-ROUNDDOWN(S19,0)&lt;0.75),ROUNDDOWN(S19,0)+0.5,ROUND(S19,0))</f>
        <v>2.5</v>
      </c>
      <c r="Z20" s="141"/>
      <c r="AA20" s="127"/>
      <c r="AB20" s="124"/>
      <c r="AC20" s="124"/>
      <c r="AD20" s="109"/>
    </row>
    <row r="21" spans="1:30" ht="15" customHeight="1">
      <c r="A21" s="72" t="s">
        <v>479</v>
      </c>
      <c r="B21" s="133" t="s">
        <v>480</v>
      </c>
      <c r="C21" s="72">
        <f>C20*12</f>
        <v>36</v>
      </c>
      <c r="D21" s="72">
        <f>D20*12</f>
        <v>30</v>
      </c>
      <c r="E21" s="72" t="e">
        <f t="shared" ref="E21:Q21" si="2">E20*12</f>
        <v>#N/A</v>
      </c>
      <c r="F21" s="72">
        <f t="shared" si="2"/>
        <v>30</v>
      </c>
      <c r="G21" s="72" t="e">
        <f t="shared" si="2"/>
        <v>#N/A</v>
      </c>
      <c r="H21" s="72" t="e">
        <f t="shared" si="2"/>
        <v>#N/A</v>
      </c>
      <c r="I21" s="72">
        <f t="shared" si="2"/>
        <v>30</v>
      </c>
      <c r="J21" s="72" t="e">
        <f t="shared" si="2"/>
        <v>#N/A</v>
      </c>
      <c r="K21" s="72" t="e">
        <f t="shared" si="2"/>
        <v>#N/A</v>
      </c>
      <c r="L21" s="72" t="e">
        <f t="shared" si="2"/>
        <v>#N/A</v>
      </c>
      <c r="M21" s="72" t="e">
        <f t="shared" si="2"/>
        <v>#N/A</v>
      </c>
      <c r="N21" s="72" t="e">
        <f t="shared" si="2"/>
        <v>#N/A</v>
      </c>
      <c r="O21" s="72" t="e">
        <f t="shared" si="2"/>
        <v>#N/A</v>
      </c>
      <c r="P21" s="72" t="e">
        <f t="shared" si="2"/>
        <v>#N/A</v>
      </c>
      <c r="Q21" s="72" t="e">
        <f t="shared" si="2"/>
        <v>#N/A</v>
      </c>
      <c r="R21" s="72">
        <f>R20*12</f>
        <v>30</v>
      </c>
      <c r="S21" s="72">
        <f>S20*12</f>
        <v>30</v>
      </c>
      <c r="Z21" s="138" t="s">
        <v>629</v>
      </c>
      <c r="AA21" s="139" t="s">
        <v>460</v>
      </c>
      <c r="AB21" s="107">
        <v>1.8</v>
      </c>
      <c r="AC21" s="107">
        <v>39.299999999999997</v>
      </c>
      <c r="AD21" s="114">
        <v>4.5999999999999996</v>
      </c>
    </row>
    <row r="22" spans="1:30" ht="15" customHeight="1">
      <c r="A22" s="72" t="s">
        <v>481</v>
      </c>
      <c r="B22" s="133" t="s">
        <v>480</v>
      </c>
      <c r="C22" s="80">
        <f>C18*A_houseFT/1000</f>
        <v>9.7595707757737387</v>
      </c>
      <c r="D22" s="80">
        <f t="shared" ref="D22:Q22" si="3">D18*A_houseFT/1000</f>
        <v>22.531428492336069</v>
      </c>
      <c r="E22" s="80" t="e">
        <f t="shared" si="3"/>
        <v>#N/A</v>
      </c>
      <c r="F22" s="80">
        <f t="shared" si="3"/>
        <v>27.976639849280414</v>
      </c>
      <c r="G22" s="80" t="e">
        <f t="shared" si="3"/>
        <v>#N/A</v>
      </c>
      <c r="H22" s="80" t="e">
        <f t="shared" si="3"/>
        <v>#N/A</v>
      </c>
      <c r="I22" s="80">
        <f t="shared" si="3"/>
        <v>32.639413157493813</v>
      </c>
      <c r="J22" s="80" t="e">
        <f t="shared" si="3"/>
        <v>#N/A</v>
      </c>
      <c r="K22" s="80" t="e">
        <f t="shared" si="3"/>
        <v>#N/A</v>
      </c>
      <c r="L22" s="80" t="e">
        <f t="shared" si="3"/>
        <v>#N/A</v>
      </c>
      <c r="M22" s="80" t="e">
        <f t="shared" si="3"/>
        <v>#N/A</v>
      </c>
      <c r="N22" s="80" t="e">
        <f t="shared" si="3"/>
        <v>#N/A</v>
      </c>
      <c r="O22" s="80" t="e">
        <f t="shared" si="3"/>
        <v>#N/A</v>
      </c>
      <c r="P22" s="80" t="e">
        <f t="shared" si="3"/>
        <v>#N/A</v>
      </c>
      <c r="Q22" s="80" t="e">
        <f t="shared" si="3"/>
        <v>#N/A</v>
      </c>
      <c r="R22" s="80">
        <f>R18*A_houseFT/1000</f>
        <v>16.38938935662371</v>
      </c>
      <c r="S22" s="80">
        <f>S18*A_houseFT/1000</f>
        <v>22.712603714815753</v>
      </c>
      <c r="Z22" s="138"/>
      <c r="AA22" s="139" t="s">
        <v>462</v>
      </c>
      <c r="AB22" s="107">
        <v>2.6</v>
      </c>
      <c r="AC22" s="107">
        <v>56.3</v>
      </c>
      <c r="AD22" s="114">
        <v>6</v>
      </c>
    </row>
    <row r="23" spans="1:30" ht="15" customHeight="1">
      <c r="A23" s="72" t="s">
        <v>482</v>
      </c>
      <c r="B23" s="133" t="s">
        <v>483</v>
      </c>
      <c r="C23" s="53">
        <f>VLOOKUP(CONCATENATE(C16,mainINPUT!$A$1),'Heat - Cool'!$D$53:$K$71,5,FALSE)*C19*0.3048^3/60</f>
        <v>0.46575105415256429</v>
      </c>
      <c r="D23" s="365">
        <f>VLOOKUP(CONCATENATE(D16,mainINPUT!$A$1),'Heat - Cool'!$D$53:$K$71,5,FALSE)*D19*0.3048^3/60</f>
        <v>0.45590536723210529</v>
      </c>
      <c r="E23" s="365" t="e">
        <f>VLOOKUP(CONCATENATE(E16,mainINPUT!$A$1),'Heat - Cool'!$D$53:$K$71,5,FALSE)*E19*0.3048^3/60</f>
        <v>#N/A</v>
      </c>
      <c r="F23" s="365">
        <f>VLOOKUP(CONCATENATE(F16,mainINPUT!$A$1),'Heat - Cool'!$D$53:$K$71,5,FALSE)*F19*0.3048^3/60</f>
        <v>0.48401735727009781</v>
      </c>
      <c r="G23" s="365" t="e">
        <f>VLOOKUP(CONCATENATE(G16,mainINPUT!$A$1),'Heat - Cool'!$D$53:$K$71,5,FALSE)*G19*0.3048^3/60</f>
        <v>#N/A</v>
      </c>
      <c r="H23" s="365" t="e">
        <f>VLOOKUP(CONCATENATE(H16,mainINPUT!$A$1),'Heat - Cool'!$D$53:$K$71,5,FALSE)*H19*0.3048^3/60</f>
        <v>#N/A</v>
      </c>
      <c r="I23" s="365">
        <f>VLOOKUP(CONCATENATE(I16,mainINPUT!$A$1),'Heat - Cool'!$D$53:$K$71,5,FALSE)*I19*0.3048^3/60</f>
        <v>0.43987836029231253</v>
      </c>
      <c r="J23" s="365" t="e">
        <f>VLOOKUP(CONCATENATE(J16,mainINPUT!$A$1),'Heat - Cool'!$D$53:$K$71,5,FALSE)*J19*0.3048^3/60</f>
        <v>#N/A</v>
      </c>
      <c r="K23" s="365" t="e">
        <f>VLOOKUP(CONCATENATE(K16,mainINPUT!$A$1),'Heat - Cool'!$D$53:$K$71,5,FALSE)*K19*0.3048^3/60</f>
        <v>#N/A</v>
      </c>
      <c r="L23" s="365" t="e">
        <f>VLOOKUP(CONCATENATE(L16,mainINPUT!$A$1),'Heat - Cool'!$D$53:$K$71,5,FALSE)*L19*0.3048^3/60</f>
        <v>#N/A</v>
      </c>
      <c r="M23" s="365" t="e">
        <f>VLOOKUP(CONCATENATE(M16,mainINPUT!$A$1),'Heat - Cool'!$D$53:$K$71,5,FALSE)*M19*0.3048^3/60</f>
        <v>#N/A</v>
      </c>
      <c r="N23" s="365" t="e">
        <f>VLOOKUP(CONCATENATE(N16,mainINPUT!$A$1),'Heat - Cool'!$D$53:$K$71,5,FALSE)*N19*0.3048^3/60</f>
        <v>#N/A</v>
      </c>
      <c r="O23" s="365" t="e">
        <f>VLOOKUP(CONCATENATE(O16,mainINPUT!$A$1),'Heat - Cool'!$D$53:$K$71,5,FALSE)*O19*0.3048^3/60</f>
        <v>#N/A</v>
      </c>
      <c r="P23" s="365" t="e">
        <f>VLOOKUP(CONCATENATE(P16,mainINPUT!$A$1),'Heat - Cool'!$D$53:$K$71,5,FALSE)*P19*0.3048^3/60</f>
        <v>#N/A</v>
      </c>
      <c r="Q23" s="365" t="e">
        <f>VLOOKUP(CONCATENATE(Q16,mainINPUT!$A$1),'Heat - Cool'!$D$53:$K$71,5,FALSE)*Q19*0.3048^3/60</f>
        <v>#N/A</v>
      </c>
      <c r="R23" s="365">
        <f>VLOOKUP(CONCATENATE(R16,mainINPUT!$A$1),'Heat - Cool'!$D$53:$K$71,5,FALSE)*R19*0.3048^3/60</f>
        <v>0.43268178367678506</v>
      </c>
      <c r="S23" s="365">
        <f>VLOOKUP(CONCATENATE(S16,mainINPUT!$A$1),'Heat - Cool'!$D$53:$K$71,5,FALSE)*S19*0.3048^3/60</f>
        <v>0.47788022275880304</v>
      </c>
      <c r="U23" s="1" t="s">
        <v>484</v>
      </c>
      <c r="Z23" s="138"/>
      <c r="AA23" s="139" t="s">
        <v>463</v>
      </c>
      <c r="AB23" s="107">
        <v>0.8</v>
      </c>
      <c r="AC23" s="107">
        <v>20.100000000000001</v>
      </c>
      <c r="AD23" s="114">
        <v>3.2</v>
      </c>
    </row>
    <row r="24" spans="1:30" ht="15" customHeight="1">
      <c r="A24" s="72" t="s">
        <v>485</v>
      </c>
      <c r="B24" s="133" t="s">
        <v>483</v>
      </c>
      <c r="C24" s="53">
        <f>C22*16.8*0.3048^3/60</f>
        <v>7.7380875169178395E-2</v>
      </c>
      <c r="D24" s="365">
        <f t="shared" ref="D24:Q24" si="4">D22*16.8*0.3048^3/60</f>
        <v>0.17864532115250759</v>
      </c>
      <c r="E24" s="365" t="e">
        <f t="shared" si="4"/>
        <v>#N/A</v>
      </c>
      <c r="F24" s="365">
        <f t="shared" si="4"/>
        <v>0.22181886125607814</v>
      </c>
      <c r="G24" s="365" t="e">
        <f t="shared" si="4"/>
        <v>#N/A</v>
      </c>
      <c r="H24" s="365" t="e">
        <f t="shared" si="4"/>
        <v>#N/A</v>
      </c>
      <c r="I24" s="365">
        <f t="shared" si="4"/>
        <v>0.25878867146542445</v>
      </c>
      <c r="J24" s="365" t="e">
        <f t="shared" si="4"/>
        <v>#N/A</v>
      </c>
      <c r="K24" s="365" t="e">
        <f t="shared" si="4"/>
        <v>#N/A</v>
      </c>
      <c r="L24" s="365" t="e">
        <f t="shared" si="4"/>
        <v>#N/A</v>
      </c>
      <c r="M24" s="365" t="e">
        <f t="shared" si="4"/>
        <v>#N/A</v>
      </c>
      <c r="N24" s="365" t="e">
        <f t="shared" si="4"/>
        <v>#N/A</v>
      </c>
      <c r="O24" s="365" t="e">
        <f t="shared" si="4"/>
        <v>#N/A</v>
      </c>
      <c r="P24" s="365" t="e">
        <f t="shared" si="4"/>
        <v>#N/A</v>
      </c>
      <c r="Q24" s="365" t="e">
        <f t="shared" si="4"/>
        <v>#N/A</v>
      </c>
      <c r="R24" s="365">
        <f>R22*16.8*0.3048^3/60</f>
        <v>0.12994683076145996</v>
      </c>
      <c r="S24" s="365">
        <f>S22*16.8*0.3048^3/60</f>
        <v>0.18008180822725159</v>
      </c>
      <c r="U24" s="81" t="s">
        <v>486</v>
      </c>
      <c r="Z24" s="138"/>
      <c r="AA24" s="139" t="s">
        <v>471</v>
      </c>
      <c r="AB24" s="107">
        <v>33.6</v>
      </c>
      <c r="AC24" s="107">
        <v>31.1</v>
      </c>
      <c r="AD24" s="114">
        <v>13.7</v>
      </c>
    </row>
    <row r="25" spans="1:30" ht="15" customHeight="1">
      <c r="A25" s="72" t="s">
        <v>487</v>
      </c>
      <c r="B25" s="133" t="s">
        <v>45</v>
      </c>
      <c r="C25" s="80">
        <f>(0.5)*VLOOKUP(CONCATENATE(C16,mainINPUT!$A$1),'Heat - Cool'!$D$53:$K$71,5,FALSE)*C19</f>
        <v>493.43529757739373</v>
      </c>
      <c r="D25" s="80">
        <f>(0.5)*VLOOKUP(CONCATENATE(D16,mainINPUT!$A$1),'Heat - Cool'!$D$53:$K$71,5,FALSE)*D19</f>
        <v>483.00438301018983</v>
      </c>
      <c r="E25" s="80" t="e">
        <f>(0.5)*VLOOKUP(CONCATENATE(E16,mainINPUT!$A$1),'Heat - Cool'!$D$53:$K$71,5,FALSE)*E19</f>
        <v>#N/A</v>
      </c>
      <c r="F25" s="80">
        <f>(0.5)*VLOOKUP(CONCATENATE(F16,mainINPUT!$A$1),'Heat - Cool'!$D$53:$K$71,5,FALSE)*F19</f>
        <v>512.78734978227521</v>
      </c>
      <c r="G25" s="80" t="e">
        <f>(0.5)*VLOOKUP(CONCATENATE(G16,mainINPUT!$A$1),'Heat - Cool'!$D$53:$K$71,5,FALSE)*G19</f>
        <v>#N/A</v>
      </c>
      <c r="H25" s="80" t="e">
        <f>(0.5)*VLOOKUP(CONCATENATE(H16,mainINPUT!$A$1),'Heat - Cool'!$D$53:$K$71,5,FALSE)*H19</f>
        <v>#N/A</v>
      </c>
      <c r="I25" s="80">
        <f>(0.5)*VLOOKUP(CONCATENATE(I16,mainINPUT!$A$1),'Heat - Cool'!$D$53:$K$71,5,FALSE)*I19</f>
        <v>466.02473075153682</v>
      </c>
      <c r="J25" s="80" t="e">
        <f>(0.5)*VLOOKUP(CONCATENATE(J16,mainINPUT!$A$1),'Heat - Cool'!$D$53:$K$71,5,FALSE)*J19</f>
        <v>#N/A</v>
      </c>
      <c r="K25" s="80" t="e">
        <f>(0.5)*VLOOKUP(CONCATENATE(K16,mainINPUT!$A$1),'Heat - Cool'!$D$53:$K$71,5,FALSE)*K19</f>
        <v>#N/A</v>
      </c>
      <c r="L25" s="80" t="e">
        <f>(0.5)*VLOOKUP(CONCATENATE(L16,mainINPUT!$A$1),'Heat - Cool'!$D$53:$K$71,5,FALSE)*L19</f>
        <v>#N/A</v>
      </c>
      <c r="M25" s="80" t="e">
        <f>(0.5)*VLOOKUP(CONCATENATE(M16,mainINPUT!$A$1),'Heat - Cool'!$D$53:$K$71,5,FALSE)*M19</f>
        <v>#N/A</v>
      </c>
      <c r="N25" s="80" t="e">
        <f>(0.5)*VLOOKUP(CONCATENATE(N16,mainINPUT!$A$1),'Heat - Cool'!$D$53:$K$71,5,FALSE)*N19</f>
        <v>#N/A</v>
      </c>
      <c r="O25" s="80" t="e">
        <f>(0.5)*VLOOKUP(CONCATENATE(O16,mainINPUT!$A$1),'Heat - Cool'!$D$53:$K$71,5,FALSE)*O19</f>
        <v>#N/A</v>
      </c>
      <c r="P25" s="80" t="e">
        <f>(0.5)*VLOOKUP(CONCATENATE(P16,mainINPUT!$A$1),'Heat - Cool'!$D$53:$K$71,5,FALSE)*P19</f>
        <v>#N/A</v>
      </c>
      <c r="Q25" s="80" t="e">
        <f>(0.5)*VLOOKUP(CONCATENATE(Q16,mainINPUT!$A$1),'Heat - Cool'!$D$53:$K$71,5,FALSE)*Q19</f>
        <v>#N/A</v>
      </c>
      <c r="R25" s="80">
        <f>(0.5)*VLOOKUP(CONCATENATE(R16,mainINPUT!$A$1),'Heat - Cool'!$D$53:$K$71,5,FALSE)*R19</f>
        <v>458.40038961014653</v>
      </c>
      <c r="S25" s="80">
        <f>(0.5)*VLOOKUP(CONCATENATE(S16,mainINPUT!$A$1),'Heat - Cool'!$D$53:$K$71,5,FALSE)*S19</f>
        <v>506.2854239855356</v>
      </c>
      <c r="U25" s="1" t="s">
        <v>905</v>
      </c>
      <c r="Z25" s="138"/>
      <c r="AA25" s="139"/>
      <c r="AB25" s="107"/>
      <c r="AC25" s="107"/>
      <c r="AD25" s="114"/>
    </row>
    <row r="26" spans="1:30" ht="15" customHeight="1">
      <c r="A26" s="72" t="s">
        <v>488</v>
      </c>
      <c r="B26" s="133" t="s">
        <v>45</v>
      </c>
      <c r="C26" s="80">
        <f>(0.1)*C24*60/0.3048^3</f>
        <v>16.39607890329988</v>
      </c>
      <c r="D26" s="80">
        <f t="shared" ref="D26:S26" si="5">(0.1)*D24*60/0.3048^3</f>
        <v>37.85279986712461</v>
      </c>
      <c r="E26" s="80" t="e">
        <f t="shared" si="5"/>
        <v>#N/A</v>
      </c>
      <c r="F26" s="80">
        <f t="shared" si="5"/>
        <v>47.000754946791098</v>
      </c>
      <c r="G26" s="80" t="e">
        <f t="shared" si="5"/>
        <v>#N/A</v>
      </c>
      <c r="H26" s="80" t="e">
        <f t="shared" si="5"/>
        <v>#N/A</v>
      </c>
      <c r="I26" s="80">
        <f t="shared" si="5"/>
        <v>54.834214104589606</v>
      </c>
      <c r="J26" s="80" t="e">
        <f t="shared" si="5"/>
        <v>#N/A</v>
      </c>
      <c r="K26" s="80" t="e">
        <f t="shared" si="5"/>
        <v>#N/A</v>
      </c>
      <c r="L26" s="80" t="e">
        <f t="shared" si="5"/>
        <v>#N/A</v>
      </c>
      <c r="M26" s="80" t="e">
        <f t="shared" si="5"/>
        <v>#N/A</v>
      </c>
      <c r="N26" s="80" t="e">
        <f t="shared" si="5"/>
        <v>#N/A</v>
      </c>
      <c r="O26" s="80" t="e">
        <f t="shared" si="5"/>
        <v>#N/A</v>
      </c>
      <c r="P26" s="80" t="e">
        <f t="shared" si="5"/>
        <v>#N/A</v>
      </c>
      <c r="Q26" s="80" t="e">
        <f t="shared" si="5"/>
        <v>#N/A</v>
      </c>
      <c r="R26" s="80">
        <f t="shared" si="5"/>
        <v>27.53417411912784</v>
      </c>
      <c r="S26" s="80">
        <f t="shared" si="5"/>
        <v>38.15717424089047</v>
      </c>
      <c r="U26" s="1" t="s">
        <v>906</v>
      </c>
      <c r="Z26" s="135" t="s">
        <v>630</v>
      </c>
      <c r="AA26" s="136" t="s">
        <v>460</v>
      </c>
      <c r="AB26" s="134">
        <v>1.6</v>
      </c>
      <c r="AC26" s="134">
        <v>40.5</v>
      </c>
      <c r="AD26" s="132">
        <v>3.9</v>
      </c>
    </row>
    <row r="27" spans="1:30" ht="15" customHeight="1">
      <c r="A27" s="72" t="s">
        <v>489</v>
      </c>
      <c r="B27" s="133" t="s">
        <v>490</v>
      </c>
      <c r="C27" s="82">
        <f>C23*mainINPUT!$C$100/(25^mainINPUT!$C$108)</f>
        <v>0</v>
      </c>
      <c r="D27" s="82">
        <f>D23*mainINPUT!$C$100/(25^mainINPUT!$C$108)</f>
        <v>0</v>
      </c>
      <c r="E27" s="82" t="e">
        <f>E23*mainINPUT!$C$100/(25^mainINPUT!$C$108)</f>
        <v>#N/A</v>
      </c>
      <c r="F27" s="82">
        <f>F23*mainINPUT!$C$100/(25^mainINPUT!$C$108)</f>
        <v>0</v>
      </c>
      <c r="G27" s="82" t="e">
        <f>G23*mainINPUT!$C$100/(25^mainINPUT!$C$108)</f>
        <v>#N/A</v>
      </c>
      <c r="H27" s="82" t="e">
        <f>H23*mainINPUT!$C$100/(25^mainINPUT!$C$108)</f>
        <v>#N/A</v>
      </c>
      <c r="I27" s="82">
        <f>I23*mainINPUT!$C$100/(25^mainINPUT!$C$108)</f>
        <v>0</v>
      </c>
      <c r="J27" s="82" t="e">
        <f>J23*mainINPUT!$C$100/(25^mainINPUT!$C$108)</f>
        <v>#N/A</v>
      </c>
      <c r="K27" s="82" t="e">
        <f>K23*mainINPUT!$C$100/(25^mainINPUT!$C$108)</f>
        <v>#N/A</v>
      </c>
      <c r="L27" s="82" t="e">
        <f>L23*mainINPUT!$C$100/(25^mainINPUT!$C$108)</f>
        <v>#N/A</v>
      </c>
      <c r="M27" s="82" t="e">
        <f>M23*mainINPUT!$C$100/(25^mainINPUT!$C$108)</f>
        <v>#N/A</v>
      </c>
      <c r="N27" s="82" t="e">
        <f>N23*mainINPUT!$C$100/(25^mainINPUT!$C$108)</f>
        <v>#N/A</v>
      </c>
      <c r="O27" s="82" t="e">
        <f>O23*mainINPUT!$C$100/(25^mainINPUT!$C$108)</f>
        <v>#N/A</v>
      </c>
      <c r="P27" s="82" t="e">
        <f>P23*mainINPUT!$C$100/(25^mainINPUT!$C$108)</f>
        <v>#N/A</v>
      </c>
      <c r="Q27" s="82" t="e">
        <f>Q23*mainINPUT!$C$100/(25^mainINPUT!$C$108)</f>
        <v>#N/A</v>
      </c>
      <c r="R27" s="82">
        <f>R23*mainINPUT!$C$100/(25^mainINPUT!$C$108)</f>
        <v>0</v>
      </c>
      <c r="S27" s="82">
        <f>S23*mainINPUT!$C$100/(25^mainINPUT!$C$108)</f>
        <v>0</v>
      </c>
      <c r="U27" s="1" t="s">
        <v>491</v>
      </c>
      <c r="Z27" s="138"/>
      <c r="AA27" s="139" t="s">
        <v>473</v>
      </c>
      <c r="AB27" s="107">
        <v>2</v>
      </c>
      <c r="AC27" s="107">
        <v>55.5</v>
      </c>
      <c r="AD27" s="114">
        <v>5</v>
      </c>
    </row>
    <row r="28" spans="1:30" ht="15" customHeight="1">
      <c r="A28" s="72" t="s">
        <v>492</v>
      </c>
      <c r="B28" s="133" t="s">
        <v>490</v>
      </c>
      <c r="C28" s="82">
        <f>C23*mainINPUT!$C$101/(25^mainINPUT!$C$109)</f>
        <v>0</v>
      </c>
      <c r="D28" s="82">
        <f>D23*mainINPUT!$C$101/(25^mainINPUT!$C$109)</f>
        <v>0</v>
      </c>
      <c r="E28" s="82" t="e">
        <f>E23*mainINPUT!$C$101/(25^mainINPUT!$C$109)</f>
        <v>#N/A</v>
      </c>
      <c r="F28" s="82">
        <f>F23*mainINPUT!$C$101/(25^mainINPUT!$C$109)</f>
        <v>0</v>
      </c>
      <c r="G28" s="82" t="e">
        <f>G23*mainINPUT!$C$101/(25^mainINPUT!$C$109)</f>
        <v>#N/A</v>
      </c>
      <c r="H28" s="82" t="e">
        <f>H23*mainINPUT!$C$101/(25^mainINPUT!$C$109)</f>
        <v>#N/A</v>
      </c>
      <c r="I28" s="82">
        <f>I23*mainINPUT!$C$101/(25^mainINPUT!$C$109)</f>
        <v>0</v>
      </c>
      <c r="J28" s="82" t="e">
        <f>J23*mainINPUT!$C$101/(25^mainINPUT!$C$109)</f>
        <v>#N/A</v>
      </c>
      <c r="K28" s="82" t="e">
        <f>K23*mainINPUT!$C$101/(25^mainINPUT!$C$109)</f>
        <v>#N/A</v>
      </c>
      <c r="L28" s="82" t="e">
        <f>L23*mainINPUT!$C$101/(25^mainINPUT!$C$109)</f>
        <v>#N/A</v>
      </c>
      <c r="M28" s="82" t="e">
        <f>M23*mainINPUT!$C$101/(25^mainINPUT!$C$109)</f>
        <v>#N/A</v>
      </c>
      <c r="N28" s="82" t="e">
        <f>N23*mainINPUT!$C$101/(25^mainINPUT!$C$109)</f>
        <v>#N/A</v>
      </c>
      <c r="O28" s="82" t="e">
        <f>O23*mainINPUT!$C$101/(25^mainINPUT!$C$109)</f>
        <v>#N/A</v>
      </c>
      <c r="P28" s="82" t="e">
        <f>P23*mainINPUT!$C$101/(25^mainINPUT!$C$109)</f>
        <v>#N/A</v>
      </c>
      <c r="Q28" s="82" t="e">
        <f>Q23*mainINPUT!$C$101/(25^mainINPUT!$C$109)</f>
        <v>#N/A</v>
      </c>
      <c r="R28" s="82">
        <f>R23*mainINPUT!$C$101/(25^mainINPUT!$C$109)</f>
        <v>0</v>
      </c>
      <c r="S28" s="82">
        <f>S23*mainINPUT!$C$101/(25^mainINPUT!$C$109)</f>
        <v>0</v>
      </c>
      <c r="Z28" s="138"/>
      <c r="AA28" s="139" t="s">
        <v>475</v>
      </c>
      <c r="AB28" s="107">
        <v>1.1000000000000001</v>
      </c>
      <c r="AC28" s="107">
        <v>30.9</v>
      </c>
      <c r="AD28" s="114">
        <v>2.8</v>
      </c>
    </row>
    <row r="29" spans="1:30" ht="15" customHeight="1">
      <c r="S29" s="26"/>
      <c r="Z29" s="138"/>
      <c r="AA29" s="139" t="s">
        <v>471</v>
      </c>
      <c r="AB29" s="107">
        <v>22</v>
      </c>
      <c r="AC29" s="107">
        <v>21.2</v>
      </c>
      <c r="AD29" s="114">
        <v>20.9</v>
      </c>
    </row>
    <row r="30" spans="1:30" ht="15" customHeight="1">
      <c r="A30" s="26" t="s">
        <v>493</v>
      </c>
      <c r="S30" s="26"/>
      <c r="Z30" s="141"/>
      <c r="AA30" s="127"/>
      <c r="AB30" s="124"/>
      <c r="AC30" s="124"/>
      <c r="AD30" s="109"/>
    </row>
    <row r="31" spans="1:30" ht="15" customHeight="1">
      <c r="A31" s="83" t="s">
        <v>494</v>
      </c>
      <c r="Z31" s="135" t="s">
        <v>631</v>
      </c>
      <c r="AA31" s="136" t="s">
        <v>460</v>
      </c>
      <c r="AB31" s="134">
        <v>2.2999999999999998</v>
      </c>
      <c r="AC31" s="134">
        <v>46.6</v>
      </c>
      <c r="AD31" s="132">
        <v>5</v>
      </c>
    </row>
    <row r="32" spans="1:30" ht="15" customHeight="1">
      <c r="Z32" s="138"/>
      <c r="AA32" s="139" t="s">
        <v>473</v>
      </c>
      <c r="AB32" s="107">
        <v>2.6</v>
      </c>
      <c r="AC32" s="107">
        <v>58.7</v>
      </c>
      <c r="AD32" s="114">
        <v>6</v>
      </c>
    </row>
    <row r="33" spans="1:30" ht="15" customHeight="1">
      <c r="A33" s="184" t="s">
        <v>809</v>
      </c>
      <c r="Z33" s="138"/>
      <c r="AA33" s="139" t="s">
        <v>475</v>
      </c>
      <c r="AB33" s="107">
        <v>1.5</v>
      </c>
      <c r="AC33" s="107">
        <v>26.2</v>
      </c>
      <c r="AD33" s="114">
        <v>4</v>
      </c>
    </row>
    <row r="34" spans="1:30" ht="15" customHeight="1">
      <c r="B34" s="114"/>
      <c r="C34" s="243" t="s">
        <v>472</v>
      </c>
      <c r="D34" s="244"/>
      <c r="E34" s="258" t="s">
        <v>817</v>
      </c>
      <c r="F34" s="243" t="s">
        <v>474</v>
      </c>
      <c r="G34" s="244"/>
      <c r="H34" s="258" t="s">
        <v>817</v>
      </c>
      <c r="I34" s="243" t="s">
        <v>472</v>
      </c>
      <c r="J34" s="243"/>
      <c r="K34" s="244"/>
      <c r="L34" s="243" t="s">
        <v>474</v>
      </c>
      <c r="M34" s="249"/>
      <c r="T34" s="375"/>
      <c r="U34" s="375"/>
      <c r="Z34" s="141"/>
      <c r="AA34" s="127" t="s">
        <v>471</v>
      </c>
      <c r="AB34" s="124">
        <v>13.2</v>
      </c>
      <c r="AC34" s="124">
        <v>19.2</v>
      </c>
      <c r="AD34" s="109">
        <v>15.4</v>
      </c>
    </row>
    <row r="35" spans="1:30" ht="15" customHeight="1">
      <c r="A35" s="245" t="s">
        <v>802</v>
      </c>
      <c r="B35" s="378" t="s">
        <v>803</v>
      </c>
      <c r="C35" s="247" t="s">
        <v>699</v>
      </c>
      <c r="D35" s="248" t="s">
        <v>804</v>
      </c>
      <c r="E35" s="259" t="s">
        <v>251</v>
      </c>
      <c r="F35" s="247" t="s">
        <v>699</v>
      </c>
      <c r="G35" s="248" t="s">
        <v>804</v>
      </c>
      <c r="H35" s="259" t="s">
        <v>251</v>
      </c>
      <c r="I35" s="247" t="s">
        <v>805</v>
      </c>
      <c r="J35" s="247" t="s">
        <v>806</v>
      </c>
      <c r="K35" s="246" t="s">
        <v>810</v>
      </c>
      <c r="L35" s="247" t="s">
        <v>805</v>
      </c>
      <c r="M35" s="251" t="s">
        <v>806</v>
      </c>
      <c r="O35" s="351" t="s">
        <v>899</v>
      </c>
      <c r="P35" s="383" t="s">
        <v>900</v>
      </c>
      <c r="Q35" s="375" t="s">
        <v>904</v>
      </c>
      <c r="R35" s="6" t="s">
        <v>902</v>
      </c>
      <c r="S35" s="6" t="s">
        <v>901</v>
      </c>
      <c r="T35" s="6" t="s">
        <v>903</v>
      </c>
      <c r="U35" s="6" t="s">
        <v>900</v>
      </c>
      <c r="V35" s="375" t="s">
        <v>904</v>
      </c>
      <c r="Z35" s="135" t="s">
        <v>632</v>
      </c>
      <c r="AA35" s="136" t="s">
        <v>460</v>
      </c>
      <c r="AB35" s="134">
        <v>2.9</v>
      </c>
      <c r="AC35" s="134">
        <v>61.7</v>
      </c>
      <c r="AD35" s="132">
        <v>4.9000000000000004</v>
      </c>
    </row>
    <row r="36" spans="1:30" ht="15" customHeight="1">
      <c r="A36" s="238" t="s">
        <v>897</v>
      </c>
      <c r="B36" s="332" t="s">
        <v>882</v>
      </c>
      <c r="C36" s="352">
        <f>D36*0.29307107</f>
        <v>20.514974899999999</v>
      </c>
      <c r="D36" s="253">
        <v>70</v>
      </c>
      <c r="E36" s="113">
        <v>2400</v>
      </c>
      <c r="F36" s="252">
        <v>14.7</v>
      </c>
      <c r="G36" s="253">
        <v>50</v>
      </c>
      <c r="H36" s="113">
        <v>757</v>
      </c>
      <c r="I36" s="387">
        <f>C36/(A_houseSI/100)</f>
        <v>10.260586147016397</v>
      </c>
      <c r="J36" s="387">
        <f>D36/(A_houseFT/1000)</f>
        <v>32.524822496393909</v>
      </c>
      <c r="K36" s="385">
        <f>J36/12</f>
        <v>2.7104018746994925</v>
      </c>
      <c r="L36" s="252">
        <v>7.5</v>
      </c>
      <c r="M36" s="252">
        <v>23.8</v>
      </c>
      <c r="O36" s="390">
        <f>C$23/0.00047194745</f>
        <v>986.87058093557721</v>
      </c>
      <c r="P36" s="353">
        <f>O36/C25</f>
        <v>1.9999999711832326</v>
      </c>
      <c r="Q36" s="363">
        <f>O36/6</f>
        <v>164.47843015592954</v>
      </c>
      <c r="R36" s="389">
        <f>C24</f>
        <v>7.7380875169178395E-2</v>
      </c>
      <c r="S36" s="363">
        <f>R36/0.00047194745</f>
        <v>163.96078667058885</v>
      </c>
      <c r="T36" s="363">
        <f>C26</f>
        <v>16.39607890329988</v>
      </c>
      <c r="U36" s="382">
        <f>S36/T36</f>
        <v>9.9999998559161636</v>
      </c>
      <c r="V36" s="363">
        <f t="shared" ref="V36:V44" si="6">S36/6</f>
        <v>27.326797778431473</v>
      </c>
      <c r="W36" s="363"/>
      <c r="X36" s="363"/>
      <c r="Y36" s="363"/>
      <c r="Z36" s="138"/>
      <c r="AA36" s="139" t="s">
        <v>473</v>
      </c>
      <c r="AB36" s="107">
        <v>5</v>
      </c>
      <c r="AC36" s="107">
        <v>113.2</v>
      </c>
      <c r="AD36" s="114">
        <v>5.8</v>
      </c>
    </row>
    <row r="37" spans="1:30" ht="15" customHeight="1">
      <c r="A37" s="372" t="s">
        <v>883</v>
      </c>
      <c r="B37" s="381" t="s">
        <v>823</v>
      </c>
      <c r="C37" s="379">
        <v>11.869378335</v>
      </c>
      <c r="D37" s="380">
        <v>40.5</v>
      </c>
      <c r="E37" s="377">
        <v>1350</v>
      </c>
      <c r="F37" s="379">
        <v>14.653553499999999</v>
      </c>
      <c r="G37" s="380">
        <v>50</v>
      </c>
      <c r="H37" s="377">
        <v>730</v>
      </c>
      <c r="I37" s="379">
        <v>6.0838535761892958</v>
      </c>
      <c r="J37" s="379">
        <v>19.285714285714285</v>
      </c>
      <c r="K37" s="385">
        <v>1.607142857142857</v>
      </c>
      <c r="L37" s="379">
        <v>7.5109303409744381</v>
      </c>
      <c r="M37" s="379">
        <v>23.80952380952381</v>
      </c>
      <c r="O37" s="390">
        <f>D$23/0.00047194745</f>
        <v>966.00875210175468</v>
      </c>
      <c r="P37" s="353">
        <f>O37/D25</f>
        <v>1.9999999711832326</v>
      </c>
      <c r="Q37" s="363">
        <f t="shared" ref="Q37:Q50" si="7">O37/6</f>
        <v>161.00145868362577</v>
      </c>
      <c r="R37" s="389">
        <f>D24</f>
        <v>0.17864532115250759</v>
      </c>
      <c r="S37" s="363">
        <f t="shared" ref="S37:S50" si="8">R37/0.00047194745</f>
        <v>378.5279932172694</v>
      </c>
      <c r="T37" s="363">
        <f>D26</f>
        <v>37.85279986712461</v>
      </c>
      <c r="U37" s="382">
        <f t="shared" ref="U37:U50" si="9">S37/T37</f>
        <v>9.9999998559161618</v>
      </c>
      <c r="V37" s="363">
        <f t="shared" si="6"/>
        <v>63.087998869544897</v>
      </c>
      <c r="W37" s="363"/>
      <c r="X37" s="363"/>
      <c r="Y37" s="363"/>
      <c r="Z37" s="138"/>
      <c r="AA37" s="139" t="s">
        <v>475</v>
      </c>
      <c r="AB37" s="107">
        <v>2.2000000000000002</v>
      </c>
      <c r="AC37" s="107">
        <v>38</v>
      </c>
      <c r="AD37" s="114">
        <v>3</v>
      </c>
    </row>
    <row r="38" spans="1:30" ht="15" customHeight="1">
      <c r="A38" s="372" t="s">
        <v>884</v>
      </c>
      <c r="B38" s="373" t="s">
        <v>824</v>
      </c>
      <c r="C38" s="379">
        <v>18.903084015000001</v>
      </c>
      <c r="D38" s="380">
        <v>64.5</v>
      </c>
      <c r="E38" s="377">
        <v>2150</v>
      </c>
      <c r="F38" s="379">
        <v>14.653553499999999</v>
      </c>
      <c r="G38" s="380">
        <v>50</v>
      </c>
      <c r="H38" s="377">
        <v>757</v>
      </c>
      <c r="I38" s="379">
        <v>9.6891001398570271</v>
      </c>
      <c r="J38" s="379">
        <v>30.714285714285712</v>
      </c>
      <c r="K38" s="385">
        <v>2.5595238095238093</v>
      </c>
      <c r="L38" s="379">
        <v>7.5109303409744381</v>
      </c>
      <c r="M38" s="379">
        <v>23.80952380952381</v>
      </c>
      <c r="N38" s="238"/>
      <c r="O38" s="390" t="e">
        <f>E$23/0.00047194745</f>
        <v>#N/A</v>
      </c>
      <c r="P38" s="353" t="e">
        <f>O38/E25</f>
        <v>#N/A</v>
      </c>
      <c r="Q38" s="363" t="e">
        <f t="shared" si="7"/>
        <v>#N/A</v>
      </c>
      <c r="R38" s="389" t="e">
        <f>E24</f>
        <v>#N/A</v>
      </c>
      <c r="S38" s="363" t="e">
        <f t="shared" si="8"/>
        <v>#N/A</v>
      </c>
      <c r="T38" s="363" t="e">
        <f>E26</f>
        <v>#N/A</v>
      </c>
      <c r="U38" s="382" t="e">
        <f t="shared" si="9"/>
        <v>#N/A</v>
      </c>
      <c r="V38" s="363" t="e">
        <f t="shared" si="6"/>
        <v>#N/A</v>
      </c>
      <c r="W38" s="363"/>
      <c r="X38" s="363"/>
      <c r="Y38" s="363"/>
      <c r="Z38" s="138"/>
      <c r="AA38" s="139" t="s">
        <v>471</v>
      </c>
      <c r="AB38" s="107">
        <v>25.7</v>
      </c>
      <c r="AC38" s="107">
        <v>37.4</v>
      </c>
      <c r="AD38" s="114">
        <v>15.9</v>
      </c>
    </row>
    <row r="39" spans="1:30" ht="15" customHeight="1">
      <c r="A39" s="372" t="s">
        <v>885</v>
      </c>
      <c r="B39" s="373" t="s">
        <v>825</v>
      </c>
      <c r="C39" s="379">
        <v>11.429771729999999</v>
      </c>
      <c r="D39" s="380">
        <v>39</v>
      </c>
      <c r="E39" s="377">
        <v>1300</v>
      </c>
      <c r="F39" s="379">
        <v>21.980330249999998</v>
      </c>
      <c r="G39" s="380">
        <v>75</v>
      </c>
      <c r="H39" s="377">
        <v>1102</v>
      </c>
      <c r="I39" s="379">
        <v>5.8585256659600615</v>
      </c>
      <c r="J39" s="379">
        <v>18.571428571428569</v>
      </c>
      <c r="K39" s="385">
        <v>1.5476190476190474</v>
      </c>
      <c r="L39" s="379">
        <v>11.266395511461656</v>
      </c>
      <c r="M39" s="379">
        <v>35.714285714285715</v>
      </c>
      <c r="N39" s="238"/>
      <c r="O39" s="390">
        <f>F$23/0.00047194745</f>
        <v>1025.5746847876767</v>
      </c>
      <c r="P39" s="353">
        <f>O39/F25</f>
        <v>1.9999999711832326</v>
      </c>
      <c r="Q39" s="363">
        <f t="shared" si="7"/>
        <v>170.92911413127945</v>
      </c>
      <c r="R39" s="389">
        <f>F24</f>
        <v>0.22181886125607814</v>
      </c>
      <c r="S39" s="363">
        <f t="shared" si="8"/>
        <v>470.00754269586184</v>
      </c>
      <c r="T39" s="363">
        <f>F26</f>
        <v>47.000754946791098</v>
      </c>
      <c r="U39" s="382">
        <f t="shared" si="9"/>
        <v>9.9999998559161618</v>
      </c>
      <c r="V39" s="363">
        <f t="shared" si="6"/>
        <v>78.334590449310312</v>
      </c>
      <c r="W39" s="363"/>
      <c r="X39" s="363"/>
      <c r="Y39" s="363"/>
      <c r="Z39" s="141"/>
      <c r="AA39" s="127"/>
      <c r="AB39" s="124"/>
      <c r="AC39" s="124"/>
      <c r="AD39" s="109"/>
    </row>
    <row r="40" spans="1:30" ht="15" customHeight="1">
      <c r="A40" s="372" t="s">
        <v>886</v>
      </c>
      <c r="B40" s="373" t="s">
        <v>826</v>
      </c>
      <c r="C40" s="379">
        <v>13.18819815</v>
      </c>
      <c r="D40" s="380">
        <v>45</v>
      </c>
      <c r="E40" s="377">
        <v>1500</v>
      </c>
      <c r="F40" s="379">
        <v>14.653553499999999</v>
      </c>
      <c r="G40" s="380">
        <v>50</v>
      </c>
      <c r="H40" s="377">
        <v>839</v>
      </c>
      <c r="I40" s="379">
        <v>6.759837306876995</v>
      </c>
      <c r="J40" s="379">
        <v>21.428571428571427</v>
      </c>
      <c r="K40" s="385">
        <v>1.7857142857142856</v>
      </c>
      <c r="L40" s="379">
        <v>7.5109303409744381</v>
      </c>
      <c r="M40" s="379">
        <v>23.80952380952381</v>
      </c>
      <c r="N40" s="238"/>
      <c r="O40" s="390" t="e">
        <f>G$23/0.00047194745</f>
        <v>#N/A</v>
      </c>
      <c r="P40" s="353" t="e">
        <f>O40/G25</f>
        <v>#N/A</v>
      </c>
      <c r="Q40" s="363" t="e">
        <f t="shared" si="7"/>
        <v>#N/A</v>
      </c>
      <c r="R40" s="389" t="e">
        <f>G24</f>
        <v>#N/A</v>
      </c>
      <c r="S40" s="363" t="e">
        <f t="shared" si="8"/>
        <v>#N/A</v>
      </c>
      <c r="T40" s="363" t="e">
        <f>G26</f>
        <v>#N/A</v>
      </c>
      <c r="U40" s="382" t="e">
        <f t="shared" si="9"/>
        <v>#N/A</v>
      </c>
      <c r="V40" s="363" t="e">
        <f t="shared" si="6"/>
        <v>#N/A</v>
      </c>
      <c r="W40" s="363"/>
      <c r="X40" s="363"/>
      <c r="Y40" s="363"/>
    </row>
    <row r="41" spans="1:30" ht="15" customHeight="1">
      <c r="A41" s="372" t="s">
        <v>887</v>
      </c>
      <c r="B41" s="373" t="s">
        <v>827</v>
      </c>
      <c r="C41" s="379">
        <v>4.7770584410000003</v>
      </c>
      <c r="D41" s="380">
        <v>16.3</v>
      </c>
      <c r="E41" s="377">
        <v>543</v>
      </c>
      <c r="F41" s="379">
        <v>10.550558519999999</v>
      </c>
      <c r="G41" s="380">
        <v>36</v>
      </c>
      <c r="H41" s="377">
        <v>509</v>
      </c>
      <c r="I41" s="379">
        <v>2.4485632911576669</v>
      </c>
      <c r="J41" s="379">
        <v>7.7619047619047619</v>
      </c>
      <c r="K41" s="385">
        <v>0.64682539682539686</v>
      </c>
      <c r="L41" s="379">
        <v>5.4078698455015957</v>
      </c>
      <c r="M41" s="379">
        <v>17.142857142857142</v>
      </c>
      <c r="N41" s="238"/>
      <c r="O41" s="390" t="e">
        <f>H$23/0.00047194745</f>
        <v>#N/A</v>
      </c>
      <c r="P41" s="353" t="e">
        <f>O41/H25</f>
        <v>#N/A</v>
      </c>
      <c r="Q41" s="363" t="e">
        <f t="shared" si="7"/>
        <v>#N/A</v>
      </c>
      <c r="R41" s="389" t="e">
        <f>H24</f>
        <v>#N/A</v>
      </c>
      <c r="S41" s="363" t="e">
        <f t="shared" si="8"/>
        <v>#N/A</v>
      </c>
      <c r="T41" s="363" t="e">
        <f>H26</f>
        <v>#N/A</v>
      </c>
      <c r="U41" s="382" t="e">
        <f t="shared" si="9"/>
        <v>#N/A</v>
      </c>
      <c r="V41" s="363" t="e">
        <f t="shared" si="6"/>
        <v>#N/A</v>
      </c>
      <c r="W41" s="363"/>
      <c r="X41" s="363"/>
      <c r="Y41" s="363"/>
    </row>
    <row r="42" spans="1:30" ht="15" customHeight="1">
      <c r="A42" s="372" t="s">
        <v>888</v>
      </c>
      <c r="B42" s="373" t="s">
        <v>828</v>
      </c>
      <c r="C42" s="379">
        <v>9.4955026679999985</v>
      </c>
      <c r="D42" s="380">
        <v>32.4</v>
      </c>
      <c r="E42" s="377">
        <v>1080</v>
      </c>
      <c r="F42" s="379">
        <v>14.653553499999999</v>
      </c>
      <c r="G42" s="380">
        <v>50</v>
      </c>
      <c r="H42" s="377">
        <v>731</v>
      </c>
      <c r="I42" s="379">
        <v>4.8670828609514354</v>
      </c>
      <c r="J42" s="379">
        <v>15.428571428571427</v>
      </c>
      <c r="K42" s="385">
        <v>1.2857142857142856</v>
      </c>
      <c r="L42" s="379">
        <v>7.5109303409744381</v>
      </c>
      <c r="M42" s="379">
        <v>23.80952380952381</v>
      </c>
      <c r="N42" s="238"/>
      <c r="O42" s="390">
        <f>I$23/0.00047194745</f>
        <v>932.0494480737475</v>
      </c>
      <c r="P42" s="353">
        <f>O42/I25</f>
        <v>1.9999999711832328</v>
      </c>
      <c r="Q42" s="363">
        <f t="shared" si="7"/>
        <v>155.34157467895793</v>
      </c>
      <c r="R42" s="389">
        <f>I24</f>
        <v>0.25878867146542445</v>
      </c>
      <c r="S42" s="363">
        <f t="shared" si="8"/>
        <v>548.34213314517206</v>
      </c>
      <c r="T42" s="363">
        <f>I26</f>
        <v>54.834214104589606</v>
      </c>
      <c r="U42" s="382">
        <f t="shared" si="9"/>
        <v>9.9999998559161618</v>
      </c>
      <c r="V42" s="363">
        <f t="shared" si="6"/>
        <v>91.390355524195343</v>
      </c>
      <c r="W42" s="363"/>
      <c r="X42" s="363"/>
      <c r="Y42" s="363"/>
    </row>
    <row r="43" spans="1:30" ht="15" customHeight="1">
      <c r="A43" s="372" t="s">
        <v>889</v>
      </c>
      <c r="B43" s="373" t="s">
        <v>829</v>
      </c>
      <c r="C43" s="379">
        <v>9.4955026679999985</v>
      </c>
      <c r="D43" s="380">
        <v>32.4</v>
      </c>
      <c r="E43" s="377">
        <v>1080</v>
      </c>
      <c r="F43" s="379">
        <v>14.653553499999999</v>
      </c>
      <c r="G43" s="380">
        <v>50</v>
      </c>
      <c r="H43" s="377">
        <v>884</v>
      </c>
      <c r="I43" s="379">
        <v>4.8670828609514354</v>
      </c>
      <c r="J43" s="379">
        <v>15.428571428571427</v>
      </c>
      <c r="K43" s="385">
        <v>1.2857142857142856</v>
      </c>
      <c r="L43" s="379">
        <v>7.5109303409744381</v>
      </c>
      <c r="M43" s="379">
        <v>23.80952380952381</v>
      </c>
      <c r="N43" s="238"/>
      <c r="O43" s="390" t="e">
        <f>J$23/0.00047194745</f>
        <v>#N/A</v>
      </c>
      <c r="P43" s="353" t="e">
        <f>O43/J25</f>
        <v>#N/A</v>
      </c>
      <c r="Q43" s="363" t="e">
        <f t="shared" si="7"/>
        <v>#N/A</v>
      </c>
      <c r="R43" s="389" t="e">
        <f>J24</f>
        <v>#N/A</v>
      </c>
      <c r="S43" s="363" t="e">
        <f t="shared" si="8"/>
        <v>#N/A</v>
      </c>
      <c r="T43" s="363" t="e">
        <f>J26</f>
        <v>#N/A</v>
      </c>
      <c r="U43" s="382" t="e">
        <f t="shared" si="9"/>
        <v>#N/A</v>
      </c>
      <c r="V43" s="363" t="e">
        <f t="shared" si="6"/>
        <v>#N/A</v>
      </c>
      <c r="W43" s="363"/>
      <c r="X43" s="363"/>
      <c r="Y43" s="363"/>
    </row>
    <row r="44" spans="1:30" ht="15" customHeight="1">
      <c r="A44" s="372" t="s">
        <v>890</v>
      </c>
      <c r="B44" s="373" t="s">
        <v>830</v>
      </c>
      <c r="C44" s="379">
        <v>6.44756354</v>
      </c>
      <c r="D44" s="380">
        <v>22</v>
      </c>
      <c r="E44" s="377">
        <v>733</v>
      </c>
      <c r="F44" s="379">
        <v>14.653553499999999</v>
      </c>
      <c r="G44" s="380">
        <v>50</v>
      </c>
      <c r="H44" s="377">
        <v>733</v>
      </c>
      <c r="I44" s="379">
        <v>3.3048093500287528</v>
      </c>
      <c r="J44" s="379">
        <v>10.476190476190476</v>
      </c>
      <c r="K44" s="385">
        <v>0.87301587301587302</v>
      </c>
      <c r="L44" s="379">
        <v>7.5109303409744381</v>
      </c>
      <c r="M44" s="379">
        <v>23.80952380952381</v>
      </c>
      <c r="N44" s="238"/>
      <c r="O44" s="390" t="e">
        <f>K$23/0.00047194745</f>
        <v>#N/A</v>
      </c>
      <c r="P44" s="353" t="e">
        <f>O44/K25</f>
        <v>#N/A</v>
      </c>
      <c r="Q44" s="363" t="e">
        <f t="shared" si="7"/>
        <v>#N/A</v>
      </c>
      <c r="R44" s="389" t="e">
        <f>K24</f>
        <v>#N/A</v>
      </c>
      <c r="S44" s="363" t="e">
        <f t="shared" si="8"/>
        <v>#N/A</v>
      </c>
      <c r="T44" s="363" t="e">
        <f>K26</f>
        <v>#N/A</v>
      </c>
      <c r="U44" s="382" t="e">
        <f t="shared" si="9"/>
        <v>#N/A</v>
      </c>
      <c r="V44" s="363" t="e">
        <f t="shared" si="6"/>
        <v>#N/A</v>
      </c>
      <c r="W44" s="363">
        <v>122.22222046119754</v>
      </c>
      <c r="X44" s="363"/>
      <c r="Y44" s="363"/>
    </row>
    <row r="45" spans="1:30" ht="15" customHeight="1">
      <c r="A45" s="372" t="s">
        <v>891</v>
      </c>
      <c r="B45" s="373" t="s">
        <v>831</v>
      </c>
      <c r="C45" s="379">
        <v>7.7370762479999993</v>
      </c>
      <c r="D45" s="380">
        <v>26.4</v>
      </c>
      <c r="E45" s="377">
        <v>880</v>
      </c>
      <c r="F45" s="379">
        <v>21.980330249999998</v>
      </c>
      <c r="G45" s="380">
        <v>75</v>
      </c>
      <c r="H45" s="377">
        <v>1116</v>
      </c>
      <c r="I45" s="379">
        <v>3.9657712200345032</v>
      </c>
      <c r="J45" s="379">
        <v>12.571428571428569</v>
      </c>
      <c r="K45" s="385">
        <v>1.0476190476190474</v>
      </c>
      <c r="L45" s="379">
        <v>11.266395511461656</v>
      </c>
      <c r="M45" s="379">
        <v>35.714285714285715</v>
      </c>
      <c r="N45" s="238"/>
      <c r="O45" s="390" t="e">
        <f>L$23/0.00047194745</f>
        <v>#N/A</v>
      </c>
      <c r="P45" s="353" t="e">
        <f>O45/L25</f>
        <v>#N/A</v>
      </c>
      <c r="Q45" s="363" t="e">
        <f t="shared" si="7"/>
        <v>#N/A</v>
      </c>
      <c r="R45" s="389" t="e">
        <f>L24</f>
        <v>#N/A</v>
      </c>
      <c r="S45" s="363" t="e">
        <f t="shared" si="8"/>
        <v>#N/A</v>
      </c>
      <c r="T45" s="363" t="e">
        <f>L26</f>
        <v>#N/A</v>
      </c>
      <c r="U45" s="382" t="e">
        <f t="shared" si="9"/>
        <v>#N/A</v>
      </c>
      <c r="V45" s="363">
        <v>146.66666455343704</v>
      </c>
      <c r="X45" s="363"/>
      <c r="Y45" s="363"/>
    </row>
    <row r="46" spans="1:30" ht="17.25" customHeight="1">
      <c r="A46" s="372" t="s">
        <v>892</v>
      </c>
      <c r="B46" s="373" t="s">
        <v>832</v>
      </c>
      <c r="C46" s="379">
        <v>8.9093605279999988</v>
      </c>
      <c r="D46" s="380">
        <v>30.4</v>
      </c>
      <c r="E46" s="377">
        <v>1013</v>
      </c>
      <c r="F46" s="379">
        <v>21.980330249999998</v>
      </c>
      <c r="G46" s="380">
        <v>75</v>
      </c>
      <c r="H46" s="377">
        <v>1211</v>
      </c>
      <c r="I46" s="379">
        <v>4.5666456473124581</v>
      </c>
      <c r="J46" s="379">
        <v>14.476190476190474</v>
      </c>
      <c r="K46" s="385">
        <v>1.2063492063492063</v>
      </c>
      <c r="L46" s="379">
        <v>11.266395511461656</v>
      </c>
      <c r="M46" s="379">
        <v>35.714285714285715</v>
      </c>
      <c r="N46" s="238"/>
      <c r="O46" s="390" t="e">
        <f>M$23/0.00047194745</f>
        <v>#N/A</v>
      </c>
      <c r="P46" s="353" t="e">
        <f>O46/M25</f>
        <v>#N/A</v>
      </c>
      <c r="Q46" s="363" t="e">
        <f t="shared" si="7"/>
        <v>#N/A</v>
      </c>
      <c r="R46" s="389" t="e">
        <f>M24</f>
        <v>#N/A</v>
      </c>
      <c r="S46" s="363" t="e">
        <f t="shared" si="8"/>
        <v>#N/A</v>
      </c>
      <c r="T46" s="363" t="e">
        <f>M26</f>
        <v>#N/A</v>
      </c>
      <c r="U46" s="382" t="e">
        <f t="shared" si="9"/>
        <v>#N/A</v>
      </c>
      <c r="V46" s="363" t="e">
        <f>S46/6</f>
        <v>#N/A</v>
      </c>
      <c r="W46" s="363"/>
      <c r="X46" s="363"/>
      <c r="Y46" s="363"/>
    </row>
    <row r="47" spans="1:30" ht="15" customHeight="1">
      <c r="A47" s="372" t="s">
        <v>893</v>
      </c>
      <c r="B47" s="373" t="s">
        <v>833</v>
      </c>
      <c r="C47" s="379">
        <v>6.5647919679999998</v>
      </c>
      <c r="D47" s="380">
        <v>22.4</v>
      </c>
      <c r="E47" s="377">
        <v>747</v>
      </c>
      <c r="F47" s="379">
        <v>21.980330249999998</v>
      </c>
      <c r="G47" s="380">
        <v>75</v>
      </c>
      <c r="H47" s="377">
        <v>1104</v>
      </c>
      <c r="I47" s="379">
        <v>3.3648967927565483</v>
      </c>
      <c r="J47" s="379">
        <v>10.666666666666666</v>
      </c>
      <c r="K47" s="385">
        <v>0.88888888888888884</v>
      </c>
      <c r="L47" s="379">
        <v>11.266395511461656</v>
      </c>
      <c r="M47" s="379">
        <v>35.714285714285715</v>
      </c>
      <c r="N47" s="238"/>
      <c r="O47" s="390" t="e">
        <f>N$23/0.00047194745</f>
        <v>#N/A</v>
      </c>
      <c r="P47" s="353" t="e">
        <f>O47/N25</f>
        <v>#N/A</v>
      </c>
      <c r="Q47" s="363" t="e">
        <f t="shared" si="7"/>
        <v>#N/A</v>
      </c>
      <c r="R47" s="389" t="e">
        <f>N24</f>
        <v>#N/A</v>
      </c>
      <c r="S47" s="363" t="e">
        <f t="shared" si="8"/>
        <v>#N/A</v>
      </c>
      <c r="T47" s="363" t="e">
        <f>N26</f>
        <v>#N/A</v>
      </c>
      <c r="U47" s="382" t="e">
        <f t="shared" si="9"/>
        <v>#N/A</v>
      </c>
      <c r="V47" s="363">
        <v>124.44444265140113</v>
      </c>
      <c r="X47" s="363"/>
      <c r="Y47" s="363"/>
    </row>
    <row r="48" spans="1:30" ht="15" customHeight="1">
      <c r="A48" s="372" t="s">
        <v>894</v>
      </c>
      <c r="B48" s="373" t="s">
        <v>834</v>
      </c>
      <c r="C48" s="379">
        <v>8.1473757459999998</v>
      </c>
      <c r="D48" s="380">
        <v>27.8</v>
      </c>
      <c r="E48" s="377">
        <v>927</v>
      </c>
      <c r="F48" s="379">
        <v>29.307106999999998</v>
      </c>
      <c r="G48" s="380">
        <v>100</v>
      </c>
      <c r="H48" s="377">
        <v>1678</v>
      </c>
      <c r="I48" s="379">
        <v>4.1760772695817874</v>
      </c>
      <c r="J48" s="379">
        <v>13.238095238095237</v>
      </c>
      <c r="K48" s="385">
        <v>1.103174603174603</v>
      </c>
      <c r="L48" s="379">
        <v>15.021860681948876</v>
      </c>
      <c r="M48" s="379">
        <v>47.61904761904762</v>
      </c>
      <c r="N48" s="238"/>
      <c r="O48" s="390" t="e">
        <f>O$23/0.00047194745</f>
        <v>#N/A</v>
      </c>
      <c r="P48" s="353" t="e">
        <f>O48/O25</f>
        <v>#N/A</v>
      </c>
      <c r="Q48" s="363" t="e">
        <f t="shared" si="7"/>
        <v>#N/A</v>
      </c>
      <c r="R48" s="389" t="e">
        <f>O24</f>
        <v>#N/A</v>
      </c>
      <c r="S48" s="363" t="e">
        <f t="shared" si="8"/>
        <v>#N/A</v>
      </c>
      <c r="T48" s="363" t="e">
        <f>O26</f>
        <v>#N/A</v>
      </c>
      <c r="U48" s="382" t="e">
        <f t="shared" si="9"/>
        <v>#N/A</v>
      </c>
      <c r="V48" s="363">
        <v>154.44444221914964</v>
      </c>
      <c r="X48" s="363"/>
      <c r="Y48" s="363"/>
    </row>
    <row r="49" spans="1:25" ht="15" customHeight="1">
      <c r="A49" s="372" t="s">
        <v>895</v>
      </c>
      <c r="B49" s="374" t="s">
        <v>835</v>
      </c>
      <c r="C49" s="379">
        <v>5.9200356139999997</v>
      </c>
      <c r="D49" s="380">
        <v>20.2</v>
      </c>
      <c r="E49" s="377">
        <v>673</v>
      </c>
      <c r="F49" s="379">
        <v>29.307106999999998</v>
      </c>
      <c r="G49" s="380">
        <v>100</v>
      </c>
      <c r="H49" s="377">
        <v>1531</v>
      </c>
      <c r="I49" s="379">
        <v>3.0344158577536731</v>
      </c>
      <c r="J49" s="379">
        <v>9.6190476190476186</v>
      </c>
      <c r="K49" s="385">
        <v>0.80158730158730152</v>
      </c>
      <c r="L49" s="379">
        <v>15.021860681948876</v>
      </c>
      <c r="M49" s="379">
        <v>47.61904761904762</v>
      </c>
      <c r="N49" s="238"/>
      <c r="O49" s="390" t="e">
        <f>P$23/0.00047194745</f>
        <v>#N/A</v>
      </c>
      <c r="P49" s="353" t="e">
        <f>O49/P25</f>
        <v>#N/A</v>
      </c>
      <c r="Q49" s="363" t="e">
        <f t="shared" si="7"/>
        <v>#N/A</v>
      </c>
      <c r="R49" s="389" t="e">
        <f>P24</f>
        <v>#N/A</v>
      </c>
      <c r="S49" s="363" t="e">
        <f t="shared" si="8"/>
        <v>#N/A</v>
      </c>
      <c r="T49" s="363" t="e">
        <f>P26</f>
        <v>#N/A</v>
      </c>
      <c r="U49" s="382" t="e">
        <f t="shared" si="9"/>
        <v>#N/A</v>
      </c>
      <c r="V49" s="363">
        <v>112.22222060528139</v>
      </c>
      <c r="X49" s="363"/>
      <c r="Y49" s="363"/>
    </row>
    <row r="50" spans="1:25" ht="15" customHeight="1">
      <c r="A50" s="238" t="s">
        <v>896</v>
      </c>
      <c r="B50" s="371">
        <v>8</v>
      </c>
      <c r="C50" s="379">
        <v>5.9200356139999997</v>
      </c>
      <c r="D50" s="380">
        <v>20.2</v>
      </c>
      <c r="E50" s="377">
        <v>673</v>
      </c>
      <c r="F50" s="379">
        <f>G50*0.29307107</f>
        <v>36.633883749999995</v>
      </c>
      <c r="G50" s="380">
        <v>125</v>
      </c>
      <c r="H50" s="377">
        <v>1750</v>
      </c>
      <c r="I50" s="379">
        <v>3.0344158577536731</v>
      </c>
      <c r="J50" s="379">
        <v>9.6190476190476186</v>
      </c>
      <c r="K50" s="385">
        <v>0.80158730158730152</v>
      </c>
      <c r="L50" s="379">
        <f>F50/(A_houseSI/100)</f>
        <v>18.322475262529281</v>
      </c>
      <c r="M50" s="379">
        <f>G50/(A_houseFT/1000)</f>
        <v>58.080040172131973</v>
      </c>
      <c r="N50" s="238"/>
      <c r="O50" s="390" t="e">
        <f>Q$23/0.00047194745</f>
        <v>#N/A</v>
      </c>
      <c r="P50" s="353" t="e">
        <f>O50/Q25</f>
        <v>#N/A</v>
      </c>
      <c r="Q50" s="363" t="e">
        <f t="shared" si="7"/>
        <v>#N/A</v>
      </c>
      <c r="R50" s="389" t="e">
        <f>Q24</f>
        <v>#N/A</v>
      </c>
      <c r="S50" s="363" t="e">
        <f t="shared" si="8"/>
        <v>#N/A</v>
      </c>
      <c r="T50" s="363" t="e">
        <f>Q26</f>
        <v>#N/A</v>
      </c>
      <c r="U50" s="382" t="e">
        <f t="shared" si="9"/>
        <v>#N/A</v>
      </c>
      <c r="V50" s="363">
        <v>112.22222060528139</v>
      </c>
      <c r="X50" s="363"/>
      <c r="Y50" s="363"/>
    </row>
    <row r="51" spans="1:25" ht="15" customHeight="1">
      <c r="A51" s="238"/>
      <c r="B51" s="242"/>
      <c r="C51" s="252"/>
      <c r="D51" s="253"/>
      <c r="E51" s="113"/>
      <c r="F51" s="252"/>
      <c r="G51" s="253"/>
      <c r="H51" s="113"/>
      <c r="I51" s="252"/>
      <c r="J51" s="252"/>
      <c r="K51" s="250"/>
      <c r="L51" s="252"/>
      <c r="M51" s="252"/>
      <c r="N51" s="238"/>
      <c r="O51" s="353"/>
      <c r="P51" s="353"/>
    </row>
    <row r="53" spans="1:25" ht="15" customHeight="1">
      <c r="A53" s="429" t="s">
        <v>450</v>
      </c>
      <c r="B53" s="375" t="s">
        <v>803</v>
      </c>
      <c r="C53" s="429" t="s">
        <v>1126</v>
      </c>
      <c r="D53" s="375" t="s">
        <v>1138</v>
      </c>
      <c r="E53" s="429" t="s">
        <v>1145</v>
      </c>
      <c r="F53" s="429" t="s">
        <v>1146</v>
      </c>
      <c r="G53" s="429" t="s">
        <v>1147</v>
      </c>
      <c r="H53" s="429" t="s">
        <v>1148</v>
      </c>
      <c r="I53" s="429" t="s">
        <v>1149</v>
      </c>
      <c r="J53" s="375" t="s">
        <v>1150</v>
      </c>
      <c r="K53" s="375" t="s">
        <v>1151</v>
      </c>
    </row>
    <row r="54" spans="1:25" ht="15" customHeight="1">
      <c r="A54" s="360" t="s">
        <v>1032</v>
      </c>
      <c r="B54" s="375" t="s">
        <v>882</v>
      </c>
      <c r="C54" s="360" t="s">
        <v>1127</v>
      </c>
      <c r="D54" s="6" t="str">
        <f>CONCATENATE(B54,C54)</f>
        <v>1ASmall</v>
      </c>
      <c r="E54" s="360">
        <v>4902</v>
      </c>
      <c r="F54" s="360">
        <v>16746</v>
      </c>
      <c r="G54" s="360">
        <v>0.71</v>
      </c>
      <c r="H54" s="360">
        <v>355.2</v>
      </c>
      <c r="I54" s="360">
        <v>1081</v>
      </c>
      <c r="J54" s="6">
        <f>E54/(I54/1000)/1000</f>
        <v>4.534690101757632</v>
      </c>
      <c r="K54" s="6">
        <f>F54/(I54/1000)/12000</f>
        <v>1.2909343200740055</v>
      </c>
    </row>
    <row r="55" spans="1:25" ht="15" customHeight="1">
      <c r="A55" s="360" t="s">
        <v>1032</v>
      </c>
      <c r="B55" s="375" t="s">
        <v>882</v>
      </c>
      <c r="C55" s="360" t="s">
        <v>1132</v>
      </c>
      <c r="D55" s="375" t="str">
        <f t="shared" ref="D55:D71" si="10">CONCATENATE(B55,C55)</f>
        <v>1AMed</v>
      </c>
      <c r="E55" s="360">
        <v>7714</v>
      </c>
      <c r="F55" s="360">
        <v>22942</v>
      </c>
      <c r="G55" s="360">
        <v>0.71</v>
      </c>
      <c r="H55" s="360">
        <v>355.2</v>
      </c>
      <c r="I55" s="360">
        <v>2145</v>
      </c>
      <c r="J55" s="375">
        <f t="shared" ref="J55:J71" si="11">E55/(I55/1000)/1000</f>
        <v>3.5962703962703961</v>
      </c>
      <c r="K55" s="375">
        <f t="shared" ref="K55:K71" si="12">F55/(I55/1000)/12000</f>
        <v>0.89129759129759123</v>
      </c>
    </row>
    <row r="56" spans="1:25" ht="15" customHeight="1">
      <c r="A56" s="360" t="s">
        <v>1032</v>
      </c>
      <c r="B56" s="375" t="s">
        <v>882</v>
      </c>
      <c r="C56" s="360" t="s">
        <v>1128</v>
      </c>
      <c r="D56" s="375" t="str">
        <f t="shared" si="10"/>
        <v>1ALarge</v>
      </c>
      <c r="E56" s="360">
        <v>10441</v>
      </c>
      <c r="F56" s="360">
        <v>29030</v>
      </c>
      <c r="G56" s="360">
        <v>0.71</v>
      </c>
      <c r="H56" s="360">
        <v>355.2</v>
      </c>
      <c r="I56" s="360">
        <v>3240</v>
      </c>
      <c r="J56" s="375">
        <f t="shared" si="11"/>
        <v>3.2225308641975308</v>
      </c>
      <c r="K56" s="375">
        <f t="shared" si="12"/>
        <v>0.7466563786008229</v>
      </c>
    </row>
    <row r="57" spans="1:25" ht="15" customHeight="1">
      <c r="A57" s="360" t="s">
        <v>1033</v>
      </c>
      <c r="B57" s="375" t="s">
        <v>823</v>
      </c>
      <c r="C57" s="360" t="s">
        <v>1127</v>
      </c>
      <c r="D57" s="375" t="str">
        <f t="shared" si="10"/>
        <v>2ASmall</v>
      </c>
      <c r="E57" s="360">
        <v>11317</v>
      </c>
      <c r="F57" s="360">
        <v>16392</v>
      </c>
      <c r="G57" s="360">
        <v>0.71</v>
      </c>
      <c r="H57" s="360">
        <v>355.2</v>
      </c>
      <c r="I57" s="360">
        <v>1081</v>
      </c>
      <c r="J57" s="375">
        <f t="shared" si="11"/>
        <v>10.469010175763183</v>
      </c>
      <c r="K57" s="375">
        <f t="shared" si="12"/>
        <v>1.2636447733580021</v>
      </c>
    </row>
    <row r="58" spans="1:25" ht="15" customHeight="1">
      <c r="A58" s="360" t="s">
        <v>1033</v>
      </c>
      <c r="B58" s="375" t="s">
        <v>823</v>
      </c>
      <c r="C58" s="360" t="s">
        <v>1132</v>
      </c>
      <c r="D58" s="375" t="str">
        <f t="shared" si="10"/>
        <v>2AMed</v>
      </c>
      <c r="E58" s="360">
        <v>17963</v>
      </c>
      <c r="F58" s="360">
        <v>20710</v>
      </c>
      <c r="G58" s="360">
        <v>0.71</v>
      </c>
      <c r="H58" s="360">
        <v>355.2</v>
      </c>
      <c r="I58" s="360">
        <v>2145</v>
      </c>
      <c r="J58" s="375">
        <f t="shared" si="11"/>
        <v>8.3743589743589748</v>
      </c>
      <c r="K58" s="375">
        <f t="shared" si="12"/>
        <v>0.80458430458430452</v>
      </c>
    </row>
    <row r="59" spans="1:25" ht="15" customHeight="1">
      <c r="A59" s="360" t="s">
        <v>1033</v>
      </c>
      <c r="B59" s="375" t="s">
        <v>823</v>
      </c>
      <c r="C59" s="360" t="s">
        <v>1128</v>
      </c>
      <c r="D59" s="375" t="str">
        <f t="shared" si="10"/>
        <v>2ALarge</v>
      </c>
      <c r="E59" s="360">
        <v>24060</v>
      </c>
      <c r="F59" s="360">
        <v>25474</v>
      </c>
      <c r="G59" s="360">
        <v>0.71</v>
      </c>
      <c r="H59" s="360">
        <v>355.2</v>
      </c>
      <c r="I59" s="360">
        <v>3240</v>
      </c>
      <c r="J59" s="375">
        <f t="shared" si="11"/>
        <v>7.4259259259259256</v>
      </c>
      <c r="K59" s="375">
        <f t="shared" si="12"/>
        <v>0.65519547325102878</v>
      </c>
    </row>
    <row r="60" spans="1:25" ht="15" customHeight="1">
      <c r="A60" s="360" t="s">
        <v>1144</v>
      </c>
      <c r="B60" s="375" t="s">
        <v>1152</v>
      </c>
      <c r="C60" s="360" t="s">
        <v>1127</v>
      </c>
      <c r="D60" s="375" t="str">
        <f t="shared" si="10"/>
        <v>2AoSmall</v>
      </c>
      <c r="E60" s="360">
        <v>8232</v>
      </c>
      <c r="F60" s="360">
        <v>15557</v>
      </c>
      <c r="G60" s="360">
        <v>0.71</v>
      </c>
      <c r="H60" s="360">
        <v>355.2</v>
      </c>
      <c r="I60" s="360">
        <v>1081</v>
      </c>
      <c r="J60" s="375">
        <f t="shared" si="11"/>
        <v>7.6151711378353379</v>
      </c>
      <c r="K60" s="375">
        <f t="shared" si="12"/>
        <v>1.1992753623188406</v>
      </c>
    </row>
    <row r="61" spans="1:25" ht="15" customHeight="1">
      <c r="A61" s="360" t="s">
        <v>1144</v>
      </c>
      <c r="B61" s="375" t="s">
        <v>1152</v>
      </c>
      <c r="C61" s="360" t="s">
        <v>1132</v>
      </c>
      <c r="D61" s="375" t="str">
        <f t="shared" si="10"/>
        <v>2AoMed</v>
      </c>
      <c r="E61" s="360">
        <v>13131</v>
      </c>
      <c r="F61" s="360">
        <v>20179</v>
      </c>
      <c r="G61" s="360">
        <v>0.71</v>
      </c>
      <c r="H61" s="360">
        <v>355.2</v>
      </c>
      <c r="I61" s="360">
        <v>2145</v>
      </c>
      <c r="J61" s="375">
        <f t="shared" si="11"/>
        <v>6.1216783216783215</v>
      </c>
      <c r="K61" s="375">
        <f t="shared" si="12"/>
        <v>0.78395493395493399</v>
      </c>
    </row>
    <row r="62" spans="1:25" ht="15" customHeight="1">
      <c r="A62" s="360" t="s">
        <v>1144</v>
      </c>
      <c r="B62" s="375" t="s">
        <v>1152</v>
      </c>
      <c r="C62" s="360" t="s">
        <v>1128</v>
      </c>
      <c r="D62" s="375" t="str">
        <f t="shared" si="10"/>
        <v>2AoLarge</v>
      </c>
      <c r="E62" s="360">
        <v>17638</v>
      </c>
      <c r="F62" s="360">
        <v>24540</v>
      </c>
      <c r="G62" s="360">
        <v>0.71</v>
      </c>
      <c r="H62" s="360">
        <v>355.2</v>
      </c>
      <c r="I62" s="360">
        <v>3240</v>
      </c>
      <c r="J62" s="375">
        <f t="shared" si="11"/>
        <v>5.4438271604938269</v>
      </c>
      <c r="K62" s="375">
        <f t="shared" si="12"/>
        <v>0.63117283950617287</v>
      </c>
    </row>
    <row r="63" spans="1:25" ht="15" customHeight="1">
      <c r="A63" s="360" t="s">
        <v>1143</v>
      </c>
      <c r="B63" s="375" t="s">
        <v>1153</v>
      </c>
      <c r="C63" s="360" t="s">
        <v>1127</v>
      </c>
      <c r="D63" s="375" t="str">
        <f t="shared" si="10"/>
        <v>3AcSmall</v>
      </c>
      <c r="E63" s="360">
        <v>11408</v>
      </c>
      <c r="F63" s="360">
        <v>15807</v>
      </c>
      <c r="G63" s="360">
        <v>0.71</v>
      </c>
      <c r="H63" s="360">
        <v>386.1</v>
      </c>
      <c r="I63" s="360">
        <v>1081</v>
      </c>
      <c r="J63" s="375">
        <f t="shared" si="11"/>
        <v>10.553191489361703</v>
      </c>
      <c r="K63" s="375">
        <f t="shared" si="12"/>
        <v>1.2185476410730807</v>
      </c>
    </row>
    <row r="64" spans="1:25" ht="15" customHeight="1">
      <c r="A64" s="360" t="s">
        <v>1143</v>
      </c>
      <c r="B64" s="375" t="s">
        <v>1153</v>
      </c>
      <c r="C64" s="360" t="s">
        <v>1132</v>
      </c>
      <c r="D64" s="375" t="str">
        <f t="shared" si="10"/>
        <v>3AcMed</v>
      </c>
      <c r="E64" s="360">
        <v>18078</v>
      </c>
      <c r="F64" s="360">
        <v>21834</v>
      </c>
      <c r="G64" s="360">
        <v>0.71</v>
      </c>
      <c r="H64" s="360">
        <v>386.1</v>
      </c>
      <c r="I64" s="360">
        <v>2145</v>
      </c>
      <c r="J64" s="375">
        <f t="shared" si="11"/>
        <v>8.4279720279720269</v>
      </c>
      <c r="K64" s="375">
        <f t="shared" si="12"/>
        <v>0.84825174825174832</v>
      </c>
    </row>
    <row r="65" spans="1:13" ht="15" customHeight="1">
      <c r="A65" s="360" t="s">
        <v>1143</v>
      </c>
      <c r="B65" s="375" t="s">
        <v>1153</v>
      </c>
      <c r="C65" s="360" t="s">
        <v>1128</v>
      </c>
      <c r="D65" s="375" t="str">
        <f t="shared" si="10"/>
        <v>3AcLarge</v>
      </c>
      <c r="E65" s="360">
        <v>24193</v>
      </c>
      <c r="F65" s="360">
        <v>27380</v>
      </c>
      <c r="G65" s="360">
        <v>0.71</v>
      </c>
      <c r="H65" s="360">
        <v>386.1</v>
      </c>
      <c r="I65" s="360">
        <v>3240</v>
      </c>
      <c r="J65" s="375">
        <f t="shared" si="11"/>
        <v>7.4669753086419748</v>
      </c>
      <c r="K65" s="375">
        <f t="shared" si="12"/>
        <v>0.70421810699588472</v>
      </c>
    </row>
    <row r="66" spans="1:13" ht="15" customHeight="1">
      <c r="A66" s="360" t="s">
        <v>1035</v>
      </c>
      <c r="B66" s="375" t="s">
        <v>825</v>
      </c>
      <c r="C66" s="360" t="s">
        <v>1127</v>
      </c>
      <c r="D66" s="375" t="str">
        <f t="shared" si="10"/>
        <v>3ASmall</v>
      </c>
      <c r="E66" s="360">
        <v>14052</v>
      </c>
      <c r="F66" s="360">
        <v>16010</v>
      </c>
      <c r="G66" s="360">
        <v>0.71</v>
      </c>
      <c r="H66" s="360">
        <v>386.1</v>
      </c>
      <c r="I66" s="360">
        <v>1081</v>
      </c>
      <c r="J66" s="375">
        <f t="shared" si="11"/>
        <v>12.999074930619798</v>
      </c>
      <c r="K66" s="375">
        <f t="shared" si="12"/>
        <v>1.2341967314215234</v>
      </c>
    </row>
    <row r="67" spans="1:13" ht="15" customHeight="1">
      <c r="A67" s="360" t="s">
        <v>1035</v>
      </c>
      <c r="B67" s="375" t="s">
        <v>825</v>
      </c>
      <c r="C67" s="360" t="s">
        <v>1132</v>
      </c>
      <c r="D67" s="375" t="str">
        <f t="shared" si="10"/>
        <v>3AMed</v>
      </c>
      <c r="E67" s="360">
        <v>22180</v>
      </c>
      <c r="F67" s="360">
        <v>22090</v>
      </c>
      <c r="G67" s="360">
        <v>0.71</v>
      </c>
      <c r="H67" s="360">
        <v>386.1</v>
      </c>
      <c r="I67" s="360">
        <v>2145</v>
      </c>
      <c r="J67" s="375">
        <f t="shared" si="11"/>
        <v>10.340326340326341</v>
      </c>
      <c r="K67" s="375">
        <f t="shared" si="12"/>
        <v>0.8581973581973581</v>
      </c>
    </row>
    <row r="68" spans="1:13" ht="15" customHeight="1">
      <c r="A68" s="360" t="s">
        <v>1035</v>
      </c>
      <c r="B68" s="375" t="s">
        <v>825</v>
      </c>
      <c r="C68" s="360" t="s">
        <v>1128</v>
      </c>
      <c r="D68" s="375" t="str">
        <f t="shared" si="10"/>
        <v>3ALarge</v>
      </c>
      <c r="E68" s="360">
        <v>29612</v>
      </c>
      <c r="F68" s="360">
        <v>27650</v>
      </c>
      <c r="G68" s="360">
        <v>0.71</v>
      </c>
      <c r="H68" s="360">
        <v>386.1</v>
      </c>
      <c r="I68" s="360">
        <v>3240</v>
      </c>
      <c r="J68" s="375">
        <f t="shared" si="11"/>
        <v>9.1395061728395053</v>
      </c>
      <c r="K68" s="375">
        <f t="shared" si="12"/>
        <v>0.71116255144032914</v>
      </c>
    </row>
    <row r="69" spans="1:13" ht="15" customHeight="1">
      <c r="A69" s="360" t="s">
        <v>1038</v>
      </c>
      <c r="B69" s="375" t="s">
        <v>828</v>
      </c>
      <c r="C69" s="360" t="s">
        <v>1127</v>
      </c>
      <c r="D69" s="375" t="str">
        <f t="shared" si="10"/>
        <v>4ASmall</v>
      </c>
      <c r="E69" s="360">
        <v>16394</v>
      </c>
      <c r="F69" s="360">
        <v>14550</v>
      </c>
      <c r="G69" s="360">
        <v>0.71</v>
      </c>
      <c r="H69" s="360">
        <v>386.1</v>
      </c>
      <c r="I69" s="360">
        <v>1081</v>
      </c>
      <c r="J69" s="375">
        <f t="shared" si="11"/>
        <v>15.165587419056431</v>
      </c>
      <c r="K69" s="375">
        <f t="shared" si="12"/>
        <v>1.1216466234967624</v>
      </c>
    </row>
    <row r="70" spans="1:13" ht="15" customHeight="1">
      <c r="A70" s="360" t="s">
        <v>1038</v>
      </c>
      <c r="B70" s="375" t="s">
        <v>828</v>
      </c>
      <c r="C70" s="360" t="s">
        <v>1132</v>
      </c>
      <c r="D70" s="375" t="str">
        <f t="shared" si="10"/>
        <v>4AMed</v>
      </c>
      <c r="E70" s="360">
        <v>25980</v>
      </c>
      <c r="F70" s="360">
        <v>20012</v>
      </c>
      <c r="G70" s="360">
        <v>0.71</v>
      </c>
      <c r="H70" s="360">
        <v>386.1</v>
      </c>
      <c r="I70" s="360">
        <v>2145</v>
      </c>
      <c r="J70" s="375">
        <f t="shared" si="11"/>
        <v>12.111888111888113</v>
      </c>
      <c r="K70" s="375">
        <f t="shared" si="12"/>
        <v>0.77746697746697757</v>
      </c>
      <c r="M70" s="375" t="s">
        <v>1159</v>
      </c>
    </row>
    <row r="71" spans="1:13" ht="15" customHeight="1">
      <c r="A71" s="360" t="s">
        <v>1038</v>
      </c>
      <c r="B71" s="375" t="s">
        <v>828</v>
      </c>
      <c r="C71" s="360" t="s">
        <v>1128</v>
      </c>
      <c r="D71" s="375" t="str">
        <f t="shared" si="10"/>
        <v>4ALarge</v>
      </c>
      <c r="E71" s="360">
        <v>34765</v>
      </c>
      <c r="F71" s="360">
        <v>24991</v>
      </c>
      <c r="G71" s="360">
        <v>0.71</v>
      </c>
      <c r="H71" s="360">
        <v>386.1</v>
      </c>
      <c r="I71" s="360">
        <v>3240</v>
      </c>
      <c r="J71" s="375">
        <f t="shared" si="11"/>
        <v>10.729938271604937</v>
      </c>
      <c r="K71" s="375">
        <f t="shared" si="12"/>
        <v>0.64277263374485594</v>
      </c>
    </row>
    <row r="75" spans="1:13" ht="15" customHeight="1">
      <c r="A75" s="239"/>
      <c r="B75" s="179"/>
      <c r="C75" s="179"/>
      <c r="D75" s="179"/>
      <c r="E75" s="179"/>
      <c r="F75" s="179"/>
      <c r="G75" s="179"/>
      <c r="H75" s="179"/>
      <c r="I75" s="179"/>
      <c r="J75" s="179"/>
      <c r="K75" s="179"/>
    </row>
    <row r="76" spans="1:13" ht="15" customHeight="1">
      <c r="A76" s="240" t="s">
        <v>807</v>
      </c>
      <c r="B76" s="179">
        <v>2100</v>
      </c>
      <c r="C76" s="241" t="s">
        <v>808</v>
      </c>
      <c r="D76" s="179"/>
      <c r="E76" s="179"/>
      <c r="F76" s="179"/>
      <c r="G76" s="179"/>
      <c r="H76" s="179"/>
      <c r="I76" s="179"/>
      <c r="J76" s="179"/>
      <c r="K76" s="179"/>
    </row>
    <row r="77" spans="1:13" ht="15" customHeight="1">
      <c r="A77" s="179"/>
      <c r="B77" s="179">
        <v>195.1</v>
      </c>
      <c r="C77" s="179" t="s">
        <v>197</v>
      </c>
      <c r="D77" s="179"/>
      <c r="E77" s="179"/>
      <c r="F77" s="179"/>
      <c r="G77" s="179"/>
      <c r="H77" s="179"/>
      <c r="I77" s="179"/>
      <c r="J77" s="179"/>
      <c r="K77" s="179"/>
    </row>
    <row r="81" spans="1:19" ht="15" customHeight="1">
      <c r="A81" s="403" t="s">
        <v>951</v>
      </c>
      <c r="B81" s="306" t="s">
        <v>947</v>
      </c>
      <c r="C81" s="306">
        <v>0.8</v>
      </c>
      <c r="D81" s="306">
        <v>0.8</v>
      </c>
      <c r="E81" s="306">
        <v>0.8</v>
      </c>
      <c r="F81" s="306">
        <v>0.9</v>
      </c>
      <c r="G81" s="306">
        <v>0.9</v>
      </c>
      <c r="H81" s="306">
        <v>0.9</v>
      </c>
      <c r="I81" s="306">
        <v>0.9</v>
      </c>
      <c r="J81" s="306">
        <v>0.9</v>
      </c>
      <c r="K81" s="306">
        <v>0.94</v>
      </c>
      <c r="L81" s="306">
        <v>0.94</v>
      </c>
      <c r="M81" s="306">
        <v>0.94</v>
      </c>
      <c r="N81" s="306">
        <v>0.94</v>
      </c>
      <c r="O81" s="306">
        <v>0.94</v>
      </c>
      <c r="P81" s="306">
        <v>0.94</v>
      </c>
      <c r="Q81" s="306">
        <v>0.94</v>
      </c>
      <c r="R81" s="375"/>
      <c r="S81" s="375" t="s">
        <v>953</v>
      </c>
    </row>
    <row r="82" spans="1:19" ht="15" customHeight="1">
      <c r="A82" s="306"/>
      <c r="B82" s="306" t="s">
        <v>948</v>
      </c>
      <c r="C82" s="306">
        <v>18</v>
      </c>
      <c r="D82" s="306">
        <v>18</v>
      </c>
      <c r="E82" s="306">
        <v>18</v>
      </c>
      <c r="F82" s="306">
        <v>15</v>
      </c>
      <c r="G82" s="306">
        <v>15</v>
      </c>
      <c r="H82" s="306">
        <v>15</v>
      </c>
      <c r="I82" s="306">
        <v>15</v>
      </c>
      <c r="J82" s="306">
        <v>15</v>
      </c>
      <c r="K82" s="306">
        <v>13</v>
      </c>
      <c r="L82" s="306">
        <v>13</v>
      </c>
      <c r="M82" s="306">
        <v>13</v>
      </c>
      <c r="N82" s="306">
        <v>13</v>
      </c>
      <c r="O82" s="306">
        <v>13</v>
      </c>
      <c r="P82" s="306">
        <v>13</v>
      </c>
      <c r="Q82" s="306">
        <v>13</v>
      </c>
      <c r="R82" s="375"/>
      <c r="S82" s="375"/>
    </row>
    <row r="83" spans="1:19" ht="15" customHeight="1">
      <c r="A83" s="306"/>
      <c r="B83" s="306" t="s">
        <v>949</v>
      </c>
      <c r="C83" s="306">
        <v>8.1999999999999993</v>
      </c>
      <c r="D83" s="306">
        <v>8.1999999999999993</v>
      </c>
      <c r="E83" s="306">
        <v>8.1999999999999993</v>
      </c>
      <c r="F83" s="306">
        <v>9</v>
      </c>
      <c r="G83" s="306">
        <v>9</v>
      </c>
      <c r="H83" s="306">
        <v>9</v>
      </c>
      <c r="I83" s="306">
        <v>9</v>
      </c>
      <c r="J83" s="306">
        <v>9</v>
      </c>
      <c r="K83" s="306">
        <v>10</v>
      </c>
      <c r="L83" s="306">
        <v>10</v>
      </c>
      <c r="M83" s="306">
        <v>10</v>
      </c>
      <c r="N83" s="306">
        <v>10</v>
      </c>
      <c r="O83" s="306">
        <v>10</v>
      </c>
      <c r="P83" s="306">
        <v>10</v>
      </c>
      <c r="Q83" s="306">
        <v>10</v>
      </c>
      <c r="R83" s="375"/>
      <c r="S83" s="375"/>
    </row>
    <row r="86" spans="1:19" ht="15" customHeight="1">
      <c r="A86" s="306" t="s">
        <v>978</v>
      </c>
      <c r="B86" s="403" t="s">
        <v>970</v>
      </c>
      <c r="C86" s="306" t="s">
        <v>470</v>
      </c>
      <c r="D86" s="306" t="s">
        <v>976</v>
      </c>
      <c r="E86" s="306" t="s">
        <v>977</v>
      </c>
      <c r="F86" s="306"/>
      <c r="G86" s="342" t="s">
        <v>986</v>
      </c>
      <c r="H86" s="306"/>
      <c r="I86" s="306"/>
      <c r="J86" s="306"/>
      <c r="K86" s="306"/>
      <c r="S86" s="375" t="s">
        <v>957</v>
      </c>
    </row>
    <row r="87" spans="1:19" ht="15" customHeight="1">
      <c r="A87" s="306"/>
      <c r="B87" s="306" t="s">
        <v>971</v>
      </c>
      <c r="C87" s="306">
        <v>90</v>
      </c>
      <c r="D87" s="405">
        <v>5.0000000000000001E-3</v>
      </c>
      <c r="E87" s="405">
        <v>1.4999999999999999E-2</v>
      </c>
      <c r="F87" s="306"/>
      <c r="G87" s="306"/>
      <c r="H87" s="306"/>
      <c r="I87" s="306"/>
      <c r="J87" s="306"/>
      <c r="K87" s="306"/>
    </row>
    <row r="88" spans="1:19" ht="15" customHeight="1">
      <c r="A88" s="306"/>
      <c r="B88" s="306" t="s">
        <v>972</v>
      </c>
      <c r="C88" s="306">
        <v>80</v>
      </c>
      <c r="D88" s="405">
        <v>5.0000000000000001E-3</v>
      </c>
      <c r="E88" s="405">
        <v>1.4999999999999999E-2</v>
      </c>
      <c r="F88" s="306"/>
      <c r="G88" s="306"/>
      <c r="H88" s="306"/>
      <c r="I88" s="306"/>
      <c r="J88" s="306"/>
      <c r="K88" s="306"/>
    </row>
    <row r="89" spans="1:19" ht="15" customHeight="1">
      <c r="A89" s="306"/>
      <c r="B89" s="306" t="s">
        <v>973</v>
      </c>
      <c r="C89" s="306">
        <v>78</v>
      </c>
      <c r="D89" s="405">
        <v>5.0000000000000001E-3</v>
      </c>
      <c r="E89" s="405">
        <v>1.4999999999999999E-2</v>
      </c>
      <c r="F89" s="306"/>
      <c r="G89" s="306"/>
      <c r="H89" s="306"/>
      <c r="I89" s="306"/>
      <c r="J89" s="306"/>
      <c r="K89" s="306"/>
    </row>
    <row r="90" spans="1:19" ht="15" customHeight="1">
      <c r="A90" s="306"/>
      <c r="B90" s="404" t="s">
        <v>974</v>
      </c>
      <c r="C90" s="306">
        <v>75</v>
      </c>
      <c r="D90" s="405">
        <v>5.0000000000000001E-3</v>
      </c>
      <c r="E90" s="405">
        <v>1.4999999999999999E-2</v>
      </c>
      <c r="F90" s="306"/>
      <c r="G90" s="306"/>
      <c r="H90" s="306"/>
      <c r="I90" s="306"/>
      <c r="J90" s="306"/>
      <c r="K90" s="306"/>
      <c r="R90" s="375"/>
    </row>
    <row r="91" spans="1:19" ht="15" customHeight="1">
      <c r="A91" s="306"/>
      <c r="B91" s="404" t="s">
        <v>975</v>
      </c>
      <c r="C91" s="306">
        <v>64</v>
      </c>
      <c r="D91" s="405">
        <v>5.0000000000000001E-3</v>
      </c>
      <c r="E91" s="405">
        <v>1.4999999999999999E-2</v>
      </c>
      <c r="F91" s="306"/>
      <c r="G91" s="306"/>
      <c r="H91" s="306"/>
      <c r="I91" s="306"/>
      <c r="J91" s="306"/>
      <c r="K91" s="306"/>
      <c r="R91" s="375"/>
    </row>
    <row r="92" spans="1:19" ht="15" customHeight="1">
      <c r="A92" s="306"/>
      <c r="B92" s="404"/>
      <c r="C92" s="306"/>
      <c r="D92" s="306"/>
      <c r="E92" s="306"/>
      <c r="F92" s="306"/>
      <c r="G92" s="306"/>
      <c r="H92" s="306"/>
      <c r="I92" s="306"/>
      <c r="J92" s="306"/>
      <c r="K92" s="306"/>
      <c r="R92" s="375"/>
    </row>
    <row r="93" spans="1:19" ht="15" customHeight="1">
      <c r="A93" s="306" t="s">
        <v>985</v>
      </c>
      <c r="B93" s="406" t="s">
        <v>979</v>
      </c>
      <c r="C93" s="306" t="s">
        <v>980</v>
      </c>
      <c r="D93" s="306" t="s">
        <v>981</v>
      </c>
      <c r="E93" s="306" t="s">
        <v>982</v>
      </c>
      <c r="F93" s="306" t="s">
        <v>976</v>
      </c>
      <c r="G93" s="306" t="s">
        <v>977</v>
      </c>
      <c r="H93" s="306"/>
      <c r="I93" s="306"/>
      <c r="J93" s="306"/>
      <c r="K93" s="306"/>
    </row>
    <row r="94" spans="1:19" ht="15" customHeight="1">
      <c r="A94" s="306"/>
      <c r="B94" s="404" t="s">
        <v>983</v>
      </c>
      <c r="C94" s="306">
        <v>6.5</v>
      </c>
      <c r="D94" s="306">
        <v>6.4</v>
      </c>
      <c r="E94" s="306"/>
      <c r="F94" s="306">
        <v>0.01</v>
      </c>
      <c r="G94" s="306">
        <v>0.03</v>
      </c>
      <c r="H94" s="306"/>
      <c r="I94" s="306"/>
      <c r="J94" s="306"/>
      <c r="K94" s="306"/>
    </row>
    <row r="95" spans="1:19" ht="15" customHeight="1">
      <c r="A95" s="306"/>
      <c r="B95" s="404" t="s">
        <v>984</v>
      </c>
      <c r="C95" s="306">
        <v>6.5</v>
      </c>
      <c r="D95" s="306">
        <v>6.4</v>
      </c>
      <c r="E95" s="306">
        <v>6</v>
      </c>
      <c r="F95" s="306">
        <v>0.01</v>
      </c>
      <c r="G95" s="306">
        <v>0.03</v>
      </c>
      <c r="H95" s="306"/>
      <c r="I95" s="306"/>
      <c r="J95" s="306"/>
      <c r="K95" s="306"/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 enableFormatConditionsCalculation="0"/>
  <dimension ref="A1:R25"/>
  <sheetViews>
    <sheetView workbookViewId="0">
      <selection activeCell="H33" sqref="H33"/>
    </sheetView>
  </sheetViews>
  <sheetFormatPr defaultColWidth="8.85546875" defaultRowHeight="15"/>
  <sheetData>
    <row r="1" spans="1:17">
      <c r="A1" s="179" t="s">
        <v>821</v>
      </c>
      <c r="B1" s="264">
        <v>0.37901531243731801</v>
      </c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</row>
    <row r="2" spans="1:17">
      <c r="A2" s="179"/>
      <c r="B2" s="264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</row>
    <row r="3" spans="1:17">
      <c r="A3" s="265" t="s">
        <v>822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</row>
    <row r="4" spans="1:17">
      <c r="A4" s="246" t="s">
        <v>803</v>
      </c>
      <c r="B4" s="333" t="s">
        <v>882</v>
      </c>
      <c r="C4" s="384" t="s">
        <v>823</v>
      </c>
      <c r="D4" s="384" t="s">
        <v>824</v>
      </c>
      <c r="E4" s="384" t="s">
        <v>825</v>
      </c>
      <c r="F4" s="384" t="s">
        <v>826</v>
      </c>
      <c r="G4" s="384" t="s">
        <v>827</v>
      </c>
      <c r="H4" s="384" t="s">
        <v>828</v>
      </c>
      <c r="I4" s="384" t="s">
        <v>829</v>
      </c>
      <c r="J4" s="384" t="s">
        <v>830</v>
      </c>
      <c r="K4" s="384" t="s">
        <v>831</v>
      </c>
      <c r="L4" s="384" t="s">
        <v>832</v>
      </c>
      <c r="M4" s="384" t="s">
        <v>833</v>
      </c>
      <c r="N4" s="384" t="s">
        <v>834</v>
      </c>
      <c r="O4" s="384">
        <v>7</v>
      </c>
      <c r="P4" s="333">
        <v>8</v>
      </c>
      <c r="Q4" s="247">
        <v>16</v>
      </c>
    </row>
    <row r="5" spans="1:17">
      <c r="A5" s="266" t="s">
        <v>836</v>
      </c>
      <c r="B5" s="267">
        <f>B11*mainINPUT!$C$123^Weather!$B$1</f>
        <v>0.55919519815510799</v>
      </c>
      <c r="C5" s="388">
        <f>C11*mainINPUT!$C$123^Weather!$B$1</f>
        <v>0.5721997376470872</v>
      </c>
      <c r="D5" s="388">
        <f>D11*mainINPUT!$C$123^Weather!$B$1</f>
        <v>0.59820881663104575</v>
      </c>
      <c r="E5" s="388">
        <f>E11*mainINPUT!$C$123^Weather!$B$1</f>
        <v>0.62421789561500418</v>
      </c>
      <c r="F5" s="388">
        <f>F11*mainINPUT!$C$123^Weather!$B$1</f>
        <v>0.78027236951875523</v>
      </c>
      <c r="G5" s="388">
        <f>G11*mainINPUT!$C$123^Weather!$B$1</f>
        <v>0.63722243510698351</v>
      </c>
      <c r="H5" s="388">
        <f>H11*mainINPUT!$C$123^Weather!$B$1</f>
        <v>0.71524967205885903</v>
      </c>
      <c r="I5" s="388">
        <f>I11*mainINPUT!$C$123^Weather!$B$1</f>
        <v>0.71524967205885903</v>
      </c>
      <c r="J5" s="388">
        <f>J11*mainINPUT!$C$123^Weather!$B$1</f>
        <v>0.78027236951875523</v>
      </c>
      <c r="K5" s="388">
        <f>K11*mainINPUT!$C$123^Weather!$B$1</f>
        <v>0.72825421155083836</v>
      </c>
      <c r="L5" s="388">
        <f>L11*mainINPUT!$C$123^Weather!$B$1</f>
        <v>0.68924059307490049</v>
      </c>
      <c r="M5" s="388">
        <f>M11*mainINPUT!$C$123^Weather!$B$1</f>
        <v>0.80628144850271377</v>
      </c>
      <c r="N5" s="388">
        <f>N11*mainINPUT!$C$123^Weather!$B$1</f>
        <v>0.92332230393052706</v>
      </c>
      <c r="O5" s="388">
        <f>O11*mainINPUT!$C$123^Weather!$B$1</f>
        <v>0</v>
      </c>
      <c r="P5" s="388">
        <f>P11*mainINPUT!$C$123^Weather!$B$1</f>
        <v>0</v>
      </c>
      <c r="Q5" s="388">
        <f>Q11*mainINPUT!$C$123^Weather!$B$1</f>
        <v>0</v>
      </c>
    </row>
    <row r="6" spans="1:17">
      <c r="A6" s="268"/>
      <c r="B6" s="269"/>
      <c r="C6" s="269"/>
      <c r="D6" s="269"/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179"/>
      <c r="P6" s="179"/>
      <c r="Q6" s="179"/>
    </row>
    <row r="7" spans="1:17">
      <c r="A7" s="268"/>
      <c r="B7" s="269"/>
      <c r="C7" s="269"/>
      <c r="D7" s="269"/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179"/>
      <c r="P7" s="179"/>
      <c r="Q7" s="179"/>
    </row>
    <row r="8" spans="1:17">
      <c r="A8" s="179"/>
      <c r="B8" s="179"/>
      <c r="C8" s="179"/>
      <c r="D8" s="179"/>
      <c r="E8" s="179"/>
      <c r="F8" s="179"/>
      <c r="G8" s="179"/>
      <c r="H8" s="179"/>
      <c r="I8" s="179"/>
      <c r="J8" s="179"/>
      <c r="K8" s="179"/>
      <c r="L8" s="179"/>
      <c r="M8" s="179"/>
      <c r="N8" s="179"/>
      <c r="O8" s="179"/>
      <c r="P8" s="179"/>
      <c r="Q8" s="179"/>
    </row>
    <row r="9" spans="1:17">
      <c r="A9" s="265" t="s">
        <v>837</v>
      </c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</row>
    <row r="10" spans="1:17">
      <c r="A10" s="246" t="s">
        <v>803</v>
      </c>
      <c r="B10" s="247" t="s">
        <v>823</v>
      </c>
      <c r="C10" s="247" t="s">
        <v>824</v>
      </c>
      <c r="D10" s="247" t="s">
        <v>825</v>
      </c>
      <c r="E10" s="247" t="s">
        <v>826</v>
      </c>
      <c r="F10" s="247" t="s">
        <v>827</v>
      </c>
      <c r="G10" s="247" t="s">
        <v>828</v>
      </c>
      <c r="H10" s="247" t="s">
        <v>829</v>
      </c>
      <c r="I10" s="247" t="s">
        <v>830</v>
      </c>
      <c r="J10" s="247" t="s">
        <v>831</v>
      </c>
      <c r="K10" s="247" t="s">
        <v>832</v>
      </c>
      <c r="L10" s="247" t="s">
        <v>833</v>
      </c>
      <c r="M10" s="247" t="s">
        <v>834</v>
      </c>
      <c r="N10" s="247" t="s">
        <v>835</v>
      </c>
      <c r="O10" s="179"/>
      <c r="P10" s="179"/>
      <c r="Q10" s="179"/>
    </row>
    <row r="11" spans="1:17">
      <c r="A11" s="244" t="s">
        <v>231</v>
      </c>
      <c r="B11" s="210">
        <v>0.43</v>
      </c>
      <c r="C11" s="210">
        <v>0.44</v>
      </c>
      <c r="D11" s="210">
        <v>0.46</v>
      </c>
      <c r="E11" s="210">
        <v>0.48</v>
      </c>
      <c r="F11" s="210">
        <v>0.6</v>
      </c>
      <c r="G11" s="210">
        <v>0.49</v>
      </c>
      <c r="H11" s="210">
        <v>0.55000000000000004</v>
      </c>
      <c r="I11" s="210">
        <v>0.55000000000000004</v>
      </c>
      <c r="J11" s="210">
        <v>0.6</v>
      </c>
      <c r="K11" s="210">
        <v>0.56000000000000005</v>
      </c>
      <c r="L11" s="210">
        <v>0.53</v>
      </c>
      <c r="M11" s="210">
        <v>0.62</v>
      </c>
      <c r="N11" s="210">
        <v>0.71</v>
      </c>
      <c r="O11" s="179"/>
      <c r="P11" s="179"/>
      <c r="Q11" s="179"/>
    </row>
    <row r="12" spans="1:17">
      <c r="A12" s="244" t="s">
        <v>230</v>
      </c>
      <c r="B12" s="267">
        <v>0.55919519815510799</v>
      </c>
      <c r="C12" s="267">
        <v>0.5721997376470872</v>
      </c>
      <c r="D12" s="267">
        <v>0.59820881663104575</v>
      </c>
      <c r="E12" s="267">
        <v>0.62421789561500418</v>
      </c>
      <c r="F12" s="267">
        <v>0.78027236951875523</v>
      </c>
      <c r="G12" s="267">
        <v>0.63722243510698351</v>
      </c>
      <c r="H12" s="267">
        <v>0.71524967205885903</v>
      </c>
      <c r="I12" s="267">
        <v>0.71524967205885903</v>
      </c>
      <c r="J12" s="267">
        <v>0.78027236951875523</v>
      </c>
      <c r="K12" s="267">
        <v>0.72825421155083836</v>
      </c>
      <c r="L12" s="267">
        <v>0.68924059307490049</v>
      </c>
      <c r="M12" s="267">
        <v>0.80628144850271377</v>
      </c>
      <c r="N12" s="267">
        <v>0.92332230393052706</v>
      </c>
      <c r="O12" s="179"/>
      <c r="P12" s="179"/>
      <c r="Q12" s="179"/>
    </row>
    <row r="13" spans="1:17">
      <c r="A13" s="244" t="s">
        <v>898</v>
      </c>
      <c r="B13" s="267">
        <v>0.65208576098168169</v>
      </c>
      <c r="C13" s="267">
        <v>0.6672505461207906</v>
      </c>
      <c r="D13" s="267">
        <v>0.6975801163990083</v>
      </c>
      <c r="E13" s="267">
        <v>0.727909686677226</v>
      </c>
      <c r="F13" s="267">
        <v>0.90988710834653252</v>
      </c>
      <c r="G13" s="267">
        <v>0.7430744718163349</v>
      </c>
      <c r="H13" s="267">
        <v>0.83406318265098822</v>
      </c>
      <c r="I13" s="267">
        <v>0.83406318265098822</v>
      </c>
      <c r="J13" s="267">
        <v>0.90988710834653252</v>
      </c>
      <c r="K13" s="267">
        <v>0.84922796779009713</v>
      </c>
      <c r="L13" s="267">
        <v>0.80373361237277052</v>
      </c>
      <c r="M13" s="267">
        <v>0.94021667862475033</v>
      </c>
      <c r="N13" s="267">
        <v>1.0766997448767301</v>
      </c>
      <c r="O13" s="179"/>
      <c r="P13" s="179"/>
      <c r="Q13" s="179"/>
    </row>
    <row r="14" spans="1:17">
      <c r="A14" s="179"/>
      <c r="B14" s="179"/>
      <c r="C14" s="179"/>
      <c r="D14" s="179"/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</row>
    <row r="15" spans="1:17">
      <c r="A15" s="273" t="s">
        <v>838</v>
      </c>
      <c r="B15" s="241"/>
      <c r="C15" s="179"/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</row>
    <row r="16" spans="1:17">
      <c r="A16" s="246" t="s">
        <v>803</v>
      </c>
      <c r="B16" s="247">
        <v>1</v>
      </c>
      <c r="C16" s="247">
        <v>2</v>
      </c>
      <c r="D16" s="247">
        <v>3</v>
      </c>
      <c r="E16" s="247">
        <v>4</v>
      </c>
      <c r="F16" s="247">
        <v>5</v>
      </c>
      <c r="G16" s="247">
        <v>6</v>
      </c>
      <c r="H16" s="247">
        <v>7</v>
      </c>
      <c r="I16" s="247">
        <v>8</v>
      </c>
      <c r="J16" s="247">
        <v>9</v>
      </c>
      <c r="K16" s="247">
        <v>10</v>
      </c>
      <c r="L16" s="247">
        <v>11</v>
      </c>
      <c r="M16" s="247">
        <v>12</v>
      </c>
      <c r="N16" s="247">
        <v>13</v>
      </c>
      <c r="O16" s="247">
        <v>14</v>
      </c>
      <c r="P16" s="247">
        <v>15</v>
      </c>
      <c r="Q16" s="247">
        <v>16</v>
      </c>
    </row>
    <row r="17" spans="1:18">
      <c r="A17" s="244" t="s">
        <v>231</v>
      </c>
      <c r="B17" s="270">
        <v>0.56360936165894659</v>
      </c>
      <c r="C17" s="270">
        <v>0.48885549567600978</v>
      </c>
      <c r="D17" s="270">
        <v>0.54208232257462774</v>
      </c>
      <c r="E17" s="270">
        <v>0.47845929296058437</v>
      </c>
      <c r="F17" s="270">
        <v>0.51837365623999176</v>
      </c>
      <c r="G17" s="270">
        <v>0.41788661831438195</v>
      </c>
      <c r="H17" s="270">
        <v>0.37942235442668815</v>
      </c>
      <c r="I17" s="270">
        <v>0.34136734806535374</v>
      </c>
      <c r="J17" s="270">
        <v>0.39317637879534129</v>
      </c>
      <c r="K17" s="270">
        <v>0.42189478941889719</v>
      </c>
      <c r="L17" s="270">
        <v>0.50187001587391433</v>
      </c>
      <c r="M17" s="270">
        <v>0.50766953254479896</v>
      </c>
      <c r="N17" s="270">
        <v>0.45543655021096829</v>
      </c>
      <c r="O17" s="270">
        <v>0.52458293514912235</v>
      </c>
      <c r="P17" s="270">
        <v>0.45040732320028565</v>
      </c>
      <c r="Q17" s="270">
        <v>0.43796184671932231</v>
      </c>
    </row>
    <row r="18" spans="1:18">
      <c r="A18" s="386" t="s">
        <v>230</v>
      </c>
      <c r="B18" s="270">
        <v>0.7248166367358726</v>
      </c>
      <c r="C18" s="270">
        <v>0.62708326118835933</v>
      </c>
      <c r="D18" s="270">
        <v>0.69538709992486236</v>
      </c>
      <c r="E18" s="270">
        <v>0.61315971250841084</v>
      </c>
      <c r="F18" s="270">
        <v>0.66503797395079167</v>
      </c>
      <c r="G18" s="270">
        <v>0.53477302293826767</v>
      </c>
      <c r="H18" s="270">
        <v>0.48590439299190807</v>
      </c>
      <c r="I18" s="270">
        <v>0.43641684175739326</v>
      </c>
      <c r="J18" s="270">
        <v>0.50195133557344052</v>
      </c>
      <c r="K18" s="270">
        <v>0.53767567995907639</v>
      </c>
      <c r="L18" s="270">
        <v>0.63882702592755691</v>
      </c>
      <c r="M18" s="270">
        <v>0.6488752632127025</v>
      </c>
      <c r="N18" s="270">
        <v>0.58043957001106339</v>
      </c>
      <c r="O18" s="270">
        <v>0.66580229679831271</v>
      </c>
      <c r="P18" s="270">
        <v>0.57161146797379636</v>
      </c>
      <c r="Q18" s="270">
        <v>0.56152742625436514</v>
      </c>
    </row>
    <row r="19" spans="1:18">
      <c r="A19" s="386" t="s">
        <v>898</v>
      </c>
      <c r="B19" s="270">
        <v>0.86834031138810353</v>
      </c>
      <c r="C19" s="270">
        <v>0.74939759949679141</v>
      </c>
      <c r="D19" s="270">
        <v>0.83049656710313591</v>
      </c>
      <c r="E19" s="270">
        <v>0.73175387031078654</v>
      </c>
      <c r="F19" s="270">
        <v>0.79456350692969679</v>
      </c>
      <c r="G19" s="270">
        <v>0.63704978044323324</v>
      </c>
      <c r="H19" s="270">
        <v>0.57887972226628115</v>
      </c>
      <c r="I19" s="270">
        <v>0.51976073261794775</v>
      </c>
      <c r="J19" s="270">
        <v>0.59712354608454088</v>
      </c>
      <c r="K19" s="270">
        <v>0.63902949563231792</v>
      </c>
      <c r="L19" s="270">
        <v>0.75846002934376988</v>
      </c>
      <c r="M19" s="270">
        <v>0.77292624267172982</v>
      </c>
      <c r="N19" s="270">
        <v>0.68982480549315572</v>
      </c>
      <c r="O19" s="270">
        <v>0.78911231419216588</v>
      </c>
      <c r="P19" s="270">
        <v>0.67708889855316245</v>
      </c>
      <c r="Q19" s="270">
        <v>0.67077337182535413</v>
      </c>
    </row>
    <row r="20" spans="1:18" s="360" customFormat="1">
      <c r="A20" s="249"/>
      <c r="B20" s="270"/>
      <c r="C20" s="270"/>
      <c r="D20" s="270"/>
      <c r="E20" s="270"/>
      <c r="F20" s="270"/>
      <c r="G20" s="270"/>
      <c r="H20" s="270"/>
      <c r="I20" s="270"/>
      <c r="J20" s="270"/>
      <c r="K20" s="270"/>
      <c r="L20" s="270"/>
      <c r="M20" s="270"/>
      <c r="N20" s="270"/>
      <c r="O20" s="270"/>
      <c r="P20" s="270"/>
      <c r="Q20" s="270"/>
    </row>
    <row r="21" spans="1:18">
      <c r="A21" s="268" t="s">
        <v>1049</v>
      </c>
    </row>
    <row r="22" spans="1:18">
      <c r="A22" s="268" t="s">
        <v>803</v>
      </c>
      <c r="B22" s="360" t="s">
        <v>882</v>
      </c>
      <c r="C22" s="360" t="s">
        <v>823</v>
      </c>
      <c r="D22" s="360" t="s">
        <v>824</v>
      </c>
      <c r="E22" s="360" t="s">
        <v>825</v>
      </c>
      <c r="F22" s="360" t="s">
        <v>826</v>
      </c>
      <c r="G22" s="360" t="s">
        <v>827</v>
      </c>
      <c r="H22" s="360" t="s">
        <v>828</v>
      </c>
      <c r="I22" s="360" t="s">
        <v>829</v>
      </c>
      <c r="J22" s="360" t="s">
        <v>830</v>
      </c>
      <c r="K22" s="360" t="s">
        <v>831</v>
      </c>
      <c r="L22" s="360" t="s">
        <v>832</v>
      </c>
      <c r="M22" s="360" t="s">
        <v>833</v>
      </c>
      <c r="N22" s="360" t="s">
        <v>834</v>
      </c>
      <c r="O22" s="414">
        <v>7</v>
      </c>
      <c r="P22" s="414">
        <v>8</v>
      </c>
    </row>
    <row r="23" spans="1:18">
      <c r="A23" s="268" t="s">
        <v>1047</v>
      </c>
      <c r="B23" s="360" t="s">
        <v>1032</v>
      </c>
      <c r="C23" s="360" t="s">
        <v>1033</v>
      </c>
      <c r="D23" s="360" t="s">
        <v>1034</v>
      </c>
      <c r="E23" s="360" t="s">
        <v>1035</v>
      </c>
      <c r="F23" s="360" t="s">
        <v>1036</v>
      </c>
      <c r="G23" s="360" t="s">
        <v>1037</v>
      </c>
      <c r="H23" s="360" t="s">
        <v>1038</v>
      </c>
      <c r="I23" s="360" t="s">
        <v>1039</v>
      </c>
      <c r="J23" s="360" t="s">
        <v>1040</v>
      </c>
      <c r="K23" s="360" t="s">
        <v>1041</v>
      </c>
      <c r="L23" s="360" t="s">
        <v>1042</v>
      </c>
      <c r="M23" s="360" t="s">
        <v>1043</v>
      </c>
      <c r="N23" s="360" t="s">
        <v>1044</v>
      </c>
      <c r="O23" s="360" t="s">
        <v>1045</v>
      </c>
      <c r="P23" s="360" t="s">
        <v>1046</v>
      </c>
      <c r="Q23" s="360" t="s">
        <v>1142</v>
      </c>
      <c r="R23" s="360" t="s">
        <v>1143</v>
      </c>
    </row>
    <row r="24" spans="1:18">
      <c r="A24" s="268" t="s">
        <v>1048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722057</v>
      </c>
      <c r="R24">
        <v>722080</v>
      </c>
    </row>
    <row r="25" spans="1:18">
      <c r="A25" s="268" t="s">
        <v>836</v>
      </c>
      <c r="B25">
        <v>0.41</v>
      </c>
      <c r="C25">
        <v>0.42</v>
      </c>
      <c r="D25">
        <v>0.43</v>
      </c>
      <c r="E25">
        <v>0.46</v>
      </c>
      <c r="F25">
        <v>0.48</v>
      </c>
      <c r="G25">
        <v>0.6</v>
      </c>
      <c r="H25">
        <v>0.5</v>
      </c>
      <c r="I25">
        <v>0.54</v>
      </c>
      <c r="J25">
        <v>0.55000000000000004</v>
      </c>
      <c r="K25">
        <v>0.6</v>
      </c>
      <c r="L25">
        <v>0.56000000000000005</v>
      </c>
      <c r="M25">
        <v>0.61</v>
      </c>
      <c r="N25">
        <v>0.63</v>
      </c>
      <c r="O25">
        <v>0.7</v>
      </c>
      <c r="P25">
        <v>0.7</v>
      </c>
      <c r="Q25">
        <v>0.38</v>
      </c>
      <c r="R25">
        <v>0.43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 enableFormatConditionsCalculation="0">
    <tabColor rgb="FF002060"/>
  </sheetPr>
  <dimension ref="A1:AM14"/>
  <sheetViews>
    <sheetView workbookViewId="0">
      <selection activeCell="I15" sqref="I15"/>
    </sheetView>
  </sheetViews>
  <sheetFormatPr defaultColWidth="8.85546875" defaultRowHeight="15" customHeight="1"/>
  <cols>
    <col min="1" max="1" width="12" style="2" bestFit="1" customWidth="1"/>
    <col min="2" max="2" width="12.140625" style="2" customWidth="1"/>
    <col min="3" max="3" width="12.140625" style="2" bestFit="1" customWidth="1"/>
    <col min="4" max="4" width="12" style="2" customWidth="1"/>
    <col min="5" max="5" width="16" style="2" bestFit="1" customWidth="1"/>
    <col min="6" max="7" width="9.42578125" style="2" bestFit="1" customWidth="1"/>
    <col min="8" max="8" width="12.42578125" style="2" customWidth="1"/>
    <col min="9" max="9" width="12.42578125" style="2" bestFit="1" customWidth="1"/>
    <col min="10" max="10" width="12" style="2" customWidth="1"/>
    <col min="11" max="11" width="9.140625" style="2" customWidth="1"/>
    <col min="12" max="12" width="9.42578125" style="2" customWidth="1"/>
    <col min="13" max="13" width="9.140625" style="2" customWidth="1"/>
    <col min="14" max="14" width="8.28515625" style="2" customWidth="1"/>
    <col min="15" max="15" width="12.140625" style="2" customWidth="1"/>
    <col min="16" max="16" width="12" style="2" customWidth="1"/>
    <col min="17" max="17" width="9.42578125" style="2" customWidth="1"/>
    <col min="18" max="18" width="16" style="2" customWidth="1"/>
    <col min="19" max="19" width="6.85546875" style="2" customWidth="1"/>
    <col min="20" max="20" width="8.28515625" style="2" customWidth="1"/>
    <col min="21" max="21" width="7.85546875" style="2" customWidth="1"/>
    <col min="22" max="22" width="12" style="2" customWidth="1"/>
    <col min="23" max="23" width="8" style="2" customWidth="1"/>
    <col min="24" max="24" width="12.140625" style="2" customWidth="1"/>
    <col min="25" max="25" width="8" style="2" customWidth="1"/>
    <col min="26" max="26" width="9.85546875" style="2" customWidth="1"/>
    <col min="27" max="27" width="9.42578125" style="2" customWidth="1"/>
    <col min="28" max="28" width="4.85546875" style="2" customWidth="1"/>
    <col min="29" max="29" width="6.28515625" style="2" customWidth="1"/>
    <col min="30" max="30" width="12.42578125" style="2" customWidth="1"/>
    <col min="31" max="31" width="5" style="2" customWidth="1"/>
    <col min="32" max="32" width="8.85546875" style="2"/>
    <col min="33" max="33" width="7.140625" style="2" customWidth="1"/>
    <col min="34" max="34" width="8.140625" style="2" customWidth="1"/>
    <col min="35" max="38" width="9.42578125" style="2" bestFit="1" customWidth="1"/>
    <col min="39" max="39" width="2.85546875" style="2" customWidth="1"/>
    <col min="40" max="16384" width="8.85546875" style="2"/>
  </cols>
  <sheetData>
    <row r="1" spans="1:39" ht="15" customHeight="1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</row>
    <row r="2" spans="1:39" ht="15" customHeight="1">
      <c r="A2" s="2" t="s">
        <v>526</v>
      </c>
      <c r="B2" s="2" t="s">
        <v>527</v>
      </c>
      <c r="C2" s="2" t="s">
        <v>495</v>
      </c>
      <c r="D2" s="2" t="s">
        <v>496</v>
      </c>
      <c r="E2" s="2" t="s">
        <v>497</v>
      </c>
      <c r="F2" s="2" t="s">
        <v>498</v>
      </c>
      <c r="G2" s="2" t="s">
        <v>499</v>
      </c>
      <c r="H2" s="2" t="s">
        <v>500</v>
      </c>
      <c r="I2" s="2" t="s">
        <v>501</v>
      </c>
      <c r="J2" s="2" t="s">
        <v>502</v>
      </c>
      <c r="AE2" s="2" t="s">
        <v>504</v>
      </c>
    </row>
    <row r="5" spans="1:39" ht="15" customHeight="1">
      <c r="A5" s="2">
        <v>11</v>
      </c>
      <c r="B5" s="2">
        <v>12</v>
      </c>
      <c r="C5" s="2">
        <v>13</v>
      </c>
      <c r="D5" s="2">
        <v>14</v>
      </c>
      <c r="E5" s="2">
        <v>15</v>
      </c>
      <c r="F5" s="2">
        <v>16</v>
      </c>
      <c r="G5" s="2">
        <v>17</v>
      </c>
      <c r="H5" s="2">
        <v>18</v>
      </c>
      <c r="I5" s="2">
        <v>19</v>
      </c>
      <c r="J5" s="2">
        <v>20</v>
      </c>
    </row>
    <row r="6" spans="1:39" ht="15" customHeight="1">
      <c r="A6" s="2" t="s">
        <v>503</v>
      </c>
      <c r="B6" s="2" t="s">
        <v>505</v>
      </c>
      <c r="C6" s="2" t="s">
        <v>506</v>
      </c>
      <c r="D6" s="2" t="s">
        <v>507</v>
      </c>
      <c r="E6" s="2" t="s">
        <v>508</v>
      </c>
      <c r="F6" s="2" t="s">
        <v>509</v>
      </c>
      <c r="G6" s="2" t="s">
        <v>510</v>
      </c>
      <c r="H6" s="2" t="s">
        <v>511</v>
      </c>
      <c r="I6" s="2" t="s">
        <v>512</v>
      </c>
      <c r="J6" s="2" t="s">
        <v>513</v>
      </c>
    </row>
    <row r="9" spans="1:39" ht="15" customHeight="1">
      <c r="A9" s="2">
        <v>21</v>
      </c>
      <c r="B9" s="2">
        <v>22</v>
      </c>
      <c r="C9" s="2">
        <v>23</v>
      </c>
      <c r="D9" s="2">
        <v>24</v>
      </c>
      <c r="E9" s="2">
        <v>25</v>
      </c>
      <c r="F9" s="2">
        <v>26</v>
      </c>
      <c r="G9" s="2">
        <v>27</v>
      </c>
      <c r="H9" s="2">
        <v>28</v>
      </c>
      <c r="I9" s="2">
        <v>29</v>
      </c>
      <c r="J9" s="2">
        <v>30</v>
      </c>
    </row>
    <row r="10" spans="1:39" ht="15" customHeight="1">
      <c r="A10" s="2" t="s">
        <v>514</v>
      </c>
      <c r="B10" s="2" t="s">
        <v>515</v>
      </c>
      <c r="C10" s="2" t="s">
        <v>516</v>
      </c>
      <c r="D10" s="2" t="s">
        <v>517</v>
      </c>
      <c r="E10" s="2" t="s">
        <v>518</v>
      </c>
      <c r="F10" s="2" t="s">
        <v>519</v>
      </c>
      <c r="G10" s="2" t="s">
        <v>520</v>
      </c>
      <c r="H10" s="2" t="s">
        <v>529</v>
      </c>
      <c r="I10" s="2" t="s">
        <v>530</v>
      </c>
      <c r="J10" s="2" t="s">
        <v>531</v>
      </c>
    </row>
    <row r="11" spans="1:39" ht="15" customHeight="1">
      <c r="D11" s="2" t="s">
        <v>349</v>
      </c>
      <c r="E11" s="2" t="s">
        <v>351</v>
      </c>
      <c r="F11" s="2">
        <v>62.2</v>
      </c>
      <c r="G11" s="2" t="s">
        <v>17</v>
      </c>
      <c r="H11" s="2" t="s">
        <v>17</v>
      </c>
      <c r="I11" s="2" t="s">
        <v>17</v>
      </c>
    </row>
    <row r="13" spans="1:39" ht="15" customHeight="1">
      <c r="A13" s="2">
        <v>31</v>
      </c>
      <c r="B13" s="2">
        <v>32</v>
      </c>
      <c r="C13" s="2">
        <v>33</v>
      </c>
    </row>
    <row r="14" spans="1:39">
      <c r="A14" s="2" t="s">
        <v>532</v>
      </c>
      <c r="B14" s="2" t="s">
        <v>521</v>
      </c>
      <c r="C14" s="2" t="s">
        <v>533</v>
      </c>
      <c r="AM14" s="2" t="s">
        <v>528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 enableFormatConditionsCalculation="0"/>
  <dimension ref="A1:U76"/>
  <sheetViews>
    <sheetView topLeftCell="C13" workbookViewId="0">
      <selection activeCell="J67" sqref="J67"/>
    </sheetView>
  </sheetViews>
  <sheetFormatPr defaultColWidth="11.42578125" defaultRowHeight="15"/>
  <cols>
    <col min="2" max="3" width="12.28515625" bestFit="1" customWidth="1"/>
    <col min="5" max="5" width="12.28515625" bestFit="1" customWidth="1"/>
    <col min="8" max="8" width="12.28515625" bestFit="1" customWidth="1"/>
    <col min="17" max="18" width="12.28515625" bestFit="1" customWidth="1"/>
  </cols>
  <sheetData>
    <row r="1" spans="1:18">
      <c r="B1" t="s">
        <v>1172</v>
      </c>
      <c r="C1" t="s">
        <v>1173</v>
      </c>
      <c r="D1" t="s">
        <v>1174</v>
      </c>
      <c r="E1" t="s">
        <v>1175</v>
      </c>
      <c r="F1" t="s">
        <v>1176</v>
      </c>
      <c r="G1" t="s">
        <v>1177</v>
      </c>
    </row>
    <row r="3" spans="1:18">
      <c r="A3">
        <v>0.8</v>
      </c>
      <c r="B3">
        <v>1.7495639655071581E-2</v>
      </c>
      <c r="C3">
        <v>1.6671315555735852E-2</v>
      </c>
      <c r="D3">
        <v>1.6946467404812898E-2</v>
      </c>
      <c r="E3">
        <v>1.6233978925599475E-2</v>
      </c>
      <c r="F3">
        <v>1.4860263711200182E-2</v>
      </c>
      <c r="G3" s="360">
        <v>1.2014072889631714E-2</v>
      </c>
      <c r="H3" s="360"/>
      <c r="I3" s="360"/>
    </row>
    <row r="4" spans="1:18">
      <c r="A4">
        <v>0.85</v>
      </c>
      <c r="B4">
        <v>1.7944109583812755E-2</v>
      </c>
      <c r="C4">
        <v>1.7169766854873526E-2</v>
      </c>
      <c r="D4">
        <v>1.7557341277298431E-2</v>
      </c>
      <c r="E4">
        <v>1.6874931815280502E-2</v>
      </c>
      <c r="F4">
        <v>1.5786662448980832E-2</v>
      </c>
      <c r="G4" s="360">
        <v>1.3272681585791464E-2</v>
      </c>
      <c r="H4" s="360"/>
      <c r="I4" s="360"/>
    </row>
    <row r="5" spans="1:18">
      <c r="A5">
        <v>0.9</v>
      </c>
      <c r="B5">
        <v>1.8143650428724283E-2</v>
      </c>
      <c r="C5">
        <v>1.7707763234996277E-2</v>
      </c>
      <c r="D5">
        <v>1.8093565104086943E-2</v>
      </c>
      <c r="E5">
        <v>1.7457897967807213E-2</v>
      </c>
      <c r="F5">
        <v>1.6457918085888881E-2</v>
      </c>
      <c r="G5" s="360">
        <v>1.4623221193902717E-2</v>
      </c>
      <c r="H5" s="360"/>
      <c r="I5" s="360"/>
    </row>
    <row r="6" spans="1:18">
      <c r="A6">
        <v>0.95</v>
      </c>
      <c r="B6">
        <v>1.872183560196311E-2</v>
      </c>
      <c r="C6">
        <v>1.8128289130595596E-2</v>
      </c>
      <c r="D6">
        <v>1.8770057758820957E-2</v>
      </c>
      <c r="E6">
        <v>1.8175779549362243E-2</v>
      </c>
      <c r="F6">
        <v>1.7381085180644178E-2</v>
      </c>
      <c r="G6" s="360">
        <v>1.6159245924347556E-2</v>
      </c>
      <c r="H6" s="360"/>
      <c r="I6" s="360"/>
    </row>
    <row r="7" spans="1:18">
      <c r="A7">
        <v>0.99</v>
      </c>
      <c r="B7">
        <v>1.9417382853038893E-2</v>
      </c>
      <c r="C7">
        <v>1.8932229662738425E-2</v>
      </c>
      <c r="D7">
        <v>1.985578269617003E-2</v>
      </c>
      <c r="E7">
        <v>1.9491971911703244E-2</v>
      </c>
      <c r="F7">
        <v>1.8322290922037722E-2</v>
      </c>
      <c r="G7" s="360">
        <v>1.8170735998349296E-2</v>
      </c>
      <c r="H7" s="360"/>
      <c r="I7" s="360"/>
    </row>
    <row r="8" spans="1:18" s="360" customFormat="1"/>
    <row r="9" spans="1:18">
      <c r="A9" s="360" t="s">
        <v>1178</v>
      </c>
      <c r="G9" s="360"/>
      <c r="H9" s="360"/>
      <c r="I9" s="360"/>
    </row>
    <row r="10" spans="1:18">
      <c r="A10" s="268" t="s">
        <v>803</v>
      </c>
      <c r="B10" s="360" t="s">
        <v>882</v>
      </c>
      <c r="C10" s="360" t="s">
        <v>823</v>
      </c>
      <c r="D10" s="360" t="s">
        <v>824</v>
      </c>
      <c r="E10" s="360" t="s">
        <v>825</v>
      </c>
      <c r="F10" s="360" t="s">
        <v>826</v>
      </c>
      <c r="G10" s="360" t="s">
        <v>827</v>
      </c>
      <c r="H10" s="360" t="s">
        <v>828</v>
      </c>
      <c r="I10" s="360" t="s">
        <v>829</v>
      </c>
      <c r="J10" s="360" t="s">
        <v>830</v>
      </c>
      <c r="K10" s="360" t="s">
        <v>831</v>
      </c>
      <c r="L10" s="360" t="s">
        <v>832</v>
      </c>
      <c r="M10" s="360" t="s">
        <v>833</v>
      </c>
      <c r="N10" s="360" t="s">
        <v>834</v>
      </c>
      <c r="O10" s="414">
        <v>7</v>
      </c>
      <c r="P10" s="414">
        <v>8</v>
      </c>
      <c r="Q10" s="360"/>
      <c r="R10" s="360"/>
    </row>
    <row r="11" spans="1:18">
      <c r="A11" s="268" t="s">
        <v>1047</v>
      </c>
      <c r="B11" s="360" t="s">
        <v>1032</v>
      </c>
      <c r="C11" s="360" t="s">
        <v>1033</v>
      </c>
      <c r="D11" s="360" t="s">
        <v>1034</v>
      </c>
      <c r="E11" s="360" t="s">
        <v>1035</v>
      </c>
      <c r="F11" s="360" t="s">
        <v>1036</v>
      </c>
      <c r="G11" s="360" t="s">
        <v>1037</v>
      </c>
      <c r="H11" s="360" t="s">
        <v>1038</v>
      </c>
      <c r="I11" s="360" t="s">
        <v>1039</v>
      </c>
      <c r="J11" s="360" t="s">
        <v>1040</v>
      </c>
      <c r="K11" s="360" t="s">
        <v>1041</v>
      </c>
      <c r="L11" s="360" t="s">
        <v>1042</v>
      </c>
      <c r="M11" s="360" t="s">
        <v>1043</v>
      </c>
      <c r="N11" s="360" t="s">
        <v>1044</v>
      </c>
      <c r="O11" s="360" t="s">
        <v>1045</v>
      </c>
      <c r="P11" s="360" t="s">
        <v>1046</v>
      </c>
      <c r="Q11" s="360" t="s">
        <v>1142</v>
      </c>
      <c r="R11" s="360" t="s">
        <v>1143</v>
      </c>
    </row>
    <row r="12" spans="1:18">
      <c r="A12" s="268" t="s">
        <v>1048</v>
      </c>
      <c r="B12" s="360">
        <v>722020</v>
      </c>
      <c r="C12" s="360">
        <v>722430</v>
      </c>
      <c r="D12" s="360">
        <v>722780</v>
      </c>
      <c r="E12" s="360">
        <v>723340</v>
      </c>
      <c r="F12" s="360">
        <v>722700</v>
      </c>
      <c r="G12" s="360">
        <v>724940</v>
      </c>
      <c r="H12" s="360">
        <v>724060</v>
      </c>
      <c r="I12" s="360">
        <v>723650</v>
      </c>
      <c r="J12" s="360">
        <v>726940</v>
      </c>
      <c r="K12" s="360">
        <v>725300</v>
      </c>
      <c r="L12" s="360">
        <v>726810</v>
      </c>
      <c r="M12" s="360">
        <v>726170</v>
      </c>
      <c r="N12" s="360">
        <v>727720</v>
      </c>
      <c r="O12" s="360">
        <v>727450</v>
      </c>
      <c r="P12" s="360">
        <v>702610</v>
      </c>
      <c r="Q12" s="360">
        <v>722057</v>
      </c>
      <c r="R12" s="360">
        <v>722080</v>
      </c>
    </row>
    <row r="13" spans="1:18">
      <c r="A13" s="268" t="s">
        <v>836</v>
      </c>
      <c r="B13" s="360">
        <v>1.8143650428724283E-2</v>
      </c>
      <c r="C13" s="360">
        <v>1.8093565104086943E-2</v>
      </c>
      <c r="D13" s="360" t="s">
        <v>924</v>
      </c>
      <c r="E13" s="360">
        <v>1.6457918085888881E-2</v>
      </c>
      <c r="F13" s="360" t="s">
        <v>924</v>
      </c>
      <c r="G13" s="360" t="s">
        <v>924</v>
      </c>
      <c r="H13" s="360">
        <v>1.4623221193902717E-2</v>
      </c>
      <c r="I13" s="360" t="s">
        <v>924</v>
      </c>
      <c r="J13" s="360" t="s">
        <v>924</v>
      </c>
      <c r="K13" s="360" t="s">
        <v>924</v>
      </c>
      <c r="L13" s="360" t="s">
        <v>924</v>
      </c>
      <c r="M13" s="360" t="s">
        <v>924</v>
      </c>
      <c r="N13" s="360" t="s">
        <v>924</v>
      </c>
      <c r="O13" s="360" t="s">
        <v>924</v>
      </c>
      <c r="P13" s="360" t="s">
        <v>924</v>
      </c>
      <c r="Q13" s="360">
        <v>1.7707763234996277E-2</v>
      </c>
      <c r="R13" s="360">
        <v>1.7457897967807213E-2</v>
      </c>
    </row>
    <row r="14" spans="1:18">
      <c r="A14" s="360"/>
      <c r="B14" s="360"/>
      <c r="C14" s="360"/>
      <c r="D14" s="360"/>
      <c r="G14" s="360"/>
    </row>
    <row r="15" spans="1:18">
      <c r="A15" s="436" t="s">
        <v>1179</v>
      </c>
      <c r="B15" s="360"/>
      <c r="C15" s="360"/>
      <c r="D15" s="360"/>
      <c r="G15" s="360"/>
    </row>
    <row r="16" spans="1:18">
      <c r="A16" s="268" t="s">
        <v>1170</v>
      </c>
      <c r="B16" s="360"/>
      <c r="C16" s="360"/>
      <c r="D16" s="360"/>
      <c r="G16" s="360"/>
    </row>
    <row r="17" spans="1:21">
      <c r="A17" s="268" t="s">
        <v>803</v>
      </c>
      <c r="B17" s="360" t="s">
        <v>882</v>
      </c>
      <c r="C17" s="360" t="s">
        <v>823</v>
      </c>
      <c r="D17" s="360" t="s">
        <v>824</v>
      </c>
      <c r="E17" s="360" t="s">
        <v>825</v>
      </c>
      <c r="F17" s="360" t="s">
        <v>826</v>
      </c>
      <c r="G17" s="360" t="s">
        <v>827</v>
      </c>
      <c r="H17" s="360" t="s">
        <v>828</v>
      </c>
      <c r="I17" s="360" t="s">
        <v>829</v>
      </c>
      <c r="J17" s="360" t="s">
        <v>830</v>
      </c>
      <c r="K17" s="360" t="s">
        <v>831</v>
      </c>
      <c r="L17" s="360" t="s">
        <v>832</v>
      </c>
      <c r="M17" s="360" t="s">
        <v>833</v>
      </c>
      <c r="N17" s="360" t="s">
        <v>834</v>
      </c>
      <c r="O17" s="414">
        <v>7</v>
      </c>
      <c r="P17" s="414">
        <v>8</v>
      </c>
      <c r="Q17" s="360"/>
      <c r="R17" s="360"/>
    </row>
    <row r="18" spans="1:21">
      <c r="A18" s="268" t="s">
        <v>1047</v>
      </c>
      <c r="B18" s="360" t="s">
        <v>1032</v>
      </c>
      <c r="C18" s="360" t="s">
        <v>1033</v>
      </c>
      <c r="D18" s="360" t="s">
        <v>1034</v>
      </c>
      <c r="E18" s="360" t="s">
        <v>1035</v>
      </c>
      <c r="F18" s="360" t="s">
        <v>1036</v>
      </c>
      <c r="G18" s="360" t="s">
        <v>1037</v>
      </c>
      <c r="H18" s="360" t="s">
        <v>1038</v>
      </c>
      <c r="I18" s="360" t="s">
        <v>1039</v>
      </c>
      <c r="J18" s="360" t="s">
        <v>1040</v>
      </c>
      <c r="K18" s="360" t="s">
        <v>1041</v>
      </c>
      <c r="L18" s="360" t="s">
        <v>1042</v>
      </c>
      <c r="M18" s="360" t="s">
        <v>1043</v>
      </c>
      <c r="N18" s="360" t="s">
        <v>1044</v>
      </c>
      <c r="O18" s="360" t="s">
        <v>1045</v>
      </c>
      <c r="P18" s="360" t="s">
        <v>1046</v>
      </c>
      <c r="Q18" s="360" t="s">
        <v>1142</v>
      </c>
      <c r="R18" s="360" t="s">
        <v>1143</v>
      </c>
    </row>
    <row r="19" spans="1:21">
      <c r="A19" s="268" t="s">
        <v>1048</v>
      </c>
      <c r="B19" s="360">
        <v>722020</v>
      </c>
      <c r="C19" s="360">
        <v>722430</v>
      </c>
      <c r="D19" s="360">
        <v>722780</v>
      </c>
      <c r="E19" s="360">
        <v>723340</v>
      </c>
      <c r="F19" s="360">
        <v>722700</v>
      </c>
      <c r="G19" s="360">
        <v>724940</v>
      </c>
      <c r="H19" s="360">
        <v>724060</v>
      </c>
      <c r="I19" s="360">
        <v>723650</v>
      </c>
      <c r="J19" s="360">
        <v>726940</v>
      </c>
      <c r="K19" s="360">
        <v>725300</v>
      </c>
      <c r="L19" s="360">
        <v>726810</v>
      </c>
      <c r="M19" s="360">
        <v>726170</v>
      </c>
      <c r="N19" s="360">
        <v>727720</v>
      </c>
      <c r="O19" s="360">
        <v>727450</v>
      </c>
      <c r="P19" s="360">
        <v>702610</v>
      </c>
      <c r="Q19" s="360">
        <v>722057</v>
      </c>
      <c r="R19" s="360">
        <v>722080</v>
      </c>
    </row>
    <row r="20" spans="1:21">
      <c r="A20" s="268" t="s">
        <v>836</v>
      </c>
      <c r="B20" s="437">
        <v>-9.2318999999999995E-3</v>
      </c>
      <c r="C20" s="437">
        <f>B20-0.0007134257</f>
        <v>-9.9453257000000003E-3</v>
      </c>
      <c r="D20" s="437" t="s">
        <v>924</v>
      </c>
      <c r="E20" s="437">
        <f>B20+0.00001815469</f>
        <v>-9.2137453100000002E-3</v>
      </c>
      <c r="F20" s="437" t="s">
        <v>924</v>
      </c>
      <c r="G20" s="437" t="s">
        <v>924</v>
      </c>
      <c r="H20" s="437">
        <f>B20+ 0.0003334949</f>
        <v>-8.8984050999999995E-3</v>
      </c>
      <c r="I20" s="437" t="s">
        <v>924</v>
      </c>
      <c r="J20" s="437" t="s">
        <v>924</v>
      </c>
      <c r="K20" s="437" t="s">
        <v>924</v>
      </c>
      <c r="L20" s="437" t="s">
        <v>924</v>
      </c>
      <c r="M20" s="437" t="s">
        <v>924</v>
      </c>
      <c r="N20" s="437" t="s">
        <v>924</v>
      </c>
      <c r="O20" s="437" t="s">
        <v>924</v>
      </c>
      <c r="P20" s="437" t="s">
        <v>924</v>
      </c>
      <c r="Q20" s="437">
        <f>B20-0.0001231346</f>
        <v>-9.3550345999999993E-3</v>
      </c>
      <c r="R20" s="437">
        <f>B20-0.0009062274</f>
        <v>-1.0138127399999999E-2</v>
      </c>
    </row>
    <row r="21" spans="1:21">
      <c r="B21" s="360"/>
      <c r="C21" s="360"/>
      <c r="D21" s="360"/>
      <c r="E21" s="360"/>
      <c r="F21" s="360"/>
      <c r="G21" s="360"/>
      <c r="H21" s="360"/>
      <c r="I21" s="360"/>
      <c r="J21" s="360"/>
      <c r="K21" s="360"/>
      <c r="L21" s="360"/>
      <c r="M21" s="360"/>
      <c r="N21" s="360"/>
      <c r="O21" s="360"/>
      <c r="P21" s="360"/>
    </row>
    <row r="22" spans="1:21">
      <c r="A22" s="268" t="s">
        <v>1171</v>
      </c>
      <c r="B22" s="333"/>
      <c r="C22" s="384"/>
      <c r="D22" s="384"/>
      <c r="E22" s="384"/>
      <c r="F22" s="384"/>
      <c r="G22" s="384"/>
      <c r="H22" s="384"/>
      <c r="I22" s="384"/>
      <c r="J22" s="384"/>
      <c r="K22" s="384"/>
      <c r="L22" s="384"/>
      <c r="M22" s="384"/>
      <c r="N22" s="384"/>
      <c r="O22" s="384"/>
      <c r="P22" s="333"/>
    </row>
    <row r="23" spans="1:21">
      <c r="A23" s="268" t="s">
        <v>803</v>
      </c>
      <c r="B23" s="360" t="s">
        <v>882</v>
      </c>
      <c r="C23" s="360" t="s">
        <v>823</v>
      </c>
      <c r="D23" s="360" t="s">
        <v>824</v>
      </c>
      <c r="E23" s="360" t="s">
        <v>825</v>
      </c>
      <c r="F23" s="360" t="s">
        <v>826</v>
      </c>
      <c r="G23" s="360" t="s">
        <v>827</v>
      </c>
      <c r="H23" s="360" t="s">
        <v>828</v>
      </c>
      <c r="I23" s="360" t="s">
        <v>829</v>
      </c>
      <c r="J23" s="360" t="s">
        <v>830</v>
      </c>
      <c r="K23" s="360" t="s">
        <v>831</v>
      </c>
      <c r="L23" s="360" t="s">
        <v>832</v>
      </c>
      <c r="M23" s="360" t="s">
        <v>833</v>
      </c>
      <c r="N23" s="360" t="s">
        <v>834</v>
      </c>
      <c r="O23" s="414">
        <v>7</v>
      </c>
      <c r="P23" s="414">
        <v>8</v>
      </c>
      <c r="Q23" s="360"/>
      <c r="R23" s="360"/>
    </row>
    <row r="24" spans="1:21">
      <c r="A24" s="268" t="s">
        <v>1047</v>
      </c>
      <c r="B24" s="360" t="s">
        <v>1032</v>
      </c>
      <c r="C24" s="360" t="s">
        <v>1033</v>
      </c>
      <c r="D24" s="360" t="s">
        <v>1034</v>
      </c>
      <c r="E24" s="360" t="s">
        <v>1035</v>
      </c>
      <c r="F24" s="360" t="s">
        <v>1036</v>
      </c>
      <c r="G24" s="360" t="s">
        <v>1037</v>
      </c>
      <c r="H24" s="360" t="s">
        <v>1038</v>
      </c>
      <c r="I24" s="360" t="s">
        <v>1039</v>
      </c>
      <c r="J24" s="360" t="s">
        <v>1040</v>
      </c>
      <c r="K24" s="360" t="s">
        <v>1041</v>
      </c>
      <c r="L24" s="360" t="s">
        <v>1042</v>
      </c>
      <c r="M24" s="360" t="s">
        <v>1043</v>
      </c>
      <c r="N24" s="360" t="s">
        <v>1044</v>
      </c>
      <c r="O24" s="360" t="s">
        <v>1045</v>
      </c>
      <c r="P24" s="360" t="s">
        <v>1046</v>
      </c>
      <c r="Q24" s="360" t="s">
        <v>1142</v>
      </c>
      <c r="R24" s="360" t="s">
        <v>1143</v>
      </c>
    </row>
    <row r="25" spans="1:21">
      <c r="A25" s="268" t="s">
        <v>1048</v>
      </c>
      <c r="B25" s="360">
        <v>722020</v>
      </c>
      <c r="C25" s="360">
        <v>722430</v>
      </c>
      <c r="D25" s="360">
        <v>722780</v>
      </c>
      <c r="E25" s="360">
        <v>723340</v>
      </c>
      <c r="F25" s="360">
        <v>722700</v>
      </c>
      <c r="G25" s="360">
        <v>724940</v>
      </c>
      <c r="H25" s="360">
        <v>724060</v>
      </c>
      <c r="I25" s="360">
        <v>723650</v>
      </c>
      <c r="J25" s="360">
        <v>726940</v>
      </c>
      <c r="K25" s="360">
        <v>725300</v>
      </c>
      <c r="L25" s="360">
        <v>726810</v>
      </c>
      <c r="M25" s="360">
        <v>726170</v>
      </c>
      <c r="N25" s="360">
        <v>727720</v>
      </c>
      <c r="O25" s="360">
        <v>727450</v>
      </c>
      <c r="P25" s="360">
        <v>702610</v>
      </c>
      <c r="Q25" s="360">
        <v>722057</v>
      </c>
      <c r="R25" s="360">
        <v>722080</v>
      </c>
    </row>
    <row r="26" spans="1:21">
      <c r="A26" s="268" t="s">
        <v>836</v>
      </c>
      <c r="B26" s="360">
        <v>8.4997935999999996E-3</v>
      </c>
      <c r="C26" s="360">
        <f>B26+0.0007116777</f>
        <v>9.2114712999999994E-3</v>
      </c>
      <c r="D26" s="360" t="s">
        <v>924</v>
      </c>
      <c r="E26" s="360">
        <f>B26-0.0014466751</f>
        <v>7.0531184999999995E-3</v>
      </c>
      <c r="F26" s="360" t="s">
        <v>924</v>
      </c>
      <c r="G26" s="360" t="s">
        <v>924</v>
      </c>
      <c r="H26" s="360">
        <f>B26-0.0018362786</f>
        <v>6.6635150000000001E-3</v>
      </c>
      <c r="I26" s="360" t="s">
        <v>924</v>
      </c>
      <c r="J26" s="360" t="s">
        <v>924</v>
      </c>
      <c r="K26" s="360" t="s">
        <v>924</v>
      </c>
      <c r="L26" s="360" t="s">
        <v>924</v>
      </c>
      <c r="M26" s="360" t="s">
        <v>924</v>
      </c>
      <c r="N26" s="360" t="s">
        <v>924</v>
      </c>
      <c r="O26" s="360" t="s">
        <v>924</v>
      </c>
      <c r="P26" s="360" t="s">
        <v>924</v>
      </c>
      <c r="Q26" s="360">
        <f>B26-0.000011915</f>
        <v>8.4878786000000001E-3</v>
      </c>
      <c r="R26" s="360">
        <f>B26+0.0009016638</f>
        <v>9.4014574000000004E-3</v>
      </c>
    </row>
    <row r="29" spans="1:21">
      <c r="A29" s="268" t="s">
        <v>1195</v>
      </c>
    </row>
    <row r="30" spans="1:21" s="360" customFormat="1">
      <c r="A30" s="268" t="s">
        <v>803</v>
      </c>
      <c r="B30" s="360" t="s">
        <v>882</v>
      </c>
      <c r="C30" s="360" t="s">
        <v>823</v>
      </c>
      <c r="D30" s="360" t="s">
        <v>824</v>
      </c>
      <c r="E30" s="360" t="s">
        <v>825</v>
      </c>
      <c r="F30" s="360" t="s">
        <v>826</v>
      </c>
      <c r="G30" s="360" t="s">
        <v>827</v>
      </c>
      <c r="H30" s="360" t="s">
        <v>828</v>
      </c>
      <c r="I30" s="360" t="s">
        <v>829</v>
      </c>
      <c r="J30" s="360" t="s">
        <v>830</v>
      </c>
      <c r="K30" s="360" t="s">
        <v>831</v>
      </c>
      <c r="L30" s="360" t="s">
        <v>832</v>
      </c>
      <c r="M30" s="360" t="s">
        <v>833</v>
      </c>
      <c r="N30" s="360" t="s">
        <v>834</v>
      </c>
      <c r="O30" s="414">
        <v>7</v>
      </c>
      <c r="P30" s="414">
        <v>8</v>
      </c>
    </row>
    <row r="31" spans="1:21">
      <c r="A31" s="268" t="s">
        <v>1196</v>
      </c>
      <c r="B31" s="360" t="s">
        <v>1032</v>
      </c>
      <c r="C31" s="360" t="s">
        <v>1033</v>
      </c>
      <c r="D31" s="360" t="s">
        <v>1034</v>
      </c>
      <c r="E31" s="360" t="s">
        <v>1035</v>
      </c>
      <c r="F31" s="360" t="s">
        <v>1036</v>
      </c>
      <c r="G31" s="360" t="s">
        <v>1037</v>
      </c>
      <c r="H31" s="360" t="s">
        <v>1038</v>
      </c>
      <c r="I31" s="360" t="s">
        <v>1039</v>
      </c>
      <c r="J31" s="360" t="s">
        <v>1040</v>
      </c>
      <c r="K31" s="360" t="s">
        <v>1041</v>
      </c>
      <c r="L31" s="360" t="s">
        <v>1042</v>
      </c>
      <c r="M31" s="360" t="s">
        <v>1043</v>
      </c>
      <c r="N31" s="360" t="s">
        <v>1044</v>
      </c>
      <c r="O31" s="360" t="s">
        <v>1045</v>
      </c>
      <c r="P31" s="360" t="s">
        <v>1046</v>
      </c>
      <c r="Q31" s="360" t="s">
        <v>1142</v>
      </c>
      <c r="R31" s="360" t="s">
        <v>1143</v>
      </c>
    </row>
    <row r="32" spans="1:21">
      <c r="A32" s="360" t="s">
        <v>1183</v>
      </c>
      <c r="B32" s="360">
        <v>7.6169999999999996E-3</v>
      </c>
      <c r="C32" s="360">
        <v>3.7669999999999999E-3</v>
      </c>
      <c r="E32" s="360">
        <v>2.1570000000000001E-3</v>
      </c>
      <c r="H32" s="360">
        <v>1.544E-3</v>
      </c>
      <c r="I32" s="360"/>
      <c r="Q32" s="360">
        <v>6.8250000000000003E-3</v>
      </c>
      <c r="R32" s="360">
        <v>3.4429999999999999E-3</v>
      </c>
      <c r="T32" s="360"/>
      <c r="U32" s="360"/>
    </row>
    <row r="33" spans="1:21">
      <c r="A33" s="360" t="s">
        <v>1184</v>
      </c>
      <c r="B33" s="360">
        <v>7.8799999999999999E-3</v>
      </c>
      <c r="C33" s="360">
        <v>3.6329999999999999E-3</v>
      </c>
      <c r="E33" s="360">
        <v>1.9650000000000002E-3</v>
      </c>
      <c r="H33" s="360">
        <v>1.6559999999999999E-3</v>
      </c>
      <c r="I33" s="360"/>
      <c r="Q33" s="360">
        <v>6.6210000000000001E-3</v>
      </c>
      <c r="R33" s="360">
        <v>2.928E-3</v>
      </c>
      <c r="T33" s="360"/>
      <c r="U33" s="360"/>
    </row>
    <row r="34" spans="1:21">
      <c r="A34" s="360" t="s">
        <v>1185</v>
      </c>
      <c r="B34" s="360">
        <v>8.541E-3</v>
      </c>
      <c r="C34" s="360">
        <v>4.7939999999999997E-3</v>
      </c>
      <c r="E34" s="360">
        <v>3.9420000000000002E-3</v>
      </c>
      <c r="H34" s="360">
        <v>2.088E-3</v>
      </c>
      <c r="I34" s="360"/>
      <c r="Q34" s="360">
        <v>4.6239999999999996E-3</v>
      </c>
      <c r="R34" s="360">
        <v>4.9439999999999996E-3</v>
      </c>
      <c r="T34" s="360"/>
      <c r="U34" s="360"/>
    </row>
    <row r="35" spans="1:21">
      <c r="A35" s="360" t="s">
        <v>1186</v>
      </c>
      <c r="B35" s="360">
        <v>1.1350000000000001E-2</v>
      </c>
      <c r="C35" s="360">
        <v>9.1559999999999992E-3</v>
      </c>
      <c r="E35" s="360">
        <v>4.6220000000000002E-3</v>
      </c>
      <c r="H35" s="360">
        <v>4.0499999999999998E-3</v>
      </c>
      <c r="I35" s="360"/>
      <c r="Q35" s="360">
        <v>8.0610000000000005E-3</v>
      </c>
      <c r="R35" s="360">
        <v>6.4580000000000002E-3</v>
      </c>
      <c r="T35" s="360"/>
      <c r="U35" s="360"/>
    </row>
    <row r="36" spans="1:21">
      <c r="A36" s="360" t="s">
        <v>1187</v>
      </c>
      <c r="B36" s="360">
        <v>1.4200000000000001E-2</v>
      </c>
      <c r="C36" s="360">
        <v>1.2579999999999999E-2</v>
      </c>
      <c r="E36" s="360">
        <v>8.8590000000000006E-3</v>
      </c>
      <c r="H36" s="360">
        <v>5.8789999999999997E-3</v>
      </c>
      <c r="I36" s="360"/>
      <c r="Q36" s="360">
        <v>1.0699999999999999E-2</v>
      </c>
      <c r="R36" s="360">
        <v>1.091E-2</v>
      </c>
      <c r="T36" s="360"/>
      <c r="U36" s="360"/>
    </row>
    <row r="37" spans="1:21">
      <c r="A37" s="360" t="s">
        <v>1188</v>
      </c>
      <c r="B37" s="360">
        <v>1.6289999999999999E-2</v>
      </c>
      <c r="C37" s="360">
        <v>1.6219999999999998E-2</v>
      </c>
      <c r="E37" s="360">
        <v>1.2749999999999999E-2</v>
      </c>
      <c r="H37" s="360">
        <v>9.5149999999999992E-3</v>
      </c>
      <c r="I37" s="360"/>
      <c r="Q37" s="360">
        <v>1.371E-2</v>
      </c>
      <c r="R37" s="360">
        <v>1.4019999999999999E-2</v>
      </c>
      <c r="T37" s="360"/>
      <c r="U37" s="360"/>
    </row>
    <row r="38" spans="1:21">
      <c r="A38" s="360" t="s">
        <v>1189</v>
      </c>
      <c r="B38" s="360">
        <v>1.6670000000000001E-2</v>
      </c>
      <c r="C38" s="360">
        <v>1.6740000000000001E-2</v>
      </c>
      <c r="E38" s="360">
        <v>1.426E-2</v>
      </c>
      <c r="H38" s="360">
        <v>1.163E-2</v>
      </c>
      <c r="I38" s="360"/>
      <c r="Q38" s="360">
        <v>1.668E-2</v>
      </c>
      <c r="R38" s="360">
        <v>1.6289999999999999E-2</v>
      </c>
      <c r="T38" s="360"/>
      <c r="U38" s="360"/>
    </row>
    <row r="39" spans="1:21">
      <c r="A39" s="360" t="s">
        <v>1190</v>
      </c>
      <c r="B39" s="360">
        <v>1.686E-2</v>
      </c>
      <c r="C39" s="360">
        <v>1.6830000000000001E-2</v>
      </c>
      <c r="D39" s="384"/>
      <c r="E39" s="360">
        <v>1.239E-2</v>
      </c>
      <c r="F39" s="384"/>
      <c r="G39" s="384"/>
      <c r="H39" s="360">
        <v>1.059E-2</v>
      </c>
      <c r="I39" s="360"/>
      <c r="J39" s="384"/>
      <c r="K39" s="384"/>
      <c r="L39" s="384"/>
      <c r="M39" s="384"/>
      <c r="N39" s="384"/>
      <c r="O39" s="384"/>
      <c r="P39" s="333"/>
      <c r="Q39" s="360">
        <v>1.6760000000000001E-2</v>
      </c>
      <c r="R39" s="360">
        <v>1.626E-2</v>
      </c>
      <c r="T39" s="360"/>
      <c r="U39" s="360"/>
    </row>
    <row r="40" spans="1:21">
      <c r="A40" s="360" t="s">
        <v>1191</v>
      </c>
      <c r="B40" s="360">
        <v>1.6320000000000001E-2</v>
      </c>
      <c r="C40" s="360">
        <v>1.145E-2</v>
      </c>
      <c r="E40" s="360">
        <v>1.0970000000000001E-2</v>
      </c>
      <c r="H40" s="360">
        <v>8.8909999999999996E-3</v>
      </c>
      <c r="I40" s="360"/>
      <c r="Q40" s="360">
        <v>1.404E-2</v>
      </c>
      <c r="R40" s="360">
        <v>1.3559999999999999E-2</v>
      </c>
      <c r="T40" s="360"/>
      <c r="U40" s="360"/>
    </row>
    <row r="41" spans="1:21">
      <c r="A41" s="360" t="s">
        <v>1192</v>
      </c>
      <c r="B41" s="360">
        <v>1.4590000000000001E-2</v>
      </c>
      <c r="C41" s="360">
        <v>7.8910000000000004E-3</v>
      </c>
      <c r="E41" s="360">
        <v>5.4270000000000004E-3</v>
      </c>
      <c r="H41" s="360">
        <v>3.9449999999999997E-3</v>
      </c>
      <c r="I41" s="360"/>
      <c r="Q41" s="360">
        <v>1.0500000000000001E-2</v>
      </c>
      <c r="R41" s="360">
        <v>7.4929999999999997E-3</v>
      </c>
      <c r="T41" s="360"/>
      <c r="U41" s="360"/>
    </row>
    <row r="42" spans="1:21">
      <c r="A42" s="360" t="s">
        <v>1193</v>
      </c>
      <c r="B42" s="360">
        <v>1.225E-2</v>
      </c>
      <c r="C42" s="360">
        <v>6.0429999999999998E-3</v>
      </c>
      <c r="E42" s="360">
        <v>4.2989999999999999E-3</v>
      </c>
      <c r="H42" s="360">
        <v>3.2200000000000002E-3</v>
      </c>
      <c r="I42" s="360"/>
      <c r="Q42" s="360">
        <v>7.1399999999999996E-3</v>
      </c>
      <c r="R42" s="360">
        <v>5.2579999999999997E-3</v>
      </c>
      <c r="T42" s="360"/>
      <c r="U42" s="360"/>
    </row>
    <row r="43" spans="1:21">
      <c r="A43" s="360" t="s">
        <v>1194</v>
      </c>
      <c r="B43" s="360">
        <v>8.7150000000000005E-3</v>
      </c>
      <c r="C43" s="360">
        <v>4.2940000000000001E-3</v>
      </c>
      <c r="E43" s="360">
        <v>2.2769999999999999E-3</v>
      </c>
      <c r="H43" s="360">
        <v>1.505E-3</v>
      </c>
      <c r="I43" s="360"/>
      <c r="Q43" s="360">
        <v>6.6519999999999999E-3</v>
      </c>
      <c r="R43" s="360">
        <v>2.604E-3</v>
      </c>
      <c r="T43" s="360"/>
      <c r="U43" s="360"/>
    </row>
    <row r="44" spans="1:21">
      <c r="A44" s="360"/>
    </row>
    <row r="45" spans="1:21">
      <c r="A45" s="360"/>
    </row>
    <row r="46" spans="1:21">
      <c r="A46" s="268" t="s">
        <v>1197</v>
      </c>
      <c r="B46" s="360"/>
      <c r="C46" s="360"/>
      <c r="D46" s="360"/>
      <c r="E46" s="360"/>
      <c r="F46" s="360"/>
      <c r="G46" s="360"/>
      <c r="H46" s="360"/>
      <c r="I46" s="360"/>
      <c r="J46" s="360"/>
      <c r="K46" s="360"/>
      <c r="L46" s="360"/>
      <c r="M46" s="360"/>
      <c r="N46" s="360"/>
      <c r="O46" s="360"/>
      <c r="P46" s="360"/>
      <c r="Q46" s="360"/>
      <c r="R46" s="360"/>
    </row>
    <row r="47" spans="1:21">
      <c r="A47" s="268" t="s">
        <v>803</v>
      </c>
      <c r="B47" s="360" t="s">
        <v>882</v>
      </c>
      <c r="C47" s="360" t="s">
        <v>823</v>
      </c>
      <c r="D47" s="360" t="s">
        <v>824</v>
      </c>
      <c r="E47" s="360" t="s">
        <v>825</v>
      </c>
      <c r="F47" s="360" t="s">
        <v>826</v>
      </c>
      <c r="G47" s="360" t="s">
        <v>827</v>
      </c>
      <c r="H47" s="360" t="s">
        <v>828</v>
      </c>
      <c r="I47" s="360" t="s">
        <v>829</v>
      </c>
      <c r="J47" s="360" t="s">
        <v>830</v>
      </c>
      <c r="K47" s="360" t="s">
        <v>831</v>
      </c>
      <c r="L47" s="360" t="s">
        <v>832</v>
      </c>
      <c r="M47" s="360" t="s">
        <v>833</v>
      </c>
      <c r="N47" s="360" t="s">
        <v>834</v>
      </c>
      <c r="O47" s="414">
        <v>7</v>
      </c>
      <c r="P47" s="414">
        <v>8</v>
      </c>
      <c r="Q47" s="360"/>
      <c r="R47" s="360"/>
    </row>
    <row r="48" spans="1:21">
      <c r="A48" s="268" t="s">
        <v>1196</v>
      </c>
      <c r="B48" s="360" t="s">
        <v>1032</v>
      </c>
      <c r="C48" s="360" t="s">
        <v>1033</v>
      </c>
      <c r="D48" s="360" t="s">
        <v>1034</v>
      </c>
      <c r="E48" s="360" t="s">
        <v>1035</v>
      </c>
      <c r="F48" s="360" t="s">
        <v>1036</v>
      </c>
      <c r="G48" s="360" t="s">
        <v>1037</v>
      </c>
      <c r="H48" s="360" t="s">
        <v>1038</v>
      </c>
      <c r="I48" s="360" t="s">
        <v>1039</v>
      </c>
      <c r="J48" s="360" t="s">
        <v>1040</v>
      </c>
      <c r="K48" s="360" t="s">
        <v>1041</v>
      </c>
      <c r="L48" s="360" t="s">
        <v>1042</v>
      </c>
      <c r="M48" s="360" t="s">
        <v>1043</v>
      </c>
      <c r="N48" s="360" t="s">
        <v>1044</v>
      </c>
      <c r="O48" s="360" t="s">
        <v>1045</v>
      </c>
      <c r="P48" s="360" t="s">
        <v>1046</v>
      </c>
      <c r="Q48" s="360" t="s">
        <v>1142</v>
      </c>
      <c r="R48" s="360" t="s">
        <v>1143</v>
      </c>
    </row>
    <row r="49" spans="1:20">
      <c r="A49" s="360" t="s">
        <v>1183</v>
      </c>
      <c r="B49" s="360">
        <v>1.3089999999999999E-2</v>
      </c>
      <c r="C49" s="360">
        <v>8.8339999999999998E-3</v>
      </c>
      <c r="D49" s="360"/>
      <c r="E49" s="360">
        <v>5.5209999999999999E-3</v>
      </c>
      <c r="F49" s="360"/>
      <c r="G49" s="360"/>
      <c r="H49" s="360">
        <v>3.2390000000000001E-3</v>
      </c>
      <c r="I49" s="360"/>
      <c r="J49" s="360"/>
      <c r="K49" s="360"/>
      <c r="L49" s="360"/>
      <c r="M49" s="360"/>
      <c r="N49" s="360"/>
      <c r="O49" s="360"/>
      <c r="P49" s="360"/>
      <c r="Q49" s="360">
        <v>1.0449999999999999E-2</v>
      </c>
      <c r="R49" s="360">
        <v>6.9750000000000003E-3</v>
      </c>
      <c r="T49" s="360"/>
    </row>
    <row r="50" spans="1:20">
      <c r="A50" s="360" t="s">
        <v>1184</v>
      </c>
      <c r="B50" s="360">
        <v>1.312E-2</v>
      </c>
      <c r="C50" s="360">
        <v>1.022E-2</v>
      </c>
      <c r="D50" s="360"/>
      <c r="E50" s="360">
        <v>5.0109999999999998E-3</v>
      </c>
      <c r="F50" s="360"/>
      <c r="G50" s="360"/>
      <c r="H50" s="360">
        <v>3.6640000000000002E-3</v>
      </c>
      <c r="I50" s="360"/>
      <c r="J50" s="360"/>
      <c r="K50" s="360"/>
      <c r="L50" s="360"/>
      <c r="M50" s="360"/>
      <c r="N50" s="360"/>
      <c r="O50" s="360"/>
      <c r="P50" s="360"/>
      <c r="Q50" s="360">
        <v>1.132E-2</v>
      </c>
      <c r="R50" s="360">
        <v>7.0429999999999998E-3</v>
      </c>
      <c r="T50" s="360"/>
    </row>
    <row r="51" spans="1:20">
      <c r="A51" s="360" t="s">
        <v>1185</v>
      </c>
      <c r="B51" s="360">
        <v>1.418E-2</v>
      </c>
      <c r="C51" s="360">
        <v>1.196E-2</v>
      </c>
      <c r="D51" s="360"/>
      <c r="E51" s="360">
        <v>8.2719999999999998E-3</v>
      </c>
      <c r="F51" s="360"/>
      <c r="G51" s="360"/>
      <c r="H51" s="360">
        <v>4.254E-3</v>
      </c>
      <c r="I51" s="360"/>
      <c r="J51" s="360"/>
      <c r="K51" s="360"/>
      <c r="L51" s="360"/>
      <c r="M51" s="360"/>
      <c r="N51" s="360"/>
      <c r="O51" s="360"/>
      <c r="P51" s="360"/>
      <c r="Q51" s="360">
        <v>1.102E-2</v>
      </c>
      <c r="R51" s="360">
        <v>0.01</v>
      </c>
      <c r="T51" s="360"/>
    </row>
    <row r="52" spans="1:20">
      <c r="A52" s="360" t="s">
        <v>1186</v>
      </c>
      <c r="B52" s="360">
        <v>1.405E-2</v>
      </c>
      <c r="C52" s="360">
        <v>1.41E-2</v>
      </c>
      <c r="D52" s="360"/>
      <c r="E52" s="360">
        <v>9.9340000000000001E-3</v>
      </c>
      <c r="F52" s="360"/>
      <c r="G52" s="360"/>
      <c r="H52" s="360">
        <v>7.2680000000000002E-3</v>
      </c>
      <c r="I52" s="360"/>
      <c r="J52" s="360"/>
      <c r="K52" s="360"/>
      <c r="L52" s="360"/>
      <c r="M52" s="360"/>
      <c r="N52" s="360"/>
      <c r="O52" s="360"/>
      <c r="P52" s="360"/>
      <c r="Q52" s="360">
        <v>1.208E-2</v>
      </c>
      <c r="R52" s="360">
        <v>1.1299999999999999E-2</v>
      </c>
      <c r="T52" s="360"/>
    </row>
    <row r="53" spans="1:20">
      <c r="A53" s="360" t="s">
        <v>1187</v>
      </c>
      <c r="B53" s="360">
        <v>1.6299999999999999E-2</v>
      </c>
      <c r="C53" s="360">
        <v>1.5789999999999998E-2</v>
      </c>
      <c r="D53" s="360"/>
      <c r="E53" s="360">
        <v>1.43E-2</v>
      </c>
      <c r="F53" s="360"/>
      <c r="G53" s="360"/>
      <c r="H53" s="360">
        <v>1.107E-2</v>
      </c>
      <c r="I53" s="360"/>
      <c r="J53" s="360"/>
      <c r="K53" s="360"/>
      <c r="L53" s="360"/>
      <c r="M53" s="360"/>
      <c r="N53" s="360"/>
      <c r="O53" s="360"/>
      <c r="P53" s="360"/>
      <c r="Q53" s="360">
        <v>1.47E-2</v>
      </c>
      <c r="R53" s="360">
        <v>1.461E-2</v>
      </c>
      <c r="T53" s="360"/>
    </row>
    <row r="54" spans="1:20">
      <c r="A54" s="360" t="s">
        <v>1188</v>
      </c>
      <c r="B54" s="360">
        <v>1.805E-2</v>
      </c>
      <c r="C54" s="360">
        <v>1.8010000000000002E-2</v>
      </c>
      <c r="D54" s="360"/>
      <c r="E54" s="360">
        <v>1.6299999999999999E-2</v>
      </c>
      <c r="F54" s="360"/>
      <c r="G54" s="360"/>
      <c r="H54" s="360">
        <v>1.329E-2</v>
      </c>
      <c r="I54" s="360"/>
      <c r="J54" s="360"/>
      <c r="K54" s="360"/>
      <c r="L54" s="360"/>
      <c r="M54" s="360"/>
      <c r="N54" s="360"/>
      <c r="O54" s="360"/>
      <c r="P54" s="360"/>
      <c r="Q54" s="360">
        <v>1.6549999999999999E-2</v>
      </c>
      <c r="R54" s="360">
        <v>1.797E-2</v>
      </c>
      <c r="T54" s="360"/>
    </row>
    <row r="55" spans="1:20">
      <c r="A55" s="360" t="s">
        <v>1189</v>
      </c>
      <c r="B55" s="360">
        <v>1.8460000000000001E-2</v>
      </c>
      <c r="C55" s="360">
        <v>1.8630000000000001E-2</v>
      </c>
      <c r="D55" s="360"/>
      <c r="E55" s="360">
        <v>1.6910000000000001E-2</v>
      </c>
      <c r="F55" s="360"/>
      <c r="G55" s="360"/>
      <c r="H55" s="360">
        <v>1.545E-2</v>
      </c>
      <c r="I55" s="360"/>
      <c r="J55" s="360"/>
      <c r="K55" s="360"/>
      <c r="L55" s="360"/>
      <c r="M55" s="360"/>
      <c r="N55" s="360"/>
      <c r="O55" s="360"/>
      <c r="P55" s="360"/>
      <c r="Q55" s="360">
        <v>1.8689999999999998E-2</v>
      </c>
      <c r="R55" s="360">
        <v>1.848E-2</v>
      </c>
      <c r="T55" s="360"/>
    </row>
    <row r="56" spans="1:20">
      <c r="A56" s="360" t="s">
        <v>1190</v>
      </c>
      <c r="B56" s="360">
        <v>1.8519999999999998E-2</v>
      </c>
      <c r="C56" s="360">
        <v>1.874E-2</v>
      </c>
      <c r="D56" s="384"/>
      <c r="E56" s="360">
        <v>1.6420000000000001E-2</v>
      </c>
      <c r="F56" s="384"/>
      <c r="G56" s="384"/>
      <c r="H56" s="360">
        <v>1.5730000000000001E-2</v>
      </c>
      <c r="I56" s="384"/>
      <c r="J56" s="384"/>
      <c r="K56" s="384"/>
      <c r="L56" s="384"/>
      <c r="M56" s="384"/>
      <c r="N56" s="384"/>
      <c r="O56" s="384"/>
      <c r="P56" s="333"/>
      <c r="Q56" s="360">
        <v>1.7989999999999999E-2</v>
      </c>
      <c r="R56" s="360">
        <v>1.763E-2</v>
      </c>
      <c r="T56" s="360"/>
    </row>
    <row r="57" spans="1:20">
      <c r="A57" s="360" t="s">
        <v>1191</v>
      </c>
      <c r="B57" s="360">
        <v>1.8010000000000002E-2</v>
      </c>
      <c r="C57" s="360">
        <v>1.7670000000000002E-2</v>
      </c>
      <c r="D57" s="360"/>
      <c r="E57" s="360">
        <v>1.6830000000000001E-2</v>
      </c>
      <c r="F57" s="360"/>
      <c r="G57" s="360"/>
      <c r="H57" s="360">
        <v>1.473E-2</v>
      </c>
      <c r="I57" s="360"/>
      <c r="J57" s="360"/>
      <c r="K57" s="360"/>
      <c r="L57" s="360"/>
      <c r="M57" s="360"/>
      <c r="N57" s="360"/>
      <c r="O57" s="360"/>
      <c r="P57" s="360"/>
      <c r="Q57" s="360">
        <v>1.6729999999999998E-2</v>
      </c>
      <c r="R57" s="360">
        <v>1.5789999999999998E-2</v>
      </c>
      <c r="T57" s="360"/>
    </row>
    <row r="58" spans="1:20">
      <c r="A58" s="360" t="s">
        <v>1192</v>
      </c>
      <c r="B58" s="360">
        <v>1.7479999999999999E-2</v>
      </c>
      <c r="C58" s="360">
        <v>1.274E-2</v>
      </c>
      <c r="D58" s="360"/>
      <c r="E58" s="360">
        <v>9.6229999999999996E-3</v>
      </c>
      <c r="F58" s="360"/>
      <c r="G58" s="360"/>
      <c r="H58" s="360">
        <v>7.8040000000000002E-3</v>
      </c>
      <c r="I58" s="360"/>
      <c r="J58" s="360"/>
      <c r="K58" s="360"/>
      <c r="L58" s="360"/>
      <c r="M58" s="360"/>
      <c r="N58" s="360"/>
      <c r="O58" s="360"/>
      <c r="P58" s="360"/>
      <c r="Q58" s="360">
        <v>1.7749999999999998E-2</v>
      </c>
      <c r="R58" s="360">
        <v>1.3180000000000001E-2</v>
      </c>
      <c r="T58" s="360"/>
    </row>
    <row r="59" spans="1:20">
      <c r="A59" s="360" t="s">
        <v>1193</v>
      </c>
      <c r="B59" s="360">
        <v>1.6619999999999999E-2</v>
      </c>
      <c r="C59" s="360">
        <v>1.3089999999999999E-2</v>
      </c>
      <c r="D59" s="360"/>
      <c r="E59" s="360">
        <v>7.7149999999999996E-3</v>
      </c>
      <c r="F59" s="360"/>
      <c r="G59" s="360"/>
      <c r="H59" s="360">
        <v>5.9290000000000002E-3</v>
      </c>
      <c r="I59" s="360"/>
      <c r="J59" s="360"/>
      <c r="K59" s="360"/>
      <c r="L59" s="360"/>
      <c r="M59" s="360"/>
      <c r="N59" s="360"/>
      <c r="O59" s="360"/>
      <c r="P59" s="360"/>
      <c r="Q59" s="360">
        <v>1.188E-2</v>
      </c>
      <c r="R59" s="360">
        <v>1.1429999999999999E-2</v>
      </c>
      <c r="T59" s="360"/>
    </row>
    <row r="60" spans="1:20">
      <c r="A60" s="360" t="s">
        <v>1194</v>
      </c>
      <c r="B60" s="360">
        <v>1.452E-2</v>
      </c>
      <c r="C60" s="360">
        <v>9.1240000000000002E-3</v>
      </c>
      <c r="D60" s="360"/>
      <c r="E60" s="360">
        <v>5.0899999999999999E-3</v>
      </c>
      <c r="F60" s="360"/>
      <c r="G60" s="360"/>
      <c r="H60" s="360">
        <v>3.7090000000000001E-3</v>
      </c>
      <c r="I60" s="360"/>
      <c r="J60" s="360"/>
      <c r="K60" s="360"/>
      <c r="L60" s="360"/>
      <c r="M60" s="360"/>
      <c r="N60" s="360"/>
      <c r="O60" s="360"/>
      <c r="P60" s="360"/>
      <c r="Q60" s="360">
        <v>1.0070000000000001E-2</v>
      </c>
      <c r="R60" s="360">
        <v>8.9569999999999997E-3</v>
      </c>
      <c r="T60" s="360"/>
    </row>
    <row r="61" spans="1:20">
      <c r="A61" s="360"/>
      <c r="B61" s="360"/>
      <c r="C61" s="360"/>
      <c r="D61" s="360"/>
      <c r="E61" s="360"/>
      <c r="F61" s="360"/>
    </row>
    <row r="62" spans="1:20">
      <c r="A62" s="360"/>
      <c r="B62" s="360"/>
      <c r="C62" s="360"/>
      <c r="D62" s="360"/>
      <c r="E62" s="360"/>
      <c r="F62" s="360"/>
    </row>
    <row r="63" spans="1:20">
      <c r="A63" s="360"/>
      <c r="B63" s="360"/>
      <c r="C63" s="360"/>
      <c r="D63" s="360"/>
      <c r="E63" s="360"/>
      <c r="F63" s="360"/>
    </row>
    <row r="64" spans="1:20">
      <c r="A64" s="360"/>
      <c r="B64" s="360"/>
      <c r="C64" s="360"/>
      <c r="D64" s="360"/>
      <c r="E64" s="360"/>
      <c r="F64" s="360"/>
    </row>
    <row r="65" spans="1:16">
      <c r="A65" s="360"/>
      <c r="B65" s="360"/>
      <c r="C65" s="360"/>
      <c r="D65" s="360"/>
      <c r="E65" s="360"/>
      <c r="F65" s="360"/>
    </row>
    <row r="66" spans="1:16">
      <c r="A66" s="360"/>
      <c r="B66" s="360"/>
      <c r="C66" s="360"/>
      <c r="D66" s="360"/>
      <c r="E66" s="360"/>
      <c r="F66" s="360"/>
    </row>
    <row r="67" spans="1:16">
      <c r="A67" s="360"/>
      <c r="B67" s="360"/>
      <c r="C67" s="360"/>
      <c r="D67" s="360"/>
      <c r="E67" s="360"/>
      <c r="F67" s="360"/>
    </row>
    <row r="68" spans="1:16">
      <c r="A68" s="360"/>
      <c r="B68" s="360"/>
      <c r="C68" s="360"/>
      <c r="D68" s="360"/>
      <c r="E68" s="360"/>
      <c r="F68" s="360"/>
    </row>
    <row r="69" spans="1:16">
      <c r="A69" s="360"/>
      <c r="B69" s="360"/>
      <c r="C69" s="360"/>
      <c r="D69" s="360"/>
      <c r="E69" s="360"/>
      <c r="F69" s="360"/>
    </row>
    <row r="70" spans="1:16">
      <c r="A70" s="360"/>
      <c r="B70" s="360"/>
      <c r="C70" s="360"/>
      <c r="D70" s="360"/>
      <c r="E70" s="360"/>
      <c r="F70" s="360"/>
    </row>
    <row r="71" spans="1:16">
      <c r="A71" s="360"/>
      <c r="B71" s="360"/>
      <c r="C71" s="360"/>
      <c r="D71" s="360"/>
      <c r="E71" s="360"/>
      <c r="F71" s="360"/>
    </row>
    <row r="72" spans="1:16">
      <c r="A72" s="360"/>
      <c r="B72" s="360"/>
      <c r="C72" s="360"/>
      <c r="D72" s="360"/>
      <c r="E72" s="360"/>
      <c r="F72" s="360"/>
    </row>
    <row r="74" spans="1:16">
      <c r="A74" s="360"/>
    </row>
    <row r="75" spans="1:16">
      <c r="A75" s="360"/>
      <c r="B75" s="333"/>
      <c r="C75" s="384"/>
      <c r="D75" s="384"/>
      <c r="E75" s="384"/>
      <c r="F75" s="384"/>
      <c r="G75" s="384"/>
      <c r="H75" s="384"/>
      <c r="I75" s="384"/>
      <c r="J75" s="384"/>
      <c r="K75" s="384"/>
      <c r="L75" s="384"/>
      <c r="M75" s="384"/>
      <c r="N75" s="384"/>
      <c r="O75" s="384"/>
      <c r="P75" s="333"/>
    </row>
    <row r="76" spans="1:16">
      <c r="A76" s="360"/>
      <c r="B76" s="360"/>
      <c r="C76" s="360"/>
      <c r="D76" s="360"/>
      <c r="E76" s="360"/>
      <c r="F76" s="360"/>
      <c r="G76" s="360"/>
      <c r="H76" s="360"/>
      <c r="I76" s="360"/>
      <c r="J76" s="360"/>
      <c r="K76" s="360"/>
      <c r="L76" s="360"/>
      <c r="M76" s="360"/>
      <c r="N76" s="360"/>
      <c r="O76" s="360"/>
      <c r="P76" s="360"/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 enableFormatConditionsCalculation="0"/>
  <dimension ref="A1:AQ1081"/>
  <sheetViews>
    <sheetView tabSelected="1" workbookViewId="0">
      <pane ySplit="1" topLeftCell="A2" activePane="bottomLeft" state="frozen"/>
      <selection pane="bottomLeft" activeCell="F19" sqref="F19"/>
    </sheetView>
  </sheetViews>
  <sheetFormatPr defaultColWidth="8.85546875" defaultRowHeight="15"/>
  <cols>
    <col min="1" max="1" width="39.42578125" customWidth="1"/>
    <col min="6" max="6" width="38.140625" customWidth="1"/>
    <col min="7" max="7" width="38.140625" style="360" customWidth="1"/>
  </cols>
  <sheetData>
    <row r="1" spans="1:43">
      <c r="A1" s="360" t="s">
        <v>1090</v>
      </c>
      <c r="H1" s="360" t="s">
        <v>1091</v>
      </c>
      <c r="I1" s="360" t="s">
        <v>1092</v>
      </c>
      <c r="J1" s="360" t="s">
        <v>1093</v>
      </c>
      <c r="K1" s="360" t="s">
        <v>1094</v>
      </c>
      <c r="L1" s="360" t="s">
        <v>1095</v>
      </c>
      <c r="M1" s="360" t="s">
        <v>1096</v>
      </c>
      <c r="N1" s="360" t="s">
        <v>1097</v>
      </c>
      <c r="O1" s="360" t="s">
        <v>1098</v>
      </c>
      <c r="P1" s="360" t="s">
        <v>1099</v>
      </c>
      <c r="Q1" s="360" t="s">
        <v>1100</v>
      </c>
      <c r="R1" s="360" t="s">
        <v>1101</v>
      </c>
      <c r="S1" s="360" t="s">
        <v>1102</v>
      </c>
      <c r="T1" s="360" t="s">
        <v>1103</v>
      </c>
      <c r="U1" s="360" t="s">
        <v>1104</v>
      </c>
      <c r="V1" s="360" t="s">
        <v>1105</v>
      </c>
      <c r="W1" s="360" t="s">
        <v>1106</v>
      </c>
      <c r="X1" s="360" t="s">
        <v>1107</v>
      </c>
      <c r="Y1" s="360" t="s">
        <v>1108</v>
      </c>
      <c r="Z1" s="360" t="s">
        <v>1109</v>
      </c>
      <c r="AA1" s="360" t="s">
        <v>1110</v>
      </c>
      <c r="AB1" s="360" t="s">
        <v>1111</v>
      </c>
      <c r="AC1" s="360" t="s">
        <v>1112</v>
      </c>
      <c r="AD1" s="360" t="s">
        <v>1113</v>
      </c>
      <c r="AE1" s="360" t="s">
        <v>1114</v>
      </c>
      <c r="AF1" s="360" t="s">
        <v>1115</v>
      </c>
      <c r="AG1" s="360" t="s">
        <v>1116</v>
      </c>
      <c r="AH1" s="360" t="s">
        <v>1117</v>
      </c>
      <c r="AI1" s="360" t="s">
        <v>1118</v>
      </c>
      <c r="AJ1" s="360" t="s">
        <v>1119</v>
      </c>
      <c r="AK1" s="360" t="s">
        <v>1120</v>
      </c>
      <c r="AL1" s="360" t="s">
        <v>1121</v>
      </c>
      <c r="AM1" s="360" t="s">
        <v>1122</v>
      </c>
      <c r="AN1" s="360" t="s">
        <v>1123</v>
      </c>
    </row>
    <row r="2" spans="1:43">
      <c r="A2" s="360" t="s">
        <v>1077</v>
      </c>
      <c r="B2" t="s">
        <v>1075</v>
      </c>
      <c r="C2">
        <v>1</v>
      </c>
      <c r="D2" t="s">
        <v>1078</v>
      </c>
      <c r="E2" t="s">
        <v>1079</v>
      </c>
      <c r="F2">
        <v>1</v>
      </c>
      <c r="G2" s="360" t="str">
        <f>CONCATENATE(A2," ",B2," ",C2," ","inf+"," ",FanUpsizes!D2," ",FanUpsizes!F2)</f>
        <v>10ACH Percentile 1 inf+ New 1</v>
      </c>
      <c r="H2" s="360">
        <v>1.5061016472793908E-2</v>
      </c>
      <c r="I2" s="360">
        <v>0.37042535112255193</v>
      </c>
      <c r="J2" s="360">
        <v>0.96179622958771593</v>
      </c>
      <c r="K2" s="360">
        <v>12.853789878653091</v>
      </c>
      <c r="L2" s="360">
        <v>0.35784193837538425</v>
      </c>
      <c r="M2" s="360">
        <v>1.0256188285439651</v>
      </c>
      <c r="N2" s="360">
        <v>1.5495709091979275</v>
      </c>
      <c r="O2" s="360">
        <v>0.38156543984836644</v>
      </c>
      <c r="P2" s="360">
        <v>0.96179645522285506</v>
      </c>
      <c r="Q2" s="360">
        <v>-157.78253642656321</v>
      </c>
      <c r="R2" s="360">
        <v>46.358898201934878</v>
      </c>
      <c r="S2" s="360">
        <v>0.34472066636212817</v>
      </c>
      <c r="T2" s="360">
        <v>1.0719829566509929</v>
      </c>
      <c r="U2" s="360">
        <v>2.3904369870645836</v>
      </c>
      <c r="V2" s="360">
        <v>0.38649376578806288</v>
      </c>
      <c r="W2" s="360">
        <v>0.96179641904317614</v>
      </c>
      <c r="X2" s="360">
        <v>-338.7712784577821</v>
      </c>
      <c r="Y2" s="360">
        <v>0.3378438551097554</v>
      </c>
      <c r="Z2" s="360">
        <v>1.0531232314085206</v>
      </c>
      <c r="AA2" s="360">
        <v>12.853789878653091</v>
      </c>
      <c r="AB2" s="360">
        <v>0.33119314939993078</v>
      </c>
      <c r="AC2" s="360">
        <v>1.1007831723011161</v>
      </c>
      <c r="AD2" s="360">
        <v>1.3494796263789401</v>
      </c>
      <c r="AE2" s="360">
        <v>0.34359574888440569</v>
      </c>
      <c r="AF2" s="360">
        <v>1.0531236183672479</v>
      </c>
      <c r="AG2" s="360">
        <v>-72.155015096014679</v>
      </c>
      <c r="AH2" s="360">
        <v>37.804891901753514</v>
      </c>
      <c r="AI2" s="360">
        <v>0.32311166889600901</v>
      </c>
      <c r="AJ2" s="360">
        <v>1.1411686651775999</v>
      </c>
      <c r="AK2" s="360">
        <v>2.0638262771787166</v>
      </c>
      <c r="AL2" s="360">
        <v>0.34792119171100661</v>
      </c>
      <c r="AM2" s="360">
        <v>1.0531232651594358</v>
      </c>
      <c r="AN2" s="360">
        <v>-223.20909672376609</v>
      </c>
    </row>
    <row r="3" spans="1:43">
      <c r="A3" s="360" t="s">
        <v>1077</v>
      </c>
      <c r="B3" t="s">
        <v>1074</v>
      </c>
      <c r="C3">
        <v>1</v>
      </c>
      <c r="D3" t="s">
        <v>1078</v>
      </c>
      <c r="E3" t="s">
        <v>1079</v>
      </c>
      <c r="F3" s="360">
        <v>1</v>
      </c>
      <c r="G3" s="360" t="str">
        <f>CONCATENATE(A3," ",B3," ",C3," ","inf+"," ",FanUpsizes!D3," ",FanUpsizes!F3)</f>
        <v>10ACH Infiltration 1 inf+ New 1</v>
      </c>
      <c r="H3" s="360">
        <v>1.5061016472793908E-2</v>
      </c>
      <c r="I3" s="360">
        <v>0.37042535112255193</v>
      </c>
      <c r="J3" s="360">
        <v>0.96179622958771593</v>
      </c>
      <c r="K3" s="360">
        <v>0</v>
      </c>
      <c r="L3" s="360">
        <v>0.37042535112255193</v>
      </c>
      <c r="M3" s="360">
        <v>0.96179622958771593</v>
      </c>
      <c r="N3" s="360">
        <v>1</v>
      </c>
      <c r="O3" s="360">
        <v>0.37042535112255193</v>
      </c>
      <c r="P3" s="360">
        <v>0.96179622958771593</v>
      </c>
      <c r="Q3" s="360">
        <v>0</v>
      </c>
      <c r="R3" s="360">
        <v>1.0541815408911468</v>
      </c>
      <c r="S3" s="360">
        <v>0.36940699321243181</v>
      </c>
      <c r="T3" s="360">
        <v>0.96481535241143179</v>
      </c>
      <c r="U3" s="360">
        <v>1.0172562215937098</v>
      </c>
      <c r="V3" s="360">
        <v>0.37035796128881326</v>
      </c>
      <c r="W3" s="360">
        <v>0.96179697034466793</v>
      </c>
      <c r="X3" s="360">
        <v>-4.5073210757529285</v>
      </c>
      <c r="Y3" s="360">
        <v>0.3378438551097554</v>
      </c>
      <c r="Z3" s="360">
        <v>1.0531232314085206</v>
      </c>
      <c r="AA3" s="360">
        <v>0</v>
      </c>
      <c r="AB3" s="360">
        <v>0.3378438551097554</v>
      </c>
      <c r="AC3" s="360">
        <v>1.0531232314085206</v>
      </c>
      <c r="AD3" s="360">
        <v>1</v>
      </c>
      <c r="AE3" s="360">
        <v>0.3378438551097554</v>
      </c>
      <c r="AF3" s="360">
        <v>1.0531232314085206</v>
      </c>
      <c r="AG3" s="360">
        <v>0</v>
      </c>
      <c r="AH3" s="360">
        <v>1.0541815408911468</v>
      </c>
      <c r="AI3" s="360">
        <v>0.33728489343717261</v>
      </c>
      <c r="AJ3" s="360">
        <v>1.0553855705831663</v>
      </c>
      <c r="AK3" s="360">
        <v>1.0119736610007024</v>
      </c>
      <c r="AL3" s="360">
        <v>0.33778902667969862</v>
      </c>
      <c r="AM3" s="360">
        <v>1.0531240921612268</v>
      </c>
      <c r="AN3" s="360">
        <v>-1.7092204594569571</v>
      </c>
      <c r="AO3" s="360">
        <f t="shared" ref="AO3:AO66" si="0">IF(ROUND(P3,3)=ROUND(J3,3),1,0)</f>
        <v>1</v>
      </c>
      <c r="AP3" s="360">
        <f t="shared" ref="AP3:AP66" si="1">IF(O3&gt;L3,1,0)</f>
        <v>0</v>
      </c>
      <c r="AQ3" s="360">
        <f t="shared" ref="AQ3:AQ66" si="2">IF(I3&gt;L3,1,0)</f>
        <v>0</v>
      </c>
    </row>
    <row r="4" spans="1:43">
      <c r="A4" s="360" t="s">
        <v>1077</v>
      </c>
      <c r="B4" t="s">
        <v>1076</v>
      </c>
      <c r="C4">
        <v>1</v>
      </c>
      <c r="D4" t="s">
        <v>1078</v>
      </c>
      <c r="E4" t="s">
        <v>1079</v>
      </c>
      <c r="F4" s="360">
        <v>1</v>
      </c>
      <c r="G4" s="360" t="str">
        <f>CONCATENATE(A4," ",B4," ",C4," ","inf+"," ",FanUpsizes!D4," ",FanUpsizes!F4)</f>
        <v>10ACH 5C 1 inf+ New 1</v>
      </c>
      <c r="H4" s="360">
        <v>1.5061016472793908E-2</v>
      </c>
      <c r="I4" s="360">
        <v>0.37042535112255193</v>
      </c>
      <c r="J4" s="360">
        <v>0.96179622958771593</v>
      </c>
      <c r="K4" s="360">
        <v>0</v>
      </c>
      <c r="L4" s="360">
        <v>0.37042535112255193</v>
      </c>
      <c r="M4" s="360">
        <v>0.96179622958771593</v>
      </c>
      <c r="N4" s="360">
        <v>1</v>
      </c>
      <c r="O4" s="360">
        <v>0.37042535112255193</v>
      </c>
      <c r="P4" s="360">
        <v>0.96179622958771593</v>
      </c>
      <c r="Q4" s="360">
        <v>0</v>
      </c>
      <c r="R4" s="360">
        <v>1.0541815408911468</v>
      </c>
      <c r="S4" s="360">
        <v>0.36940699321243181</v>
      </c>
      <c r="T4" s="360">
        <v>0.96481535241143179</v>
      </c>
      <c r="U4" s="360">
        <v>1.0172562215937098</v>
      </c>
      <c r="V4" s="360">
        <v>0.37035796128881326</v>
      </c>
      <c r="W4" s="360">
        <v>0.96179697034466793</v>
      </c>
      <c r="X4" s="360">
        <v>-4.5073210757529285</v>
      </c>
      <c r="Y4" s="360">
        <v>0.3378438551097554</v>
      </c>
      <c r="Z4" s="360">
        <v>1.0531232314085206</v>
      </c>
      <c r="AA4" s="360">
        <v>0</v>
      </c>
      <c r="AB4" s="360">
        <v>0.3378438551097554</v>
      </c>
      <c r="AC4" s="360">
        <v>1.0531232314085206</v>
      </c>
      <c r="AD4" s="360">
        <v>1</v>
      </c>
      <c r="AE4" s="360">
        <v>0.3378438551097554</v>
      </c>
      <c r="AF4" s="360">
        <v>1.0531232314085206</v>
      </c>
      <c r="AG4" s="360">
        <v>0</v>
      </c>
      <c r="AH4" s="360">
        <v>1.0541815408911468</v>
      </c>
      <c r="AI4" s="360">
        <v>0.33728489343717261</v>
      </c>
      <c r="AJ4" s="360">
        <v>1.0553855705831663</v>
      </c>
      <c r="AK4" s="360">
        <v>1.0119736610007024</v>
      </c>
      <c r="AL4" s="360">
        <v>0.33778902667969862</v>
      </c>
      <c r="AM4" s="360">
        <v>1.0531240921612268</v>
      </c>
      <c r="AN4" s="360">
        <v>-1.7092204594569571</v>
      </c>
      <c r="AO4" s="360">
        <f t="shared" si="0"/>
        <v>1</v>
      </c>
      <c r="AP4" s="360">
        <f t="shared" si="1"/>
        <v>0</v>
      </c>
      <c r="AQ4" s="360">
        <f t="shared" si="2"/>
        <v>0</v>
      </c>
    </row>
    <row r="5" spans="1:43">
      <c r="A5" s="360" t="s">
        <v>1077</v>
      </c>
      <c r="B5" t="s">
        <v>1075</v>
      </c>
      <c r="C5">
        <v>2</v>
      </c>
      <c r="D5" t="s">
        <v>1078</v>
      </c>
      <c r="E5" t="s">
        <v>1079</v>
      </c>
      <c r="F5" s="360">
        <v>1</v>
      </c>
      <c r="G5" s="360" t="str">
        <f>CONCATENATE(A5," ",B5," ",C5," ","inf+"," ",FanUpsizes!D5," ",FanUpsizes!F5)</f>
        <v>10ACH Percentile 2 inf+ New 1</v>
      </c>
      <c r="H5" s="360">
        <v>1.4421666666666666E-2</v>
      </c>
      <c r="I5" s="360">
        <v>0.48065930176514887</v>
      </c>
      <c r="J5" s="360">
        <v>0.76274100657687671</v>
      </c>
      <c r="K5" s="360">
        <v>12.308138256682339</v>
      </c>
      <c r="L5" s="360">
        <v>0.46866836080098978</v>
      </c>
      <c r="M5" s="360">
        <v>0.80209671101240232</v>
      </c>
      <c r="N5" s="360">
        <v>1.556413893153237</v>
      </c>
      <c r="O5" s="360">
        <v>0.4916660928996977</v>
      </c>
      <c r="P5" s="360">
        <v>0.76274244647828326</v>
      </c>
      <c r="Q5" s="360">
        <v>-153.11905138128222</v>
      </c>
      <c r="R5" s="360">
        <v>44.390933248758074</v>
      </c>
      <c r="S5" s="360">
        <v>0.45610409519782114</v>
      </c>
      <c r="T5" s="360">
        <v>0.82989630461732566</v>
      </c>
      <c r="U5" s="360">
        <v>2.411441007505716</v>
      </c>
      <c r="V5" s="360">
        <v>0.49670813909851153</v>
      </c>
      <c r="W5" s="360">
        <v>0.76274100696618574</v>
      </c>
      <c r="X5" s="360">
        <v>-329.9610496175635</v>
      </c>
      <c r="Y5" s="360">
        <v>0.44382470160980231</v>
      </c>
      <c r="Z5" s="360">
        <v>0.83075902141832203</v>
      </c>
      <c r="AA5" s="360">
        <v>12.308138256682339</v>
      </c>
      <c r="AB5" s="360">
        <v>0.43896252084971105</v>
      </c>
      <c r="AC5" s="360">
        <v>0.85549124601809212</v>
      </c>
      <c r="AD5" s="360">
        <v>1.3721486894221275</v>
      </c>
      <c r="AE5" s="360">
        <v>0.44866483589669237</v>
      </c>
      <c r="AF5" s="360">
        <v>0.83075918480322442</v>
      </c>
      <c r="AG5" s="360">
        <v>-57.109226788614876</v>
      </c>
      <c r="AH5" s="360">
        <v>33.36453384227422</v>
      </c>
      <c r="AI5" s="360">
        <v>0.43320499030079035</v>
      </c>
      <c r="AJ5" s="360">
        <v>0.87412876984664334</v>
      </c>
      <c r="AK5" s="360">
        <v>2.1174219415250342</v>
      </c>
      <c r="AL5" s="360">
        <v>0.45239186841051532</v>
      </c>
      <c r="AM5" s="360">
        <v>0.83076030794823996</v>
      </c>
      <c r="AN5" s="360">
        <v>-177.58177846797579</v>
      </c>
      <c r="AO5" s="360">
        <f t="shared" si="0"/>
        <v>1</v>
      </c>
      <c r="AP5" s="360">
        <f t="shared" si="1"/>
        <v>1</v>
      </c>
      <c r="AQ5" s="360">
        <f t="shared" si="2"/>
        <v>1</v>
      </c>
    </row>
    <row r="6" spans="1:43">
      <c r="A6" s="360" t="s">
        <v>1077</v>
      </c>
      <c r="B6" t="s">
        <v>1074</v>
      </c>
      <c r="C6">
        <v>2</v>
      </c>
      <c r="D6" t="s">
        <v>1078</v>
      </c>
      <c r="E6" t="s">
        <v>1079</v>
      </c>
      <c r="F6" s="360">
        <v>1</v>
      </c>
      <c r="G6" s="360" t="str">
        <f>CONCATENATE(A6," ",B6," ",C6," ","inf+"," ",FanUpsizes!D6," ",FanUpsizes!F6)</f>
        <v>10ACH Infiltration 2 inf+ New 1</v>
      </c>
      <c r="H6" s="360">
        <v>1.4421666666666666E-2</v>
      </c>
      <c r="I6" s="360">
        <v>0.48065930176514887</v>
      </c>
      <c r="J6" s="360">
        <v>0.76274100657687671</v>
      </c>
      <c r="K6" s="360">
        <v>0.14465364328205882</v>
      </c>
      <c r="L6" s="360">
        <v>0.48051956380147731</v>
      </c>
      <c r="M6" s="360">
        <v>0.76284913356992845</v>
      </c>
      <c r="N6" s="360">
        <v>1.0009780212560109</v>
      </c>
      <c r="O6" s="360">
        <v>0.48057175859634266</v>
      </c>
      <c r="P6" s="360">
        <v>0.76274292319062242</v>
      </c>
      <c r="Q6" s="360">
        <v>-0.15801760746648583</v>
      </c>
      <c r="R6" s="360">
        <v>1.9496795398936353</v>
      </c>
      <c r="S6" s="360">
        <v>0.47877587703740127</v>
      </c>
      <c r="T6" s="360">
        <v>0.76693903430649135</v>
      </c>
      <c r="U6" s="360">
        <v>1.0399808232742134</v>
      </c>
      <c r="V6" s="360">
        <v>0.48083984962613158</v>
      </c>
      <c r="W6" s="360">
        <v>0.76274351012636932</v>
      </c>
      <c r="X6" s="360">
        <v>-10.351142572469705</v>
      </c>
      <c r="Y6" s="360">
        <v>0.44382470160980231</v>
      </c>
      <c r="Z6" s="360">
        <v>0.83075902141832203</v>
      </c>
      <c r="AA6" s="360">
        <v>0.14465364328205882</v>
      </c>
      <c r="AB6" s="360">
        <v>0.44380060429628471</v>
      </c>
      <c r="AC6" s="360">
        <v>0.83077982565545738</v>
      </c>
      <c r="AD6" s="360">
        <v>1.0002136479907928</v>
      </c>
      <c r="AE6" s="360">
        <v>0.44380728459389202</v>
      </c>
      <c r="AF6" s="360">
        <v>0.83075920343511889</v>
      </c>
      <c r="AG6" s="360">
        <v>0.1065975150144244</v>
      </c>
      <c r="AH6" s="360">
        <v>1.9496795398936353</v>
      </c>
      <c r="AI6" s="360">
        <v>0.44298471497512237</v>
      </c>
      <c r="AJ6" s="360">
        <v>0.83349757768349586</v>
      </c>
      <c r="AK6" s="360">
        <v>1.0295745937454051</v>
      </c>
      <c r="AL6" s="360">
        <v>0.44387401494937173</v>
      </c>
      <c r="AM6" s="360">
        <v>0.83075930517065555</v>
      </c>
      <c r="AN6" s="360">
        <v>-3.3142514260788221</v>
      </c>
      <c r="AO6" s="360">
        <f t="shared" si="0"/>
        <v>1</v>
      </c>
      <c r="AP6" s="360">
        <f t="shared" si="1"/>
        <v>1</v>
      </c>
      <c r="AQ6" s="360">
        <f t="shared" si="2"/>
        <v>1</v>
      </c>
    </row>
    <row r="7" spans="1:43">
      <c r="A7" s="360" t="s">
        <v>1077</v>
      </c>
      <c r="B7" t="s">
        <v>1076</v>
      </c>
      <c r="C7">
        <v>2</v>
      </c>
      <c r="D7" t="s">
        <v>1078</v>
      </c>
      <c r="E7" t="s">
        <v>1079</v>
      </c>
      <c r="F7" s="360">
        <v>1</v>
      </c>
      <c r="G7" s="360" t="str">
        <f>CONCATENATE(A7," ",B7," ",C7," ","inf+"," ",FanUpsizes!D7," ",FanUpsizes!F7)</f>
        <v>10ACH 5C 2 inf+ New 1</v>
      </c>
      <c r="H7" s="360">
        <v>1.4421666666666666E-2</v>
      </c>
      <c r="I7" s="360">
        <v>0.48065930176514887</v>
      </c>
      <c r="J7" s="360">
        <v>0.76274100657687671</v>
      </c>
      <c r="K7" s="360">
        <v>0</v>
      </c>
      <c r="L7" s="360">
        <v>0.48065930176514887</v>
      </c>
      <c r="M7" s="360">
        <v>0.76274100657687671</v>
      </c>
      <c r="N7" s="360">
        <v>1</v>
      </c>
      <c r="O7" s="360">
        <v>0.48065930176514887</v>
      </c>
      <c r="P7" s="360">
        <v>0.76274100657687671</v>
      </c>
      <c r="Q7" s="360">
        <v>0</v>
      </c>
      <c r="R7" s="360">
        <v>1.8773527182528646</v>
      </c>
      <c r="S7" s="360">
        <v>0.47884574601923718</v>
      </c>
      <c r="T7" s="360">
        <v>0.76688206423693139</v>
      </c>
      <c r="U7" s="360">
        <v>1.0394272873928936</v>
      </c>
      <c r="V7" s="360">
        <v>0.48088389758050004</v>
      </c>
      <c r="W7" s="360">
        <v>0.76274216950854579</v>
      </c>
      <c r="X7" s="360">
        <v>-10.256015736833591</v>
      </c>
      <c r="Y7" s="360">
        <v>0.44382470160980231</v>
      </c>
      <c r="Z7" s="360">
        <v>0.83075902141832203</v>
      </c>
      <c r="AA7" s="360">
        <v>0</v>
      </c>
      <c r="AB7" s="360">
        <v>0.44382470160980231</v>
      </c>
      <c r="AC7" s="360">
        <v>0.83075902141832203</v>
      </c>
      <c r="AD7" s="360">
        <v>1</v>
      </c>
      <c r="AE7" s="360">
        <v>0.44382470160980231</v>
      </c>
      <c r="AF7" s="360">
        <v>0.83075902141832203</v>
      </c>
      <c r="AG7" s="360">
        <v>0</v>
      </c>
      <c r="AH7" s="360">
        <v>1.8773527182528646</v>
      </c>
      <c r="AI7" s="360">
        <v>0.44299077557121197</v>
      </c>
      <c r="AJ7" s="360">
        <v>0.83349226188024761</v>
      </c>
      <c r="AK7" s="360">
        <v>1.0295142536947028</v>
      </c>
      <c r="AL7" s="360">
        <v>0.44387860135208246</v>
      </c>
      <c r="AM7" s="360">
        <v>0.83075929552492966</v>
      </c>
      <c r="AN7" s="360">
        <v>-3.3778721507523959</v>
      </c>
      <c r="AO7" s="360">
        <f t="shared" si="0"/>
        <v>1</v>
      </c>
      <c r="AP7" s="360">
        <f t="shared" si="1"/>
        <v>0</v>
      </c>
      <c r="AQ7" s="360">
        <f t="shared" si="2"/>
        <v>0</v>
      </c>
    </row>
    <row r="8" spans="1:43">
      <c r="A8" s="360" t="s">
        <v>1077</v>
      </c>
      <c r="B8" t="s">
        <v>1075</v>
      </c>
      <c r="C8">
        <v>1</v>
      </c>
      <c r="D8" t="s">
        <v>1080</v>
      </c>
      <c r="E8" t="s">
        <v>1079</v>
      </c>
      <c r="F8" s="360">
        <v>1</v>
      </c>
      <c r="G8" s="360" t="str">
        <f>CONCATENATE(A8," ",B8," ",C8," ","inf+"," ",FanUpsizes!D8," ",FanUpsizes!F8)</f>
        <v>10ACH Percentile 1 inf+ Existing 1</v>
      </c>
      <c r="H8" s="360">
        <v>3.1311016472793912E-2</v>
      </c>
      <c r="I8" s="360">
        <v>0.43175808550429129</v>
      </c>
      <c r="J8" s="360">
        <v>1.1005478134455673</v>
      </c>
      <c r="K8" s="360">
        <v>26.722315014753242</v>
      </c>
      <c r="L8" s="360">
        <v>0.40454547012900272</v>
      </c>
      <c r="M8" s="360">
        <v>1.2498320203057633</v>
      </c>
      <c r="N8" s="360">
        <v>1.6122507744585857</v>
      </c>
      <c r="O8" s="360">
        <v>0.46315116189065797</v>
      </c>
      <c r="P8" s="360">
        <v>1.1005490626382142</v>
      </c>
      <c r="Q8" s="360">
        <v>-368.79803436824233</v>
      </c>
      <c r="R8" s="360">
        <v>96.377573710482807</v>
      </c>
      <c r="S8" s="360">
        <v>0.37713555019408967</v>
      </c>
      <c r="T8" s="360">
        <v>1.3527717212622652</v>
      </c>
      <c r="U8" s="360">
        <v>2.5389432434296277</v>
      </c>
      <c r="V8" s="360">
        <v>0.47877699992708228</v>
      </c>
      <c r="W8" s="360">
        <v>1.1005481734853189</v>
      </c>
      <c r="X8" s="360">
        <v>-853.36181383722146</v>
      </c>
      <c r="Y8" s="360">
        <v>0.39994695758287879</v>
      </c>
      <c r="Z8" s="360">
        <v>1.163590764566949</v>
      </c>
      <c r="AA8" s="360">
        <v>26.722315014753242</v>
      </c>
      <c r="AB8" s="360">
        <v>0.37729589234775013</v>
      </c>
      <c r="AC8" s="360">
        <v>1.307628344470114</v>
      </c>
      <c r="AD8" s="360">
        <v>1.4072684643887403</v>
      </c>
      <c r="AE8" s="360">
        <v>0.42583793085327698</v>
      </c>
      <c r="AF8" s="360">
        <v>1.1635911372013594</v>
      </c>
      <c r="AG8" s="360">
        <v>-296.79083585212265</v>
      </c>
      <c r="AH8" s="360">
        <v>97.184897304829022</v>
      </c>
      <c r="AI8" s="360">
        <v>0.34836660743478598</v>
      </c>
      <c r="AJ8" s="360">
        <v>1.4464056450742568</v>
      </c>
      <c r="AK8" s="360">
        <v>2.1859665055786275</v>
      </c>
      <c r="AL8" s="360">
        <v>0.44316835833935425</v>
      </c>
      <c r="AM8" s="360">
        <v>1.1635911241970576</v>
      </c>
      <c r="AN8" s="360">
        <v>-826.20530676838746</v>
      </c>
      <c r="AO8" s="360">
        <f t="shared" si="0"/>
        <v>1</v>
      </c>
      <c r="AP8" s="360">
        <f t="shared" si="1"/>
        <v>1</v>
      </c>
      <c r="AQ8" s="360">
        <f t="shared" si="2"/>
        <v>1</v>
      </c>
    </row>
    <row r="9" spans="1:43">
      <c r="A9" s="360" t="s">
        <v>1077</v>
      </c>
      <c r="B9" t="s">
        <v>1074</v>
      </c>
      <c r="C9">
        <v>1</v>
      </c>
      <c r="D9" t="s">
        <v>1080</v>
      </c>
      <c r="E9" t="s">
        <v>1079</v>
      </c>
      <c r="F9" s="360">
        <v>1</v>
      </c>
      <c r="G9" s="360" t="str">
        <f>CONCATENATE(A9," ",B9," ",C9," ","inf+"," ",FanUpsizes!D9," ",FanUpsizes!F9)</f>
        <v>10ACH Infiltration 1 inf+ Existing 1</v>
      </c>
      <c r="H9" s="360">
        <v>3.1311016472793912E-2</v>
      </c>
      <c r="I9" s="360">
        <v>0.43175808550429129</v>
      </c>
      <c r="J9" s="360">
        <v>1.1005478134455673</v>
      </c>
      <c r="K9" s="360">
        <v>0</v>
      </c>
      <c r="L9" s="360">
        <v>0.43175808550429129</v>
      </c>
      <c r="M9" s="360">
        <v>1.1005478134455673</v>
      </c>
      <c r="N9" s="360">
        <v>1</v>
      </c>
      <c r="O9" s="360">
        <v>0.43175808550429129</v>
      </c>
      <c r="P9" s="360">
        <v>1.1005478134455673</v>
      </c>
      <c r="Q9" s="360">
        <v>0</v>
      </c>
      <c r="R9" s="360">
        <v>0.51205253605199441</v>
      </c>
      <c r="S9" s="360">
        <v>0.4312634337481579</v>
      </c>
      <c r="T9" s="360">
        <v>1.1016856933988128</v>
      </c>
      <c r="U9" s="360">
        <v>1.0031209061972592</v>
      </c>
      <c r="V9" s="360">
        <v>0.43163848551487433</v>
      </c>
      <c r="W9" s="360">
        <v>1.1005488546390756</v>
      </c>
      <c r="X9" s="360">
        <v>-1.5842661766524599</v>
      </c>
      <c r="Y9" s="360">
        <v>0.39994695758287879</v>
      </c>
      <c r="Z9" s="360">
        <v>1.163590764566949</v>
      </c>
      <c r="AA9" s="360">
        <v>0</v>
      </c>
      <c r="AB9" s="360">
        <v>0.39994695758287879</v>
      </c>
      <c r="AC9" s="360">
        <v>1.163590764566949</v>
      </c>
      <c r="AD9" s="360">
        <v>1</v>
      </c>
      <c r="AE9" s="360">
        <v>0.39994695758287879</v>
      </c>
      <c r="AF9" s="360">
        <v>1.163590764566949</v>
      </c>
      <c r="AG9" s="360">
        <v>0</v>
      </c>
      <c r="AH9" s="360">
        <v>0.51205253605173562</v>
      </c>
      <c r="AI9" s="360">
        <v>0.39951459906594655</v>
      </c>
      <c r="AJ9" s="360">
        <v>1.1648603570182088</v>
      </c>
      <c r="AK9" s="360">
        <v>1.0025073160823443</v>
      </c>
      <c r="AL9" s="360">
        <v>0.39987474143355889</v>
      </c>
      <c r="AM9" s="360">
        <v>1.1635978359927728</v>
      </c>
      <c r="AN9" s="360">
        <v>-1.368398489340416</v>
      </c>
      <c r="AO9" s="360">
        <f t="shared" si="0"/>
        <v>1</v>
      </c>
      <c r="AP9" s="360">
        <f t="shared" si="1"/>
        <v>0</v>
      </c>
      <c r="AQ9" s="360">
        <f t="shared" si="2"/>
        <v>0</v>
      </c>
    </row>
    <row r="10" spans="1:43">
      <c r="A10" s="360" t="s">
        <v>1077</v>
      </c>
      <c r="B10" t="s">
        <v>1076</v>
      </c>
      <c r="C10">
        <v>1</v>
      </c>
      <c r="D10" t="s">
        <v>1080</v>
      </c>
      <c r="E10" t="s">
        <v>1079</v>
      </c>
      <c r="F10" s="360">
        <v>1</v>
      </c>
      <c r="G10" s="360" t="str">
        <f>CONCATENATE(A10," ",B10," ",C10," ","inf+"," ",FanUpsizes!D10," ",FanUpsizes!F10)</f>
        <v>10ACH 5C 1 inf+ Existing 1</v>
      </c>
      <c r="H10" s="360">
        <v>3.1311016472793912E-2</v>
      </c>
      <c r="I10" s="360">
        <v>0.43175808550429129</v>
      </c>
      <c r="J10" s="360">
        <v>1.1005478134455673</v>
      </c>
      <c r="K10" s="360">
        <v>0</v>
      </c>
      <c r="L10" s="360">
        <v>0.43175808550429129</v>
      </c>
      <c r="M10" s="360">
        <v>1.1005478134455673</v>
      </c>
      <c r="N10" s="360">
        <v>1</v>
      </c>
      <c r="O10" s="360">
        <v>0.43175808550429129</v>
      </c>
      <c r="P10" s="360">
        <v>1.1005478134455673</v>
      </c>
      <c r="Q10" s="360">
        <v>0</v>
      </c>
      <c r="R10" s="360">
        <v>0.51205253605199441</v>
      </c>
      <c r="S10" s="360">
        <v>0.4312634337481579</v>
      </c>
      <c r="T10" s="360">
        <v>1.1016856933988128</v>
      </c>
      <c r="U10" s="360">
        <v>1.0031209061972592</v>
      </c>
      <c r="V10" s="360">
        <v>0.43163848551487433</v>
      </c>
      <c r="W10" s="360">
        <v>1.1005488546390756</v>
      </c>
      <c r="X10" s="360">
        <v>-1.5842661766524599</v>
      </c>
      <c r="Y10" s="360">
        <v>0.39994695758287879</v>
      </c>
      <c r="Z10" s="360">
        <v>1.163590764566949</v>
      </c>
      <c r="AA10" s="360">
        <v>0</v>
      </c>
      <c r="AB10" s="360">
        <v>0.39994695758287879</v>
      </c>
      <c r="AC10" s="360">
        <v>1.163590764566949</v>
      </c>
      <c r="AD10" s="360">
        <v>1</v>
      </c>
      <c r="AE10" s="360">
        <v>0.39994695758287879</v>
      </c>
      <c r="AF10" s="360">
        <v>1.163590764566949</v>
      </c>
      <c r="AG10" s="360">
        <v>0</v>
      </c>
      <c r="AH10" s="360">
        <v>0.51205253605173562</v>
      </c>
      <c r="AI10" s="360">
        <v>0.39951459906594655</v>
      </c>
      <c r="AJ10" s="360">
        <v>1.1648603570182088</v>
      </c>
      <c r="AK10" s="360">
        <v>1.0025073160823443</v>
      </c>
      <c r="AL10" s="360">
        <v>0.39987474143355889</v>
      </c>
      <c r="AM10" s="360">
        <v>1.1635978359927728</v>
      </c>
      <c r="AN10" s="360">
        <v>-1.368398489340416</v>
      </c>
      <c r="AO10" s="360">
        <f t="shared" si="0"/>
        <v>1</v>
      </c>
      <c r="AP10" s="360">
        <f t="shared" si="1"/>
        <v>0</v>
      </c>
      <c r="AQ10" s="360">
        <f t="shared" si="2"/>
        <v>0</v>
      </c>
    </row>
    <row r="11" spans="1:43">
      <c r="A11" s="360" t="s">
        <v>1077</v>
      </c>
      <c r="B11" t="s">
        <v>1075</v>
      </c>
      <c r="C11">
        <v>2</v>
      </c>
      <c r="D11" t="s">
        <v>1080</v>
      </c>
      <c r="E11" t="s">
        <v>1079</v>
      </c>
      <c r="F11" s="360">
        <v>1</v>
      </c>
      <c r="G11" s="360" t="str">
        <f>CONCATENATE(A11," ",B11," ",C11," ","inf+"," ",FanUpsizes!D11," ",FanUpsizes!F11)</f>
        <v>10ACH Percentile 2 inf+ Existing 1</v>
      </c>
      <c r="H11" s="360">
        <v>2.2299620620543158E-2</v>
      </c>
      <c r="I11" s="360">
        <v>0.50994784515413427</v>
      </c>
      <c r="J11" s="360">
        <v>0.97321657217914981</v>
      </c>
      <c r="K11" s="360">
        <v>19.031559944699918</v>
      </c>
      <c r="L11" s="360">
        <v>0.4912463379879165</v>
      </c>
      <c r="M11" s="360">
        <v>1.0498443180962016</v>
      </c>
      <c r="N11" s="360">
        <v>1.602692760737817</v>
      </c>
      <c r="O11" s="360">
        <v>0.5298138242535213</v>
      </c>
      <c r="P11" s="360">
        <v>0.97321660292822965</v>
      </c>
      <c r="Q11" s="360">
        <v>-258.03679270648365</v>
      </c>
      <c r="R11" s="360">
        <v>68.639845401999708</v>
      </c>
      <c r="S11" s="360">
        <v>0.47181873902850185</v>
      </c>
      <c r="T11" s="360">
        <v>1.1028495112900625</v>
      </c>
      <c r="U11" s="360">
        <v>2.5013680401361023</v>
      </c>
      <c r="V11" s="360">
        <v>0.53860324927272574</v>
      </c>
      <c r="W11" s="360">
        <v>0.97321671403259846</v>
      </c>
      <c r="X11" s="360">
        <v>-547.08488132304569</v>
      </c>
      <c r="Y11" s="360">
        <v>0.46458372550607246</v>
      </c>
      <c r="Z11" s="360">
        <v>1.0640995934591713</v>
      </c>
      <c r="AA11" s="360">
        <v>19.031559944699918</v>
      </c>
      <c r="AB11" s="360">
        <v>0.45405510209349237</v>
      </c>
      <c r="AC11" s="360">
        <v>1.1250284129388672</v>
      </c>
      <c r="AD11" s="360">
        <v>1.3741728251311223</v>
      </c>
      <c r="AE11" s="360">
        <v>0.47535751964704182</v>
      </c>
      <c r="AF11" s="360">
        <v>1.0640996266702594</v>
      </c>
      <c r="AG11" s="360">
        <v>-126.24191427206142</v>
      </c>
      <c r="AH11" s="360">
        <v>57.586082889641489</v>
      </c>
      <c r="AI11" s="360">
        <v>0.44107945632750739</v>
      </c>
      <c r="AJ11" s="360">
        <v>1.1763377094619309</v>
      </c>
      <c r="AK11" s="360">
        <v>2.1238991862253291</v>
      </c>
      <c r="AL11" s="360">
        <v>0.48353805196586896</v>
      </c>
      <c r="AM11" s="360">
        <v>1.0640996830272831</v>
      </c>
      <c r="AN11" s="360">
        <v>-383.56461432130078</v>
      </c>
      <c r="AO11" s="360">
        <f t="shared" si="0"/>
        <v>1</v>
      </c>
      <c r="AP11" s="360">
        <f t="shared" si="1"/>
        <v>1</v>
      </c>
      <c r="AQ11" s="360">
        <f t="shared" si="2"/>
        <v>1</v>
      </c>
    </row>
    <row r="12" spans="1:43">
      <c r="A12" s="360" t="s">
        <v>1077</v>
      </c>
      <c r="B12" t="s">
        <v>1074</v>
      </c>
      <c r="C12">
        <v>2</v>
      </c>
      <c r="D12" t="s">
        <v>1080</v>
      </c>
      <c r="E12" t="s">
        <v>1079</v>
      </c>
      <c r="F12" s="360">
        <v>1</v>
      </c>
      <c r="G12" s="360" t="str">
        <f>CONCATENATE(A12," ",B12," ",C12," ","inf+"," ",FanUpsizes!D12," ",FanUpsizes!F12)</f>
        <v>10ACH Infiltration 2 inf+ Existing 1</v>
      </c>
      <c r="H12" s="360">
        <v>2.2299620620543158E-2</v>
      </c>
      <c r="I12" s="360">
        <v>0.50994784515413427</v>
      </c>
      <c r="J12" s="360">
        <v>0.97321657217914981</v>
      </c>
      <c r="K12" s="360">
        <v>0</v>
      </c>
      <c r="L12" s="360">
        <v>0.50994784515413427</v>
      </c>
      <c r="M12" s="360">
        <v>0.97321657217914981</v>
      </c>
      <c r="N12" s="360">
        <v>1</v>
      </c>
      <c r="O12" s="360">
        <v>0.50994784515413427</v>
      </c>
      <c r="P12" s="360">
        <v>0.97321657217914981</v>
      </c>
      <c r="Q12" s="360">
        <v>0</v>
      </c>
      <c r="R12" s="360">
        <v>1.3274440124943843</v>
      </c>
      <c r="S12" s="360">
        <v>0.50866551089013046</v>
      </c>
      <c r="T12" s="360">
        <v>0.97597715096133231</v>
      </c>
      <c r="U12" s="360">
        <v>1.0140396070223241</v>
      </c>
      <c r="V12" s="360">
        <v>0.50981423773595902</v>
      </c>
      <c r="W12" s="360">
        <v>0.97321691908988173</v>
      </c>
      <c r="X12" s="360">
        <v>-5.3753665410371951</v>
      </c>
      <c r="Y12" s="360">
        <v>0.46458372550607246</v>
      </c>
      <c r="Z12" s="360">
        <v>1.0640995934591713</v>
      </c>
      <c r="AA12" s="360">
        <v>0</v>
      </c>
      <c r="AB12" s="360">
        <v>0.46458372550607246</v>
      </c>
      <c r="AC12" s="360">
        <v>1.0640995934591713</v>
      </c>
      <c r="AD12" s="360">
        <v>1</v>
      </c>
      <c r="AE12" s="360">
        <v>0.46458372550607246</v>
      </c>
      <c r="AF12" s="360">
        <v>1.0640995934591713</v>
      </c>
      <c r="AG12" s="360">
        <v>0</v>
      </c>
      <c r="AH12" s="360">
        <v>1.3274440124943843</v>
      </c>
      <c r="AI12" s="360">
        <v>0.46382470988784519</v>
      </c>
      <c r="AJ12" s="360">
        <v>1.0663450570076185</v>
      </c>
      <c r="AK12" s="360">
        <v>1.0098201918013876</v>
      </c>
      <c r="AL12" s="360">
        <v>0.46448449597283403</v>
      </c>
      <c r="AM12" s="360">
        <v>1.0640996888140439</v>
      </c>
      <c r="AN12" s="360">
        <v>-2.2609830964620046</v>
      </c>
      <c r="AO12" s="360">
        <f t="shared" si="0"/>
        <v>1</v>
      </c>
      <c r="AP12" s="360">
        <f t="shared" si="1"/>
        <v>0</v>
      </c>
      <c r="AQ12" s="360">
        <f t="shared" si="2"/>
        <v>0</v>
      </c>
    </row>
    <row r="13" spans="1:43">
      <c r="A13" s="360" t="s">
        <v>1077</v>
      </c>
      <c r="B13" t="s">
        <v>1076</v>
      </c>
      <c r="C13">
        <v>2</v>
      </c>
      <c r="D13" t="s">
        <v>1080</v>
      </c>
      <c r="E13" t="s">
        <v>1079</v>
      </c>
      <c r="F13" s="360">
        <v>1</v>
      </c>
      <c r="G13" s="360" t="str">
        <f>CONCATENATE(A13," ",B13," ",C13," ","inf+"," ",FanUpsizes!D13," ",FanUpsizes!F13)</f>
        <v>10ACH 5C 2 inf+ Existing 1</v>
      </c>
      <c r="H13" s="360">
        <v>2.2299620620543158E-2</v>
      </c>
      <c r="I13" s="360">
        <v>0.50994784515413427</v>
      </c>
      <c r="J13" s="360">
        <v>0.97321657217914981</v>
      </c>
      <c r="K13" s="360">
        <v>0</v>
      </c>
      <c r="L13" s="360">
        <v>0.50994784515413427</v>
      </c>
      <c r="M13" s="360">
        <v>0.97321657217914981</v>
      </c>
      <c r="N13" s="360">
        <v>1</v>
      </c>
      <c r="O13" s="360">
        <v>0.50994784515413427</v>
      </c>
      <c r="P13" s="360">
        <v>0.97321657217914981</v>
      </c>
      <c r="Q13" s="360">
        <v>0</v>
      </c>
      <c r="R13" s="360">
        <v>1.3274440124943843</v>
      </c>
      <c r="S13" s="360">
        <v>0.50866551089013046</v>
      </c>
      <c r="T13" s="360">
        <v>0.97597715096133231</v>
      </c>
      <c r="U13" s="360">
        <v>1.0140396070223241</v>
      </c>
      <c r="V13" s="360">
        <v>0.50981423773595902</v>
      </c>
      <c r="W13" s="360">
        <v>0.97321691908988173</v>
      </c>
      <c r="X13" s="360">
        <v>-5.3753665410371951</v>
      </c>
      <c r="Y13" s="360">
        <v>0.46458372550607246</v>
      </c>
      <c r="Z13" s="360">
        <v>1.0640995934591713</v>
      </c>
      <c r="AA13" s="360">
        <v>0</v>
      </c>
      <c r="AB13" s="360">
        <v>0.46458372550607246</v>
      </c>
      <c r="AC13" s="360">
        <v>1.0640995934591713</v>
      </c>
      <c r="AD13" s="360">
        <v>1</v>
      </c>
      <c r="AE13" s="360">
        <v>0.46458372550607246</v>
      </c>
      <c r="AF13" s="360">
        <v>1.0640995934591713</v>
      </c>
      <c r="AG13" s="360">
        <v>0</v>
      </c>
      <c r="AH13" s="360">
        <v>1.3274440124943843</v>
      </c>
      <c r="AI13" s="360">
        <v>0.46382470988784519</v>
      </c>
      <c r="AJ13" s="360">
        <v>1.0663450570076185</v>
      </c>
      <c r="AK13" s="360">
        <v>1.0098201918013876</v>
      </c>
      <c r="AL13" s="360">
        <v>0.46448449597283403</v>
      </c>
      <c r="AM13" s="360">
        <v>1.0640996888140439</v>
      </c>
      <c r="AN13" s="360">
        <v>-2.2609830964620046</v>
      </c>
      <c r="AO13" s="360">
        <f t="shared" si="0"/>
        <v>1</v>
      </c>
      <c r="AP13" s="360">
        <f t="shared" si="1"/>
        <v>0</v>
      </c>
      <c r="AQ13" s="360">
        <f t="shared" si="2"/>
        <v>0</v>
      </c>
    </row>
    <row r="14" spans="1:43">
      <c r="A14" s="360" t="s">
        <v>1081</v>
      </c>
      <c r="B14" t="s">
        <v>1075</v>
      </c>
      <c r="C14">
        <v>1</v>
      </c>
      <c r="D14" t="s">
        <v>1078</v>
      </c>
      <c r="E14" t="s">
        <v>1079</v>
      </c>
      <c r="F14" s="360">
        <v>1</v>
      </c>
      <c r="G14" s="360" t="str">
        <f>CONCATENATE(A14," ",B14," ",C14," ","inf+"," ",FanUpsizes!D14," ",FanUpsizes!F14)</f>
        <v>7ACH Percentile 1 inf+ New 1</v>
      </c>
      <c r="H14" s="360">
        <v>2.3522211530955739E-2</v>
      </c>
      <c r="I14" s="360">
        <v>0.30843884679479389</v>
      </c>
      <c r="J14" s="360">
        <v>1.1076057792403522</v>
      </c>
      <c r="K14" s="360">
        <v>20.074977346066639</v>
      </c>
      <c r="L14" s="360">
        <v>0.28785242439067377</v>
      </c>
      <c r="M14" s="360">
        <v>1.255020629789882</v>
      </c>
      <c r="N14" s="360">
        <v>1.5582363054593031</v>
      </c>
      <c r="O14" s="360">
        <v>0.32858550666727265</v>
      </c>
      <c r="P14" s="360">
        <v>1.1076059089185608</v>
      </c>
      <c r="Q14" s="360">
        <v>-251.3528554854083</v>
      </c>
      <c r="R14" s="360">
        <v>72.403068665229696</v>
      </c>
      <c r="S14" s="360">
        <v>0.26719551140851144</v>
      </c>
      <c r="T14" s="360">
        <v>1.3621698424311441</v>
      </c>
      <c r="U14" s="360">
        <v>2.4305657654511355</v>
      </c>
      <c r="V14" s="360">
        <v>0.3388986961518235</v>
      </c>
      <c r="W14" s="360">
        <v>1.1076060888842496</v>
      </c>
      <c r="X14" s="360">
        <v>-598.94474551510291</v>
      </c>
      <c r="Y14" s="360">
        <v>0.28749714556716399</v>
      </c>
      <c r="Z14" s="360">
        <v>1.1649214149061369</v>
      </c>
      <c r="AA14" s="360">
        <v>20.074977346066639</v>
      </c>
      <c r="AB14" s="360">
        <v>0.26977295249888694</v>
      </c>
      <c r="AC14" s="360">
        <v>1.3090568941640113</v>
      </c>
      <c r="AD14" s="360">
        <v>1.3800471797392886</v>
      </c>
      <c r="AE14" s="360">
        <v>0.30479971164771591</v>
      </c>
      <c r="AF14" s="360">
        <v>1.1649246818171144</v>
      </c>
      <c r="AG14" s="360">
        <v>-213.31720682610757</v>
      </c>
      <c r="AH14" s="360">
        <v>74.528833590423631</v>
      </c>
      <c r="AI14" s="360">
        <v>0.24708123388390871</v>
      </c>
      <c r="AJ14" s="360">
        <v>1.4554301036732613</v>
      </c>
      <c r="AK14" s="360">
        <v>2.1256025789875661</v>
      </c>
      <c r="AL14" s="360">
        <v>0.31649458733733121</v>
      </c>
      <c r="AM14" s="360">
        <v>1.1649231645869091</v>
      </c>
      <c r="AN14" s="360">
        <v>-598.6034518309109</v>
      </c>
      <c r="AO14" s="360">
        <f t="shared" si="0"/>
        <v>1</v>
      </c>
      <c r="AP14" s="360">
        <f t="shared" si="1"/>
        <v>1</v>
      </c>
      <c r="AQ14" s="360">
        <f t="shared" si="2"/>
        <v>1</v>
      </c>
    </row>
    <row r="15" spans="1:43">
      <c r="A15" s="360" t="s">
        <v>1081</v>
      </c>
      <c r="B15" t="s">
        <v>1074</v>
      </c>
      <c r="C15">
        <v>1</v>
      </c>
      <c r="D15" t="s">
        <v>1078</v>
      </c>
      <c r="E15" t="s">
        <v>1079</v>
      </c>
      <c r="F15" s="360">
        <v>1</v>
      </c>
      <c r="G15" s="360" t="str">
        <f>CONCATENATE(A15," ",B15," ",C15," ","inf+"," ",FanUpsizes!D15," ",FanUpsizes!F15)</f>
        <v>7ACH Infiltration 1 inf+ New 1</v>
      </c>
      <c r="H15" s="360">
        <v>2.3522211530955739E-2</v>
      </c>
      <c r="I15" s="360">
        <v>0.30843884679479389</v>
      </c>
      <c r="J15" s="360">
        <v>1.1076057792403522</v>
      </c>
      <c r="K15" s="360">
        <v>0</v>
      </c>
      <c r="L15" s="360">
        <v>0.30843884679479389</v>
      </c>
      <c r="M15" s="360">
        <v>1.1076057792403522</v>
      </c>
      <c r="N15" s="360">
        <v>1</v>
      </c>
      <c r="O15" s="360">
        <v>0.30843884679479389</v>
      </c>
      <c r="P15" s="360">
        <v>1.1076057792403522</v>
      </c>
      <c r="Q15" s="360">
        <v>0</v>
      </c>
      <c r="R15" s="360">
        <v>0.27183796610647637</v>
      </c>
      <c r="S15" s="360">
        <v>0.3081762465382748</v>
      </c>
      <c r="T15" s="360">
        <v>1.108408563984197</v>
      </c>
      <c r="U15" s="360">
        <v>1.0021082151195471</v>
      </c>
      <c r="V15" s="360">
        <v>0.30836810123083114</v>
      </c>
      <c r="W15" s="360">
        <v>1.1076102047646388</v>
      </c>
      <c r="X15" s="360">
        <v>-0.79223058382666856</v>
      </c>
      <c r="Y15" s="360">
        <v>0.28749714556716399</v>
      </c>
      <c r="Z15" s="360">
        <v>1.1649214149061369</v>
      </c>
      <c r="AA15" s="360">
        <v>0</v>
      </c>
      <c r="AB15" s="360">
        <v>0.28749714556716399</v>
      </c>
      <c r="AC15" s="360">
        <v>1.1649214149061369</v>
      </c>
      <c r="AD15" s="360">
        <v>1</v>
      </c>
      <c r="AE15" s="360">
        <v>0.28749714556716399</v>
      </c>
      <c r="AF15" s="360">
        <v>1.1649214149061369</v>
      </c>
      <c r="AG15" s="360">
        <v>0</v>
      </c>
      <c r="AH15" s="360">
        <v>0.27183796610647637</v>
      </c>
      <c r="AI15" s="360">
        <v>0.28726148145475322</v>
      </c>
      <c r="AJ15" s="360">
        <v>1.1658233502610582</v>
      </c>
      <c r="AK15" s="360">
        <v>1.0017064025888023</v>
      </c>
      <c r="AL15" s="360">
        <v>0.28745272633761221</v>
      </c>
      <c r="AM15" s="360">
        <v>1.1649216428838944</v>
      </c>
      <c r="AN15" s="360">
        <v>-0.72566274299235134</v>
      </c>
      <c r="AO15" s="360">
        <f t="shared" si="0"/>
        <v>1</v>
      </c>
      <c r="AP15" s="360">
        <f t="shared" si="1"/>
        <v>0</v>
      </c>
      <c r="AQ15" s="360">
        <f t="shared" si="2"/>
        <v>0</v>
      </c>
    </row>
    <row r="16" spans="1:43">
      <c r="A16" s="360" t="s">
        <v>1081</v>
      </c>
      <c r="B16" t="s">
        <v>1076</v>
      </c>
      <c r="C16">
        <v>1</v>
      </c>
      <c r="D16" t="s">
        <v>1078</v>
      </c>
      <c r="E16" t="s">
        <v>1079</v>
      </c>
      <c r="F16" s="360">
        <v>1</v>
      </c>
      <c r="G16" s="360" t="str">
        <f>CONCATENATE(A16," ",B16," ",C16," ","inf+"," ",FanUpsizes!D16," ",FanUpsizes!F16)</f>
        <v>7ACH 5C 1 inf+ New 1</v>
      </c>
      <c r="H16" s="360">
        <v>2.3522211530955739E-2</v>
      </c>
      <c r="I16" s="360">
        <v>0.30843884679479389</v>
      </c>
      <c r="J16" s="360">
        <v>1.1076057792403522</v>
      </c>
      <c r="K16" s="360">
        <v>0</v>
      </c>
      <c r="L16" s="360">
        <v>0.30843884679479389</v>
      </c>
      <c r="M16" s="360">
        <v>1.1076057792403522</v>
      </c>
      <c r="N16" s="360">
        <v>1</v>
      </c>
      <c r="O16" s="360">
        <v>0.30843884679479389</v>
      </c>
      <c r="P16" s="360">
        <v>1.1076057792403522</v>
      </c>
      <c r="Q16" s="360">
        <v>0</v>
      </c>
      <c r="R16" s="360">
        <v>0.27183796610647637</v>
      </c>
      <c r="S16" s="360">
        <v>0.3081762465382748</v>
      </c>
      <c r="T16" s="360">
        <v>1.108408563984197</v>
      </c>
      <c r="U16" s="360">
        <v>1.0021082151195471</v>
      </c>
      <c r="V16" s="360">
        <v>0.30836810123083114</v>
      </c>
      <c r="W16" s="360">
        <v>1.1076102047646388</v>
      </c>
      <c r="X16" s="360">
        <v>-0.79223058382666856</v>
      </c>
      <c r="Y16" s="360">
        <v>0.28749714556716399</v>
      </c>
      <c r="Z16" s="360">
        <v>1.1649214149061369</v>
      </c>
      <c r="AA16" s="360">
        <v>0</v>
      </c>
      <c r="AB16" s="360">
        <v>0.28749714556716399</v>
      </c>
      <c r="AC16" s="360">
        <v>1.1649214149061369</v>
      </c>
      <c r="AD16" s="360">
        <v>1</v>
      </c>
      <c r="AE16" s="360">
        <v>0.28749714556716399</v>
      </c>
      <c r="AF16" s="360">
        <v>1.1649214149061369</v>
      </c>
      <c r="AG16" s="360">
        <v>0</v>
      </c>
      <c r="AH16" s="360">
        <v>0.27183796610647637</v>
      </c>
      <c r="AI16" s="360">
        <v>0.28726148145475322</v>
      </c>
      <c r="AJ16" s="360">
        <v>1.1658233502610582</v>
      </c>
      <c r="AK16" s="360">
        <v>1.0017064025888023</v>
      </c>
      <c r="AL16" s="360">
        <v>0.28745272633761221</v>
      </c>
      <c r="AM16" s="360">
        <v>1.1649216428838944</v>
      </c>
      <c r="AN16" s="360">
        <v>-0.72566274299235134</v>
      </c>
      <c r="AO16" s="360">
        <f t="shared" si="0"/>
        <v>1</v>
      </c>
      <c r="AP16" s="360">
        <f t="shared" si="1"/>
        <v>0</v>
      </c>
      <c r="AQ16" s="360">
        <f t="shared" si="2"/>
        <v>0</v>
      </c>
    </row>
    <row r="17" spans="1:43">
      <c r="A17" s="360" t="s">
        <v>1081</v>
      </c>
      <c r="B17" t="s">
        <v>1075</v>
      </c>
      <c r="C17">
        <v>2</v>
      </c>
      <c r="D17" t="s">
        <v>1078</v>
      </c>
      <c r="E17" t="s">
        <v>1079</v>
      </c>
      <c r="F17" s="360">
        <v>1</v>
      </c>
      <c r="G17" s="360" t="str">
        <f>CONCATENATE(A17," ",B17," ",C17," ","inf+"," ",FanUpsizes!D17," ",FanUpsizes!F17)</f>
        <v>7ACH Percentile 2 inf+ New 1</v>
      </c>
      <c r="H17" s="360">
        <v>1.7214234434380214E-2</v>
      </c>
      <c r="I17" s="360">
        <v>0.36294803992225616</v>
      </c>
      <c r="J17" s="360">
        <v>0.97882602323514567</v>
      </c>
      <c r="K17" s="360">
        <v>14.691448797029826</v>
      </c>
      <c r="L17" s="360">
        <v>0.34847091540806963</v>
      </c>
      <c r="M17" s="360">
        <v>1.0556894852498053</v>
      </c>
      <c r="N17" s="360">
        <v>1.555730288098965</v>
      </c>
      <c r="O17" s="360">
        <v>0.37595385162517814</v>
      </c>
      <c r="P17" s="360">
        <v>0.97882637450273635</v>
      </c>
      <c r="Q17" s="360">
        <v>-182.52596224566221</v>
      </c>
      <c r="R17" s="360">
        <v>52.986658849295452</v>
      </c>
      <c r="S17" s="360">
        <v>0.33347374354244769</v>
      </c>
      <c r="T17" s="360">
        <v>1.1117147634089366</v>
      </c>
      <c r="U17" s="360">
        <v>2.404812084405862</v>
      </c>
      <c r="V17" s="360">
        <v>0.38171260531830919</v>
      </c>
      <c r="W17" s="360">
        <v>0.97882832762886407</v>
      </c>
      <c r="X17" s="360">
        <v>-391.75509153344234</v>
      </c>
      <c r="Y17" s="360">
        <v>0.33031047007410669</v>
      </c>
      <c r="Z17" s="360">
        <v>1.0689686585354299</v>
      </c>
      <c r="AA17" s="360">
        <v>14.691448797029826</v>
      </c>
      <c r="AB17" s="360">
        <v>0.3215868943644748</v>
      </c>
      <c r="AC17" s="360">
        <v>1.1318932821032253</v>
      </c>
      <c r="AD17" s="360">
        <v>1.345099580687263</v>
      </c>
      <c r="AE17" s="360">
        <v>0.33771233378208321</v>
      </c>
      <c r="AF17" s="360">
        <v>1.0689724011777393</v>
      </c>
      <c r="AG17" s="360">
        <v>-94.68483277781327</v>
      </c>
      <c r="AH17" s="360">
        <v>45.690029397595403</v>
      </c>
      <c r="AI17" s="360">
        <v>0.31075027471049899</v>
      </c>
      <c r="AJ17" s="360">
        <v>1.1889380267366767</v>
      </c>
      <c r="AK17" s="360">
        <v>2.0533886377002042</v>
      </c>
      <c r="AL17" s="360">
        <v>0.34323075954999266</v>
      </c>
      <c r="AM17" s="360">
        <v>1.0689688608281169</v>
      </c>
      <c r="AN17" s="360">
        <v>-289.00802917862325</v>
      </c>
      <c r="AO17" s="360">
        <f t="shared" si="0"/>
        <v>1</v>
      </c>
      <c r="AP17" s="360">
        <f t="shared" si="1"/>
        <v>1</v>
      </c>
      <c r="AQ17" s="360">
        <f t="shared" si="2"/>
        <v>1</v>
      </c>
    </row>
    <row r="18" spans="1:43">
      <c r="A18" s="360" t="s">
        <v>1081</v>
      </c>
      <c r="B18" t="s">
        <v>1074</v>
      </c>
      <c r="C18">
        <v>2</v>
      </c>
      <c r="D18" t="s">
        <v>1078</v>
      </c>
      <c r="E18" t="s">
        <v>1079</v>
      </c>
      <c r="F18" s="360">
        <v>1</v>
      </c>
      <c r="G18" s="360" t="str">
        <f>CONCATENATE(A18," ",B18," ",C18," ","inf+"," ",FanUpsizes!D18," ",FanUpsizes!F18)</f>
        <v>7ACH Infiltration 2 inf+ New 1</v>
      </c>
      <c r="H18" s="360">
        <v>1.7214234434380214E-2</v>
      </c>
      <c r="I18" s="360">
        <v>0.36294803992225616</v>
      </c>
      <c r="J18" s="360">
        <v>0.97882602323514567</v>
      </c>
      <c r="K18" s="360">
        <v>0</v>
      </c>
      <c r="L18" s="360">
        <v>0.36294803992225616</v>
      </c>
      <c r="M18" s="360">
        <v>0.97882602323514567</v>
      </c>
      <c r="N18" s="360">
        <v>1</v>
      </c>
      <c r="O18" s="360">
        <v>0.36294803992225616</v>
      </c>
      <c r="P18" s="360">
        <v>0.97882602323514567</v>
      </c>
      <c r="Q18" s="360">
        <v>0</v>
      </c>
      <c r="R18" s="360">
        <v>1.0247229232470476</v>
      </c>
      <c r="S18" s="360">
        <v>0.36195813955491646</v>
      </c>
      <c r="T18" s="360">
        <v>0.9818319346265052</v>
      </c>
      <c r="U18" s="360">
        <v>1.0145039895299688</v>
      </c>
      <c r="V18" s="360">
        <v>0.36287549469082442</v>
      </c>
      <c r="W18" s="360">
        <v>0.97882602328940305</v>
      </c>
      <c r="X18" s="360">
        <v>-4.3206709213896701</v>
      </c>
      <c r="Y18" s="360">
        <v>0.33031047007410669</v>
      </c>
      <c r="Z18" s="360">
        <v>1.0689686585354299</v>
      </c>
      <c r="AA18" s="360">
        <v>0</v>
      </c>
      <c r="AB18" s="360">
        <v>0.33031047007410669</v>
      </c>
      <c r="AC18" s="360">
        <v>1.0689686585354299</v>
      </c>
      <c r="AD18" s="360">
        <v>1</v>
      </c>
      <c r="AE18" s="360">
        <v>0.33031047007410669</v>
      </c>
      <c r="AF18" s="360">
        <v>1.0689686585354299</v>
      </c>
      <c r="AG18" s="360">
        <v>0</v>
      </c>
      <c r="AH18" s="360">
        <v>1.0247229232470476</v>
      </c>
      <c r="AI18" s="360">
        <v>0.32967254479653363</v>
      </c>
      <c r="AJ18" s="360">
        <v>1.0715979907953495</v>
      </c>
      <c r="AK18" s="360">
        <v>1.01051249863146</v>
      </c>
      <c r="AL18" s="360">
        <v>0.33025778955983415</v>
      </c>
      <c r="AM18" s="360">
        <v>1.0689691476510652</v>
      </c>
      <c r="AN18" s="360">
        <v>-2.1342646238944982</v>
      </c>
      <c r="AO18" s="360">
        <f t="shared" si="0"/>
        <v>1</v>
      </c>
      <c r="AP18" s="360">
        <f t="shared" si="1"/>
        <v>0</v>
      </c>
      <c r="AQ18" s="360">
        <f t="shared" si="2"/>
        <v>0</v>
      </c>
    </row>
    <row r="19" spans="1:43">
      <c r="A19" s="360" t="s">
        <v>1081</v>
      </c>
      <c r="B19" t="s">
        <v>1076</v>
      </c>
      <c r="C19">
        <v>2</v>
      </c>
      <c r="D19" t="s">
        <v>1078</v>
      </c>
      <c r="E19" t="s">
        <v>1079</v>
      </c>
      <c r="F19" s="360">
        <v>1</v>
      </c>
      <c r="G19" s="360" t="str">
        <f>CONCATENATE(A19," ",B19," ",C19," ","inf+"," ",FanUpsizes!D19," ",FanUpsizes!F19)</f>
        <v>7ACH 5C 2 inf+ New 1</v>
      </c>
      <c r="H19" s="360">
        <v>1.7214234434380214E-2</v>
      </c>
      <c r="I19" s="360">
        <v>0.36294803992225616</v>
      </c>
      <c r="J19" s="360">
        <v>0.97882602323514567</v>
      </c>
      <c r="K19" s="360">
        <v>0</v>
      </c>
      <c r="L19" s="360">
        <v>0.36294803992225616</v>
      </c>
      <c r="M19" s="360">
        <v>0.97882602323514567</v>
      </c>
      <c r="N19" s="360">
        <v>1</v>
      </c>
      <c r="O19" s="360">
        <v>0.36294803992225616</v>
      </c>
      <c r="P19" s="360">
        <v>0.97882602323514567</v>
      </c>
      <c r="Q19" s="360">
        <v>0</v>
      </c>
      <c r="R19" s="360">
        <v>1.0247229232470476</v>
      </c>
      <c r="S19" s="360">
        <v>0.36195813955491646</v>
      </c>
      <c r="T19" s="360">
        <v>0.9818319346265052</v>
      </c>
      <c r="U19" s="360">
        <v>1.0145039895299688</v>
      </c>
      <c r="V19" s="360">
        <v>0.36287549469082442</v>
      </c>
      <c r="W19" s="360">
        <v>0.97882602328940305</v>
      </c>
      <c r="X19" s="360">
        <v>-4.3206709213896701</v>
      </c>
      <c r="Y19" s="360">
        <v>0.33031047007410669</v>
      </c>
      <c r="Z19" s="360">
        <v>1.0689686585354299</v>
      </c>
      <c r="AA19" s="360">
        <v>0</v>
      </c>
      <c r="AB19" s="360">
        <v>0.33031047007410669</v>
      </c>
      <c r="AC19" s="360">
        <v>1.0689686585354299</v>
      </c>
      <c r="AD19" s="360">
        <v>1</v>
      </c>
      <c r="AE19" s="360">
        <v>0.33031047007410669</v>
      </c>
      <c r="AF19" s="360">
        <v>1.0689686585354299</v>
      </c>
      <c r="AG19" s="360">
        <v>0</v>
      </c>
      <c r="AH19" s="360">
        <v>1.0247229232470476</v>
      </c>
      <c r="AI19" s="360">
        <v>0.32967254479653363</v>
      </c>
      <c r="AJ19" s="360">
        <v>1.0715979907953495</v>
      </c>
      <c r="AK19" s="360">
        <v>1.01051249863146</v>
      </c>
      <c r="AL19" s="360">
        <v>0.33025778955983415</v>
      </c>
      <c r="AM19" s="360">
        <v>1.0689691476510652</v>
      </c>
      <c r="AN19" s="360">
        <v>-2.1342646238944982</v>
      </c>
      <c r="AO19" s="360">
        <f t="shared" si="0"/>
        <v>1</v>
      </c>
      <c r="AP19" s="360">
        <f t="shared" si="1"/>
        <v>0</v>
      </c>
      <c r="AQ19" s="360">
        <f t="shared" si="2"/>
        <v>0</v>
      </c>
    </row>
    <row r="20" spans="1:43">
      <c r="A20" s="360" t="s">
        <v>1081</v>
      </c>
      <c r="B20" t="s">
        <v>1075</v>
      </c>
      <c r="C20">
        <v>1</v>
      </c>
      <c r="D20" t="s">
        <v>1080</v>
      </c>
      <c r="E20" t="s">
        <v>1079</v>
      </c>
      <c r="F20" s="360">
        <v>1</v>
      </c>
      <c r="G20" s="360" t="str">
        <f>CONCATENATE(A20," ",B20," ",C20," ","inf+"," ",FanUpsizes!D20," ",FanUpsizes!F20)</f>
        <v>7ACH Percentile 1 inf+ Existing 1</v>
      </c>
      <c r="H20" s="360">
        <v>3.9772211530955739E-2</v>
      </c>
      <c r="I20" s="360">
        <v>0.3774061238286967</v>
      </c>
      <c r="J20" s="360">
        <v>1.2073469219657293</v>
      </c>
      <c r="K20" s="360">
        <v>33.943502482161101</v>
      </c>
      <c r="L20" s="360">
        <v>0.33926916193487983</v>
      </c>
      <c r="M20" s="360">
        <v>1.4792532944990602</v>
      </c>
      <c r="N20" s="360">
        <v>1.5875341012644502</v>
      </c>
      <c r="O20" s="360">
        <v>0.43332298584245404</v>
      </c>
      <c r="P20" s="360">
        <v>1.2073496598069533</v>
      </c>
      <c r="Q20" s="360">
        <v>-568.55269405572176</v>
      </c>
      <c r="R20" s="360">
        <v>124.46595757769229</v>
      </c>
      <c r="S20" s="360">
        <v>0.29973400120849109</v>
      </c>
      <c r="T20" s="360">
        <v>1.6900757503787593</v>
      </c>
      <c r="U20" s="360">
        <v>2.4873952845267588</v>
      </c>
      <c r="V20" s="360">
        <v>0.46577418173268592</v>
      </c>
      <c r="W20" s="360">
        <v>1.207346951402432</v>
      </c>
      <c r="X20" s="360">
        <v>-1463.1313238250543</v>
      </c>
      <c r="Y20" s="360">
        <v>0.37564887936981944</v>
      </c>
      <c r="Z20" s="360">
        <v>1.1921380391276366</v>
      </c>
      <c r="AA20" s="360">
        <v>33.943502482161101</v>
      </c>
      <c r="AB20" s="360">
        <v>0.33673617141508305</v>
      </c>
      <c r="AC20" s="360">
        <v>1.4681315452670425</v>
      </c>
      <c r="AD20" s="360">
        <v>1.5361148181279709</v>
      </c>
      <c r="AE20" s="360">
        <v>0.43983300236980633</v>
      </c>
      <c r="AF20" s="360">
        <v>1.1921380409161131</v>
      </c>
      <c r="AG20" s="360">
        <v>-653.96146018676768</v>
      </c>
      <c r="AH20" s="360">
        <v>144.54605393127792</v>
      </c>
      <c r="AI20" s="360">
        <v>0.2868049062870463</v>
      </c>
      <c r="AJ20" s="360">
        <v>1.7407256664109414</v>
      </c>
      <c r="AK20" s="360">
        <v>2.4362513725044197</v>
      </c>
      <c r="AL20" s="360">
        <v>0.47459309021570845</v>
      </c>
      <c r="AM20" s="360">
        <v>1.1921381827733073</v>
      </c>
      <c r="AN20" s="360">
        <v>-1594.5207576311293</v>
      </c>
      <c r="AO20" s="360">
        <f t="shared" si="0"/>
        <v>1</v>
      </c>
      <c r="AP20" s="360">
        <f t="shared" si="1"/>
        <v>1</v>
      </c>
      <c r="AQ20" s="360">
        <f t="shared" si="2"/>
        <v>1</v>
      </c>
    </row>
    <row r="21" spans="1:43">
      <c r="A21" s="360" t="s">
        <v>1081</v>
      </c>
      <c r="B21" t="s">
        <v>1074</v>
      </c>
      <c r="C21">
        <v>1</v>
      </c>
      <c r="D21" t="s">
        <v>1080</v>
      </c>
      <c r="E21" t="s">
        <v>1079</v>
      </c>
      <c r="F21" s="360">
        <v>1</v>
      </c>
      <c r="G21" s="360" t="str">
        <f>CONCATENATE(A21," ",B21," ",C21," ","inf+"," ",FanUpsizes!D21," ",FanUpsizes!F21)</f>
        <v>7ACH Infiltration 1 inf+ Existing 1</v>
      </c>
      <c r="H21" s="360">
        <v>3.9772211530955739E-2</v>
      </c>
      <c r="I21" s="360">
        <v>0.3774061238286967</v>
      </c>
      <c r="J21" s="360">
        <v>1.2073469219657293</v>
      </c>
      <c r="K21" s="360">
        <v>0</v>
      </c>
      <c r="L21" s="360">
        <v>0.3774061238286967</v>
      </c>
      <c r="M21" s="360">
        <v>1.2073469219657293</v>
      </c>
      <c r="N21" s="360">
        <v>1</v>
      </c>
      <c r="O21" s="360">
        <v>0.3774061238286967</v>
      </c>
      <c r="P21" s="360">
        <v>1.2073469219657293</v>
      </c>
      <c r="Q21" s="360">
        <v>0</v>
      </c>
      <c r="R21" s="360">
        <v>0</v>
      </c>
      <c r="S21" s="360">
        <v>0.3774061238286967</v>
      </c>
      <c r="T21" s="360">
        <v>1.2073469219657293</v>
      </c>
      <c r="U21" s="360">
        <v>1</v>
      </c>
      <c r="V21" s="360">
        <v>0.3774061238286967</v>
      </c>
      <c r="W21" s="360">
        <v>1.2073469219657293</v>
      </c>
      <c r="X21" s="360">
        <v>0</v>
      </c>
      <c r="Y21" s="360">
        <v>0.37564887936981944</v>
      </c>
      <c r="Z21" s="360">
        <v>1.1921380391276366</v>
      </c>
      <c r="AA21" s="360">
        <v>0</v>
      </c>
      <c r="AB21" s="360">
        <v>0.37564887936981944</v>
      </c>
      <c r="AC21" s="360">
        <v>1.1921380391276366</v>
      </c>
      <c r="AD21" s="360">
        <v>1</v>
      </c>
      <c r="AE21" s="360">
        <v>0.37564887936981944</v>
      </c>
      <c r="AF21" s="360">
        <v>1.1921380391276366</v>
      </c>
      <c r="AG21" s="360">
        <v>0</v>
      </c>
      <c r="AH21" s="360">
        <v>0</v>
      </c>
      <c r="AI21" s="360">
        <v>0.37564887936981944</v>
      </c>
      <c r="AJ21" s="360">
        <v>1.1921380391276366</v>
      </c>
      <c r="AK21" s="360">
        <v>1</v>
      </c>
      <c r="AL21" s="360">
        <v>0.37564887936981944</v>
      </c>
      <c r="AM21" s="360">
        <v>1.1921380391276366</v>
      </c>
      <c r="AN21" s="360">
        <v>0</v>
      </c>
      <c r="AO21" s="360">
        <f t="shared" si="0"/>
        <v>1</v>
      </c>
      <c r="AP21" s="360">
        <f t="shared" si="1"/>
        <v>0</v>
      </c>
      <c r="AQ21" s="360">
        <f t="shared" si="2"/>
        <v>0</v>
      </c>
    </row>
    <row r="22" spans="1:43">
      <c r="A22" s="360" t="s">
        <v>1081</v>
      </c>
      <c r="B22" t="s">
        <v>1076</v>
      </c>
      <c r="C22">
        <v>1</v>
      </c>
      <c r="D22" t="s">
        <v>1080</v>
      </c>
      <c r="E22" t="s">
        <v>1079</v>
      </c>
      <c r="F22" s="360">
        <v>1</v>
      </c>
      <c r="G22" s="360" t="str">
        <f>CONCATENATE(A22," ",B22," ",C22," ","inf+"," ",FanUpsizes!D22," ",FanUpsizes!F22)</f>
        <v>7ACH 5C 1 inf+ Existing 1</v>
      </c>
      <c r="H22" s="360">
        <v>3.9772211530955739E-2</v>
      </c>
      <c r="I22" s="360">
        <v>0.3774061238286967</v>
      </c>
      <c r="J22" s="360">
        <v>1.2073469219657293</v>
      </c>
      <c r="K22" s="360">
        <v>0</v>
      </c>
      <c r="L22" s="360">
        <v>0.3774061238286967</v>
      </c>
      <c r="M22" s="360">
        <v>1.2073469219657293</v>
      </c>
      <c r="N22" s="360">
        <v>1</v>
      </c>
      <c r="O22" s="360">
        <v>0.3774061238286967</v>
      </c>
      <c r="P22" s="360">
        <v>1.2073469219657293</v>
      </c>
      <c r="Q22" s="360">
        <v>0</v>
      </c>
      <c r="R22" s="360">
        <v>0</v>
      </c>
      <c r="S22" s="360">
        <v>0.3774061238286967</v>
      </c>
      <c r="T22" s="360">
        <v>1.2073469219657293</v>
      </c>
      <c r="U22" s="360">
        <v>1</v>
      </c>
      <c r="V22" s="360">
        <v>0.3774061238286967</v>
      </c>
      <c r="W22" s="360">
        <v>1.2073469219657293</v>
      </c>
      <c r="X22" s="360">
        <v>0</v>
      </c>
      <c r="Y22" s="360">
        <v>0.37564887936981944</v>
      </c>
      <c r="Z22" s="360">
        <v>1.1921380391276366</v>
      </c>
      <c r="AA22" s="360">
        <v>0</v>
      </c>
      <c r="AB22" s="360">
        <v>0.37564887936981944</v>
      </c>
      <c r="AC22" s="360">
        <v>1.1921380391276366</v>
      </c>
      <c r="AD22" s="360">
        <v>1</v>
      </c>
      <c r="AE22" s="360">
        <v>0.37564887936981944</v>
      </c>
      <c r="AF22" s="360">
        <v>1.1921380391276366</v>
      </c>
      <c r="AG22" s="360">
        <v>0</v>
      </c>
      <c r="AH22" s="360">
        <v>0</v>
      </c>
      <c r="AI22" s="360">
        <v>0.37564887936981944</v>
      </c>
      <c r="AJ22" s="360">
        <v>1.1921380391276366</v>
      </c>
      <c r="AK22" s="360">
        <v>1</v>
      </c>
      <c r="AL22" s="360">
        <v>0.37564887936981944</v>
      </c>
      <c r="AM22" s="360">
        <v>1.1921380391276366</v>
      </c>
      <c r="AN22" s="360">
        <v>0</v>
      </c>
      <c r="AO22" s="360">
        <f t="shared" si="0"/>
        <v>1</v>
      </c>
      <c r="AP22" s="360">
        <f t="shared" si="1"/>
        <v>0</v>
      </c>
      <c r="AQ22" s="360">
        <f t="shared" si="2"/>
        <v>0</v>
      </c>
    </row>
    <row r="23" spans="1:43">
      <c r="A23" s="360" t="s">
        <v>1081</v>
      </c>
      <c r="B23" t="s">
        <v>1075</v>
      </c>
      <c r="C23">
        <v>2</v>
      </c>
      <c r="D23" t="s">
        <v>1080</v>
      </c>
      <c r="E23" t="s">
        <v>1079</v>
      </c>
      <c r="F23" s="360">
        <v>1</v>
      </c>
      <c r="G23" s="360" t="str">
        <f>CONCATENATE(A23," ",B23," ",C23," ","inf+"," ",FanUpsizes!D23," ",FanUpsizes!F23)</f>
        <v>7ACH Percentile 2 inf+ Existing 1</v>
      </c>
      <c r="H23" s="360">
        <v>3.3464234434380215E-2</v>
      </c>
      <c r="I23" s="360">
        <v>0.4249454834155747</v>
      </c>
      <c r="J23" s="360">
        <v>1.1140542637611635</v>
      </c>
      <c r="K23" s="360">
        <v>28.559973933130241</v>
      </c>
      <c r="L23" s="360">
        <v>0.39546275350449167</v>
      </c>
      <c r="M23" s="360">
        <v>1.2815595655427132</v>
      </c>
      <c r="N23" s="360">
        <v>1.5926019230547788</v>
      </c>
      <c r="O23" s="360">
        <v>0.45905316061067675</v>
      </c>
      <c r="P23" s="360">
        <v>1.1140558783722503</v>
      </c>
      <c r="Q23" s="360">
        <v>-386.71782584234842</v>
      </c>
      <c r="R23" s="360">
        <v>103.00533435783873</v>
      </c>
      <c r="S23" s="360">
        <v>0.36588862737440803</v>
      </c>
      <c r="T23" s="360">
        <v>1.3990215058907975</v>
      </c>
      <c r="U23" s="360">
        <v>2.501019099417948</v>
      </c>
      <c r="V23" s="360">
        <v>0.47700154604932815</v>
      </c>
      <c r="W23" s="360">
        <v>1.1140544169837983</v>
      </c>
      <c r="X23" s="360">
        <v>-943.09703500909234</v>
      </c>
      <c r="Y23" s="360">
        <v>0.39829409982315589</v>
      </c>
      <c r="Z23" s="360">
        <v>1.1608574958510351</v>
      </c>
      <c r="AA23" s="360">
        <v>28.559973933130241</v>
      </c>
      <c r="AB23" s="360">
        <v>0.37241401391393014</v>
      </c>
      <c r="AC23" s="360">
        <v>1.3257026242434404</v>
      </c>
      <c r="AD23" s="360">
        <v>1.4223094372392231</v>
      </c>
      <c r="AE23" s="360">
        <v>0.42952515204146474</v>
      </c>
      <c r="AF23" s="360">
        <v>1.1608614126497849</v>
      </c>
      <c r="AG23" s="360">
        <v>-353.05727964540011</v>
      </c>
      <c r="AH23" s="360">
        <v>107.87507889251208</v>
      </c>
      <c r="AI23" s="360">
        <v>0.33913825068539372</v>
      </c>
      <c r="AJ23" s="360">
        <v>1.4879296456321631</v>
      </c>
      <c r="AK23" s="360">
        <v>2.2133034658119981</v>
      </c>
      <c r="AL23" s="360">
        <v>0.44956493560759908</v>
      </c>
      <c r="AM23" s="360">
        <v>1.1608579491585662</v>
      </c>
      <c r="AN23" s="360">
        <v>-957.18907454318332</v>
      </c>
      <c r="AO23" s="360">
        <f t="shared" si="0"/>
        <v>1</v>
      </c>
      <c r="AP23" s="360">
        <f t="shared" si="1"/>
        <v>1</v>
      </c>
      <c r="AQ23" s="360">
        <f t="shared" si="2"/>
        <v>1</v>
      </c>
    </row>
    <row r="24" spans="1:43">
      <c r="A24" s="360" t="s">
        <v>1081</v>
      </c>
      <c r="B24" t="s">
        <v>1074</v>
      </c>
      <c r="C24">
        <v>2</v>
      </c>
      <c r="D24" t="s">
        <v>1080</v>
      </c>
      <c r="E24" t="s">
        <v>1079</v>
      </c>
      <c r="F24" s="360">
        <v>1</v>
      </c>
      <c r="G24" s="360" t="str">
        <f>CONCATENATE(A24," ",B24," ",C24," ","inf+"," ",FanUpsizes!D24," ",FanUpsizes!F24)</f>
        <v>7ACH Infiltration 2 inf+ Existing 1</v>
      </c>
      <c r="H24" s="360">
        <v>3.3464234434380215E-2</v>
      </c>
      <c r="I24" s="360">
        <v>0.4249454834155747</v>
      </c>
      <c r="J24" s="360">
        <v>1.1140542637611635</v>
      </c>
      <c r="K24" s="360">
        <v>0</v>
      </c>
      <c r="L24" s="360">
        <v>0.4249454834155747</v>
      </c>
      <c r="M24" s="360">
        <v>1.1140542637611635</v>
      </c>
      <c r="N24" s="360">
        <v>1</v>
      </c>
      <c r="O24" s="360">
        <v>0.4249454834155747</v>
      </c>
      <c r="P24" s="360">
        <v>1.1140542637611635</v>
      </c>
      <c r="Q24" s="360">
        <v>0</v>
      </c>
      <c r="R24" s="360">
        <v>0.23350004237612657</v>
      </c>
      <c r="S24" s="360">
        <v>0.42471991826769134</v>
      </c>
      <c r="T24" s="360">
        <v>1.1144473886299564</v>
      </c>
      <c r="U24" s="360">
        <v>1.0009517516634305</v>
      </c>
      <c r="V24" s="360">
        <v>0.42484556091096121</v>
      </c>
      <c r="W24" s="360">
        <v>1.1140543101556388</v>
      </c>
      <c r="X24" s="360">
        <v>-0.4500553921079109</v>
      </c>
      <c r="Y24" s="360">
        <v>0.39829409982315589</v>
      </c>
      <c r="Z24" s="360">
        <v>1.1608574958510351</v>
      </c>
      <c r="AA24" s="360">
        <v>0</v>
      </c>
      <c r="AB24" s="360">
        <v>0.39829409982315589</v>
      </c>
      <c r="AC24" s="360">
        <v>1.1608574958510351</v>
      </c>
      <c r="AD24" s="360">
        <v>1</v>
      </c>
      <c r="AE24" s="360">
        <v>0.39829409982315589</v>
      </c>
      <c r="AF24" s="360">
        <v>1.1608574958510351</v>
      </c>
      <c r="AG24" s="360">
        <v>0</v>
      </c>
      <c r="AH24" s="360">
        <v>0.23350004237612657</v>
      </c>
      <c r="AI24" s="360">
        <v>0.39810830701032524</v>
      </c>
      <c r="AJ24" s="360">
        <v>1.1612622758488778</v>
      </c>
      <c r="AK24" s="360">
        <v>1.00072022339758</v>
      </c>
      <c r="AL24" s="360">
        <v>0.39822621916683992</v>
      </c>
      <c r="AM24" s="360">
        <v>1.1608575254912883</v>
      </c>
      <c r="AN24" s="360">
        <v>-0.3833820363435691</v>
      </c>
      <c r="AO24" s="360">
        <f t="shared" si="0"/>
        <v>1</v>
      </c>
      <c r="AP24" s="360">
        <f t="shared" si="1"/>
        <v>0</v>
      </c>
      <c r="AQ24" s="360">
        <f t="shared" si="2"/>
        <v>0</v>
      </c>
    </row>
    <row r="25" spans="1:43">
      <c r="A25" s="360" t="s">
        <v>1081</v>
      </c>
      <c r="B25" t="s">
        <v>1076</v>
      </c>
      <c r="C25">
        <v>2</v>
      </c>
      <c r="D25" t="s">
        <v>1080</v>
      </c>
      <c r="E25" t="s">
        <v>1079</v>
      </c>
      <c r="F25" s="360">
        <v>1</v>
      </c>
      <c r="G25" s="360" t="str">
        <f>CONCATENATE(A25," ",B25," ",C25," ","inf+"," ",FanUpsizes!D25," ",FanUpsizes!F25)</f>
        <v>7ACH 5C 2 inf+ Existing 1</v>
      </c>
      <c r="H25" s="360">
        <v>3.3464234434380215E-2</v>
      </c>
      <c r="I25" s="360">
        <v>0.4249454834155747</v>
      </c>
      <c r="J25" s="360">
        <v>1.1140542637611635</v>
      </c>
      <c r="K25" s="360">
        <v>0</v>
      </c>
      <c r="L25" s="360">
        <v>0.4249454834155747</v>
      </c>
      <c r="M25" s="360">
        <v>1.1140542637611635</v>
      </c>
      <c r="N25" s="360">
        <v>1</v>
      </c>
      <c r="O25" s="360">
        <v>0.4249454834155747</v>
      </c>
      <c r="P25" s="360">
        <v>1.1140542637611635</v>
      </c>
      <c r="Q25" s="360">
        <v>0</v>
      </c>
      <c r="R25" s="360">
        <v>0.23350004237612657</v>
      </c>
      <c r="S25" s="360">
        <v>0.42471991826769134</v>
      </c>
      <c r="T25" s="360">
        <v>1.1144473886299564</v>
      </c>
      <c r="U25" s="360">
        <v>1.0009517516634305</v>
      </c>
      <c r="V25" s="360">
        <v>0.42484556091096121</v>
      </c>
      <c r="W25" s="360">
        <v>1.1140543101556388</v>
      </c>
      <c r="X25" s="360">
        <v>-0.4500553921079109</v>
      </c>
      <c r="Y25" s="360">
        <v>0.39829409982315589</v>
      </c>
      <c r="Z25" s="360">
        <v>1.1608574958510351</v>
      </c>
      <c r="AA25" s="360">
        <v>0</v>
      </c>
      <c r="AB25" s="360">
        <v>0.39829409982315589</v>
      </c>
      <c r="AC25" s="360">
        <v>1.1608574958510351</v>
      </c>
      <c r="AD25" s="360">
        <v>1</v>
      </c>
      <c r="AE25" s="360">
        <v>0.39829409982315589</v>
      </c>
      <c r="AF25" s="360">
        <v>1.1608574958510351</v>
      </c>
      <c r="AG25" s="360">
        <v>0</v>
      </c>
      <c r="AH25" s="360">
        <v>0.23350004237612657</v>
      </c>
      <c r="AI25" s="360">
        <v>0.39810830701032524</v>
      </c>
      <c r="AJ25" s="360">
        <v>1.1612622758488778</v>
      </c>
      <c r="AK25" s="360">
        <v>1.00072022339758</v>
      </c>
      <c r="AL25" s="360">
        <v>0.39822621916683992</v>
      </c>
      <c r="AM25" s="360">
        <v>1.1608575254912883</v>
      </c>
      <c r="AN25" s="360">
        <v>-0.3833820363435691</v>
      </c>
      <c r="AO25" s="360">
        <f t="shared" si="0"/>
        <v>1</v>
      </c>
      <c r="AP25" s="360">
        <f t="shared" si="1"/>
        <v>0</v>
      </c>
      <c r="AQ25" s="360">
        <f t="shared" si="2"/>
        <v>0</v>
      </c>
    </row>
    <row r="26" spans="1:43">
      <c r="A26" s="360" t="s">
        <v>1082</v>
      </c>
      <c r="B26" t="s">
        <v>1075</v>
      </c>
      <c r="C26">
        <v>1</v>
      </c>
      <c r="D26" t="s">
        <v>1078</v>
      </c>
      <c r="E26" t="s">
        <v>1079</v>
      </c>
      <c r="F26" s="360">
        <v>1</v>
      </c>
      <c r="G26" s="360" t="str">
        <f>CONCATENATE(A26," ",B26," ",C26," ","inf+"," ",FanUpsizes!D26," ",FanUpsizes!F26)</f>
        <v>5ACH Percentile 1 inf+ New 1</v>
      </c>
      <c r="H26" s="360">
        <v>2.9163008236396955E-2</v>
      </c>
      <c r="I26" s="360">
        <v>0.27314619847234062</v>
      </c>
      <c r="J26" s="360">
        <v>1.206775491901225</v>
      </c>
      <c r="K26" s="360">
        <v>24.889102324342684</v>
      </c>
      <c r="L26" s="360">
        <v>0.24499111050716282</v>
      </c>
      <c r="M26" s="360">
        <v>1.4660605229435519</v>
      </c>
      <c r="N26" s="360">
        <v>1.5353876905264023</v>
      </c>
      <c r="O26" s="360">
        <v>0.30806241370810394</v>
      </c>
      <c r="P26" s="360">
        <v>1.2067759001890352</v>
      </c>
      <c r="Q26" s="360">
        <v>-379.21065612350719</v>
      </c>
      <c r="R26" s="360">
        <v>91.721287849983895</v>
      </c>
      <c r="S26" s="360">
        <v>0.21564932025190608</v>
      </c>
      <c r="T26" s="360">
        <v>1.6782342285932119</v>
      </c>
      <c r="U26" s="360">
        <v>2.3886483962523823</v>
      </c>
      <c r="V26" s="360">
        <v>0.32926488735799009</v>
      </c>
      <c r="W26" s="360">
        <v>1.2067756583170459</v>
      </c>
      <c r="X26" s="360">
        <v>-995.17006645092692</v>
      </c>
      <c r="Y26" s="360">
        <v>0.27280516373687036</v>
      </c>
      <c r="Z26" s="360">
        <v>1.1901510132234305</v>
      </c>
      <c r="AA26" s="360">
        <v>24.889102324342684</v>
      </c>
      <c r="AB26" s="360">
        <v>0.24395396869837846</v>
      </c>
      <c r="AC26" s="360">
        <v>1.4535318116588996</v>
      </c>
      <c r="AD26" s="360">
        <v>1.4881901290077337</v>
      </c>
      <c r="AE26" s="360">
        <v>0.31295564343463489</v>
      </c>
      <c r="AF26" s="360">
        <v>1.1901513813670757</v>
      </c>
      <c r="AG26" s="360">
        <v>-435.53134936994348</v>
      </c>
      <c r="AH26" s="360">
        <v>106.61010898676949</v>
      </c>
      <c r="AI26" s="360">
        <v>0.20695490341316411</v>
      </c>
      <c r="AJ26" s="360">
        <v>1.7268627210573551</v>
      </c>
      <c r="AK26" s="360">
        <v>2.3456189045957871</v>
      </c>
      <c r="AL26" s="360">
        <v>0.33610292909299849</v>
      </c>
      <c r="AM26" s="360">
        <v>1.1901518424787769</v>
      </c>
      <c r="AN26" s="360">
        <v>-1089.2599984502874</v>
      </c>
      <c r="AO26" s="360">
        <f t="shared" si="0"/>
        <v>1</v>
      </c>
      <c r="AP26" s="360">
        <f t="shared" si="1"/>
        <v>1</v>
      </c>
      <c r="AQ26" s="360">
        <f t="shared" si="2"/>
        <v>1</v>
      </c>
    </row>
    <row r="27" spans="1:43">
      <c r="A27" s="360" t="s">
        <v>1082</v>
      </c>
      <c r="B27" t="s">
        <v>1074</v>
      </c>
      <c r="C27">
        <v>1</v>
      </c>
      <c r="D27" t="s">
        <v>1078</v>
      </c>
      <c r="E27" t="s">
        <v>1079</v>
      </c>
      <c r="F27" s="360">
        <v>1</v>
      </c>
      <c r="G27" s="360" t="str">
        <f>CONCATENATE(A27," ",B27," ",C27," ","inf+"," ",FanUpsizes!D27," ",FanUpsizes!F27)</f>
        <v>5ACH Infiltration 1 inf+ New 1</v>
      </c>
      <c r="H27" s="360">
        <v>2.9163008236396955E-2</v>
      </c>
      <c r="I27" s="360">
        <v>0.27314619847234062</v>
      </c>
      <c r="J27" s="360">
        <v>1.206775491901225</v>
      </c>
      <c r="K27" s="360">
        <v>0</v>
      </c>
      <c r="L27" s="360">
        <v>0.27314619847234062</v>
      </c>
      <c r="M27" s="360">
        <v>1.206775491901225</v>
      </c>
      <c r="N27" s="360">
        <v>1</v>
      </c>
      <c r="O27" s="360">
        <v>0.27314619847234062</v>
      </c>
      <c r="P27" s="360">
        <v>1.206775491901225</v>
      </c>
      <c r="Q27" s="360">
        <v>0</v>
      </c>
      <c r="R27" s="360">
        <v>0</v>
      </c>
      <c r="S27" s="360">
        <v>0.27314619847234062</v>
      </c>
      <c r="T27" s="360">
        <v>1.206775491901225</v>
      </c>
      <c r="U27" s="360">
        <v>1</v>
      </c>
      <c r="V27" s="360">
        <v>0.27314619847234062</v>
      </c>
      <c r="W27" s="360">
        <v>1.206775491901225</v>
      </c>
      <c r="X27" s="360">
        <v>0</v>
      </c>
      <c r="Y27" s="360">
        <v>0.27280516373687036</v>
      </c>
      <c r="Z27" s="360">
        <v>1.1901510132234305</v>
      </c>
      <c r="AA27" s="360">
        <v>0</v>
      </c>
      <c r="AB27" s="360">
        <v>0.27280516373687036</v>
      </c>
      <c r="AC27" s="360">
        <v>1.1901510132234305</v>
      </c>
      <c r="AD27" s="360">
        <v>1</v>
      </c>
      <c r="AE27" s="360">
        <v>0.27280516373687036</v>
      </c>
      <c r="AF27" s="360">
        <v>1.1901510132234305</v>
      </c>
      <c r="AG27" s="360">
        <v>0</v>
      </c>
      <c r="AH27" s="360">
        <v>0</v>
      </c>
      <c r="AI27" s="360">
        <v>0.27280516373687036</v>
      </c>
      <c r="AJ27" s="360">
        <v>1.1901510132234305</v>
      </c>
      <c r="AK27" s="360">
        <v>1</v>
      </c>
      <c r="AL27" s="360">
        <v>0.27280516373687036</v>
      </c>
      <c r="AM27" s="360">
        <v>1.1901510132234305</v>
      </c>
      <c r="AN27" s="360">
        <v>0</v>
      </c>
      <c r="AO27" s="360">
        <f t="shared" si="0"/>
        <v>1</v>
      </c>
      <c r="AP27" s="360">
        <f t="shared" si="1"/>
        <v>0</v>
      </c>
      <c r="AQ27" s="360">
        <f t="shared" si="2"/>
        <v>0</v>
      </c>
    </row>
    <row r="28" spans="1:43">
      <c r="A28" s="360" t="s">
        <v>1082</v>
      </c>
      <c r="B28" t="s">
        <v>1076</v>
      </c>
      <c r="C28">
        <v>1</v>
      </c>
      <c r="D28" t="s">
        <v>1078</v>
      </c>
      <c r="E28" t="s">
        <v>1079</v>
      </c>
      <c r="F28" s="360">
        <v>1</v>
      </c>
      <c r="G28" s="360" t="str">
        <f>CONCATENATE(A28," ",B28," ",C28," ","inf+"," ",FanUpsizes!D28," ",FanUpsizes!F28)</f>
        <v>5ACH 5C 1 inf+ New 1</v>
      </c>
      <c r="H28" s="360">
        <v>2.9163008236396955E-2</v>
      </c>
      <c r="I28" s="360">
        <v>0.27314619847234062</v>
      </c>
      <c r="J28" s="360">
        <v>1.206775491901225</v>
      </c>
      <c r="K28" s="360">
        <v>0</v>
      </c>
      <c r="L28" s="360">
        <v>0.27314619847234062</v>
      </c>
      <c r="M28" s="360">
        <v>1.206775491901225</v>
      </c>
      <c r="N28" s="360">
        <v>1</v>
      </c>
      <c r="O28" s="360">
        <v>0.27314619847234062</v>
      </c>
      <c r="P28" s="360">
        <v>1.206775491901225</v>
      </c>
      <c r="Q28" s="360">
        <v>0</v>
      </c>
      <c r="R28" s="360">
        <v>0</v>
      </c>
      <c r="S28" s="360">
        <v>0.27314619847234062</v>
      </c>
      <c r="T28" s="360">
        <v>1.206775491901225</v>
      </c>
      <c r="U28" s="360">
        <v>1</v>
      </c>
      <c r="V28" s="360">
        <v>0.27314619847234062</v>
      </c>
      <c r="W28" s="360">
        <v>1.206775491901225</v>
      </c>
      <c r="X28" s="360">
        <v>0</v>
      </c>
      <c r="Y28" s="360">
        <v>0.27280516373687036</v>
      </c>
      <c r="Z28" s="360">
        <v>1.1901510132234305</v>
      </c>
      <c r="AA28" s="360">
        <v>0</v>
      </c>
      <c r="AB28" s="360">
        <v>0.27280516373687036</v>
      </c>
      <c r="AC28" s="360">
        <v>1.1901510132234305</v>
      </c>
      <c r="AD28" s="360">
        <v>1</v>
      </c>
      <c r="AE28" s="360">
        <v>0.27280516373687036</v>
      </c>
      <c r="AF28" s="360">
        <v>1.1901510132234305</v>
      </c>
      <c r="AG28" s="360">
        <v>0</v>
      </c>
      <c r="AH28" s="360">
        <v>0</v>
      </c>
      <c r="AI28" s="360">
        <v>0.27280516373687036</v>
      </c>
      <c r="AJ28" s="360">
        <v>1.1901510132234305</v>
      </c>
      <c r="AK28" s="360">
        <v>1</v>
      </c>
      <c r="AL28" s="360">
        <v>0.27280516373687036</v>
      </c>
      <c r="AM28" s="360">
        <v>1.1901510132234305</v>
      </c>
      <c r="AN28" s="360">
        <v>0</v>
      </c>
      <c r="AO28" s="360">
        <f t="shared" si="0"/>
        <v>1</v>
      </c>
      <c r="AP28" s="360">
        <f t="shared" si="1"/>
        <v>0</v>
      </c>
      <c r="AQ28" s="360">
        <f t="shared" si="2"/>
        <v>0</v>
      </c>
    </row>
    <row r="29" spans="1:43">
      <c r="A29" s="360" t="s">
        <v>1082</v>
      </c>
      <c r="B29" t="s">
        <v>1075</v>
      </c>
      <c r="C29">
        <v>2</v>
      </c>
      <c r="D29" t="s">
        <v>1078</v>
      </c>
      <c r="E29" t="s">
        <v>1079</v>
      </c>
      <c r="F29" s="360">
        <v>1</v>
      </c>
      <c r="G29" s="360" t="str">
        <f>CONCATENATE(A29," ",B29," ",C29," ","inf+"," ",FanUpsizes!D29," ",FanUpsizes!F29)</f>
        <v>5ACH Percentile 2 inf+ New 1</v>
      </c>
      <c r="H29" s="360">
        <v>2.4657310310271578E-2</v>
      </c>
      <c r="I29" s="360">
        <v>0.30651516348715235</v>
      </c>
      <c r="J29" s="360">
        <v>1.1133362910174029</v>
      </c>
      <c r="K29" s="360">
        <v>21.043724789316279</v>
      </c>
      <c r="L29" s="360">
        <v>0.28471563340821709</v>
      </c>
      <c r="M29" s="360">
        <v>1.272228093844846</v>
      </c>
      <c r="N29" s="360">
        <v>1.5428686781259879</v>
      </c>
      <c r="O29" s="360">
        <v>0.3278074783230096</v>
      </c>
      <c r="P29" s="360">
        <v>1.1133370047133602</v>
      </c>
      <c r="Q29" s="360">
        <v>-259.47972076577338</v>
      </c>
      <c r="R29" s="360">
        <v>75.896984819854978</v>
      </c>
      <c r="S29" s="360">
        <v>0.26285366915728564</v>
      </c>
      <c r="T29" s="360">
        <v>1.389509181445219</v>
      </c>
      <c r="U29" s="360">
        <v>2.4007657864842136</v>
      </c>
      <c r="V29" s="360">
        <v>0.33915663948639563</v>
      </c>
      <c r="W29" s="360">
        <v>1.1133363253366544</v>
      </c>
      <c r="X29" s="360">
        <v>-642.40832442137537</v>
      </c>
      <c r="Y29" s="360">
        <v>0.28822059012695389</v>
      </c>
      <c r="Z29" s="360">
        <v>1.1586299883587901</v>
      </c>
      <c r="AA29" s="360">
        <v>21.043724789316279</v>
      </c>
      <c r="AB29" s="360">
        <v>0.26882367014343139</v>
      </c>
      <c r="AC29" s="360">
        <v>1.3159162863523446</v>
      </c>
      <c r="AD29" s="360">
        <v>1.3890766021377836</v>
      </c>
      <c r="AE29" s="360">
        <v>0.30790233736170963</v>
      </c>
      <c r="AF29" s="360">
        <v>1.1586306450629447</v>
      </c>
      <c r="AG29" s="360">
        <v>-240.06919143387509</v>
      </c>
      <c r="AH29" s="360">
        <v>80.18235302597698</v>
      </c>
      <c r="AI29" s="360">
        <v>0.24386841768786863</v>
      </c>
      <c r="AJ29" s="360">
        <v>1.4780372463125575</v>
      </c>
      <c r="AK29" s="360">
        <v>2.1423342784796473</v>
      </c>
      <c r="AL29" s="360">
        <v>0.32086627413275004</v>
      </c>
      <c r="AM29" s="360">
        <v>1.1586301050625489</v>
      </c>
      <c r="AN29" s="360">
        <v>-661.8874942222352</v>
      </c>
      <c r="AO29" s="360">
        <f t="shared" si="0"/>
        <v>1</v>
      </c>
      <c r="AP29" s="360">
        <f t="shared" si="1"/>
        <v>1</v>
      </c>
      <c r="AQ29" s="360">
        <f t="shared" si="2"/>
        <v>1</v>
      </c>
    </row>
    <row r="30" spans="1:43">
      <c r="A30" s="360" t="s">
        <v>1082</v>
      </c>
      <c r="B30" t="s">
        <v>1074</v>
      </c>
      <c r="C30">
        <v>2</v>
      </c>
      <c r="D30" t="s">
        <v>1078</v>
      </c>
      <c r="E30" t="s">
        <v>1079</v>
      </c>
      <c r="F30" s="360">
        <v>1</v>
      </c>
      <c r="G30" s="360" t="str">
        <f>CONCATENATE(A30," ",B30," ",C30," ","inf+"," ",FanUpsizes!D30," ",FanUpsizes!F30)</f>
        <v>5ACH Infiltration 2 inf+ New 1</v>
      </c>
      <c r="H30" s="360">
        <v>2.4657310310271578E-2</v>
      </c>
      <c r="I30" s="360">
        <v>0.30651516348715235</v>
      </c>
      <c r="J30" s="360">
        <v>1.1133362910174029</v>
      </c>
      <c r="K30" s="360">
        <v>0</v>
      </c>
      <c r="L30" s="360">
        <v>0.30651516348715235</v>
      </c>
      <c r="M30" s="360">
        <v>1.1133362910174029</v>
      </c>
      <c r="N30" s="360">
        <v>1</v>
      </c>
      <c r="O30" s="360">
        <v>0.30651516348715235</v>
      </c>
      <c r="P30" s="360">
        <v>1.1133362910174029</v>
      </c>
      <c r="Q30" s="360">
        <v>0</v>
      </c>
      <c r="R30" s="360">
        <v>0.12366010990159471</v>
      </c>
      <c r="S30" s="360">
        <v>0.30639570564597446</v>
      </c>
      <c r="T30" s="360">
        <v>1.1136043843426722</v>
      </c>
      <c r="U30" s="360">
        <v>1.0006470224296686</v>
      </c>
      <c r="V30" s="360">
        <v>0.3064588195252555</v>
      </c>
      <c r="W30" s="360">
        <v>1.113337238966938</v>
      </c>
      <c r="X30" s="360">
        <v>-0.21877157932497249</v>
      </c>
      <c r="Y30" s="360">
        <v>0.28822059012695389</v>
      </c>
      <c r="Z30" s="360">
        <v>1.1586299883587901</v>
      </c>
      <c r="AA30" s="360">
        <v>0</v>
      </c>
      <c r="AB30" s="360">
        <v>0.28822059012695389</v>
      </c>
      <c r="AC30" s="360">
        <v>1.1586299883587901</v>
      </c>
      <c r="AD30" s="360">
        <v>1</v>
      </c>
      <c r="AE30" s="360">
        <v>0.28822059012695389</v>
      </c>
      <c r="AF30" s="360">
        <v>1.1586299883587901</v>
      </c>
      <c r="AG30" s="360">
        <v>0</v>
      </c>
      <c r="AH30" s="360">
        <v>0.12366010990159471</v>
      </c>
      <c r="AI30" s="360">
        <v>0.28812455761784389</v>
      </c>
      <c r="AJ30" s="360">
        <v>1.1588964820033247</v>
      </c>
      <c r="AK30" s="360">
        <v>1.0004649676185635</v>
      </c>
      <c r="AL30" s="360">
        <v>0.28818151396839981</v>
      </c>
      <c r="AM30" s="360">
        <v>1.1586328610086911</v>
      </c>
      <c r="AN30" s="360">
        <v>-0.17423072733082989</v>
      </c>
      <c r="AO30" s="360">
        <f t="shared" si="0"/>
        <v>1</v>
      </c>
      <c r="AP30" s="360">
        <f t="shared" si="1"/>
        <v>0</v>
      </c>
      <c r="AQ30" s="360">
        <f t="shared" si="2"/>
        <v>0</v>
      </c>
    </row>
    <row r="31" spans="1:43">
      <c r="A31" s="360" t="s">
        <v>1082</v>
      </c>
      <c r="B31" t="s">
        <v>1076</v>
      </c>
      <c r="C31">
        <v>2</v>
      </c>
      <c r="D31" t="s">
        <v>1078</v>
      </c>
      <c r="E31" t="s">
        <v>1079</v>
      </c>
      <c r="F31" s="360">
        <v>1</v>
      </c>
      <c r="G31" s="360" t="str">
        <f>CONCATENATE(A31," ",B31," ",C31," ","inf+"," ",FanUpsizes!D31," ",FanUpsizes!F31)</f>
        <v>5ACH 5C 2 inf+ New 1</v>
      </c>
      <c r="H31" s="360">
        <v>2.4657310310271578E-2</v>
      </c>
      <c r="I31" s="360">
        <v>0.30651516348715235</v>
      </c>
      <c r="J31" s="360">
        <v>1.1133362910174029</v>
      </c>
      <c r="K31" s="360">
        <v>0</v>
      </c>
      <c r="L31" s="360">
        <v>0.30651516348715235</v>
      </c>
      <c r="M31" s="360">
        <v>1.1133362910174029</v>
      </c>
      <c r="N31" s="360">
        <v>1</v>
      </c>
      <c r="O31" s="360">
        <v>0.30651516348715235</v>
      </c>
      <c r="P31" s="360">
        <v>1.1133362910174029</v>
      </c>
      <c r="Q31" s="360">
        <v>0</v>
      </c>
      <c r="R31" s="360">
        <v>0.12366010990159471</v>
      </c>
      <c r="S31" s="360">
        <v>0.30639570564597446</v>
      </c>
      <c r="T31" s="360">
        <v>1.1136043843426722</v>
      </c>
      <c r="U31" s="360">
        <v>1.0006470224296686</v>
      </c>
      <c r="V31" s="360">
        <v>0.3064588195252555</v>
      </c>
      <c r="W31" s="360">
        <v>1.113337238966938</v>
      </c>
      <c r="X31" s="360">
        <v>-0.21877157932497249</v>
      </c>
      <c r="Y31" s="360">
        <v>0.28822059012695389</v>
      </c>
      <c r="Z31" s="360">
        <v>1.1586299883587901</v>
      </c>
      <c r="AA31" s="360">
        <v>0</v>
      </c>
      <c r="AB31" s="360">
        <v>0.28822059012695389</v>
      </c>
      <c r="AC31" s="360">
        <v>1.1586299883587901</v>
      </c>
      <c r="AD31" s="360">
        <v>1</v>
      </c>
      <c r="AE31" s="360">
        <v>0.28822059012695389</v>
      </c>
      <c r="AF31" s="360">
        <v>1.1586299883587901</v>
      </c>
      <c r="AG31" s="360">
        <v>0</v>
      </c>
      <c r="AH31" s="360">
        <v>0.12366010990159471</v>
      </c>
      <c r="AI31" s="360">
        <v>0.28812455761784389</v>
      </c>
      <c r="AJ31" s="360">
        <v>1.1588964820033247</v>
      </c>
      <c r="AK31" s="360">
        <v>1.0004649676185635</v>
      </c>
      <c r="AL31" s="360">
        <v>0.28818151396839981</v>
      </c>
      <c r="AM31" s="360">
        <v>1.1586328610086911</v>
      </c>
      <c r="AN31" s="360">
        <v>-0.17423072733082989</v>
      </c>
      <c r="AO31" s="360">
        <f t="shared" si="0"/>
        <v>1</v>
      </c>
      <c r="AP31" s="360">
        <f t="shared" si="1"/>
        <v>0</v>
      </c>
      <c r="AQ31" s="360">
        <f t="shared" si="2"/>
        <v>0</v>
      </c>
    </row>
    <row r="32" spans="1:43">
      <c r="A32" s="360" t="s">
        <v>1082</v>
      </c>
      <c r="B32" t="s">
        <v>1075</v>
      </c>
      <c r="C32">
        <v>1</v>
      </c>
      <c r="D32" t="s">
        <v>1080</v>
      </c>
      <c r="E32" t="s">
        <v>1079</v>
      </c>
      <c r="F32" s="360">
        <v>1</v>
      </c>
      <c r="G32" s="360" t="str">
        <f>CONCATENATE(A32," ",B32," ",C32," ","inf+"," ",FanUpsizes!D32," ",FanUpsizes!F32)</f>
        <v>5ACH Percentile 1 inf+ Existing 1</v>
      </c>
      <c r="H32" s="360">
        <v>4.5413008236396955E-2</v>
      </c>
      <c r="I32" s="360">
        <v>0.36069767962069066</v>
      </c>
      <c r="J32" s="360">
        <v>1.2289113048656868</v>
      </c>
      <c r="K32" s="360">
        <v>38.757627460420075</v>
      </c>
      <c r="L32" s="360">
        <v>0.31092785635187636</v>
      </c>
      <c r="M32" s="360">
        <v>1.6476787617541495</v>
      </c>
      <c r="N32" s="360">
        <v>1.7117194371037792</v>
      </c>
      <c r="O32" s="360">
        <v>0.47686014057335974</v>
      </c>
      <c r="P32" s="360">
        <v>1.2289113271504706</v>
      </c>
      <c r="Q32" s="360">
        <v>-1078.1310554229174</v>
      </c>
      <c r="R32" s="360">
        <v>163.37931761413924</v>
      </c>
      <c r="S32" s="360">
        <v>0.25395597891016303</v>
      </c>
      <c r="T32" s="360">
        <v>2.0104194754105715</v>
      </c>
      <c r="U32" s="360">
        <v>2.7616500300220981</v>
      </c>
      <c r="V32" s="360">
        <v>0.53391964475713627</v>
      </c>
      <c r="W32" s="360">
        <v>1.2289113106684739</v>
      </c>
      <c r="X32" s="360">
        <v>-2452.4689277039229</v>
      </c>
      <c r="Y32" s="360">
        <v>0.37597817247453758</v>
      </c>
      <c r="Z32" s="360">
        <v>1.1749130277134856</v>
      </c>
      <c r="AA32" s="360">
        <v>38.757627460420075</v>
      </c>
      <c r="AB32" s="360">
        <v>0.32319555813396522</v>
      </c>
      <c r="AC32" s="360">
        <v>1.5979562711218018</v>
      </c>
      <c r="AD32" s="360">
        <v>1.790679325950612</v>
      </c>
      <c r="AE32" s="360">
        <v>0.51527866842263415</v>
      </c>
      <c r="AF32" s="360">
        <v>1.1749130416937199</v>
      </c>
      <c r="AG32" s="360">
        <v>-1243.9520667524059</v>
      </c>
      <c r="AH32" s="360">
        <v>180.14812126976614</v>
      </c>
      <c r="AI32" s="360">
        <v>0.25672835642708797</v>
      </c>
      <c r="AJ32" s="360">
        <v>1.9902636052133267</v>
      </c>
      <c r="AK32" s="360">
        <v>2.9047895439306748</v>
      </c>
      <c r="AL32" s="360">
        <v>0.57456459672880111</v>
      </c>
      <c r="AM32" s="360">
        <v>1.1749131755450437</v>
      </c>
      <c r="AN32" s="360">
        <v>-2672.5907866283246</v>
      </c>
      <c r="AO32" s="360">
        <f t="shared" si="0"/>
        <v>1</v>
      </c>
      <c r="AP32" s="360">
        <f t="shared" si="1"/>
        <v>1</v>
      </c>
      <c r="AQ32" s="360">
        <f t="shared" si="2"/>
        <v>1</v>
      </c>
    </row>
    <row r="33" spans="1:43">
      <c r="A33" s="360" t="s">
        <v>1082</v>
      </c>
      <c r="B33" t="s">
        <v>1074</v>
      </c>
      <c r="C33">
        <v>1</v>
      </c>
      <c r="D33" t="s">
        <v>1080</v>
      </c>
      <c r="E33" t="s">
        <v>1079</v>
      </c>
      <c r="F33" s="360">
        <v>1</v>
      </c>
      <c r="G33" s="360" t="str">
        <f>CONCATENATE(A33," ",B33," ",C33," ","inf+"," ",FanUpsizes!D33," ",FanUpsizes!F33)</f>
        <v>5ACH Infiltration 1 inf+ Existing 1</v>
      </c>
      <c r="H33" s="360">
        <v>4.5413008236396955E-2</v>
      </c>
      <c r="I33" s="360">
        <v>0.36069767962069066</v>
      </c>
      <c r="J33" s="360">
        <v>1.2289113048656868</v>
      </c>
      <c r="K33" s="360">
        <v>0</v>
      </c>
      <c r="L33" s="360">
        <v>0.36069767962069066</v>
      </c>
      <c r="M33" s="360">
        <v>1.2289113048656868</v>
      </c>
      <c r="N33" s="360">
        <v>1</v>
      </c>
      <c r="O33" s="360">
        <v>0.36069767962069066</v>
      </c>
      <c r="P33" s="360">
        <v>1.2289113048656868</v>
      </c>
      <c r="Q33" s="360">
        <v>0</v>
      </c>
      <c r="R33" s="360">
        <v>0</v>
      </c>
      <c r="S33" s="360">
        <v>0.36069767962069066</v>
      </c>
      <c r="T33" s="360">
        <v>1.2289113048656868</v>
      </c>
      <c r="U33" s="360">
        <v>1</v>
      </c>
      <c r="V33" s="360">
        <v>0.36069767962069066</v>
      </c>
      <c r="W33" s="360">
        <v>1.2289113048656868</v>
      </c>
      <c r="X33" s="360">
        <v>0</v>
      </c>
      <c r="Y33" s="360">
        <v>0.37597817247453758</v>
      </c>
      <c r="Z33" s="360">
        <v>1.1749130277134856</v>
      </c>
      <c r="AA33" s="360">
        <v>0</v>
      </c>
      <c r="AB33" s="360">
        <v>0.37597817247453758</v>
      </c>
      <c r="AC33" s="360">
        <v>1.1749130277134856</v>
      </c>
      <c r="AD33" s="360">
        <v>1</v>
      </c>
      <c r="AE33" s="360">
        <v>0.37597817247453758</v>
      </c>
      <c r="AF33" s="360">
        <v>1.1749130277134856</v>
      </c>
      <c r="AG33" s="360">
        <v>0</v>
      </c>
      <c r="AH33" s="360">
        <v>0</v>
      </c>
      <c r="AI33" s="360">
        <v>0.37597817247453758</v>
      </c>
      <c r="AJ33" s="360">
        <v>1.1749130277134856</v>
      </c>
      <c r="AK33" s="360">
        <v>1</v>
      </c>
      <c r="AL33" s="360">
        <v>0.37597817247453758</v>
      </c>
      <c r="AM33" s="360">
        <v>1.1749130277134856</v>
      </c>
      <c r="AN33" s="360">
        <v>0</v>
      </c>
      <c r="AO33" s="360">
        <f t="shared" si="0"/>
        <v>1</v>
      </c>
      <c r="AP33" s="360">
        <f t="shared" si="1"/>
        <v>0</v>
      </c>
      <c r="AQ33" s="360">
        <f t="shared" si="2"/>
        <v>0</v>
      </c>
    </row>
    <row r="34" spans="1:43">
      <c r="A34" s="360" t="s">
        <v>1082</v>
      </c>
      <c r="B34" t="s">
        <v>1076</v>
      </c>
      <c r="C34">
        <v>1</v>
      </c>
      <c r="D34" t="s">
        <v>1080</v>
      </c>
      <c r="E34" t="s">
        <v>1079</v>
      </c>
      <c r="F34" s="360">
        <v>1</v>
      </c>
      <c r="G34" s="360" t="str">
        <f>CONCATENATE(A34," ",B34," ",C34," ","inf+"," ",FanUpsizes!D34," ",FanUpsizes!F34)</f>
        <v>5ACH 5C 1 inf+ Existing 1</v>
      </c>
      <c r="H34" s="360">
        <v>4.5413008236396955E-2</v>
      </c>
      <c r="I34" s="360">
        <v>0.36069767962069066</v>
      </c>
      <c r="J34" s="360">
        <v>1.2289113048656868</v>
      </c>
      <c r="K34" s="360">
        <v>0</v>
      </c>
      <c r="L34" s="360">
        <v>0.36069767962069066</v>
      </c>
      <c r="M34" s="360">
        <v>1.2289113048656868</v>
      </c>
      <c r="N34" s="360">
        <v>1</v>
      </c>
      <c r="O34" s="360">
        <v>0.36069767962069066</v>
      </c>
      <c r="P34" s="360">
        <v>1.2289113048656868</v>
      </c>
      <c r="Q34" s="360">
        <v>0</v>
      </c>
      <c r="R34" s="360">
        <v>0</v>
      </c>
      <c r="S34" s="360">
        <v>0.36069767962069066</v>
      </c>
      <c r="T34" s="360">
        <v>1.2289113048656868</v>
      </c>
      <c r="U34" s="360">
        <v>1</v>
      </c>
      <c r="V34" s="360">
        <v>0.36069767962069066</v>
      </c>
      <c r="W34" s="360">
        <v>1.2289113048656868</v>
      </c>
      <c r="X34" s="360">
        <v>0</v>
      </c>
      <c r="Y34" s="360">
        <v>0.37597817247453758</v>
      </c>
      <c r="Z34" s="360">
        <v>1.1749130277134856</v>
      </c>
      <c r="AA34" s="360">
        <v>0</v>
      </c>
      <c r="AB34" s="360">
        <v>0.37597817247453758</v>
      </c>
      <c r="AC34" s="360">
        <v>1.1749130277134856</v>
      </c>
      <c r="AD34" s="360">
        <v>1</v>
      </c>
      <c r="AE34" s="360">
        <v>0.37597817247453758</v>
      </c>
      <c r="AF34" s="360">
        <v>1.1749130277134856</v>
      </c>
      <c r="AG34" s="360">
        <v>0</v>
      </c>
      <c r="AH34" s="360">
        <v>0</v>
      </c>
      <c r="AI34" s="360">
        <v>0.37597817247453758</v>
      </c>
      <c r="AJ34" s="360">
        <v>1.1749130277134856</v>
      </c>
      <c r="AK34" s="360">
        <v>1</v>
      </c>
      <c r="AL34" s="360">
        <v>0.37597817247453758</v>
      </c>
      <c r="AM34" s="360">
        <v>1.1749130277134856</v>
      </c>
      <c r="AN34" s="360">
        <v>0</v>
      </c>
      <c r="AO34" s="360">
        <f t="shared" si="0"/>
        <v>1</v>
      </c>
      <c r="AP34" s="360">
        <f t="shared" si="1"/>
        <v>0</v>
      </c>
      <c r="AQ34" s="360">
        <f t="shared" si="2"/>
        <v>0</v>
      </c>
    </row>
    <row r="35" spans="1:43">
      <c r="A35" s="360" t="s">
        <v>1082</v>
      </c>
      <c r="B35" t="s">
        <v>1075</v>
      </c>
      <c r="C35">
        <v>2</v>
      </c>
      <c r="D35" t="s">
        <v>1080</v>
      </c>
      <c r="E35" t="s">
        <v>1079</v>
      </c>
      <c r="F35" s="360">
        <v>1</v>
      </c>
      <c r="G35" s="360" t="str">
        <f>CONCATENATE(A35," ",B35," ",C35," ","inf+"," ",FanUpsizes!D35," ",FanUpsizes!F35)</f>
        <v>5ACH Percentile 2 inf+ Existing 1</v>
      </c>
      <c r="H35" s="360">
        <v>4.0907310310271575E-2</v>
      </c>
      <c r="I35" s="360">
        <v>0.37799188209527168</v>
      </c>
      <c r="J35" s="360">
        <v>1.2022224863871172</v>
      </c>
      <c r="K35" s="360">
        <v>34.912249925416425</v>
      </c>
      <c r="L35" s="360">
        <v>0.33807194544397279</v>
      </c>
      <c r="M35" s="360">
        <v>1.4889218131308093</v>
      </c>
      <c r="N35" s="360">
        <v>1.5943692495921014</v>
      </c>
      <c r="O35" s="360">
        <v>0.43976005790749778</v>
      </c>
      <c r="P35" s="360">
        <v>1.2022239967175614</v>
      </c>
      <c r="Q35" s="360">
        <v>-627.91020425056843</v>
      </c>
      <c r="R35" s="360">
        <v>130.69966622210922</v>
      </c>
      <c r="S35" s="360">
        <v>0.29574244267891941</v>
      </c>
      <c r="T35" s="360">
        <v>1.7185162706441697</v>
      </c>
      <c r="U35" s="360">
        <v>2.5001214133888041</v>
      </c>
      <c r="V35" s="360">
        <v>0.4749170963433027</v>
      </c>
      <c r="W35" s="360">
        <v>1.2022253958163733</v>
      </c>
      <c r="X35" s="360">
        <v>-1580.8988006554896</v>
      </c>
      <c r="Y35" s="360">
        <v>0.37873592776771325</v>
      </c>
      <c r="Z35" s="360">
        <v>1.1807552689091494</v>
      </c>
      <c r="AA35" s="360">
        <v>34.912249925416425</v>
      </c>
      <c r="AB35" s="360">
        <v>0.33775839301281707</v>
      </c>
      <c r="AC35" s="360">
        <v>1.4714749374748362</v>
      </c>
      <c r="AD35" s="360">
        <v>1.5601698155463457</v>
      </c>
      <c r="AE35" s="360">
        <v>0.45043105128031424</v>
      </c>
      <c r="AF35" s="360">
        <v>1.1807556403288073</v>
      </c>
      <c r="AG35" s="360">
        <v>-718.25667639693245</v>
      </c>
      <c r="AH35" s="360">
        <v>150.89603684311791</v>
      </c>
      <c r="AI35" s="360">
        <v>0.28520031301838128</v>
      </c>
      <c r="AJ35" s="360">
        <v>1.7571539943277019</v>
      </c>
      <c r="AK35" s="360">
        <v>2.4797215420111396</v>
      </c>
      <c r="AL35" s="360">
        <v>0.4879033530099175</v>
      </c>
      <c r="AM35" s="360">
        <v>1.1807553049413468</v>
      </c>
      <c r="AN35" s="360">
        <v>-1719.3283684098717</v>
      </c>
      <c r="AO35" s="360">
        <f t="shared" si="0"/>
        <v>1</v>
      </c>
      <c r="AP35" s="360">
        <f t="shared" si="1"/>
        <v>1</v>
      </c>
      <c r="AQ35" s="360">
        <f t="shared" si="2"/>
        <v>1</v>
      </c>
    </row>
    <row r="36" spans="1:43">
      <c r="A36" s="360" t="s">
        <v>1082</v>
      </c>
      <c r="B36" t="s">
        <v>1074</v>
      </c>
      <c r="C36">
        <v>2</v>
      </c>
      <c r="D36" t="s">
        <v>1080</v>
      </c>
      <c r="E36" t="s">
        <v>1079</v>
      </c>
      <c r="F36" s="360">
        <v>1</v>
      </c>
      <c r="G36" s="360" t="str">
        <f>CONCATENATE(A36," ",B36," ",C36," ","inf+"," ",FanUpsizes!D36," ",FanUpsizes!F36)</f>
        <v>5ACH Infiltration 2 inf+ Existing 1</v>
      </c>
      <c r="H36" s="360">
        <v>4.0907310310271575E-2</v>
      </c>
      <c r="I36" s="360">
        <v>0.37799188209527168</v>
      </c>
      <c r="J36" s="360">
        <v>1.2022224863871172</v>
      </c>
      <c r="K36" s="360">
        <v>0</v>
      </c>
      <c r="L36" s="360">
        <v>0.37799188209527168</v>
      </c>
      <c r="M36" s="360">
        <v>1.2022224863871172</v>
      </c>
      <c r="N36" s="360">
        <v>1</v>
      </c>
      <c r="O36" s="360">
        <v>0.37799188209527168</v>
      </c>
      <c r="P36" s="360">
        <v>1.2022224863871172</v>
      </c>
      <c r="Q36" s="360">
        <v>0</v>
      </c>
      <c r="R36" s="360">
        <v>0</v>
      </c>
      <c r="S36" s="360">
        <v>0.37799188209527168</v>
      </c>
      <c r="T36" s="360">
        <v>1.2022224863871172</v>
      </c>
      <c r="U36" s="360">
        <v>1</v>
      </c>
      <c r="V36" s="360">
        <v>0.37799188209527168</v>
      </c>
      <c r="W36" s="360">
        <v>1.2022224863871172</v>
      </c>
      <c r="X36" s="360">
        <v>0</v>
      </c>
      <c r="Y36" s="360">
        <v>0.37873592776771325</v>
      </c>
      <c r="Z36" s="360">
        <v>1.1807552689091494</v>
      </c>
      <c r="AA36" s="360">
        <v>0</v>
      </c>
      <c r="AB36" s="360">
        <v>0.37873592776771325</v>
      </c>
      <c r="AC36" s="360">
        <v>1.1807552689091494</v>
      </c>
      <c r="AD36" s="360">
        <v>1</v>
      </c>
      <c r="AE36" s="360">
        <v>0.37873592776771325</v>
      </c>
      <c r="AF36" s="360">
        <v>1.1807552689091494</v>
      </c>
      <c r="AG36" s="360">
        <v>0</v>
      </c>
      <c r="AH36" s="360">
        <v>0</v>
      </c>
      <c r="AI36" s="360">
        <v>0.37873592776771325</v>
      </c>
      <c r="AJ36" s="360">
        <v>1.1807552689091494</v>
      </c>
      <c r="AK36" s="360">
        <v>1</v>
      </c>
      <c r="AL36" s="360">
        <v>0.37873592776771325</v>
      </c>
      <c r="AM36" s="360">
        <v>1.1807552689091494</v>
      </c>
      <c r="AN36" s="360">
        <v>0</v>
      </c>
      <c r="AO36" s="360">
        <f t="shared" si="0"/>
        <v>1</v>
      </c>
      <c r="AP36" s="360">
        <f t="shared" si="1"/>
        <v>0</v>
      </c>
      <c r="AQ36" s="360">
        <f t="shared" si="2"/>
        <v>0</v>
      </c>
    </row>
    <row r="37" spans="1:43">
      <c r="A37" s="360" t="s">
        <v>1082</v>
      </c>
      <c r="B37" t="s">
        <v>1076</v>
      </c>
      <c r="C37">
        <v>2</v>
      </c>
      <c r="D37" t="s">
        <v>1080</v>
      </c>
      <c r="E37" t="s">
        <v>1079</v>
      </c>
      <c r="F37" s="360">
        <v>1</v>
      </c>
      <c r="G37" s="360" t="str">
        <f>CONCATENATE(A37," ",B37," ",C37," ","inf+"," ",FanUpsizes!D37," ",FanUpsizes!F37)</f>
        <v>5ACH 5C 2 inf+ Existing 1</v>
      </c>
      <c r="H37" s="360">
        <v>4.0907310310271575E-2</v>
      </c>
      <c r="I37" s="360">
        <v>0.37799188209527168</v>
      </c>
      <c r="J37" s="360">
        <v>1.2022224863871172</v>
      </c>
      <c r="K37" s="360">
        <v>0</v>
      </c>
      <c r="L37" s="360">
        <v>0.37799188209527168</v>
      </c>
      <c r="M37" s="360">
        <v>1.2022224863871172</v>
      </c>
      <c r="N37" s="360">
        <v>1</v>
      </c>
      <c r="O37" s="360">
        <v>0.37799188209527168</v>
      </c>
      <c r="P37" s="360">
        <v>1.2022224863871172</v>
      </c>
      <c r="Q37" s="360">
        <v>0</v>
      </c>
      <c r="R37" s="360">
        <v>0</v>
      </c>
      <c r="S37" s="360">
        <v>0.37799188209527168</v>
      </c>
      <c r="T37" s="360">
        <v>1.2022224863871172</v>
      </c>
      <c r="U37" s="360">
        <v>1</v>
      </c>
      <c r="V37" s="360">
        <v>0.37799188209527168</v>
      </c>
      <c r="W37" s="360">
        <v>1.2022224863871172</v>
      </c>
      <c r="X37" s="360">
        <v>0</v>
      </c>
      <c r="Y37" s="360">
        <v>0.37873592776771325</v>
      </c>
      <c r="Z37" s="360">
        <v>1.1807552689091494</v>
      </c>
      <c r="AA37" s="360">
        <v>0</v>
      </c>
      <c r="AB37" s="360">
        <v>0.37873592776771325</v>
      </c>
      <c r="AC37" s="360">
        <v>1.1807552689091494</v>
      </c>
      <c r="AD37" s="360">
        <v>1</v>
      </c>
      <c r="AE37" s="360">
        <v>0.37873592776771325</v>
      </c>
      <c r="AF37" s="360">
        <v>1.1807552689091494</v>
      </c>
      <c r="AG37" s="360">
        <v>0</v>
      </c>
      <c r="AH37" s="360">
        <v>0</v>
      </c>
      <c r="AI37" s="360">
        <v>0.37873592776771325</v>
      </c>
      <c r="AJ37" s="360">
        <v>1.1807552689091494</v>
      </c>
      <c r="AK37" s="360">
        <v>1</v>
      </c>
      <c r="AL37" s="360">
        <v>0.37873592776771325</v>
      </c>
      <c r="AM37" s="360">
        <v>1.1807552689091494</v>
      </c>
      <c r="AN37" s="360">
        <v>0</v>
      </c>
      <c r="AO37" s="360">
        <f t="shared" si="0"/>
        <v>1</v>
      </c>
      <c r="AP37" s="360">
        <f t="shared" si="1"/>
        <v>0</v>
      </c>
      <c r="AQ37" s="360">
        <f t="shared" si="2"/>
        <v>0</v>
      </c>
    </row>
    <row r="38" spans="1:43">
      <c r="A38" s="360" t="s">
        <v>1083</v>
      </c>
      <c r="B38" t="s">
        <v>1075</v>
      </c>
      <c r="C38">
        <v>1</v>
      </c>
      <c r="D38" t="s">
        <v>1078</v>
      </c>
      <c r="E38" t="s">
        <v>1079</v>
      </c>
      <c r="F38" s="360">
        <v>1</v>
      </c>
      <c r="G38" s="360" t="str">
        <f>CONCATENATE(A38," ",B38," ",C38," ","inf+"," ",FanUpsizes!D38," ",FanUpsizes!F38)</f>
        <v>3ACH Percentile 1 inf+ New 1</v>
      </c>
      <c r="H38" s="360">
        <v>3.4803804941838171E-2</v>
      </c>
      <c r="I38" s="360">
        <v>0.26391803768611499</v>
      </c>
      <c r="J38" s="360">
        <v>1.2127624852945813</v>
      </c>
      <c r="K38" s="360">
        <v>29.703227302618465</v>
      </c>
      <c r="L38" s="360">
        <v>0.22288786298810417</v>
      </c>
      <c r="M38" s="360">
        <v>1.6910418406767629</v>
      </c>
      <c r="N38" s="360">
        <v>1.7522883461816456</v>
      </c>
      <c r="O38" s="360">
        <v>0.3670504177512216</v>
      </c>
      <c r="P38" s="360">
        <v>1.2127625784721692</v>
      </c>
      <c r="Q38" s="360">
        <v>-938.71252317930839</v>
      </c>
      <c r="R38" s="360">
        <v>135.20457176546395</v>
      </c>
      <c r="S38" s="360">
        <v>0.1745544945833569</v>
      </c>
      <c r="T38" s="360">
        <v>2.131151828545621</v>
      </c>
      <c r="U38" s="360">
        <v>2.8628370876046425</v>
      </c>
      <c r="V38" s="360">
        <v>0.41546880469384362</v>
      </c>
      <c r="W38" s="360">
        <v>1.2127630231688025</v>
      </c>
      <c r="X38" s="360">
        <v>-2064.4880803853812</v>
      </c>
      <c r="Y38" s="360">
        <v>0.27671163458430792</v>
      </c>
      <c r="Z38" s="360">
        <v>1.1567611009390546</v>
      </c>
      <c r="AA38" s="360">
        <v>29.703227302618465</v>
      </c>
      <c r="AB38" s="360">
        <v>0.23336309332117072</v>
      </c>
      <c r="AC38" s="360">
        <v>1.6362806251534967</v>
      </c>
      <c r="AD38" s="360">
        <v>1.8637500585323916</v>
      </c>
      <c r="AE38" s="360">
        <v>0.39842148274824879</v>
      </c>
      <c r="AF38" s="360">
        <v>1.1567611035705514</v>
      </c>
      <c r="AG38" s="360">
        <v>-1072.5478032769577</v>
      </c>
      <c r="AH38" s="360">
        <v>142.50346362345937</v>
      </c>
      <c r="AI38" s="360">
        <v>0.17960472915854306</v>
      </c>
      <c r="AJ38" s="360">
        <v>2.0890860597755001</v>
      </c>
      <c r="AK38" s="360">
        <v>3.0471933515164067</v>
      </c>
      <c r="AL38" s="360">
        <v>0.44927846493316853</v>
      </c>
      <c r="AM38" s="360">
        <v>1.156761258330202</v>
      </c>
      <c r="AN38" s="360">
        <v>-2253.7948891965029</v>
      </c>
      <c r="AO38" s="360">
        <f t="shared" si="0"/>
        <v>1</v>
      </c>
      <c r="AP38" s="360">
        <f t="shared" si="1"/>
        <v>1</v>
      </c>
      <c r="AQ38" s="360">
        <f t="shared" si="2"/>
        <v>1</v>
      </c>
    </row>
    <row r="39" spans="1:43">
      <c r="A39" s="360" t="s">
        <v>1083</v>
      </c>
      <c r="B39" t="s">
        <v>1074</v>
      </c>
      <c r="C39">
        <v>1</v>
      </c>
      <c r="D39" t="s">
        <v>1078</v>
      </c>
      <c r="E39" t="s">
        <v>1079</v>
      </c>
      <c r="F39" s="360">
        <v>1</v>
      </c>
      <c r="G39" s="360" t="str">
        <f>CONCATENATE(A39," ",B39," ",C39," ","inf+"," ",FanUpsizes!D39," ",FanUpsizes!F39)</f>
        <v>3ACH Infiltration 1 inf+ New 1</v>
      </c>
      <c r="H39" s="360">
        <v>3.4803804941838171E-2</v>
      </c>
      <c r="I39" s="360">
        <v>0.26391803768611499</v>
      </c>
      <c r="J39" s="360">
        <v>1.2127624852945813</v>
      </c>
      <c r="K39" s="360">
        <v>0</v>
      </c>
      <c r="L39" s="360">
        <v>0.26391803768611499</v>
      </c>
      <c r="M39" s="360">
        <v>1.2127624852945813</v>
      </c>
      <c r="N39" s="360">
        <v>1</v>
      </c>
      <c r="O39" s="360">
        <v>0.26391803768611499</v>
      </c>
      <c r="P39" s="360">
        <v>1.2127624852945813</v>
      </c>
      <c r="Q39" s="360">
        <v>0</v>
      </c>
      <c r="R39" s="360">
        <v>0</v>
      </c>
      <c r="S39" s="360">
        <v>0.26391803768611499</v>
      </c>
      <c r="T39" s="360">
        <v>1.2127624852945813</v>
      </c>
      <c r="U39" s="360">
        <v>1</v>
      </c>
      <c r="V39" s="360">
        <v>0.26391803768611499</v>
      </c>
      <c r="W39" s="360">
        <v>1.2127624852945813</v>
      </c>
      <c r="X39" s="360">
        <v>0</v>
      </c>
      <c r="Y39" s="360">
        <v>0.27671163458430792</v>
      </c>
      <c r="Z39" s="360">
        <v>1.1567611009390546</v>
      </c>
      <c r="AA39" s="360">
        <v>0</v>
      </c>
      <c r="AB39" s="360">
        <v>0.27671163458430792</v>
      </c>
      <c r="AC39" s="360">
        <v>1.1567611009390546</v>
      </c>
      <c r="AD39" s="360">
        <v>1</v>
      </c>
      <c r="AE39" s="360">
        <v>0.27671163458430792</v>
      </c>
      <c r="AF39" s="360">
        <v>1.1567611009390546</v>
      </c>
      <c r="AG39" s="360">
        <v>0</v>
      </c>
      <c r="AH39" s="360">
        <v>0</v>
      </c>
      <c r="AI39" s="360">
        <v>0.27671163458430792</v>
      </c>
      <c r="AJ39" s="360">
        <v>1.1567611009390546</v>
      </c>
      <c r="AK39" s="360">
        <v>1</v>
      </c>
      <c r="AL39" s="360">
        <v>0.27671163458430792</v>
      </c>
      <c r="AM39" s="360">
        <v>1.1567611009390546</v>
      </c>
      <c r="AN39" s="360">
        <v>0</v>
      </c>
      <c r="AO39" s="360">
        <f t="shared" si="0"/>
        <v>1</v>
      </c>
      <c r="AP39" s="360">
        <f t="shared" si="1"/>
        <v>0</v>
      </c>
      <c r="AQ39" s="360">
        <f t="shared" si="2"/>
        <v>0</v>
      </c>
    </row>
    <row r="40" spans="1:43">
      <c r="A40" s="360" t="s">
        <v>1083</v>
      </c>
      <c r="B40" t="s">
        <v>1076</v>
      </c>
      <c r="C40">
        <v>1</v>
      </c>
      <c r="D40" t="s">
        <v>1078</v>
      </c>
      <c r="E40" t="s">
        <v>1079</v>
      </c>
      <c r="F40" s="360">
        <v>1</v>
      </c>
      <c r="G40" s="360" t="str">
        <f>CONCATENATE(A40," ",B40," ",C40," ","inf+"," ",FanUpsizes!D40," ",FanUpsizes!F40)</f>
        <v>3ACH 5C 1 inf+ New 1</v>
      </c>
      <c r="H40" s="360">
        <v>3.4803804941838171E-2</v>
      </c>
      <c r="I40" s="360">
        <v>0.26391803768611499</v>
      </c>
      <c r="J40" s="360">
        <v>1.2127624852945813</v>
      </c>
      <c r="K40" s="360">
        <v>0</v>
      </c>
      <c r="L40" s="360">
        <v>0.26391803768611499</v>
      </c>
      <c r="M40" s="360">
        <v>1.2127624852945813</v>
      </c>
      <c r="N40" s="360">
        <v>1</v>
      </c>
      <c r="O40" s="360">
        <v>0.26391803768611499</v>
      </c>
      <c r="P40" s="360">
        <v>1.2127624852945813</v>
      </c>
      <c r="Q40" s="360">
        <v>0</v>
      </c>
      <c r="R40" s="360">
        <v>0</v>
      </c>
      <c r="S40" s="360">
        <v>0.26391803768611499</v>
      </c>
      <c r="T40" s="360">
        <v>1.2127624852945813</v>
      </c>
      <c r="U40" s="360">
        <v>1</v>
      </c>
      <c r="V40" s="360">
        <v>0.26391803768611499</v>
      </c>
      <c r="W40" s="360">
        <v>1.2127624852945813</v>
      </c>
      <c r="X40" s="360">
        <v>0</v>
      </c>
      <c r="Y40" s="360">
        <v>0.27671163458430792</v>
      </c>
      <c r="Z40" s="360">
        <v>1.1567611009390546</v>
      </c>
      <c r="AA40" s="360">
        <v>0</v>
      </c>
      <c r="AB40" s="360">
        <v>0.27671163458430792</v>
      </c>
      <c r="AC40" s="360">
        <v>1.1567611009390546</v>
      </c>
      <c r="AD40" s="360">
        <v>1</v>
      </c>
      <c r="AE40" s="360">
        <v>0.27671163458430792</v>
      </c>
      <c r="AF40" s="360">
        <v>1.1567611009390546</v>
      </c>
      <c r="AG40" s="360">
        <v>0</v>
      </c>
      <c r="AH40" s="360">
        <v>0</v>
      </c>
      <c r="AI40" s="360">
        <v>0.27671163458430792</v>
      </c>
      <c r="AJ40" s="360">
        <v>1.1567611009390546</v>
      </c>
      <c r="AK40" s="360">
        <v>1</v>
      </c>
      <c r="AL40" s="360">
        <v>0.27671163458430792</v>
      </c>
      <c r="AM40" s="360">
        <v>1.1567611009390546</v>
      </c>
      <c r="AN40" s="360">
        <v>0</v>
      </c>
      <c r="AO40" s="360">
        <f t="shared" si="0"/>
        <v>1</v>
      </c>
      <c r="AP40" s="360">
        <f t="shared" si="1"/>
        <v>0</v>
      </c>
      <c r="AQ40" s="360">
        <f t="shared" si="2"/>
        <v>0</v>
      </c>
    </row>
    <row r="41" spans="1:43">
      <c r="A41" s="360" t="s">
        <v>1083</v>
      </c>
      <c r="B41" t="s">
        <v>1075</v>
      </c>
      <c r="C41">
        <v>2</v>
      </c>
      <c r="D41" t="s">
        <v>1078</v>
      </c>
      <c r="E41" t="s">
        <v>1079</v>
      </c>
      <c r="F41" s="360">
        <v>1</v>
      </c>
      <c r="G41" s="360" t="str">
        <f>CONCATENATE(A41," ",B41," ",C41," ","inf+"," ",FanUpsizes!D41," ",FanUpsizes!F41)</f>
        <v>3ACH Percentile 2 inf+ New 1</v>
      </c>
      <c r="H41" s="360">
        <v>3.2100386186162948E-2</v>
      </c>
      <c r="I41" s="360">
        <v>0.26637686294403906</v>
      </c>
      <c r="J41" s="360">
        <v>1.2168510023252181</v>
      </c>
      <c r="K41" s="360">
        <v>27.39600078160273</v>
      </c>
      <c r="L41" s="360">
        <v>0.23260665805750641</v>
      </c>
      <c r="M41" s="360">
        <v>1.5597729805656348</v>
      </c>
      <c r="N41" s="360">
        <v>1.5849396771469955</v>
      </c>
      <c r="O41" s="360">
        <v>0.32189851729400515</v>
      </c>
      <c r="P41" s="360">
        <v>1.2168511295029445</v>
      </c>
      <c r="Q41" s="360">
        <v>-571.28522516080409</v>
      </c>
      <c r="R41" s="360">
        <v>110.88092688452181</v>
      </c>
      <c r="S41" s="360">
        <v>0.19474864321793481</v>
      </c>
      <c r="T41" s="360">
        <v>1.8678851172419328</v>
      </c>
      <c r="U41" s="360">
        <v>2.5066327455972295</v>
      </c>
      <c r="V41" s="360">
        <v>0.3537097480576008</v>
      </c>
      <c r="W41" s="360">
        <v>1.2168516753332939</v>
      </c>
      <c r="X41" s="360">
        <v>-1396.3037692991822</v>
      </c>
      <c r="Y41" s="360">
        <v>0.27451953957194908</v>
      </c>
      <c r="Z41" s="360">
        <v>1.1728536992353857</v>
      </c>
      <c r="AA41" s="360">
        <v>27.39600078160273</v>
      </c>
      <c r="AB41" s="360">
        <v>0.23894374111689465</v>
      </c>
      <c r="AC41" s="360">
        <v>1.5194427063223972</v>
      </c>
      <c r="AD41" s="360">
        <v>1.6069605898533939</v>
      </c>
      <c r="AE41" s="360">
        <v>0.34027893526974401</v>
      </c>
      <c r="AF41" s="360">
        <v>1.1728600497600499</v>
      </c>
      <c r="AG41" s="360">
        <v>-649.98242416705807</v>
      </c>
      <c r="AH41" s="360">
        <v>124.62264031409573</v>
      </c>
      <c r="AI41" s="360">
        <v>0.19379134488567201</v>
      </c>
      <c r="AJ41" s="360">
        <v>1.8685515497353131</v>
      </c>
      <c r="AK41" s="360">
        <v>2.5732839983778675</v>
      </c>
      <c r="AL41" s="360">
        <v>0.37348024932784757</v>
      </c>
      <c r="AM41" s="360">
        <v>1.1728553453105488</v>
      </c>
      <c r="AN41" s="360">
        <v>-1505.720175168844</v>
      </c>
      <c r="AO41" s="360">
        <f t="shared" si="0"/>
        <v>1</v>
      </c>
      <c r="AP41" s="360">
        <f t="shared" si="1"/>
        <v>1</v>
      </c>
      <c r="AQ41" s="360">
        <f t="shared" si="2"/>
        <v>1</v>
      </c>
    </row>
    <row r="42" spans="1:43">
      <c r="A42" s="360" t="s">
        <v>1083</v>
      </c>
      <c r="B42" t="s">
        <v>1074</v>
      </c>
      <c r="C42">
        <v>2</v>
      </c>
      <c r="D42" t="s">
        <v>1078</v>
      </c>
      <c r="E42" t="s">
        <v>1079</v>
      </c>
      <c r="F42" s="360">
        <v>1</v>
      </c>
      <c r="G42" s="360" t="str">
        <f>CONCATENATE(A42," ",B42," ",C42," ","inf+"," ",FanUpsizes!D42," ",FanUpsizes!F42)</f>
        <v>3ACH Infiltration 2 inf+ New 1</v>
      </c>
      <c r="H42" s="360">
        <v>3.2100386186162948E-2</v>
      </c>
      <c r="I42" s="360">
        <v>0.26637686294403906</v>
      </c>
      <c r="J42" s="360">
        <v>1.2168510023252181</v>
      </c>
      <c r="K42" s="360">
        <v>0</v>
      </c>
      <c r="L42" s="360">
        <v>0.26637686294403906</v>
      </c>
      <c r="M42" s="360">
        <v>1.2168510023252181</v>
      </c>
      <c r="N42" s="360">
        <v>1</v>
      </c>
      <c r="O42" s="360">
        <v>0.26637686294403906</v>
      </c>
      <c r="P42" s="360">
        <v>1.2168510023252181</v>
      </c>
      <c r="Q42" s="360">
        <v>0</v>
      </c>
      <c r="R42" s="360">
        <v>0</v>
      </c>
      <c r="S42" s="360">
        <v>0.26637686294403906</v>
      </c>
      <c r="T42" s="360">
        <v>1.2168510023252181</v>
      </c>
      <c r="U42" s="360">
        <v>1</v>
      </c>
      <c r="V42" s="360">
        <v>0.26637686294403906</v>
      </c>
      <c r="W42" s="360">
        <v>1.2168510023252181</v>
      </c>
      <c r="X42" s="360">
        <v>0</v>
      </c>
      <c r="Y42" s="360">
        <v>0.27451953957194908</v>
      </c>
      <c r="Z42" s="360">
        <v>1.1728536992353857</v>
      </c>
      <c r="AA42" s="360">
        <v>0</v>
      </c>
      <c r="AB42" s="360">
        <v>0.27451953957194908</v>
      </c>
      <c r="AC42" s="360">
        <v>1.1728536992353857</v>
      </c>
      <c r="AD42" s="360">
        <v>1</v>
      </c>
      <c r="AE42" s="360">
        <v>0.27451953957194908</v>
      </c>
      <c r="AF42" s="360">
        <v>1.1728536992353857</v>
      </c>
      <c r="AG42" s="360">
        <v>0</v>
      </c>
      <c r="AH42" s="360">
        <v>0</v>
      </c>
      <c r="AI42" s="360">
        <v>0.27451953957194908</v>
      </c>
      <c r="AJ42" s="360">
        <v>1.1728536992353857</v>
      </c>
      <c r="AK42" s="360">
        <v>1</v>
      </c>
      <c r="AL42" s="360">
        <v>0.27451953957194908</v>
      </c>
      <c r="AM42" s="360">
        <v>1.1728536992353857</v>
      </c>
      <c r="AN42" s="360">
        <v>0</v>
      </c>
      <c r="AO42" s="360">
        <f t="shared" si="0"/>
        <v>1</v>
      </c>
      <c r="AP42" s="360">
        <f t="shared" si="1"/>
        <v>0</v>
      </c>
      <c r="AQ42" s="360">
        <f t="shared" si="2"/>
        <v>0</v>
      </c>
    </row>
    <row r="43" spans="1:43">
      <c r="A43" s="360" t="s">
        <v>1083</v>
      </c>
      <c r="B43" t="s">
        <v>1076</v>
      </c>
      <c r="C43">
        <v>2</v>
      </c>
      <c r="D43" t="s">
        <v>1078</v>
      </c>
      <c r="E43" t="s">
        <v>1079</v>
      </c>
      <c r="F43" s="360">
        <v>1</v>
      </c>
      <c r="G43" s="360" t="str">
        <f>CONCATENATE(A43," ",B43," ",C43," ","inf+"," ",FanUpsizes!D43," ",FanUpsizes!F43)</f>
        <v>3ACH 5C 2 inf+ New 1</v>
      </c>
      <c r="H43" s="360">
        <v>3.2100386186162948E-2</v>
      </c>
      <c r="I43" s="360">
        <v>0.26637686294403906</v>
      </c>
      <c r="J43" s="360">
        <v>1.2168510023252181</v>
      </c>
      <c r="K43" s="360">
        <v>0</v>
      </c>
      <c r="L43" s="360">
        <v>0.26637686294403906</v>
      </c>
      <c r="M43" s="360">
        <v>1.2168510023252181</v>
      </c>
      <c r="N43" s="360">
        <v>1</v>
      </c>
      <c r="O43" s="360">
        <v>0.26637686294403906</v>
      </c>
      <c r="P43" s="360">
        <v>1.2168510023252181</v>
      </c>
      <c r="Q43" s="360">
        <v>0</v>
      </c>
      <c r="R43" s="360">
        <v>0</v>
      </c>
      <c r="S43" s="360">
        <v>0.26637686294403906</v>
      </c>
      <c r="T43" s="360">
        <v>1.2168510023252181</v>
      </c>
      <c r="U43" s="360">
        <v>1</v>
      </c>
      <c r="V43" s="360">
        <v>0.26637686294403906</v>
      </c>
      <c r="W43" s="360">
        <v>1.2168510023252181</v>
      </c>
      <c r="X43" s="360">
        <v>0</v>
      </c>
      <c r="Y43" s="360">
        <v>0.27451953957194908</v>
      </c>
      <c r="Z43" s="360">
        <v>1.1728536992353857</v>
      </c>
      <c r="AA43" s="360">
        <v>0</v>
      </c>
      <c r="AB43" s="360">
        <v>0.27451953957194908</v>
      </c>
      <c r="AC43" s="360">
        <v>1.1728536992353857</v>
      </c>
      <c r="AD43" s="360">
        <v>1</v>
      </c>
      <c r="AE43" s="360">
        <v>0.27451953957194908</v>
      </c>
      <c r="AF43" s="360">
        <v>1.1728536992353857</v>
      </c>
      <c r="AG43" s="360">
        <v>0</v>
      </c>
      <c r="AH43" s="360">
        <v>0</v>
      </c>
      <c r="AI43" s="360">
        <v>0.27451953957194908</v>
      </c>
      <c r="AJ43" s="360">
        <v>1.1728536992353857</v>
      </c>
      <c r="AK43" s="360">
        <v>1</v>
      </c>
      <c r="AL43" s="360">
        <v>0.27451953957194908</v>
      </c>
      <c r="AM43" s="360">
        <v>1.1728536992353857</v>
      </c>
      <c r="AN43" s="360">
        <v>0</v>
      </c>
      <c r="AO43" s="360">
        <f t="shared" si="0"/>
        <v>1</v>
      </c>
      <c r="AP43" s="360">
        <f t="shared" si="1"/>
        <v>0</v>
      </c>
      <c r="AQ43" s="360">
        <f t="shared" si="2"/>
        <v>0</v>
      </c>
    </row>
    <row r="44" spans="1:43">
      <c r="A44" s="360" t="s">
        <v>1083</v>
      </c>
      <c r="B44" t="s">
        <v>1075</v>
      </c>
      <c r="C44">
        <v>1</v>
      </c>
      <c r="D44" t="s">
        <v>1080</v>
      </c>
      <c r="E44" t="s">
        <v>1079</v>
      </c>
      <c r="F44" s="360">
        <v>1</v>
      </c>
      <c r="G44" s="360" t="str">
        <f>CONCATENATE(A44," ",B44," ",C44," ","inf+"," ",FanUpsizes!D44," ",FanUpsizes!F44)</f>
        <v>3ACH Percentile 1 inf+ Existing 1</v>
      </c>
      <c r="H44" s="360">
        <v>5.1053804941838171E-2</v>
      </c>
      <c r="I44" s="360">
        <v>0.37770015734320217</v>
      </c>
      <c r="J44" s="360">
        <v>1.1630805124305161</v>
      </c>
      <c r="K44" s="360">
        <v>43.571752438686801</v>
      </c>
      <c r="L44" s="360">
        <v>0.31075973260754985</v>
      </c>
      <c r="M44" s="360">
        <v>1.8483057462604082</v>
      </c>
      <c r="N44" s="360">
        <v>2.5614082081122933</v>
      </c>
      <c r="O44" s="360">
        <v>0.76686245415120435</v>
      </c>
      <c r="P44" s="360">
        <v>1.1630811710504672</v>
      </c>
      <c r="Q44" s="360">
        <v>-3002.4617556642934</v>
      </c>
      <c r="R44" s="360">
        <v>213.42322014065664</v>
      </c>
      <c r="S44" s="360">
        <v>0.23008399840439239</v>
      </c>
      <c r="T44" s="360">
        <v>2.4074688964616038</v>
      </c>
      <c r="U44" s="360">
        <v>4.265165343677098</v>
      </c>
      <c r="V44" s="360">
        <v>0.88602936963887491</v>
      </c>
      <c r="W44" s="360">
        <v>1.1630805321582711</v>
      </c>
      <c r="X44" s="360">
        <v>-5558.3497646359074</v>
      </c>
      <c r="Y44" s="360">
        <v>0.39079698729242968</v>
      </c>
      <c r="Z44" s="360">
        <v>1.1248050063450685</v>
      </c>
      <c r="AA44" s="360">
        <v>43.571752438686801</v>
      </c>
      <c r="AB44" s="360">
        <v>0.32162627557747347</v>
      </c>
      <c r="AC44" s="360">
        <v>1.8096294491385378</v>
      </c>
      <c r="AD44" s="360">
        <v>2.7899237581709015</v>
      </c>
      <c r="AE44" s="360">
        <v>0.83805180220597075</v>
      </c>
      <c r="AF44" s="360">
        <v>1.1248053081190097</v>
      </c>
      <c r="AG44" s="360">
        <v>-3404.4758314622804</v>
      </c>
      <c r="AH44" s="360">
        <v>216.15554013992019</v>
      </c>
      <c r="AI44" s="360">
        <v>0.238200016011097</v>
      </c>
      <c r="AJ44" s="360">
        <v>2.3489216158045036</v>
      </c>
      <c r="AK44" s="360">
        <v>4.6477711319506252</v>
      </c>
      <c r="AL44" s="360">
        <v>0.96800899568494725</v>
      </c>
      <c r="AM44" s="360">
        <v>1.1248050726059013</v>
      </c>
      <c r="AN44" s="360">
        <v>-6183.0237356593598</v>
      </c>
      <c r="AO44" s="360">
        <f t="shared" si="0"/>
        <v>1</v>
      </c>
      <c r="AP44" s="360">
        <f t="shared" si="1"/>
        <v>1</v>
      </c>
      <c r="AQ44" s="360">
        <f t="shared" si="2"/>
        <v>1</v>
      </c>
    </row>
    <row r="45" spans="1:43">
      <c r="A45" s="360" t="s">
        <v>1083</v>
      </c>
      <c r="B45" t="s">
        <v>1074</v>
      </c>
      <c r="C45">
        <v>1</v>
      </c>
      <c r="D45" t="s">
        <v>1080</v>
      </c>
      <c r="E45" t="s">
        <v>1079</v>
      </c>
      <c r="F45" s="360">
        <v>1</v>
      </c>
      <c r="G45" s="360" t="str">
        <f>CONCATENATE(A45," ",B45," ",C45," ","inf+"," ",FanUpsizes!D45," ",FanUpsizes!F45)</f>
        <v>3ACH Infiltration 1 inf+ Existing 1</v>
      </c>
      <c r="H45" s="360">
        <v>5.1053804941838171E-2</v>
      </c>
      <c r="I45" s="360">
        <v>0.37770015734320217</v>
      </c>
      <c r="J45" s="360">
        <v>1.1630805124305161</v>
      </c>
      <c r="K45" s="360">
        <v>0</v>
      </c>
      <c r="L45" s="360">
        <v>0.37770015734320217</v>
      </c>
      <c r="M45" s="360">
        <v>1.1630805124305161</v>
      </c>
      <c r="N45" s="360">
        <v>1</v>
      </c>
      <c r="O45" s="360">
        <v>0.37770015734320217</v>
      </c>
      <c r="P45" s="360">
        <v>1.1630805124305161</v>
      </c>
      <c r="Q45" s="360">
        <v>0</v>
      </c>
      <c r="R45" s="360">
        <v>0</v>
      </c>
      <c r="S45" s="360">
        <v>0.37770015734320217</v>
      </c>
      <c r="T45" s="360">
        <v>1.1630805124305161</v>
      </c>
      <c r="U45" s="360">
        <v>1</v>
      </c>
      <c r="V45" s="360">
        <v>0.37770015734320217</v>
      </c>
      <c r="W45" s="360">
        <v>1.1630805124305161</v>
      </c>
      <c r="X45" s="360">
        <v>0</v>
      </c>
      <c r="Y45" s="360">
        <v>0.39079698729242968</v>
      </c>
      <c r="Z45" s="360">
        <v>1.1248050063450685</v>
      </c>
      <c r="AA45" s="360">
        <v>0</v>
      </c>
      <c r="AB45" s="360">
        <v>0.39079698729242968</v>
      </c>
      <c r="AC45" s="360">
        <v>1.1248050063450685</v>
      </c>
      <c r="AD45" s="360">
        <v>1</v>
      </c>
      <c r="AE45" s="360">
        <v>0.39079698729242968</v>
      </c>
      <c r="AF45" s="360">
        <v>1.1248050063450685</v>
      </c>
      <c r="AG45" s="360">
        <v>0</v>
      </c>
      <c r="AH45" s="360">
        <v>0</v>
      </c>
      <c r="AI45" s="360">
        <v>0.39079698729242968</v>
      </c>
      <c r="AJ45" s="360">
        <v>1.1248050063450685</v>
      </c>
      <c r="AK45" s="360">
        <v>1</v>
      </c>
      <c r="AL45" s="360">
        <v>0.39079698729242968</v>
      </c>
      <c r="AM45" s="360">
        <v>1.1248050063450685</v>
      </c>
      <c r="AN45" s="360">
        <v>0</v>
      </c>
      <c r="AO45" s="360">
        <f t="shared" si="0"/>
        <v>1</v>
      </c>
      <c r="AP45" s="360">
        <f t="shared" si="1"/>
        <v>0</v>
      </c>
      <c r="AQ45" s="360">
        <f t="shared" si="2"/>
        <v>0</v>
      </c>
    </row>
    <row r="46" spans="1:43">
      <c r="A46" s="360" t="s">
        <v>1083</v>
      </c>
      <c r="B46" t="s">
        <v>1076</v>
      </c>
      <c r="C46">
        <v>1</v>
      </c>
      <c r="D46" t="s">
        <v>1080</v>
      </c>
      <c r="E46" t="s">
        <v>1079</v>
      </c>
      <c r="F46" s="360">
        <v>1</v>
      </c>
      <c r="G46" s="360" t="str">
        <f>CONCATENATE(A46," ",B46," ",C46," ","inf+"," ",FanUpsizes!D46," ",FanUpsizes!F46)</f>
        <v>3ACH 5C 1 inf+ Existing 1</v>
      </c>
      <c r="H46" s="360">
        <v>5.1053804941838171E-2</v>
      </c>
      <c r="I46" s="360">
        <v>0.37770015734320217</v>
      </c>
      <c r="J46" s="360">
        <v>1.1630805124305161</v>
      </c>
      <c r="K46" s="360">
        <v>0</v>
      </c>
      <c r="L46" s="360">
        <v>0.37770015734320217</v>
      </c>
      <c r="M46" s="360">
        <v>1.1630805124305161</v>
      </c>
      <c r="N46" s="360">
        <v>1</v>
      </c>
      <c r="O46" s="360">
        <v>0.37770015734320217</v>
      </c>
      <c r="P46" s="360">
        <v>1.1630805124305161</v>
      </c>
      <c r="Q46" s="360">
        <v>0</v>
      </c>
      <c r="R46" s="360">
        <v>0</v>
      </c>
      <c r="S46" s="360">
        <v>0.37770015734320217</v>
      </c>
      <c r="T46" s="360">
        <v>1.1630805124305161</v>
      </c>
      <c r="U46" s="360">
        <v>1</v>
      </c>
      <c r="V46" s="360">
        <v>0.37770015734320217</v>
      </c>
      <c r="W46" s="360">
        <v>1.1630805124305161</v>
      </c>
      <c r="X46" s="360">
        <v>0</v>
      </c>
      <c r="Y46" s="360">
        <v>0.39079698729242968</v>
      </c>
      <c r="Z46" s="360">
        <v>1.1248050063450685</v>
      </c>
      <c r="AA46" s="360">
        <v>0</v>
      </c>
      <c r="AB46" s="360">
        <v>0.39079698729242968</v>
      </c>
      <c r="AC46" s="360">
        <v>1.1248050063450685</v>
      </c>
      <c r="AD46" s="360">
        <v>1</v>
      </c>
      <c r="AE46" s="360">
        <v>0.39079698729242968</v>
      </c>
      <c r="AF46" s="360">
        <v>1.1248050063450685</v>
      </c>
      <c r="AG46" s="360">
        <v>0</v>
      </c>
      <c r="AH46" s="360">
        <v>0</v>
      </c>
      <c r="AI46" s="360">
        <v>0.39079698729242968</v>
      </c>
      <c r="AJ46" s="360">
        <v>1.1248050063450685</v>
      </c>
      <c r="AK46" s="360">
        <v>1</v>
      </c>
      <c r="AL46" s="360">
        <v>0.39079698729242968</v>
      </c>
      <c r="AM46" s="360">
        <v>1.1248050063450685</v>
      </c>
      <c r="AN46" s="360">
        <v>0</v>
      </c>
      <c r="AO46" s="360">
        <f t="shared" si="0"/>
        <v>1</v>
      </c>
      <c r="AP46" s="360">
        <f t="shared" si="1"/>
        <v>0</v>
      </c>
      <c r="AQ46" s="360">
        <f t="shared" si="2"/>
        <v>0</v>
      </c>
    </row>
    <row r="47" spans="1:43">
      <c r="A47" s="360" t="s">
        <v>1083</v>
      </c>
      <c r="B47" t="s">
        <v>1075</v>
      </c>
      <c r="C47">
        <v>2</v>
      </c>
      <c r="D47" t="s">
        <v>1080</v>
      </c>
      <c r="E47" t="s">
        <v>1079</v>
      </c>
      <c r="F47" s="360">
        <v>1</v>
      </c>
      <c r="G47" s="360" t="str">
        <f>CONCATENATE(A47," ",B47," ",C47," ","inf+"," ",FanUpsizes!D47," ",FanUpsizes!F47)</f>
        <v>3ACH Percentile 2 inf+ Existing 1</v>
      </c>
      <c r="H47" s="360">
        <v>4.8350386186162948E-2</v>
      </c>
      <c r="I47" s="360">
        <v>0.3662051827868919</v>
      </c>
      <c r="J47" s="360">
        <v>1.2025133506291354</v>
      </c>
      <c r="K47" s="360">
        <v>41.26452591770262</v>
      </c>
      <c r="L47" s="360">
        <v>0.30886505728238506</v>
      </c>
      <c r="M47" s="360">
        <v>1.7228420014425878</v>
      </c>
      <c r="N47" s="360">
        <v>1.9202170658580293</v>
      </c>
      <c r="O47" s="360">
        <v>0.55590398876260216</v>
      </c>
      <c r="P47" s="360">
        <v>1.2025134406616365</v>
      </c>
      <c r="Q47" s="360">
        <v>-1617.3016331156086</v>
      </c>
      <c r="R47" s="360">
        <v>189.15489191221258</v>
      </c>
      <c r="S47" s="360">
        <v>0.24128107509631119</v>
      </c>
      <c r="T47" s="360">
        <v>2.167737012797021</v>
      </c>
      <c r="U47" s="360">
        <v>3.1527959428768488</v>
      </c>
      <c r="V47" s="360">
        <v>0.63222913968564298</v>
      </c>
      <c r="W47" s="360">
        <v>1.2025139449420299</v>
      </c>
      <c r="X47" s="360">
        <v>-3357.2225666555983</v>
      </c>
      <c r="Y47" s="360">
        <v>0.383483410493062</v>
      </c>
      <c r="Z47" s="360">
        <v>1.1484587251676759</v>
      </c>
      <c r="AA47" s="360">
        <v>41.26452591770262</v>
      </c>
      <c r="AB47" s="360">
        <v>0.3229827738619121</v>
      </c>
      <c r="AC47" s="360">
        <v>1.6713927568976845</v>
      </c>
      <c r="AD47" s="360">
        <v>2.0711722207323944</v>
      </c>
      <c r="AE47" s="360">
        <v>0.6089251981212026</v>
      </c>
      <c r="AF47" s="360">
        <v>1.1484588198272547</v>
      </c>
      <c r="AG47" s="360">
        <v>-1869.0909955007514</v>
      </c>
      <c r="AH47" s="360">
        <v>198.53451622341046</v>
      </c>
      <c r="AI47" s="360">
        <v>0.24805521037802816</v>
      </c>
      <c r="AJ47" s="360">
        <v>2.1257636918266409</v>
      </c>
      <c r="AK47" s="360">
        <v>3.4003911954892723</v>
      </c>
      <c r="AL47" s="360">
        <v>0.69030475455328</v>
      </c>
      <c r="AM47" s="360">
        <v>1.1484588557736588</v>
      </c>
      <c r="AN47" s="360">
        <v>-3722.6535745730384</v>
      </c>
      <c r="AO47" s="360">
        <f t="shared" si="0"/>
        <v>1</v>
      </c>
      <c r="AP47" s="360">
        <f t="shared" si="1"/>
        <v>1</v>
      </c>
      <c r="AQ47" s="360">
        <f t="shared" si="2"/>
        <v>1</v>
      </c>
    </row>
    <row r="48" spans="1:43">
      <c r="A48" s="360" t="s">
        <v>1083</v>
      </c>
      <c r="B48" t="s">
        <v>1074</v>
      </c>
      <c r="C48">
        <v>2</v>
      </c>
      <c r="D48" t="s">
        <v>1080</v>
      </c>
      <c r="E48" t="s">
        <v>1079</v>
      </c>
      <c r="F48" s="360">
        <v>1</v>
      </c>
      <c r="G48" s="360" t="str">
        <f>CONCATENATE(A48," ",B48," ",C48," ","inf+"," ",FanUpsizes!D48," ",FanUpsizes!F48)</f>
        <v>3ACH Infiltration 2 inf+ Existing 1</v>
      </c>
      <c r="H48" s="360">
        <v>4.8350386186162948E-2</v>
      </c>
      <c r="I48" s="360">
        <v>0.3662051827868919</v>
      </c>
      <c r="J48" s="360">
        <v>1.2025133506291354</v>
      </c>
      <c r="K48" s="360">
        <v>0</v>
      </c>
      <c r="L48" s="360">
        <v>0.3662051827868919</v>
      </c>
      <c r="M48" s="360">
        <v>1.2025133506291354</v>
      </c>
      <c r="N48" s="360">
        <v>1</v>
      </c>
      <c r="O48" s="360">
        <v>0.3662051827868919</v>
      </c>
      <c r="P48" s="360">
        <v>1.2025133506291354</v>
      </c>
      <c r="Q48" s="360">
        <v>0</v>
      </c>
      <c r="R48" s="360">
        <v>0</v>
      </c>
      <c r="S48" s="360">
        <v>0.3662051827868919</v>
      </c>
      <c r="T48" s="360">
        <v>1.2025133506291354</v>
      </c>
      <c r="U48" s="360">
        <v>1</v>
      </c>
      <c r="V48" s="360">
        <v>0.3662051827868919</v>
      </c>
      <c r="W48" s="360">
        <v>1.2025133506291354</v>
      </c>
      <c r="X48" s="360">
        <v>0</v>
      </c>
      <c r="Y48" s="360">
        <v>0.383483410493062</v>
      </c>
      <c r="Z48" s="360">
        <v>1.1484587251676759</v>
      </c>
      <c r="AA48" s="360">
        <v>0</v>
      </c>
      <c r="AB48" s="360">
        <v>0.383483410493062</v>
      </c>
      <c r="AC48" s="360">
        <v>1.1484587251676759</v>
      </c>
      <c r="AD48" s="360">
        <v>1</v>
      </c>
      <c r="AE48" s="360">
        <v>0.383483410493062</v>
      </c>
      <c r="AF48" s="360">
        <v>1.1484587251676759</v>
      </c>
      <c r="AG48" s="360">
        <v>0</v>
      </c>
      <c r="AH48" s="360">
        <v>0</v>
      </c>
      <c r="AI48" s="360">
        <v>0.383483410493062</v>
      </c>
      <c r="AJ48" s="360">
        <v>1.1484587251676759</v>
      </c>
      <c r="AK48" s="360">
        <v>1</v>
      </c>
      <c r="AL48" s="360">
        <v>0.383483410493062</v>
      </c>
      <c r="AM48" s="360">
        <v>1.1484587251676759</v>
      </c>
      <c r="AN48" s="360">
        <v>0</v>
      </c>
      <c r="AO48" s="360">
        <f t="shared" si="0"/>
        <v>1</v>
      </c>
      <c r="AP48" s="360">
        <f t="shared" si="1"/>
        <v>0</v>
      </c>
      <c r="AQ48" s="360">
        <f t="shared" si="2"/>
        <v>0</v>
      </c>
    </row>
    <row r="49" spans="1:43">
      <c r="A49" s="360" t="s">
        <v>1083</v>
      </c>
      <c r="B49" t="s">
        <v>1076</v>
      </c>
      <c r="C49">
        <v>2</v>
      </c>
      <c r="D49" t="s">
        <v>1080</v>
      </c>
      <c r="E49" t="s">
        <v>1079</v>
      </c>
      <c r="F49" s="360">
        <v>1</v>
      </c>
      <c r="G49" s="360" t="str">
        <f>CONCATENATE(A49," ",B49," ",C49," ","inf+"," ",FanUpsizes!D49," ",FanUpsizes!F49)</f>
        <v>3ACH 5C 2 inf+ Existing 1</v>
      </c>
      <c r="H49" s="360">
        <v>4.8350386186162948E-2</v>
      </c>
      <c r="I49" s="360">
        <v>0.3662051827868919</v>
      </c>
      <c r="J49" s="360">
        <v>1.2025133506291354</v>
      </c>
      <c r="K49" s="360">
        <v>0</v>
      </c>
      <c r="L49" s="360">
        <v>0.3662051827868919</v>
      </c>
      <c r="M49" s="360">
        <v>1.2025133506291354</v>
      </c>
      <c r="N49" s="360">
        <v>1</v>
      </c>
      <c r="O49" s="360">
        <v>0.3662051827868919</v>
      </c>
      <c r="P49" s="360">
        <v>1.2025133506291354</v>
      </c>
      <c r="Q49" s="360">
        <v>0</v>
      </c>
      <c r="R49" s="360">
        <v>0</v>
      </c>
      <c r="S49" s="360">
        <v>0.3662051827868919</v>
      </c>
      <c r="T49" s="360">
        <v>1.2025133506291354</v>
      </c>
      <c r="U49" s="360">
        <v>1</v>
      </c>
      <c r="V49" s="360">
        <v>0.3662051827868919</v>
      </c>
      <c r="W49" s="360">
        <v>1.2025133506291354</v>
      </c>
      <c r="X49" s="360">
        <v>0</v>
      </c>
      <c r="Y49" s="360">
        <v>0.383483410493062</v>
      </c>
      <c r="Z49" s="360">
        <v>1.1484587251676759</v>
      </c>
      <c r="AA49" s="360">
        <v>0</v>
      </c>
      <c r="AB49" s="360">
        <v>0.383483410493062</v>
      </c>
      <c r="AC49" s="360">
        <v>1.1484587251676759</v>
      </c>
      <c r="AD49" s="360">
        <v>1</v>
      </c>
      <c r="AE49" s="360">
        <v>0.383483410493062</v>
      </c>
      <c r="AF49" s="360">
        <v>1.1484587251676759</v>
      </c>
      <c r="AG49" s="360">
        <v>0</v>
      </c>
      <c r="AH49" s="360">
        <v>0</v>
      </c>
      <c r="AI49" s="360">
        <v>0.383483410493062</v>
      </c>
      <c r="AJ49" s="360">
        <v>1.1484587251676759</v>
      </c>
      <c r="AK49" s="360">
        <v>1</v>
      </c>
      <c r="AL49" s="360">
        <v>0.383483410493062</v>
      </c>
      <c r="AM49" s="360">
        <v>1.1484587251676759</v>
      </c>
      <c r="AN49" s="360">
        <v>0</v>
      </c>
      <c r="AO49" s="360">
        <f t="shared" si="0"/>
        <v>1</v>
      </c>
      <c r="AP49" s="360">
        <f t="shared" si="1"/>
        <v>0</v>
      </c>
      <c r="AQ49" s="360">
        <f t="shared" si="2"/>
        <v>0</v>
      </c>
    </row>
    <row r="50" spans="1:43">
      <c r="A50" s="360" t="s">
        <v>1084</v>
      </c>
      <c r="B50" t="s">
        <v>1075</v>
      </c>
      <c r="C50">
        <v>1</v>
      </c>
      <c r="D50" t="s">
        <v>1078</v>
      </c>
      <c r="E50" t="s">
        <v>1079</v>
      </c>
      <c r="F50" s="360">
        <v>1</v>
      </c>
      <c r="G50" s="360" t="str">
        <f>CONCATENATE(A50," ",B50," ",C50," ","inf+"," ",FanUpsizes!D50," ",FanUpsizes!F50)</f>
        <v>1.5ACH Percentile 1 inf+ New 1</v>
      </c>
      <c r="H50" s="360">
        <v>3.9034402470919084E-2</v>
      </c>
      <c r="I50" s="360">
        <v>0.2881101529500113</v>
      </c>
      <c r="J50" s="360">
        <v>1.1083172497138101</v>
      </c>
      <c r="K50" s="360">
        <v>33.313821036337785</v>
      </c>
      <c r="L50" s="360">
        <v>0.23239614836838859</v>
      </c>
      <c r="M50" s="360">
        <v>1.9326340908269828</v>
      </c>
      <c r="N50" s="360">
        <v>3.3404084531926519</v>
      </c>
      <c r="O50" s="360">
        <v>0.75604190375164082</v>
      </c>
      <c r="P50" s="360">
        <v>1.1083187288517826</v>
      </c>
      <c r="Q50" s="360">
        <v>-3462.3133402323988</v>
      </c>
      <c r="R50" s="360">
        <v>169.82873189946488</v>
      </c>
      <c r="S50" s="360">
        <v>0.16559470504901264</v>
      </c>
      <c r="T50" s="360">
        <v>2.613572581379394</v>
      </c>
      <c r="U50" s="360">
        <v>5.6462823232615937</v>
      </c>
      <c r="V50" s="360">
        <v>0.88793762975076473</v>
      </c>
      <c r="W50" s="360">
        <v>1.1083173324633842</v>
      </c>
      <c r="X50" s="360">
        <v>-6124.5676263584519</v>
      </c>
      <c r="Y50" s="360">
        <v>0.29276246999527888</v>
      </c>
      <c r="Z50" s="360">
        <v>1.0908634801168349</v>
      </c>
      <c r="AA50" s="360">
        <v>33.313821036337785</v>
      </c>
      <c r="AB50" s="360">
        <v>0.23628858050218013</v>
      </c>
      <c r="AC50" s="360">
        <v>1.9126304530576062</v>
      </c>
      <c r="AD50" s="360">
        <v>3.5108329700499969</v>
      </c>
      <c r="AE50" s="360">
        <v>0.79529884851503108</v>
      </c>
      <c r="AF50" s="360">
        <v>1.0908638419962069</v>
      </c>
      <c r="AG50" s="360">
        <v>-3698.6761806623745</v>
      </c>
      <c r="AH50" s="360">
        <v>168.68594825265137</v>
      </c>
      <c r="AI50" s="360">
        <v>0.17028863302101271</v>
      </c>
      <c r="AJ50" s="360">
        <v>2.5507803550727082</v>
      </c>
      <c r="AK50" s="360">
        <v>5.9362639604575911</v>
      </c>
      <c r="AL50" s="360">
        <v>0.93413731224815666</v>
      </c>
      <c r="AM50" s="360">
        <v>1.0908635513860017</v>
      </c>
      <c r="AN50" s="360">
        <v>-6496.9059128159988</v>
      </c>
      <c r="AO50" s="360">
        <f t="shared" si="0"/>
        <v>1</v>
      </c>
      <c r="AP50" s="360">
        <f t="shared" si="1"/>
        <v>1</v>
      </c>
      <c r="AQ50" s="360">
        <f t="shared" si="2"/>
        <v>1</v>
      </c>
    </row>
    <row r="51" spans="1:43">
      <c r="A51" s="360" t="s">
        <v>1084</v>
      </c>
      <c r="B51" t="s">
        <v>1074</v>
      </c>
      <c r="C51">
        <v>1</v>
      </c>
      <c r="D51" t="s">
        <v>1078</v>
      </c>
      <c r="E51" t="s">
        <v>1079</v>
      </c>
      <c r="F51" s="360">
        <v>1</v>
      </c>
      <c r="G51" s="360" t="str">
        <f>CONCATENATE(A51," ",B51," ",C51," ","inf+"," ",FanUpsizes!D51," ",FanUpsizes!F51)</f>
        <v>1.5ACH Infiltration 1 inf+ New 1</v>
      </c>
      <c r="H51" s="360">
        <v>3.9034402470919084E-2</v>
      </c>
      <c r="I51" s="360">
        <v>0.2881101529500113</v>
      </c>
      <c r="J51" s="360">
        <v>1.1083172497138101</v>
      </c>
      <c r="K51" s="360">
        <v>0</v>
      </c>
      <c r="L51" s="360">
        <v>0.2881101529500113</v>
      </c>
      <c r="M51" s="360">
        <v>1.1083172497138101</v>
      </c>
      <c r="N51" s="360">
        <v>1</v>
      </c>
      <c r="O51" s="360">
        <v>0.2881101529500113</v>
      </c>
      <c r="P51" s="360">
        <v>1.1083172497138101</v>
      </c>
      <c r="Q51" s="360">
        <v>0</v>
      </c>
      <c r="R51" s="360">
        <v>0</v>
      </c>
      <c r="S51" s="360">
        <v>0.2881101529500113</v>
      </c>
      <c r="T51" s="360">
        <v>1.1083172497138101</v>
      </c>
      <c r="U51" s="360">
        <v>1</v>
      </c>
      <c r="V51" s="360">
        <v>0.2881101529500113</v>
      </c>
      <c r="W51" s="360">
        <v>1.1083172497138101</v>
      </c>
      <c r="X51" s="360">
        <v>0</v>
      </c>
      <c r="Y51" s="360">
        <v>0.29276246999527888</v>
      </c>
      <c r="Z51" s="360">
        <v>1.0908634801168349</v>
      </c>
      <c r="AA51" s="360">
        <v>0</v>
      </c>
      <c r="AB51" s="360">
        <v>0.29276246999527888</v>
      </c>
      <c r="AC51" s="360">
        <v>1.0908634801168349</v>
      </c>
      <c r="AD51" s="360">
        <v>1</v>
      </c>
      <c r="AE51" s="360">
        <v>0.29276246999527888</v>
      </c>
      <c r="AF51" s="360">
        <v>1.0908634801168349</v>
      </c>
      <c r="AG51" s="360">
        <v>0</v>
      </c>
      <c r="AH51" s="360">
        <v>0</v>
      </c>
      <c r="AI51" s="360">
        <v>0.29276246999527888</v>
      </c>
      <c r="AJ51" s="360">
        <v>1.0908634801168349</v>
      </c>
      <c r="AK51" s="360">
        <v>1</v>
      </c>
      <c r="AL51" s="360">
        <v>0.29276246999527888</v>
      </c>
      <c r="AM51" s="360">
        <v>1.0908634801168349</v>
      </c>
      <c r="AN51" s="360">
        <v>0</v>
      </c>
      <c r="AO51" s="360">
        <f t="shared" si="0"/>
        <v>1</v>
      </c>
      <c r="AP51" s="360">
        <f t="shared" si="1"/>
        <v>0</v>
      </c>
      <c r="AQ51" s="360">
        <f t="shared" si="2"/>
        <v>0</v>
      </c>
    </row>
    <row r="52" spans="1:43">
      <c r="A52" s="360" t="s">
        <v>1084</v>
      </c>
      <c r="B52" t="s">
        <v>1076</v>
      </c>
      <c r="C52">
        <v>1</v>
      </c>
      <c r="D52" t="s">
        <v>1078</v>
      </c>
      <c r="E52" t="s">
        <v>1079</v>
      </c>
      <c r="F52" s="360">
        <v>1</v>
      </c>
      <c r="G52" s="360" t="str">
        <f>CONCATENATE(A52," ",B52," ",C52," ","inf+"," ",FanUpsizes!D52," ",FanUpsizes!F52)</f>
        <v>1.5ACH 5C 1 inf+ New 1</v>
      </c>
      <c r="H52" s="360">
        <v>3.9034402470919084E-2</v>
      </c>
      <c r="I52" s="360">
        <v>0.2881101529500113</v>
      </c>
      <c r="J52" s="360">
        <v>1.1083172497138101</v>
      </c>
      <c r="K52" s="360">
        <v>0</v>
      </c>
      <c r="L52" s="360">
        <v>0.2881101529500113</v>
      </c>
      <c r="M52" s="360">
        <v>1.1083172497138101</v>
      </c>
      <c r="N52" s="360">
        <v>1</v>
      </c>
      <c r="O52" s="360">
        <v>0.2881101529500113</v>
      </c>
      <c r="P52" s="360">
        <v>1.1083172497138101</v>
      </c>
      <c r="Q52" s="360">
        <v>0</v>
      </c>
      <c r="R52" s="360">
        <v>0</v>
      </c>
      <c r="S52" s="360">
        <v>0.2881101529500113</v>
      </c>
      <c r="T52" s="360">
        <v>1.1083172497138101</v>
      </c>
      <c r="U52" s="360">
        <v>1</v>
      </c>
      <c r="V52" s="360">
        <v>0.2881101529500113</v>
      </c>
      <c r="W52" s="360">
        <v>1.1083172497138101</v>
      </c>
      <c r="X52" s="360">
        <v>0</v>
      </c>
      <c r="Y52" s="360">
        <v>0.29276246999527888</v>
      </c>
      <c r="Z52" s="360">
        <v>1.0908634801168349</v>
      </c>
      <c r="AA52" s="360">
        <v>0</v>
      </c>
      <c r="AB52" s="360">
        <v>0.29276246999527888</v>
      </c>
      <c r="AC52" s="360">
        <v>1.0908634801168349</v>
      </c>
      <c r="AD52" s="360">
        <v>1</v>
      </c>
      <c r="AE52" s="360">
        <v>0.29276246999527888</v>
      </c>
      <c r="AF52" s="360">
        <v>1.0908634801168349</v>
      </c>
      <c r="AG52" s="360">
        <v>0</v>
      </c>
      <c r="AH52" s="360">
        <v>0</v>
      </c>
      <c r="AI52" s="360">
        <v>0.29276246999527888</v>
      </c>
      <c r="AJ52" s="360">
        <v>1.0908634801168349</v>
      </c>
      <c r="AK52" s="360">
        <v>1</v>
      </c>
      <c r="AL52" s="360">
        <v>0.29276246999527888</v>
      </c>
      <c r="AM52" s="360">
        <v>1.0908634801168349</v>
      </c>
      <c r="AN52" s="360">
        <v>0</v>
      </c>
      <c r="AO52" s="360">
        <f t="shared" si="0"/>
        <v>1</v>
      </c>
      <c r="AP52" s="360">
        <f t="shared" si="1"/>
        <v>0</v>
      </c>
      <c r="AQ52" s="360">
        <f t="shared" si="2"/>
        <v>0</v>
      </c>
    </row>
    <row r="53" spans="1:43">
      <c r="A53" s="360" t="s">
        <v>1084</v>
      </c>
      <c r="B53" t="s">
        <v>1075</v>
      </c>
      <c r="C53">
        <v>2</v>
      </c>
      <c r="D53" t="s">
        <v>1078</v>
      </c>
      <c r="E53" t="s">
        <v>1079</v>
      </c>
      <c r="F53" s="360">
        <v>1</v>
      </c>
      <c r="G53" s="360" t="str">
        <f>CONCATENATE(A53," ",B53," ",C53," ","inf+"," ",FanUpsizes!D53," ",FanUpsizes!F53)</f>
        <v>1.5ACH Percentile 2 inf+ New 1</v>
      </c>
      <c r="H53" s="360">
        <v>3.7682693093081476E-2</v>
      </c>
      <c r="I53" s="360">
        <v>0.27848517040179355</v>
      </c>
      <c r="J53" s="360">
        <v>1.1466520181330293</v>
      </c>
      <c r="K53" s="360">
        <v>32.160207775817369</v>
      </c>
      <c r="L53" s="360">
        <v>0.22815760762069995</v>
      </c>
      <c r="M53" s="360">
        <v>1.8136915386174712</v>
      </c>
      <c r="N53" s="360">
        <v>2.3497557443627981</v>
      </c>
      <c r="O53" s="360">
        <v>0.51935996494614922</v>
      </c>
      <c r="P53" s="360">
        <v>1.1466535423796669</v>
      </c>
      <c r="Q53" s="360">
        <v>-1912.244954844854</v>
      </c>
      <c r="R53" s="360">
        <v>159.05745268152469</v>
      </c>
      <c r="S53" s="360">
        <v>0.16751453584689083</v>
      </c>
      <c r="T53" s="360">
        <v>2.3973869757689559</v>
      </c>
      <c r="U53" s="360">
        <v>3.9217370562609921</v>
      </c>
      <c r="V53" s="360">
        <v>0.60140299959382815</v>
      </c>
      <c r="W53" s="360">
        <v>1.1466521754716159</v>
      </c>
      <c r="X53" s="360">
        <v>-3654.6405956750896</v>
      </c>
      <c r="Y53" s="360">
        <v>0.28698644443470001</v>
      </c>
      <c r="Z53" s="360">
        <v>1.1132421691048751</v>
      </c>
      <c r="AA53" s="360">
        <v>32.160207775817369</v>
      </c>
      <c r="AB53" s="360">
        <v>0.23521100238489817</v>
      </c>
      <c r="AC53" s="360">
        <v>1.7778945916592883</v>
      </c>
      <c r="AD53" s="360">
        <v>2.5050027629106362</v>
      </c>
      <c r="AE53" s="360">
        <v>0.55591935130534365</v>
      </c>
      <c r="AF53" s="360">
        <v>1.1132421726933079</v>
      </c>
      <c r="AG53" s="360">
        <v>-2109.4954081306091</v>
      </c>
      <c r="AH53" s="360">
        <v>160.37658131356369</v>
      </c>
      <c r="AI53" s="360">
        <v>0.17314305058358015</v>
      </c>
      <c r="AJ53" s="360">
        <v>2.3385172367927032</v>
      </c>
      <c r="AK53" s="360">
        <v>4.1820658355684994</v>
      </c>
      <c r="AL53" s="360">
        <v>0.64338378533691865</v>
      </c>
      <c r="AM53" s="360">
        <v>1.1132421777248436</v>
      </c>
      <c r="AN53" s="360">
        <v>-3962.3254295046941</v>
      </c>
      <c r="AO53" s="360">
        <f t="shared" si="0"/>
        <v>1</v>
      </c>
      <c r="AP53" s="360">
        <f t="shared" si="1"/>
        <v>1</v>
      </c>
      <c r="AQ53" s="360">
        <f t="shared" si="2"/>
        <v>1</v>
      </c>
    </row>
    <row r="54" spans="1:43">
      <c r="A54" s="360" t="s">
        <v>1084</v>
      </c>
      <c r="B54" t="s">
        <v>1074</v>
      </c>
      <c r="C54">
        <v>2</v>
      </c>
      <c r="D54" t="s">
        <v>1078</v>
      </c>
      <c r="E54" t="s">
        <v>1079</v>
      </c>
      <c r="F54" s="360">
        <v>1</v>
      </c>
      <c r="G54" s="360" t="str">
        <f>CONCATENATE(A54," ",B54," ",C54," ","inf+"," ",FanUpsizes!D54," ",FanUpsizes!F54)</f>
        <v>1.5ACH Infiltration 2 inf+ New 1</v>
      </c>
      <c r="H54" s="360">
        <v>3.7682693093081476E-2</v>
      </c>
      <c r="I54" s="360">
        <v>0.27848517040179355</v>
      </c>
      <c r="J54" s="360">
        <v>1.1466520181330293</v>
      </c>
      <c r="K54" s="360">
        <v>0</v>
      </c>
      <c r="L54" s="360">
        <v>0.27848517040179355</v>
      </c>
      <c r="M54" s="360">
        <v>1.1466520181330293</v>
      </c>
      <c r="N54" s="360">
        <v>1</v>
      </c>
      <c r="O54" s="360">
        <v>0.27848517040179355</v>
      </c>
      <c r="P54" s="360">
        <v>1.1466520181330293</v>
      </c>
      <c r="Q54" s="360">
        <v>0</v>
      </c>
      <c r="R54" s="360">
        <v>0</v>
      </c>
      <c r="S54" s="360">
        <v>0.27848517040179355</v>
      </c>
      <c r="T54" s="360">
        <v>1.1466520181330293</v>
      </c>
      <c r="U54" s="360">
        <v>1</v>
      </c>
      <c r="V54" s="360">
        <v>0.27848517040179355</v>
      </c>
      <c r="W54" s="360">
        <v>1.1466520181330293</v>
      </c>
      <c r="X54" s="360">
        <v>0</v>
      </c>
      <c r="Y54" s="360">
        <v>0.28698644443470001</v>
      </c>
      <c r="Z54" s="360">
        <v>1.1132421691048751</v>
      </c>
      <c r="AA54" s="360">
        <v>0</v>
      </c>
      <c r="AB54" s="360">
        <v>0.28698644443470001</v>
      </c>
      <c r="AC54" s="360">
        <v>1.1132421691048751</v>
      </c>
      <c r="AD54" s="360">
        <v>1</v>
      </c>
      <c r="AE54" s="360">
        <v>0.28698644443470001</v>
      </c>
      <c r="AF54" s="360">
        <v>1.1132421691048751</v>
      </c>
      <c r="AG54" s="360">
        <v>0</v>
      </c>
      <c r="AH54" s="360">
        <v>0</v>
      </c>
      <c r="AI54" s="360">
        <v>0.28698644443470001</v>
      </c>
      <c r="AJ54" s="360">
        <v>1.1132421691048751</v>
      </c>
      <c r="AK54" s="360">
        <v>1</v>
      </c>
      <c r="AL54" s="360">
        <v>0.28698644443470001</v>
      </c>
      <c r="AM54" s="360">
        <v>1.1132421691048751</v>
      </c>
      <c r="AN54" s="360">
        <v>0</v>
      </c>
      <c r="AO54" s="360">
        <f t="shared" si="0"/>
        <v>1</v>
      </c>
      <c r="AP54" s="360">
        <f t="shared" si="1"/>
        <v>0</v>
      </c>
      <c r="AQ54" s="360">
        <f t="shared" si="2"/>
        <v>0</v>
      </c>
    </row>
    <row r="55" spans="1:43">
      <c r="A55" s="360" t="s">
        <v>1084</v>
      </c>
      <c r="B55" t="s">
        <v>1076</v>
      </c>
      <c r="C55">
        <v>2</v>
      </c>
      <c r="D55" t="s">
        <v>1078</v>
      </c>
      <c r="E55" t="s">
        <v>1079</v>
      </c>
      <c r="F55" s="360">
        <v>1</v>
      </c>
      <c r="G55" s="360" t="str">
        <f>CONCATENATE(A55," ",B55," ",C55," ","inf+"," ",FanUpsizes!D55," ",FanUpsizes!F55)</f>
        <v>1.5ACH 5C 2 inf+ New 1</v>
      </c>
      <c r="H55" s="360">
        <v>3.7682693093081476E-2</v>
      </c>
      <c r="I55" s="360">
        <v>0.27848517040179355</v>
      </c>
      <c r="J55" s="360">
        <v>1.1466520181330293</v>
      </c>
      <c r="K55" s="360">
        <v>0</v>
      </c>
      <c r="L55" s="360">
        <v>0.27848517040179355</v>
      </c>
      <c r="M55" s="360">
        <v>1.1466520181330293</v>
      </c>
      <c r="N55" s="360">
        <v>1</v>
      </c>
      <c r="O55" s="360">
        <v>0.27848517040179355</v>
      </c>
      <c r="P55" s="360">
        <v>1.1466520181330293</v>
      </c>
      <c r="Q55" s="360">
        <v>0</v>
      </c>
      <c r="R55" s="360">
        <v>0</v>
      </c>
      <c r="S55" s="360">
        <v>0.27848517040179355</v>
      </c>
      <c r="T55" s="360">
        <v>1.1466520181330293</v>
      </c>
      <c r="U55" s="360">
        <v>1</v>
      </c>
      <c r="V55" s="360">
        <v>0.27848517040179355</v>
      </c>
      <c r="W55" s="360">
        <v>1.1466520181330293</v>
      </c>
      <c r="X55" s="360">
        <v>0</v>
      </c>
      <c r="Y55" s="360">
        <v>0.28698644443470001</v>
      </c>
      <c r="Z55" s="360">
        <v>1.1132421691048751</v>
      </c>
      <c r="AA55" s="360">
        <v>0</v>
      </c>
      <c r="AB55" s="360">
        <v>0.28698644443470001</v>
      </c>
      <c r="AC55" s="360">
        <v>1.1132421691048751</v>
      </c>
      <c r="AD55" s="360">
        <v>1</v>
      </c>
      <c r="AE55" s="360">
        <v>0.28698644443470001</v>
      </c>
      <c r="AF55" s="360">
        <v>1.1132421691048751</v>
      </c>
      <c r="AG55" s="360">
        <v>0</v>
      </c>
      <c r="AH55" s="360">
        <v>0</v>
      </c>
      <c r="AI55" s="360">
        <v>0.28698644443470001</v>
      </c>
      <c r="AJ55" s="360">
        <v>1.1132421691048751</v>
      </c>
      <c r="AK55" s="360">
        <v>1</v>
      </c>
      <c r="AL55" s="360">
        <v>0.28698644443470001</v>
      </c>
      <c r="AM55" s="360">
        <v>1.1132421691048751</v>
      </c>
      <c r="AN55" s="360">
        <v>0</v>
      </c>
      <c r="AO55" s="360">
        <f t="shared" si="0"/>
        <v>1</v>
      </c>
      <c r="AP55" s="360">
        <f t="shared" si="1"/>
        <v>0</v>
      </c>
      <c r="AQ55" s="360">
        <f t="shared" si="2"/>
        <v>0</v>
      </c>
    </row>
    <row r="56" spans="1:43">
      <c r="A56" s="360" t="s">
        <v>1084</v>
      </c>
      <c r="B56" t="s">
        <v>1075</v>
      </c>
      <c r="C56">
        <v>1</v>
      </c>
      <c r="D56" t="s">
        <v>1080</v>
      </c>
      <c r="E56" t="s">
        <v>1079</v>
      </c>
      <c r="F56" s="360">
        <v>1</v>
      </c>
      <c r="G56" s="360" t="str">
        <f>CONCATENATE(A56," ",B56," ",C56," ","inf+"," ",FanUpsizes!D56," ",FanUpsizes!F56)</f>
        <v>1.5ACH Percentile 1 inf+ Existing 1</v>
      </c>
      <c r="H56" s="360">
        <v>5.5284402470919085E-2</v>
      </c>
      <c r="I56" s="360">
        <v>0.40804479527479626</v>
      </c>
      <c r="J56" s="360">
        <v>1.0764981790969244</v>
      </c>
      <c r="K56" s="360">
        <v>47.182346172409481</v>
      </c>
      <c r="L56" s="360">
        <v>0.32553631227332769</v>
      </c>
      <c r="M56" s="360">
        <v>2.1828001126532177</v>
      </c>
      <c r="N56" s="360">
        <v>7.2353137977824682</v>
      </c>
      <c r="O56" s="360">
        <v>2.3014252150409495</v>
      </c>
      <c r="P56" s="360">
        <v>1.2046589236778871</v>
      </c>
      <c r="Q56" s="360">
        <v>-13143.075181966979</v>
      </c>
      <c r="R56" s="360">
        <v>242.96823822479908</v>
      </c>
      <c r="S56" s="360">
        <v>0.22935690086585803</v>
      </c>
      <c r="T56" s="360">
        <v>2.9052459026911697</v>
      </c>
      <c r="U56" s="360">
        <v>7.2353137977824682</v>
      </c>
      <c r="V56" s="360">
        <v>1.6044591351240018</v>
      </c>
      <c r="W56" s="360">
        <v>1.3103428197801446</v>
      </c>
      <c r="X56" s="360">
        <v>-11724.117391612064</v>
      </c>
      <c r="Y56" s="360">
        <v>0.41135680796049195</v>
      </c>
      <c r="Z56" s="360">
        <v>1.0678761370310186</v>
      </c>
      <c r="AA56" s="360">
        <v>47.182346172409481</v>
      </c>
      <c r="AB56" s="360">
        <v>0.32830843196800064</v>
      </c>
      <c r="AC56" s="360">
        <v>2.1728572995033661</v>
      </c>
      <c r="AD56" s="360">
        <v>7.2353137977824682</v>
      </c>
      <c r="AE56" s="360">
        <v>2.3018113269996427</v>
      </c>
      <c r="AF56" s="360">
        <v>1.2046344324495224</v>
      </c>
      <c r="AG56" s="360">
        <v>-13127.38081567633</v>
      </c>
      <c r="AH56" s="360">
        <v>241.00256674296961</v>
      </c>
      <c r="AI56" s="360">
        <v>0.23347263608956778</v>
      </c>
      <c r="AJ56" s="360">
        <v>2.859767699017965</v>
      </c>
      <c r="AK56" s="360">
        <v>7.2353137977824682</v>
      </c>
      <c r="AL56" s="360">
        <v>1.605062910987584</v>
      </c>
      <c r="AM56" s="360">
        <v>1.3101999508278301</v>
      </c>
      <c r="AN56" s="360">
        <v>-11708.757903902853</v>
      </c>
      <c r="AO56" s="360">
        <f t="shared" si="0"/>
        <v>0</v>
      </c>
      <c r="AP56" s="360">
        <f t="shared" si="1"/>
        <v>1</v>
      </c>
      <c r="AQ56" s="360">
        <f t="shared" si="2"/>
        <v>1</v>
      </c>
    </row>
    <row r="57" spans="1:43">
      <c r="A57" s="360" t="s">
        <v>1084</v>
      </c>
      <c r="B57" t="s">
        <v>1074</v>
      </c>
      <c r="C57">
        <v>1</v>
      </c>
      <c r="D57" t="s">
        <v>1080</v>
      </c>
      <c r="E57" t="s">
        <v>1079</v>
      </c>
      <c r="F57" s="360">
        <v>1</v>
      </c>
      <c r="G57" s="360" t="str">
        <f>CONCATENATE(A57," ",B57," ",C57," ","inf+"," ",FanUpsizes!D57," ",FanUpsizes!F57)</f>
        <v>1.5ACH Infiltration 1 inf+ Existing 1</v>
      </c>
      <c r="H57" s="360">
        <v>5.5284402470919085E-2</v>
      </c>
      <c r="I57" s="360">
        <v>0.40804479527479626</v>
      </c>
      <c r="J57" s="360">
        <v>1.0764981790969244</v>
      </c>
      <c r="K57" s="360">
        <v>0</v>
      </c>
      <c r="L57" s="360">
        <v>0.40804479527479626</v>
      </c>
      <c r="M57" s="360">
        <v>1.0764981790969244</v>
      </c>
      <c r="N57" s="360">
        <v>1</v>
      </c>
      <c r="O57" s="360">
        <v>0.40804479527479626</v>
      </c>
      <c r="P57" s="360">
        <v>1.0764981790969244</v>
      </c>
      <c r="Q57" s="360">
        <v>0</v>
      </c>
      <c r="R57" s="360">
        <v>0</v>
      </c>
      <c r="S57" s="360">
        <v>0.40804479527479626</v>
      </c>
      <c r="T57" s="360">
        <v>1.0764981790969244</v>
      </c>
      <c r="U57" s="360">
        <v>1</v>
      </c>
      <c r="V57" s="360">
        <v>0.40804479527479626</v>
      </c>
      <c r="W57" s="360">
        <v>1.0764981790969244</v>
      </c>
      <c r="X57" s="360">
        <v>0</v>
      </c>
      <c r="Y57" s="360">
        <v>0.41135680796049195</v>
      </c>
      <c r="Z57" s="360">
        <v>1.0678761370310186</v>
      </c>
      <c r="AA57" s="360">
        <v>0</v>
      </c>
      <c r="AB57" s="360">
        <v>0.41135680796049195</v>
      </c>
      <c r="AC57" s="360">
        <v>1.0678761370310186</v>
      </c>
      <c r="AD57" s="360">
        <v>1</v>
      </c>
      <c r="AE57" s="360">
        <v>0.41135680796049195</v>
      </c>
      <c r="AF57" s="360">
        <v>1.0678761370310186</v>
      </c>
      <c r="AG57" s="360">
        <v>0</v>
      </c>
      <c r="AH57" s="360">
        <v>0</v>
      </c>
      <c r="AI57" s="360">
        <v>0.41135680796049195</v>
      </c>
      <c r="AJ57" s="360">
        <v>1.0678761370310186</v>
      </c>
      <c r="AK57" s="360">
        <v>1</v>
      </c>
      <c r="AL57" s="360">
        <v>0.41135680796049195</v>
      </c>
      <c r="AM57" s="360">
        <v>1.0678761370310186</v>
      </c>
      <c r="AN57" s="360">
        <v>0</v>
      </c>
      <c r="AO57" s="360">
        <f t="shared" si="0"/>
        <v>1</v>
      </c>
      <c r="AP57" s="360">
        <f t="shared" si="1"/>
        <v>0</v>
      </c>
      <c r="AQ57" s="360">
        <f t="shared" si="2"/>
        <v>0</v>
      </c>
    </row>
    <row r="58" spans="1:43">
      <c r="A58" s="360" t="s">
        <v>1084</v>
      </c>
      <c r="B58" t="s">
        <v>1076</v>
      </c>
      <c r="C58">
        <v>1</v>
      </c>
      <c r="D58" t="s">
        <v>1080</v>
      </c>
      <c r="E58" t="s">
        <v>1079</v>
      </c>
      <c r="F58" s="360">
        <v>1</v>
      </c>
      <c r="G58" s="360" t="str">
        <f>CONCATENATE(A58," ",B58," ",C58," ","inf+"," ",FanUpsizes!D58," ",FanUpsizes!F58)</f>
        <v>1.5ACH 5C 1 inf+ Existing 1</v>
      </c>
      <c r="H58" s="360">
        <v>5.5284402470919085E-2</v>
      </c>
      <c r="I58" s="360">
        <v>0.40804479527479626</v>
      </c>
      <c r="J58" s="360">
        <v>1.0764981790969244</v>
      </c>
      <c r="K58" s="360">
        <v>0</v>
      </c>
      <c r="L58" s="360">
        <v>0.40804479527479626</v>
      </c>
      <c r="M58" s="360">
        <v>1.0764981790969244</v>
      </c>
      <c r="N58" s="360">
        <v>1</v>
      </c>
      <c r="O58" s="360">
        <v>0.40804479527479626</v>
      </c>
      <c r="P58" s="360">
        <v>1.0764981790969244</v>
      </c>
      <c r="Q58" s="360">
        <v>0</v>
      </c>
      <c r="R58" s="360">
        <v>0</v>
      </c>
      <c r="S58" s="360">
        <v>0.40804479527479626</v>
      </c>
      <c r="T58" s="360">
        <v>1.0764981790969244</v>
      </c>
      <c r="U58" s="360">
        <v>1</v>
      </c>
      <c r="V58" s="360">
        <v>0.40804479527479626</v>
      </c>
      <c r="W58" s="360">
        <v>1.0764981790969244</v>
      </c>
      <c r="X58" s="360">
        <v>0</v>
      </c>
      <c r="Y58" s="360">
        <v>0.41135680796049195</v>
      </c>
      <c r="Z58" s="360">
        <v>1.0678761370310186</v>
      </c>
      <c r="AA58" s="360">
        <v>0</v>
      </c>
      <c r="AB58" s="360">
        <v>0.41135680796049195</v>
      </c>
      <c r="AC58" s="360">
        <v>1.0678761370310186</v>
      </c>
      <c r="AD58" s="360">
        <v>1</v>
      </c>
      <c r="AE58" s="360">
        <v>0.41135680796049195</v>
      </c>
      <c r="AF58" s="360">
        <v>1.0678761370310186</v>
      </c>
      <c r="AG58" s="360">
        <v>0</v>
      </c>
      <c r="AH58" s="360">
        <v>0</v>
      </c>
      <c r="AI58" s="360">
        <v>0.41135680796049195</v>
      </c>
      <c r="AJ58" s="360">
        <v>1.0678761370310186</v>
      </c>
      <c r="AK58" s="360">
        <v>1</v>
      </c>
      <c r="AL58" s="360">
        <v>0.41135680796049195</v>
      </c>
      <c r="AM58" s="360">
        <v>1.0678761370310186</v>
      </c>
      <c r="AN58" s="360">
        <v>0</v>
      </c>
      <c r="AO58" s="360">
        <f t="shared" si="0"/>
        <v>1</v>
      </c>
      <c r="AP58" s="360">
        <f t="shared" si="1"/>
        <v>0</v>
      </c>
      <c r="AQ58" s="360">
        <f t="shared" si="2"/>
        <v>0</v>
      </c>
    </row>
    <row r="59" spans="1:43">
      <c r="A59" s="360" t="s">
        <v>1084</v>
      </c>
      <c r="B59" t="s">
        <v>1075</v>
      </c>
      <c r="C59">
        <v>2</v>
      </c>
      <c r="D59" t="s">
        <v>1080</v>
      </c>
      <c r="E59" t="s">
        <v>1079</v>
      </c>
      <c r="F59" s="360">
        <v>1</v>
      </c>
      <c r="G59" s="360" t="str">
        <f>CONCATENATE(A59," ",B59," ",C59," ","inf+"," ",FanUpsizes!D59," ",FanUpsizes!F59)</f>
        <v>1.5ACH Percentile 2 inf+ Existing 1</v>
      </c>
      <c r="H59" s="360">
        <v>5.3932693093081477E-2</v>
      </c>
      <c r="I59" s="360">
        <v>0.39807339274718789</v>
      </c>
      <c r="J59" s="360">
        <v>1.1034546121474718</v>
      </c>
      <c r="K59" s="360">
        <v>46.028732911949348</v>
      </c>
      <c r="L59" s="360">
        <v>0.32096894161887951</v>
      </c>
      <c r="M59" s="360">
        <v>2.0162977704070677</v>
      </c>
      <c r="N59" s="360">
        <v>5.3966517751262337</v>
      </c>
      <c r="O59" s="360">
        <v>1.6801398166524153</v>
      </c>
      <c r="P59" s="360">
        <v>1.1034546279467004</v>
      </c>
      <c r="Q59" s="360">
        <v>-9027.2256177140898</v>
      </c>
      <c r="R59" s="360">
        <v>234.6859830079552</v>
      </c>
      <c r="S59" s="360">
        <v>0.22866469183680049</v>
      </c>
      <c r="T59" s="360">
        <v>2.6813448483328526</v>
      </c>
      <c r="U59" s="360">
        <v>7.416651701587516</v>
      </c>
      <c r="V59" s="360">
        <v>1.6076343455968842</v>
      </c>
      <c r="W59" s="360">
        <v>1.1497034829425306</v>
      </c>
      <c r="X59" s="360">
        <v>-11776.921356167906</v>
      </c>
      <c r="Y59" s="360">
        <v>0.4043481092058776</v>
      </c>
      <c r="Z59" s="360">
        <v>1.0865024921681123</v>
      </c>
      <c r="AA59" s="360">
        <v>46.028732911949348</v>
      </c>
      <c r="AB59" s="360">
        <v>0.32620678172252326</v>
      </c>
      <c r="AC59" s="360">
        <v>1.9978078998004463</v>
      </c>
      <c r="AD59" s="360">
        <v>5.8889346976768824</v>
      </c>
      <c r="AE59" s="360">
        <v>1.833227504879408</v>
      </c>
      <c r="AF59" s="360">
        <v>1.0865024921737363</v>
      </c>
      <c r="AG59" s="360">
        <v>-10015.035477133155</v>
      </c>
      <c r="AH59" s="360">
        <v>233.19505921361343</v>
      </c>
      <c r="AI59" s="360">
        <v>0.23497046951924738</v>
      </c>
      <c r="AJ59" s="360">
        <v>2.6214548721666873</v>
      </c>
      <c r="AK59" s="360">
        <v>7.416651701587516</v>
      </c>
      <c r="AL59" s="360">
        <v>1.6087606528276763</v>
      </c>
      <c r="AM59" s="360">
        <v>1.1494519782117369</v>
      </c>
      <c r="AN59" s="360">
        <v>-11748.225255900688</v>
      </c>
      <c r="AO59" s="360">
        <f t="shared" si="0"/>
        <v>1</v>
      </c>
      <c r="AP59" s="360">
        <f t="shared" si="1"/>
        <v>1</v>
      </c>
      <c r="AQ59" s="360">
        <f t="shared" si="2"/>
        <v>1</v>
      </c>
    </row>
    <row r="60" spans="1:43">
      <c r="A60" s="360" t="s">
        <v>1084</v>
      </c>
      <c r="B60" t="s">
        <v>1074</v>
      </c>
      <c r="C60">
        <v>2</v>
      </c>
      <c r="D60" t="s">
        <v>1080</v>
      </c>
      <c r="E60" t="s">
        <v>1079</v>
      </c>
      <c r="F60" s="360">
        <v>1</v>
      </c>
      <c r="G60" s="360" t="str">
        <f>CONCATENATE(A60," ",B60," ",C60," ","inf+"," ",FanUpsizes!D60," ",FanUpsizes!F60)</f>
        <v>1.5ACH Infiltration 2 inf+ Existing 1</v>
      </c>
      <c r="H60" s="360">
        <v>5.3932693093081477E-2</v>
      </c>
      <c r="I60" s="360">
        <v>0.39807339274718789</v>
      </c>
      <c r="J60" s="360">
        <v>1.1034546121474718</v>
      </c>
      <c r="K60" s="360">
        <v>0</v>
      </c>
      <c r="L60" s="360">
        <v>0.39807339274718789</v>
      </c>
      <c r="M60" s="360">
        <v>1.1034546121474718</v>
      </c>
      <c r="N60" s="360">
        <v>1</v>
      </c>
      <c r="O60" s="360">
        <v>0.39807339274718789</v>
      </c>
      <c r="P60" s="360">
        <v>1.1034546121474718</v>
      </c>
      <c r="Q60" s="360">
        <v>0</v>
      </c>
      <c r="R60" s="360">
        <v>0</v>
      </c>
      <c r="S60" s="360">
        <v>0.39807339274718789</v>
      </c>
      <c r="T60" s="360">
        <v>1.1034546121474718</v>
      </c>
      <c r="U60" s="360">
        <v>1</v>
      </c>
      <c r="V60" s="360">
        <v>0.39807339274718789</v>
      </c>
      <c r="W60" s="360">
        <v>1.1034546121474718</v>
      </c>
      <c r="X60" s="360">
        <v>0</v>
      </c>
      <c r="Y60" s="360">
        <v>0.4043481092058776</v>
      </c>
      <c r="Z60" s="360">
        <v>1.0865024921681123</v>
      </c>
      <c r="AA60" s="360">
        <v>0</v>
      </c>
      <c r="AB60" s="360">
        <v>0.4043481092058776</v>
      </c>
      <c r="AC60" s="360">
        <v>1.0865024921681123</v>
      </c>
      <c r="AD60" s="360">
        <v>1</v>
      </c>
      <c r="AE60" s="360">
        <v>0.4043481092058776</v>
      </c>
      <c r="AF60" s="360">
        <v>1.0865024921681123</v>
      </c>
      <c r="AG60" s="360">
        <v>0</v>
      </c>
      <c r="AH60" s="360">
        <v>0</v>
      </c>
      <c r="AI60" s="360">
        <v>0.4043481092058776</v>
      </c>
      <c r="AJ60" s="360">
        <v>1.0865024921681123</v>
      </c>
      <c r="AK60" s="360">
        <v>1</v>
      </c>
      <c r="AL60" s="360">
        <v>0.4043481092058776</v>
      </c>
      <c r="AM60" s="360">
        <v>1.0865024921681123</v>
      </c>
      <c r="AN60" s="360">
        <v>0</v>
      </c>
      <c r="AO60" s="360">
        <f t="shared" si="0"/>
        <v>1</v>
      </c>
      <c r="AP60" s="360">
        <f t="shared" si="1"/>
        <v>0</v>
      </c>
      <c r="AQ60" s="360">
        <f t="shared" si="2"/>
        <v>0</v>
      </c>
    </row>
    <row r="61" spans="1:43">
      <c r="A61" s="360" t="s">
        <v>1084</v>
      </c>
      <c r="B61" t="s">
        <v>1076</v>
      </c>
      <c r="C61">
        <v>2</v>
      </c>
      <c r="D61" t="s">
        <v>1080</v>
      </c>
      <c r="E61" t="s">
        <v>1079</v>
      </c>
      <c r="F61" s="360">
        <v>1</v>
      </c>
      <c r="G61" s="360" t="str">
        <f>CONCATENATE(A61," ",B61," ",C61," ","inf+"," ",FanUpsizes!D61," ",FanUpsizes!F61)</f>
        <v>1.5ACH 5C 2 inf+ Existing 1</v>
      </c>
      <c r="H61" s="360">
        <v>5.3932693093081477E-2</v>
      </c>
      <c r="I61" s="360">
        <v>0.39807339274718789</v>
      </c>
      <c r="J61" s="360">
        <v>1.1034546121474718</v>
      </c>
      <c r="K61" s="360">
        <v>0</v>
      </c>
      <c r="L61" s="360">
        <v>0.39807339274718789</v>
      </c>
      <c r="M61" s="360">
        <v>1.1034546121474718</v>
      </c>
      <c r="N61" s="360">
        <v>1</v>
      </c>
      <c r="O61" s="360">
        <v>0.39807339274718789</v>
      </c>
      <c r="P61" s="360">
        <v>1.1034546121474718</v>
      </c>
      <c r="Q61" s="360">
        <v>0</v>
      </c>
      <c r="R61" s="360">
        <v>0</v>
      </c>
      <c r="S61" s="360">
        <v>0.39807339274718789</v>
      </c>
      <c r="T61" s="360">
        <v>1.1034546121474718</v>
      </c>
      <c r="U61" s="360">
        <v>1</v>
      </c>
      <c r="V61" s="360">
        <v>0.39807339274718789</v>
      </c>
      <c r="W61" s="360">
        <v>1.1034546121474718</v>
      </c>
      <c r="X61" s="360">
        <v>0</v>
      </c>
      <c r="Y61" s="360">
        <v>0.4043481092058776</v>
      </c>
      <c r="Z61" s="360">
        <v>1.0865024921681123</v>
      </c>
      <c r="AA61" s="360">
        <v>0</v>
      </c>
      <c r="AB61" s="360">
        <v>0.4043481092058776</v>
      </c>
      <c r="AC61" s="360">
        <v>1.0865024921681123</v>
      </c>
      <c r="AD61" s="360">
        <v>1</v>
      </c>
      <c r="AE61" s="360">
        <v>0.4043481092058776</v>
      </c>
      <c r="AF61" s="360">
        <v>1.0865024921681123</v>
      </c>
      <c r="AG61" s="360">
        <v>0</v>
      </c>
      <c r="AH61" s="360">
        <v>0</v>
      </c>
      <c r="AI61" s="360">
        <v>0.4043481092058776</v>
      </c>
      <c r="AJ61" s="360">
        <v>1.0865024921681123</v>
      </c>
      <c r="AK61" s="360">
        <v>1</v>
      </c>
      <c r="AL61" s="360">
        <v>0.4043481092058776</v>
      </c>
      <c r="AM61" s="360">
        <v>1.0865024921681123</v>
      </c>
      <c r="AN61" s="360">
        <v>0</v>
      </c>
      <c r="AO61" s="360">
        <f t="shared" si="0"/>
        <v>1</v>
      </c>
      <c r="AP61" s="360">
        <f t="shared" si="1"/>
        <v>0</v>
      </c>
      <c r="AQ61" s="360">
        <f t="shared" si="2"/>
        <v>0</v>
      </c>
    </row>
    <row r="62" spans="1:43">
      <c r="A62" s="360" t="s">
        <v>1085</v>
      </c>
      <c r="B62" t="s">
        <v>1075</v>
      </c>
      <c r="C62">
        <v>1</v>
      </c>
      <c r="D62" t="s">
        <v>1078</v>
      </c>
      <c r="E62" t="s">
        <v>1079</v>
      </c>
      <c r="F62" s="360">
        <v>1</v>
      </c>
      <c r="G62" s="360" t="str">
        <f>CONCATENATE(A62," ",B62," ",C62," ","inf+"," ",FanUpsizes!D62," ",FanUpsizes!F62)</f>
        <v>0.6ACH Percentile 1 inf+ New 1</v>
      </c>
      <c r="H62" s="360">
        <v>4.1572760988367631E-2</v>
      </c>
      <c r="I62" s="360">
        <v>0.30684149576244729</v>
      </c>
      <c r="J62" s="360">
        <v>1.0406878898906524</v>
      </c>
      <c r="K62" s="360">
        <v>35.480177276550492</v>
      </c>
      <c r="L62" s="360">
        <v>0.24175239711012889</v>
      </c>
      <c r="M62" s="360">
        <v>2.3249950483813304</v>
      </c>
      <c r="N62" s="360">
        <v>9.6216847399652625</v>
      </c>
      <c r="O62" s="360">
        <v>2.2962355974328537</v>
      </c>
      <c r="P62" s="360">
        <v>1.2088157177474419</v>
      </c>
      <c r="Q62" s="360">
        <v>-13679.441983344712</v>
      </c>
      <c r="R62" s="360">
        <v>182.95515995407118</v>
      </c>
      <c r="S62" s="360">
        <v>0.16931538646666489</v>
      </c>
      <c r="T62" s="360">
        <v>3.1694662599326584</v>
      </c>
      <c r="U62" s="360">
        <v>9.6216847399652625</v>
      </c>
      <c r="V62" s="360">
        <v>1.5992695175159009</v>
      </c>
      <c r="W62" s="360">
        <v>1.2969671234981397</v>
      </c>
      <c r="X62" s="360">
        <v>-12260.484192989794</v>
      </c>
      <c r="Y62" s="360">
        <v>0.3075500508925566</v>
      </c>
      <c r="Z62" s="360">
        <v>1.0382945218115567</v>
      </c>
      <c r="AA62" s="360">
        <v>35.480177276550492</v>
      </c>
      <c r="AB62" s="360">
        <v>0.2423455518969809</v>
      </c>
      <c r="AC62" s="360">
        <v>2.3217067624581698</v>
      </c>
      <c r="AD62" s="360">
        <v>9.6216847399652625</v>
      </c>
      <c r="AE62" s="360">
        <v>2.2962973833189011</v>
      </c>
      <c r="AF62" s="360">
        <v>1.20881250661632</v>
      </c>
      <c r="AG62" s="360">
        <v>-13675.94831730964</v>
      </c>
      <c r="AH62" s="360">
        <v>182.44751836342823</v>
      </c>
      <c r="AI62" s="360">
        <v>0.17023856935128284</v>
      </c>
      <c r="AJ62" s="360">
        <v>3.1523993801090202</v>
      </c>
      <c r="AK62" s="360">
        <v>9.6216847399652625</v>
      </c>
      <c r="AL62" s="360">
        <v>1.599366162602825</v>
      </c>
      <c r="AM62" s="360">
        <v>1.2969470445427287</v>
      </c>
      <c r="AN62" s="360">
        <v>-12257.044159141795</v>
      </c>
      <c r="AO62" s="360">
        <f t="shared" si="0"/>
        <v>0</v>
      </c>
      <c r="AP62" s="360">
        <f t="shared" si="1"/>
        <v>1</v>
      </c>
      <c r="AQ62" s="360">
        <f t="shared" si="2"/>
        <v>1</v>
      </c>
    </row>
    <row r="63" spans="1:43">
      <c r="A63" s="360" t="s">
        <v>1085</v>
      </c>
      <c r="B63" t="s">
        <v>1074</v>
      </c>
      <c r="C63">
        <v>1</v>
      </c>
      <c r="D63" t="s">
        <v>1078</v>
      </c>
      <c r="E63" t="s">
        <v>1079</v>
      </c>
      <c r="F63" s="360">
        <v>1</v>
      </c>
      <c r="G63" s="360" t="str">
        <f>CONCATENATE(A63," ",B63," ",C63," ","inf+"," ",FanUpsizes!D63," ",FanUpsizes!F63)</f>
        <v>0.6ACH Infiltration 1 inf+ New 1</v>
      </c>
      <c r="H63" s="360">
        <v>4.1572760988367631E-2</v>
      </c>
      <c r="I63" s="360">
        <v>0.30684149576244729</v>
      </c>
      <c r="J63" s="360">
        <v>1.0406878898906524</v>
      </c>
      <c r="K63" s="360">
        <v>0</v>
      </c>
      <c r="L63" s="360">
        <v>0.30684149576244729</v>
      </c>
      <c r="M63" s="360">
        <v>1.0406878898906524</v>
      </c>
      <c r="N63" s="360">
        <v>1</v>
      </c>
      <c r="O63" s="360">
        <v>0.30684149576244729</v>
      </c>
      <c r="P63" s="360">
        <v>1.0406878898906524</v>
      </c>
      <c r="Q63" s="360">
        <v>0</v>
      </c>
      <c r="R63" s="360">
        <v>0</v>
      </c>
      <c r="S63" s="360">
        <v>0.30684149576244729</v>
      </c>
      <c r="T63" s="360">
        <v>1.0406878898906524</v>
      </c>
      <c r="U63" s="360">
        <v>1</v>
      </c>
      <c r="V63" s="360">
        <v>0.30684149576244729</v>
      </c>
      <c r="W63" s="360">
        <v>1.0406878898906524</v>
      </c>
      <c r="X63" s="360">
        <v>0</v>
      </c>
      <c r="Y63" s="360">
        <v>0.3075500508925566</v>
      </c>
      <c r="Z63" s="360">
        <v>1.0382945218115567</v>
      </c>
      <c r="AA63" s="360">
        <v>0</v>
      </c>
      <c r="AB63" s="360">
        <v>0.3075500508925566</v>
      </c>
      <c r="AC63" s="360">
        <v>1.0382945218115567</v>
      </c>
      <c r="AD63" s="360">
        <v>1</v>
      </c>
      <c r="AE63" s="360">
        <v>0.3075500508925566</v>
      </c>
      <c r="AF63" s="360">
        <v>1.0382945218115567</v>
      </c>
      <c r="AG63" s="360">
        <v>0</v>
      </c>
      <c r="AH63" s="360">
        <v>0</v>
      </c>
      <c r="AI63" s="360">
        <v>0.3075500508925566</v>
      </c>
      <c r="AJ63" s="360">
        <v>1.0382945218115567</v>
      </c>
      <c r="AK63" s="360">
        <v>1</v>
      </c>
      <c r="AL63" s="360">
        <v>0.3075500508925566</v>
      </c>
      <c r="AM63" s="360">
        <v>1.0382945218115567</v>
      </c>
      <c r="AN63" s="360">
        <v>0</v>
      </c>
      <c r="AO63" s="360">
        <f t="shared" si="0"/>
        <v>1</v>
      </c>
      <c r="AP63" s="360">
        <f t="shared" si="1"/>
        <v>0</v>
      </c>
      <c r="AQ63" s="360">
        <f t="shared" si="2"/>
        <v>0</v>
      </c>
    </row>
    <row r="64" spans="1:43">
      <c r="A64" s="360" t="s">
        <v>1085</v>
      </c>
      <c r="B64" t="s">
        <v>1076</v>
      </c>
      <c r="C64">
        <v>1</v>
      </c>
      <c r="D64" t="s">
        <v>1078</v>
      </c>
      <c r="E64" t="s">
        <v>1079</v>
      </c>
      <c r="F64" s="360">
        <v>1</v>
      </c>
      <c r="G64" s="360" t="str">
        <f>CONCATENATE(A64," ",B64," ",C64," ","inf+"," ",FanUpsizes!D64," ",FanUpsizes!F64)</f>
        <v>0.6ACH 5C 1 inf+ New 1</v>
      </c>
      <c r="H64" s="360">
        <v>4.1572760988367631E-2</v>
      </c>
      <c r="I64" s="360">
        <v>0.30684149576244729</v>
      </c>
      <c r="J64" s="360">
        <v>1.0406878898906524</v>
      </c>
      <c r="K64" s="360">
        <v>0</v>
      </c>
      <c r="L64" s="360">
        <v>0.30684149576244729</v>
      </c>
      <c r="M64" s="360">
        <v>1.0406878898906524</v>
      </c>
      <c r="N64" s="360">
        <v>1</v>
      </c>
      <c r="O64" s="360">
        <v>0.30684149576244729</v>
      </c>
      <c r="P64" s="360">
        <v>1.0406878898906524</v>
      </c>
      <c r="Q64" s="360">
        <v>0</v>
      </c>
      <c r="R64" s="360">
        <v>0</v>
      </c>
      <c r="S64" s="360">
        <v>0.30684149576244729</v>
      </c>
      <c r="T64" s="360">
        <v>1.0406878898906524</v>
      </c>
      <c r="U64" s="360">
        <v>1</v>
      </c>
      <c r="V64" s="360">
        <v>0.30684149576244729</v>
      </c>
      <c r="W64" s="360">
        <v>1.0406878898906524</v>
      </c>
      <c r="X64" s="360">
        <v>0</v>
      </c>
      <c r="Y64" s="360">
        <v>0.3075500508925566</v>
      </c>
      <c r="Z64" s="360">
        <v>1.0382945218115567</v>
      </c>
      <c r="AA64" s="360">
        <v>0</v>
      </c>
      <c r="AB64" s="360">
        <v>0.3075500508925566</v>
      </c>
      <c r="AC64" s="360">
        <v>1.0382945218115567</v>
      </c>
      <c r="AD64" s="360">
        <v>1</v>
      </c>
      <c r="AE64" s="360">
        <v>0.3075500508925566</v>
      </c>
      <c r="AF64" s="360">
        <v>1.0382945218115567</v>
      </c>
      <c r="AG64" s="360">
        <v>0</v>
      </c>
      <c r="AH64" s="360">
        <v>0</v>
      </c>
      <c r="AI64" s="360">
        <v>0.3075500508925566</v>
      </c>
      <c r="AJ64" s="360">
        <v>1.0382945218115567</v>
      </c>
      <c r="AK64" s="360">
        <v>1</v>
      </c>
      <c r="AL64" s="360">
        <v>0.3075500508925566</v>
      </c>
      <c r="AM64" s="360">
        <v>1.0382945218115567</v>
      </c>
      <c r="AN64" s="360">
        <v>0</v>
      </c>
      <c r="AO64" s="360">
        <f t="shared" si="0"/>
        <v>1</v>
      </c>
      <c r="AP64" s="360">
        <f t="shared" si="1"/>
        <v>0</v>
      </c>
      <c r="AQ64" s="360">
        <f t="shared" si="2"/>
        <v>0</v>
      </c>
    </row>
    <row r="65" spans="1:43">
      <c r="A65" s="360" t="s">
        <v>1085</v>
      </c>
      <c r="B65" t="s">
        <v>1075</v>
      </c>
      <c r="C65">
        <v>2</v>
      </c>
      <c r="D65" t="s">
        <v>1078</v>
      </c>
      <c r="E65" t="s">
        <v>1079</v>
      </c>
      <c r="F65" s="360">
        <v>1</v>
      </c>
      <c r="G65" s="360" t="str">
        <f>CONCATENATE(A65," ",B65," ",C65," ","inf+"," ",FanUpsizes!D65," ",FanUpsizes!F65)</f>
        <v>0.6ACH Percentile 2 inf+ New 1</v>
      </c>
      <c r="H65" s="360">
        <v>4.1032077237232588E-2</v>
      </c>
      <c r="I65" s="360">
        <v>0.30285080072585768</v>
      </c>
      <c r="J65" s="360">
        <v>1.0543951798635391</v>
      </c>
      <c r="K65" s="360">
        <v>35.018731972346266</v>
      </c>
      <c r="L65" s="360">
        <v>0.23992331385924523</v>
      </c>
      <c r="M65" s="360">
        <v>2.1908654646322758</v>
      </c>
      <c r="N65" s="360">
        <v>9.7484706340199434</v>
      </c>
      <c r="O65" s="360">
        <v>2.2975056806584608</v>
      </c>
      <c r="P65" s="360">
        <v>1.1028811828710525</v>
      </c>
      <c r="Q65" s="360">
        <v>-13700.592245661799</v>
      </c>
      <c r="R65" s="360">
        <v>180.56968978850156</v>
      </c>
      <c r="S65" s="360">
        <v>0.16842997539828325</v>
      </c>
      <c r="T65" s="360">
        <v>2.982435501747116</v>
      </c>
      <c r="U65" s="360">
        <v>9.7484706340199434</v>
      </c>
      <c r="V65" s="360">
        <v>1.6005396007415218</v>
      </c>
      <c r="W65" s="360">
        <v>1.1872719905731792</v>
      </c>
      <c r="X65" s="360">
        <v>-12281.634455306881</v>
      </c>
      <c r="Y65" s="360">
        <v>0.30418586192357183</v>
      </c>
      <c r="Z65" s="360">
        <v>1.0497818114429485</v>
      </c>
      <c r="AA65" s="360">
        <v>35.018731972346004</v>
      </c>
      <c r="AB65" s="360">
        <v>0.24103831680509594</v>
      </c>
      <c r="AC65" s="360">
        <v>2.1848653844523684</v>
      </c>
      <c r="AD65" s="360">
        <v>9.7484706340199434</v>
      </c>
      <c r="AE65" s="360">
        <v>2.2976205591093248</v>
      </c>
      <c r="AF65" s="360">
        <v>1.1028754077995067</v>
      </c>
      <c r="AG65" s="360">
        <v>-13694.103440214882</v>
      </c>
      <c r="AH65" s="360">
        <v>179.63675478833997</v>
      </c>
      <c r="AI65" s="360">
        <v>0.17016207987173687</v>
      </c>
      <c r="AJ65" s="360">
        <v>2.9525639648019513</v>
      </c>
      <c r="AK65" s="360">
        <v>9.7484706340199434</v>
      </c>
      <c r="AL65" s="360">
        <v>1.6007199571118793</v>
      </c>
      <c r="AM65" s="360">
        <v>1.1872363431494259</v>
      </c>
      <c r="AN65" s="360">
        <v>-12275.245063038234</v>
      </c>
      <c r="AO65" s="360">
        <f t="shared" si="0"/>
        <v>0</v>
      </c>
      <c r="AP65" s="360">
        <f t="shared" si="1"/>
        <v>1</v>
      </c>
      <c r="AQ65" s="360">
        <f t="shared" si="2"/>
        <v>1</v>
      </c>
    </row>
    <row r="66" spans="1:43">
      <c r="A66" s="360" t="s">
        <v>1085</v>
      </c>
      <c r="B66" t="s">
        <v>1074</v>
      </c>
      <c r="C66">
        <v>2</v>
      </c>
      <c r="D66" t="s">
        <v>1078</v>
      </c>
      <c r="E66" t="s">
        <v>1079</v>
      </c>
      <c r="F66" s="360">
        <v>1</v>
      </c>
      <c r="G66" s="360" t="str">
        <f>CONCATENATE(A66," ",B66," ",C66," ","inf+"," ",FanUpsizes!D66," ",FanUpsizes!F66)</f>
        <v>0.6ACH Infiltration 2 inf+ New 1</v>
      </c>
      <c r="H66" s="360">
        <v>4.1032077237232588E-2</v>
      </c>
      <c r="I66" s="360">
        <v>0.30285080072585768</v>
      </c>
      <c r="J66" s="360">
        <v>1.0543951798635391</v>
      </c>
      <c r="K66" s="360">
        <v>0</v>
      </c>
      <c r="L66" s="360">
        <v>0.30285080072585768</v>
      </c>
      <c r="M66" s="360">
        <v>1.0543951798635391</v>
      </c>
      <c r="N66" s="360">
        <v>1</v>
      </c>
      <c r="O66" s="360">
        <v>0.30285080072585768</v>
      </c>
      <c r="P66" s="360">
        <v>1.0543951798635391</v>
      </c>
      <c r="Q66" s="360">
        <v>0</v>
      </c>
      <c r="R66" s="360">
        <v>0</v>
      </c>
      <c r="S66" s="360">
        <v>0.30285080072585768</v>
      </c>
      <c r="T66" s="360">
        <v>1.0543951798635391</v>
      </c>
      <c r="U66" s="360">
        <v>1</v>
      </c>
      <c r="V66" s="360">
        <v>0.30285080072585768</v>
      </c>
      <c r="W66" s="360">
        <v>1.0543951798635391</v>
      </c>
      <c r="X66" s="360">
        <v>0</v>
      </c>
      <c r="Y66" s="360">
        <v>0.30418586192357183</v>
      </c>
      <c r="Z66" s="360">
        <v>1.0497818114429485</v>
      </c>
      <c r="AA66" s="360">
        <v>0</v>
      </c>
      <c r="AB66" s="360">
        <v>0.30418586192357183</v>
      </c>
      <c r="AC66" s="360">
        <v>1.0497818114429485</v>
      </c>
      <c r="AD66" s="360">
        <v>1</v>
      </c>
      <c r="AE66" s="360">
        <v>0.30418586192357183</v>
      </c>
      <c r="AF66" s="360">
        <v>1.0497818114429485</v>
      </c>
      <c r="AG66" s="360">
        <v>0</v>
      </c>
      <c r="AH66" s="360">
        <v>0</v>
      </c>
      <c r="AI66" s="360">
        <v>0.30418586192357183</v>
      </c>
      <c r="AJ66" s="360">
        <v>1.0497818114429485</v>
      </c>
      <c r="AK66" s="360">
        <v>1</v>
      </c>
      <c r="AL66" s="360">
        <v>0.30418586192357183</v>
      </c>
      <c r="AM66" s="360">
        <v>1.0497818114429485</v>
      </c>
      <c r="AN66" s="360">
        <v>0</v>
      </c>
      <c r="AO66" s="360">
        <f t="shared" si="0"/>
        <v>1</v>
      </c>
      <c r="AP66" s="360">
        <f t="shared" si="1"/>
        <v>0</v>
      </c>
      <c r="AQ66" s="360">
        <f t="shared" si="2"/>
        <v>0</v>
      </c>
    </row>
    <row r="67" spans="1:43">
      <c r="A67" s="360" t="s">
        <v>1085</v>
      </c>
      <c r="B67" t="s">
        <v>1076</v>
      </c>
      <c r="C67">
        <v>2</v>
      </c>
      <c r="D67" t="s">
        <v>1078</v>
      </c>
      <c r="E67" t="s">
        <v>1079</v>
      </c>
      <c r="F67" s="360">
        <v>1</v>
      </c>
      <c r="G67" s="360" t="str">
        <f>CONCATENATE(A67," ",B67," ",C67," ","inf+"," ",FanUpsizes!D67," ",FanUpsizes!F67)</f>
        <v>0.6ACH 5C 2 inf+ New 1</v>
      </c>
      <c r="H67" s="360">
        <v>4.1032077237232588E-2</v>
      </c>
      <c r="I67" s="360">
        <v>0.30285080072585768</v>
      </c>
      <c r="J67" s="360">
        <v>1.0543951798635391</v>
      </c>
      <c r="K67" s="360">
        <v>0</v>
      </c>
      <c r="L67" s="360">
        <v>0.30285080072585768</v>
      </c>
      <c r="M67" s="360">
        <v>1.0543951798635391</v>
      </c>
      <c r="N67" s="360">
        <v>1</v>
      </c>
      <c r="O67" s="360">
        <v>0.30285080072585768</v>
      </c>
      <c r="P67" s="360">
        <v>1.0543951798635391</v>
      </c>
      <c r="Q67" s="360">
        <v>0</v>
      </c>
      <c r="R67" s="360">
        <v>0</v>
      </c>
      <c r="S67" s="360">
        <v>0.30285080072585768</v>
      </c>
      <c r="T67" s="360">
        <v>1.0543951798635391</v>
      </c>
      <c r="U67" s="360">
        <v>1</v>
      </c>
      <c r="V67" s="360">
        <v>0.30285080072585768</v>
      </c>
      <c r="W67" s="360">
        <v>1.0543951798635391</v>
      </c>
      <c r="X67" s="360">
        <v>0</v>
      </c>
      <c r="Y67" s="360">
        <v>0.30418586192357183</v>
      </c>
      <c r="Z67" s="360">
        <v>1.0497818114429485</v>
      </c>
      <c r="AA67" s="360">
        <v>0</v>
      </c>
      <c r="AB67" s="360">
        <v>0.30418586192357183</v>
      </c>
      <c r="AC67" s="360">
        <v>1.0497818114429485</v>
      </c>
      <c r="AD67" s="360">
        <v>1</v>
      </c>
      <c r="AE67" s="360">
        <v>0.30418586192357183</v>
      </c>
      <c r="AF67" s="360">
        <v>1.0497818114429485</v>
      </c>
      <c r="AG67" s="360">
        <v>0</v>
      </c>
      <c r="AH67" s="360">
        <v>0</v>
      </c>
      <c r="AI67" s="360">
        <v>0.30418586192357183</v>
      </c>
      <c r="AJ67" s="360">
        <v>1.0497818114429485</v>
      </c>
      <c r="AK67" s="360">
        <v>1</v>
      </c>
      <c r="AL67" s="360">
        <v>0.30418586192357183</v>
      </c>
      <c r="AM67" s="360">
        <v>1.0497818114429485</v>
      </c>
      <c r="AN67" s="360">
        <v>0</v>
      </c>
      <c r="AO67" s="360">
        <f t="shared" ref="AO67:AO130" si="3">IF(ROUND(P67,3)=ROUND(J67,3),1,0)</f>
        <v>1</v>
      </c>
      <c r="AP67" s="360">
        <f t="shared" ref="AP67:AP130" si="4">IF(O67&gt;L67,1,0)</f>
        <v>0</v>
      </c>
      <c r="AQ67" s="360">
        <f t="shared" ref="AQ67:AQ130" si="5">IF(I67&gt;L67,1,0)</f>
        <v>0</v>
      </c>
    </row>
    <row r="68" spans="1:43">
      <c r="A68" s="360" t="s">
        <v>1085</v>
      </c>
      <c r="B68" t="s">
        <v>1075</v>
      </c>
      <c r="C68">
        <v>1</v>
      </c>
      <c r="D68" t="s">
        <v>1080</v>
      </c>
      <c r="E68" t="s">
        <v>1079</v>
      </c>
      <c r="F68" s="360">
        <v>1</v>
      </c>
      <c r="G68" s="360" t="str">
        <f>CONCATENATE(A68," ",B68," ",C68," ","inf+"," ",FanUpsizes!D68," ",FanUpsizes!F68)</f>
        <v>0.6ACH Percentile 1 inf+ Existing 1</v>
      </c>
      <c r="H68" s="360">
        <v>5.7822760988367632E-2</v>
      </c>
      <c r="I68" s="360">
        <v>0.42677998884297791</v>
      </c>
      <c r="J68" s="360">
        <v>1.0292563499820113</v>
      </c>
      <c r="K68" s="360">
        <v>49.348702412630729</v>
      </c>
      <c r="L68" s="360">
        <v>0.33489641177072249</v>
      </c>
      <c r="M68" s="360">
        <v>2.7048013162913378</v>
      </c>
      <c r="N68" s="360">
        <v>6.9176911161414303</v>
      </c>
      <c r="O68" s="360">
        <v>2.2962355974328537</v>
      </c>
      <c r="P68" s="360">
        <v>1.6624971145198817</v>
      </c>
      <c r="Q68" s="360">
        <v>-13043.780634302024</v>
      </c>
      <c r="R68" s="360">
        <v>254.46884532330878</v>
      </c>
      <c r="S68" s="360">
        <v>0.23414515413062034</v>
      </c>
      <c r="T68" s="360">
        <v>3.568845565416412</v>
      </c>
      <c r="U68" s="360">
        <v>6.9176911161414303</v>
      </c>
      <c r="V68" s="360">
        <v>1.5992695175159009</v>
      </c>
      <c r="W68" s="360">
        <v>1.783747592759539</v>
      </c>
      <c r="X68" s="360">
        <v>-11624.822843947108</v>
      </c>
      <c r="Y68" s="360">
        <v>0.42728995634267319</v>
      </c>
      <c r="Z68" s="360">
        <v>1.0280292445669719</v>
      </c>
      <c r="AA68" s="360">
        <v>49.348702412630729</v>
      </c>
      <c r="AB68" s="360">
        <v>0.33532333674865233</v>
      </c>
      <c r="AC68" s="360">
        <v>2.7031312585593139</v>
      </c>
      <c r="AD68" s="360">
        <v>6.9176911161414303</v>
      </c>
      <c r="AE68" s="360">
        <v>2.2962973833189011</v>
      </c>
      <c r="AF68" s="360">
        <v>1.6624926973666578</v>
      </c>
      <c r="AG68" s="360">
        <v>-13041.380084972496</v>
      </c>
      <c r="AH68" s="360">
        <v>254.10097153014704</v>
      </c>
      <c r="AI68" s="360">
        <v>0.23481121710670111</v>
      </c>
      <c r="AJ68" s="360">
        <v>3.5595894047331322</v>
      </c>
      <c r="AK68" s="360">
        <v>6.9176911161414303</v>
      </c>
      <c r="AL68" s="360">
        <v>1.599366162602825</v>
      </c>
      <c r="AM68" s="360">
        <v>1.7837199730411861</v>
      </c>
      <c r="AN68" s="360">
        <v>-11622.475926804649</v>
      </c>
      <c r="AO68" s="360">
        <f t="shared" si="3"/>
        <v>0</v>
      </c>
      <c r="AP68" s="360">
        <f t="shared" si="4"/>
        <v>1</v>
      </c>
      <c r="AQ68" s="360">
        <f t="shared" si="5"/>
        <v>1</v>
      </c>
    </row>
    <row r="69" spans="1:43">
      <c r="A69" s="360" t="s">
        <v>1085</v>
      </c>
      <c r="B69" t="s">
        <v>1074</v>
      </c>
      <c r="C69">
        <v>1</v>
      </c>
      <c r="D69" t="s">
        <v>1080</v>
      </c>
      <c r="E69" t="s">
        <v>1079</v>
      </c>
      <c r="F69" s="360">
        <v>1</v>
      </c>
      <c r="G69" s="360" t="str">
        <f>CONCATENATE(A69," ",B69," ",C69," ","inf+"," ",FanUpsizes!D69," ",FanUpsizes!F69)</f>
        <v>0.6ACH Infiltration 1 inf+ Existing 1</v>
      </c>
      <c r="H69" s="360">
        <v>5.7822760988367632E-2</v>
      </c>
      <c r="I69" s="360">
        <v>0.42677998884297791</v>
      </c>
      <c r="J69" s="360">
        <v>1.0292563499820113</v>
      </c>
      <c r="K69" s="360">
        <v>0</v>
      </c>
      <c r="L69" s="360">
        <v>0.42677998884297791</v>
      </c>
      <c r="M69" s="360">
        <v>1.0292563499820113</v>
      </c>
      <c r="N69" s="360">
        <v>1</v>
      </c>
      <c r="O69" s="360">
        <v>0.42677998884297791</v>
      </c>
      <c r="P69" s="360">
        <v>1.0292563499820113</v>
      </c>
      <c r="Q69" s="360">
        <v>0</v>
      </c>
      <c r="R69" s="360">
        <v>0</v>
      </c>
      <c r="S69" s="360">
        <v>0.42677998884297791</v>
      </c>
      <c r="T69" s="360">
        <v>1.0292563499820113</v>
      </c>
      <c r="U69" s="360">
        <v>1</v>
      </c>
      <c r="V69" s="360">
        <v>0.42677998884297791</v>
      </c>
      <c r="W69" s="360">
        <v>1.0292563499820113</v>
      </c>
      <c r="X69" s="360">
        <v>0</v>
      </c>
      <c r="Y69" s="360">
        <v>0.42728995634267319</v>
      </c>
      <c r="Z69" s="360">
        <v>1.0280292445669719</v>
      </c>
      <c r="AA69" s="360">
        <v>0</v>
      </c>
      <c r="AB69" s="360">
        <v>0.42728995634267319</v>
      </c>
      <c r="AC69" s="360">
        <v>1.0280292445669719</v>
      </c>
      <c r="AD69" s="360">
        <v>1</v>
      </c>
      <c r="AE69" s="360">
        <v>0.42728995634267319</v>
      </c>
      <c r="AF69" s="360">
        <v>1.0280292445669719</v>
      </c>
      <c r="AG69" s="360">
        <v>0</v>
      </c>
      <c r="AH69" s="360">
        <v>0</v>
      </c>
      <c r="AI69" s="360">
        <v>0.42728995634267319</v>
      </c>
      <c r="AJ69" s="360">
        <v>1.0280292445669719</v>
      </c>
      <c r="AK69" s="360">
        <v>1</v>
      </c>
      <c r="AL69" s="360">
        <v>0.42728995634267319</v>
      </c>
      <c r="AM69" s="360">
        <v>1.0280292445669719</v>
      </c>
      <c r="AN69" s="360">
        <v>0</v>
      </c>
      <c r="AO69" s="360">
        <f t="shared" si="3"/>
        <v>1</v>
      </c>
      <c r="AP69" s="360">
        <f t="shared" si="4"/>
        <v>0</v>
      </c>
      <c r="AQ69" s="360">
        <f t="shared" si="5"/>
        <v>0</v>
      </c>
    </row>
    <row r="70" spans="1:43">
      <c r="A70" s="360" t="s">
        <v>1085</v>
      </c>
      <c r="B70" t="s">
        <v>1076</v>
      </c>
      <c r="C70">
        <v>1</v>
      </c>
      <c r="D70" t="s">
        <v>1080</v>
      </c>
      <c r="E70" t="s">
        <v>1079</v>
      </c>
      <c r="F70" s="360">
        <v>1</v>
      </c>
      <c r="G70" s="360" t="str">
        <f>CONCATENATE(A70," ",B70," ",C70," ","inf+"," ",FanUpsizes!D70," ",FanUpsizes!F70)</f>
        <v>0.6ACH 5C 1 inf+ Existing 1</v>
      </c>
      <c r="H70" s="360">
        <v>5.7822760988367632E-2</v>
      </c>
      <c r="I70" s="360">
        <v>0.42677998884297791</v>
      </c>
      <c r="J70" s="360">
        <v>1.0292563499820113</v>
      </c>
      <c r="K70" s="360">
        <v>0</v>
      </c>
      <c r="L70" s="360">
        <v>0.42677998884297791</v>
      </c>
      <c r="M70" s="360">
        <v>1.0292563499820113</v>
      </c>
      <c r="N70" s="360">
        <v>1</v>
      </c>
      <c r="O70" s="360">
        <v>0.42677998884297791</v>
      </c>
      <c r="P70" s="360">
        <v>1.0292563499820113</v>
      </c>
      <c r="Q70" s="360">
        <v>0</v>
      </c>
      <c r="R70" s="360">
        <v>0</v>
      </c>
      <c r="S70" s="360">
        <v>0.42677998884297791</v>
      </c>
      <c r="T70" s="360">
        <v>1.0292563499820113</v>
      </c>
      <c r="U70" s="360">
        <v>1</v>
      </c>
      <c r="V70" s="360">
        <v>0.42677998884297791</v>
      </c>
      <c r="W70" s="360">
        <v>1.0292563499820113</v>
      </c>
      <c r="X70" s="360">
        <v>0</v>
      </c>
      <c r="Y70" s="360">
        <v>0.42728995634267319</v>
      </c>
      <c r="Z70" s="360">
        <v>1.0280292445669719</v>
      </c>
      <c r="AA70" s="360">
        <v>0</v>
      </c>
      <c r="AB70" s="360">
        <v>0.42728995634267319</v>
      </c>
      <c r="AC70" s="360">
        <v>1.0280292445669719</v>
      </c>
      <c r="AD70" s="360">
        <v>1</v>
      </c>
      <c r="AE70" s="360">
        <v>0.42728995634267319</v>
      </c>
      <c r="AF70" s="360">
        <v>1.0280292445669719</v>
      </c>
      <c r="AG70" s="360">
        <v>0</v>
      </c>
      <c r="AH70" s="360">
        <v>0</v>
      </c>
      <c r="AI70" s="360">
        <v>0.42728995634267319</v>
      </c>
      <c r="AJ70" s="360">
        <v>1.0280292445669719</v>
      </c>
      <c r="AK70" s="360">
        <v>1</v>
      </c>
      <c r="AL70" s="360">
        <v>0.42728995634267319</v>
      </c>
      <c r="AM70" s="360">
        <v>1.0280292445669719</v>
      </c>
      <c r="AN70" s="360">
        <v>0</v>
      </c>
      <c r="AO70" s="360">
        <f t="shared" si="3"/>
        <v>1</v>
      </c>
      <c r="AP70" s="360">
        <f t="shared" si="4"/>
        <v>0</v>
      </c>
      <c r="AQ70" s="360">
        <f t="shared" si="5"/>
        <v>0</v>
      </c>
    </row>
    <row r="71" spans="1:43">
      <c r="A71" s="360" t="s">
        <v>1085</v>
      </c>
      <c r="B71" t="s">
        <v>1075</v>
      </c>
      <c r="C71">
        <v>2</v>
      </c>
      <c r="D71" t="s">
        <v>1080</v>
      </c>
      <c r="E71" t="s">
        <v>1079</v>
      </c>
      <c r="F71" s="360">
        <v>1</v>
      </c>
      <c r="G71" s="360" t="str">
        <f>CONCATENATE(A71," ",B71," ",C71," ","inf+"," ",FanUpsizes!D71," ",FanUpsizes!F71)</f>
        <v>0.6ACH Percentile 2 inf+ Existing 1</v>
      </c>
      <c r="H71" s="360">
        <v>5.7282077237232588E-2</v>
      </c>
      <c r="I71" s="360">
        <v>0.42278929380641989</v>
      </c>
      <c r="J71" s="360">
        <v>1.0389682701104976</v>
      </c>
      <c r="K71" s="360">
        <v>48.887257108446668</v>
      </c>
      <c r="L71" s="360">
        <v>0.3330673285198712</v>
      </c>
      <c r="M71" s="360">
        <v>2.5321276182463381</v>
      </c>
      <c r="N71" s="360">
        <v>6.9829869881186033</v>
      </c>
      <c r="O71" s="360">
        <v>2.2975056806584608</v>
      </c>
      <c r="P71" s="360">
        <v>1.5167759470791031</v>
      </c>
      <c r="Q71" s="360">
        <v>-13064.930896619067</v>
      </c>
      <c r="R71" s="360">
        <v>252.08938146713635</v>
      </c>
      <c r="S71" s="360">
        <v>0.23325816646602074</v>
      </c>
      <c r="T71" s="360">
        <v>3.3450576708297191</v>
      </c>
      <c r="U71" s="360">
        <v>6.9829869881186033</v>
      </c>
      <c r="V71" s="360">
        <v>1.6005396007415218</v>
      </c>
      <c r="W71" s="360">
        <v>1.6328535101444053</v>
      </c>
      <c r="X71" s="360">
        <v>-11645.973106264149</v>
      </c>
      <c r="Y71" s="360">
        <v>0.42374760504242442</v>
      </c>
      <c r="Z71" s="360">
        <v>1.0366229041521593</v>
      </c>
      <c r="AA71" s="360">
        <v>48.887257108446668</v>
      </c>
      <c r="AB71" s="360">
        <v>0.33386773379263812</v>
      </c>
      <c r="AC71" s="360">
        <v>2.5290902108745317</v>
      </c>
      <c r="AD71" s="360">
        <v>6.9829869881186033</v>
      </c>
      <c r="AE71" s="360">
        <v>2.2976205591093248</v>
      </c>
      <c r="AF71" s="360">
        <v>1.5167680030340005</v>
      </c>
      <c r="AG71" s="360">
        <v>-13060.483934829408</v>
      </c>
      <c r="AH71" s="360">
        <v>251.40650883977935</v>
      </c>
      <c r="AI71" s="360">
        <v>0.23450845555322905</v>
      </c>
      <c r="AJ71" s="360">
        <v>3.3287642703782656</v>
      </c>
      <c r="AK71" s="360">
        <v>6.9829869881186033</v>
      </c>
      <c r="AL71" s="360">
        <v>1.6007199571118793</v>
      </c>
      <c r="AM71" s="360">
        <v>1.6328044751580379</v>
      </c>
      <c r="AN71" s="360">
        <v>-11641.62555765276</v>
      </c>
      <c r="AO71" s="360">
        <f t="shared" si="3"/>
        <v>0</v>
      </c>
      <c r="AP71" s="360">
        <f t="shared" si="4"/>
        <v>1</v>
      </c>
      <c r="AQ71" s="360">
        <f t="shared" si="5"/>
        <v>1</v>
      </c>
    </row>
    <row r="72" spans="1:43">
      <c r="A72" s="360" t="s">
        <v>1085</v>
      </c>
      <c r="B72" t="s">
        <v>1074</v>
      </c>
      <c r="C72">
        <v>2</v>
      </c>
      <c r="D72" t="s">
        <v>1080</v>
      </c>
      <c r="E72" t="s">
        <v>1079</v>
      </c>
      <c r="F72" s="360">
        <v>1</v>
      </c>
      <c r="G72" s="360" t="str">
        <f>CONCATENATE(A72," ",B72," ",C72," ","inf+"," ",FanUpsizes!D72," ",FanUpsizes!F72)</f>
        <v>0.6ACH Infiltration 2 inf+ Existing 1</v>
      </c>
      <c r="H72" s="360">
        <v>5.7282077237232588E-2</v>
      </c>
      <c r="I72" s="360">
        <v>0.42278929380641989</v>
      </c>
      <c r="J72" s="360">
        <v>1.0389682701104976</v>
      </c>
      <c r="K72" s="360">
        <v>0</v>
      </c>
      <c r="L72" s="360">
        <v>0.42278929380641989</v>
      </c>
      <c r="M72" s="360">
        <v>1.0389682701104976</v>
      </c>
      <c r="N72" s="360">
        <v>1</v>
      </c>
      <c r="O72" s="360">
        <v>0.42278929380641989</v>
      </c>
      <c r="P72" s="360">
        <v>1.0389682701104976</v>
      </c>
      <c r="Q72" s="360">
        <v>0</v>
      </c>
      <c r="R72" s="360">
        <v>0</v>
      </c>
      <c r="S72" s="360">
        <v>0.42278929380641989</v>
      </c>
      <c r="T72" s="360">
        <v>1.0389682701104976</v>
      </c>
      <c r="U72" s="360">
        <v>1</v>
      </c>
      <c r="V72" s="360">
        <v>0.42278929380641989</v>
      </c>
      <c r="W72" s="360">
        <v>1.0389682701104976</v>
      </c>
      <c r="X72" s="360">
        <v>0</v>
      </c>
      <c r="Y72" s="360">
        <v>0.42374760504242442</v>
      </c>
      <c r="Z72" s="360">
        <v>1.0366229041521593</v>
      </c>
      <c r="AA72" s="360">
        <v>0</v>
      </c>
      <c r="AB72" s="360">
        <v>0.42374760504242442</v>
      </c>
      <c r="AC72" s="360">
        <v>1.0366229041521593</v>
      </c>
      <c r="AD72" s="360">
        <v>1</v>
      </c>
      <c r="AE72" s="360">
        <v>0.42374760504242442</v>
      </c>
      <c r="AF72" s="360">
        <v>1.0366229041521593</v>
      </c>
      <c r="AG72" s="360">
        <v>0</v>
      </c>
      <c r="AH72" s="360">
        <v>0</v>
      </c>
      <c r="AI72" s="360">
        <v>0.42374760504242442</v>
      </c>
      <c r="AJ72" s="360">
        <v>1.0366229041521593</v>
      </c>
      <c r="AK72" s="360">
        <v>1</v>
      </c>
      <c r="AL72" s="360">
        <v>0.42374760504242442</v>
      </c>
      <c r="AM72" s="360">
        <v>1.0366229041521593</v>
      </c>
      <c r="AN72" s="360">
        <v>0</v>
      </c>
      <c r="AO72" s="360">
        <f t="shared" si="3"/>
        <v>1</v>
      </c>
      <c r="AP72" s="360">
        <f t="shared" si="4"/>
        <v>0</v>
      </c>
      <c r="AQ72" s="360">
        <f t="shared" si="5"/>
        <v>0</v>
      </c>
    </row>
    <row r="73" spans="1:43">
      <c r="A73" s="360" t="s">
        <v>1085</v>
      </c>
      <c r="B73" t="s">
        <v>1076</v>
      </c>
      <c r="C73">
        <v>2</v>
      </c>
      <c r="D73" t="s">
        <v>1080</v>
      </c>
      <c r="E73" t="s">
        <v>1079</v>
      </c>
      <c r="F73" s="360">
        <v>1</v>
      </c>
      <c r="G73" s="360" t="str">
        <f>CONCATENATE(A73," ",B73," ",C73," ","inf+"," ",FanUpsizes!D73," ",FanUpsizes!F73)</f>
        <v>0.6ACH 5C 2 inf+ Existing 1</v>
      </c>
      <c r="H73" s="360">
        <v>5.7282077237232588E-2</v>
      </c>
      <c r="I73" s="360">
        <v>0.42278929380641989</v>
      </c>
      <c r="J73" s="360">
        <v>1.0389682701104976</v>
      </c>
      <c r="K73" s="360">
        <v>0</v>
      </c>
      <c r="L73" s="360">
        <v>0.42278929380641989</v>
      </c>
      <c r="M73" s="360">
        <v>1.0389682701104976</v>
      </c>
      <c r="N73" s="360">
        <v>1</v>
      </c>
      <c r="O73" s="360">
        <v>0.42278929380641989</v>
      </c>
      <c r="P73" s="360">
        <v>1.0389682701104976</v>
      </c>
      <c r="Q73" s="360">
        <v>0</v>
      </c>
      <c r="R73" s="360">
        <v>0</v>
      </c>
      <c r="S73" s="360">
        <v>0.42278929380641989</v>
      </c>
      <c r="T73" s="360">
        <v>1.0389682701104976</v>
      </c>
      <c r="U73" s="360">
        <v>1</v>
      </c>
      <c r="V73" s="360">
        <v>0.42278929380641989</v>
      </c>
      <c r="W73" s="360">
        <v>1.0389682701104976</v>
      </c>
      <c r="X73" s="360">
        <v>0</v>
      </c>
      <c r="Y73" s="360">
        <v>0.42374760504242442</v>
      </c>
      <c r="Z73" s="360">
        <v>1.0366229041521593</v>
      </c>
      <c r="AA73" s="360">
        <v>0</v>
      </c>
      <c r="AB73" s="360">
        <v>0.42374760504242442</v>
      </c>
      <c r="AC73" s="360">
        <v>1.0366229041521593</v>
      </c>
      <c r="AD73" s="360">
        <v>1</v>
      </c>
      <c r="AE73" s="360">
        <v>0.42374760504242442</v>
      </c>
      <c r="AF73" s="360">
        <v>1.0366229041521593</v>
      </c>
      <c r="AG73" s="360">
        <v>0</v>
      </c>
      <c r="AH73" s="360">
        <v>0</v>
      </c>
      <c r="AI73" s="360">
        <v>0.42374760504242442</v>
      </c>
      <c r="AJ73" s="360">
        <v>1.0366229041521593</v>
      </c>
      <c r="AK73" s="360">
        <v>1</v>
      </c>
      <c r="AL73" s="360">
        <v>0.42374760504242442</v>
      </c>
      <c r="AM73" s="360">
        <v>1.0366229041521593</v>
      </c>
      <c r="AN73" s="360">
        <v>0</v>
      </c>
      <c r="AO73" s="360">
        <f t="shared" si="3"/>
        <v>1</v>
      </c>
      <c r="AP73" s="360">
        <f t="shared" si="4"/>
        <v>0</v>
      </c>
      <c r="AQ73" s="360">
        <f t="shared" si="5"/>
        <v>0</v>
      </c>
    </row>
    <row r="74" spans="1:43">
      <c r="A74" s="360" t="s">
        <v>1077</v>
      </c>
      <c r="B74" t="s">
        <v>1075</v>
      </c>
      <c r="C74">
        <v>1</v>
      </c>
      <c r="D74" t="s">
        <v>1078</v>
      </c>
      <c r="E74" t="s">
        <v>1079</v>
      </c>
      <c r="F74">
        <v>2</v>
      </c>
      <c r="G74" s="360" t="str">
        <f>CONCATENATE(A74," ",B74," ",C74," ","inf+"," ",FanUpsizes!D74," ",FanUpsizes!F74)</f>
        <v>10ACH Percentile 1 inf+ New 2</v>
      </c>
      <c r="H74" s="360">
        <v>1.4421666666666666E-2</v>
      </c>
      <c r="I74" s="360">
        <v>0.34169866763209311</v>
      </c>
      <c r="J74" s="360">
        <v>1.0158815547245212</v>
      </c>
      <c r="K74" s="360">
        <v>358.07650034931316</v>
      </c>
      <c r="L74" s="360">
        <v>0.32846001446511763</v>
      </c>
      <c r="M74" s="360">
        <v>1.0532085897850416</v>
      </c>
      <c r="N74" s="360">
        <v>1.2546484579791211</v>
      </c>
      <c r="O74" s="360">
        <v>0.33876439210855769</v>
      </c>
      <c r="P74" s="360">
        <v>1.0158862874710661</v>
      </c>
      <c r="Q74" s="360">
        <v>305.04854472852332</v>
      </c>
      <c r="R74" s="360">
        <v>372.66458662379819</v>
      </c>
      <c r="S74" s="360">
        <v>0.31645914401167896</v>
      </c>
      <c r="T74" s="360">
        <v>1.1094274931482699</v>
      </c>
      <c r="U74" s="360">
        <v>1.9432760564652132</v>
      </c>
      <c r="V74" s="360">
        <v>0.34303322042503004</v>
      </c>
      <c r="W74" s="360">
        <v>1.0158816193968092</v>
      </c>
      <c r="X74" s="360">
        <v>189.99751857839416</v>
      </c>
      <c r="Y74" s="360">
        <v>0.31078387780476352</v>
      </c>
      <c r="Z74" s="360">
        <v>1.1150191027303469</v>
      </c>
      <c r="AA74" s="360">
        <v>117.53014117043192</v>
      </c>
      <c r="AB74" s="360">
        <v>0.3063831089903612</v>
      </c>
      <c r="AC74" s="360">
        <v>1.1306475051742173</v>
      </c>
      <c r="AD74" s="360">
        <v>1.0914538087659036</v>
      </c>
      <c r="AE74" s="360">
        <v>0.30952477150339314</v>
      </c>
      <c r="AF74" s="360">
        <v>1.1150233214960783</v>
      </c>
      <c r="AG74" s="360">
        <v>103.6480890603909</v>
      </c>
      <c r="AH74" s="360">
        <v>131.01930572716182</v>
      </c>
      <c r="AI74" s="360">
        <v>0.29735845819911144</v>
      </c>
      <c r="AJ74" s="360">
        <v>1.1867449886825641</v>
      </c>
      <c r="AK74" s="360">
        <v>1.6934285027209393</v>
      </c>
      <c r="AL74" s="360">
        <v>0.31263456101437959</v>
      </c>
      <c r="AM74" s="360">
        <v>1.1150213667207907</v>
      </c>
      <c r="AN74" s="360">
        <v>18.550768874075459</v>
      </c>
      <c r="AO74" s="360">
        <f t="shared" si="3"/>
        <v>1</v>
      </c>
      <c r="AP74" s="360">
        <f t="shared" si="4"/>
        <v>1</v>
      </c>
      <c r="AQ74" s="360">
        <f t="shared" si="5"/>
        <v>1</v>
      </c>
    </row>
    <row r="75" spans="1:43">
      <c r="A75" s="360" t="s">
        <v>1077</v>
      </c>
      <c r="B75" t="s">
        <v>1074</v>
      </c>
      <c r="C75">
        <v>1</v>
      </c>
      <c r="D75" t="s">
        <v>1078</v>
      </c>
      <c r="E75" t="s">
        <v>1079</v>
      </c>
      <c r="F75" s="360">
        <v>2</v>
      </c>
      <c r="G75" s="360" t="str">
        <f>CONCATENATE(A75," ",B75," ",C75," ","inf+"," ",FanUpsizes!D75," ",FanUpsizes!F75)</f>
        <v>10ACH Infiltration 1 inf+ New 2</v>
      </c>
      <c r="H75" s="360">
        <v>1.4421666666666666E-2</v>
      </c>
      <c r="I75" s="360">
        <v>0.34169866763209311</v>
      </c>
      <c r="J75" s="360">
        <v>1.0158815547245212</v>
      </c>
      <c r="K75" s="360">
        <v>113.78306095589883</v>
      </c>
      <c r="L75" s="360">
        <v>0.33959652261338075</v>
      </c>
      <c r="M75" s="360">
        <v>1.0198190695317748</v>
      </c>
      <c r="N75" s="360">
        <v>1.0220034714310346</v>
      </c>
      <c r="O75" s="360">
        <v>0.34073009344213162</v>
      </c>
      <c r="P75" s="360">
        <v>1.0158817955973767</v>
      </c>
      <c r="Q75" s="360">
        <v>103.82575774372926</v>
      </c>
      <c r="R75" s="360">
        <v>231.68356203706745</v>
      </c>
      <c r="S75" s="360">
        <v>0.33441710461207486</v>
      </c>
      <c r="T75" s="360">
        <v>1.0340507362017139</v>
      </c>
      <c r="U75" s="360">
        <v>1.109292615183233</v>
      </c>
      <c r="V75" s="360">
        <v>0.33948711135085125</v>
      </c>
      <c r="W75" s="360">
        <v>1.0158858051086108</v>
      </c>
      <c r="X75" s="360">
        <v>195.11066993626031</v>
      </c>
      <c r="Y75" s="360">
        <v>0.31078387780476352</v>
      </c>
      <c r="Z75" s="360">
        <v>1.1150191027303469</v>
      </c>
      <c r="AA75" s="360">
        <v>31.412133841934235</v>
      </c>
      <c r="AB75" s="360">
        <v>0.31022263355559127</v>
      </c>
      <c r="AC75" s="360">
        <v>1.1162529631528642</v>
      </c>
      <c r="AD75" s="360">
        <v>1.0063644916224925</v>
      </c>
      <c r="AE75" s="360">
        <v>0.31048198114859615</v>
      </c>
      <c r="AF75" s="360">
        <v>1.115019138258077</v>
      </c>
      <c r="AG75" s="360">
        <v>29.473871320832803</v>
      </c>
      <c r="AH75" s="360">
        <v>90.155202199054514</v>
      </c>
      <c r="AI75" s="360">
        <v>0.30760570311150826</v>
      </c>
      <c r="AJ75" s="360">
        <v>1.1256649515146215</v>
      </c>
      <c r="AK75" s="360">
        <v>1.0593665526855189</v>
      </c>
      <c r="AL75" s="360">
        <v>0.30976837352911729</v>
      </c>
      <c r="AM75" s="360">
        <v>1.1150196446164791</v>
      </c>
      <c r="AN75" s="360">
        <v>78.308909545327793</v>
      </c>
      <c r="AO75" s="360">
        <f t="shared" si="3"/>
        <v>1</v>
      </c>
      <c r="AP75" s="360">
        <f t="shared" si="4"/>
        <v>1</v>
      </c>
      <c r="AQ75" s="360">
        <f t="shared" si="5"/>
        <v>1</v>
      </c>
    </row>
    <row r="76" spans="1:43">
      <c r="A76" s="360" t="s">
        <v>1077</v>
      </c>
      <c r="B76" t="s">
        <v>1076</v>
      </c>
      <c r="C76">
        <v>1</v>
      </c>
      <c r="D76" t="s">
        <v>1078</v>
      </c>
      <c r="E76" t="s">
        <v>1079</v>
      </c>
      <c r="F76" s="360">
        <v>2</v>
      </c>
      <c r="G76" s="360" t="str">
        <f>CONCATENATE(A76," ",B76," ",C76," ","inf+"," ",FanUpsizes!D76," ",FanUpsizes!F76)</f>
        <v>10ACH 5C 1 inf+ New 2</v>
      </c>
      <c r="H76" s="360">
        <v>1.4421666666666666E-2</v>
      </c>
      <c r="I76" s="360">
        <v>0.34169866763209311</v>
      </c>
      <c r="J76" s="360">
        <v>1.0158815547245212</v>
      </c>
      <c r="K76" s="360">
        <v>130.27225565744172</v>
      </c>
      <c r="L76" s="360">
        <v>0.33923198879510708</v>
      </c>
      <c r="M76" s="360">
        <v>1.0205857992654617</v>
      </c>
      <c r="N76" s="360">
        <v>1.0263846447129701</v>
      </c>
      <c r="O76" s="360">
        <v>0.34058192917281166</v>
      </c>
      <c r="P76" s="360">
        <v>1.0158829308297952</v>
      </c>
      <c r="Q76" s="360">
        <v>118.76738725083348</v>
      </c>
      <c r="R76" s="360">
        <v>239.92815938783812</v>
      </c>
      <c r="S76" s="360">
        <v>0.33423483770293783</v>
      </c>
      <c r="T76" s="360">
        <v>1.0344653011474891</v>
      </c>
      <c r="U76" s="360">
        <v>1.1121121766433542</v>
      </c>
      <c r="V76" s="360">
        <v>0.33941524372336079</v>
      </c>
      <c r="W76" s="360">
        <v>1.0158819175673628</v>
      </c>
      <c r="X76" s="360">
        <v>203.33606934021526</v>
      </c>
      <c r="Y76" s="360">
        <v>0.31078387780476352</v>
      </c>
      <c r="Z76" s="360">
        <v>1.1150191027303469</v>
      </c>
      <c r="AA76" s="360">
        <v>36.222978612583205</v>
      </c>
      <c r="AB76" s="360">
        <v>0.31012006955693583</v>
      </c>
      <c r="AC76" s="360">
        <v>1.1165082893274216</v>
      </c>
      <c r="AD76" s="360">
        <v>1.0076987025679052</v>
      </c>
      <c r="AE76" s="360">
        <v>0.31043239323074728</v>
      </c>
      <c r="AF76" s="360">
        <v>1.1150191047023246</v>
      </c>
      <c r="AG76" s="360">
        <v>33.947289278137234</v>
      </c>
      <c r="AH76" s="360">
        <v>91.469515561140696</v>
      </c>
      <c r="AI76" s="360">
        <v>0.30757964748383376</v>
      </c>
      <c r="AJ76" s="360">
        <v>1.1257326460018864</v>
      </c>
      <c r="AK76" s="360">
        <v>1.0597879882752927</v>
      </c>
      <c r="AL76" s="360">
        <v>0.30975481375810543</v>
      </c>
      <c r="AM76" s="360">
        <v>1.1150192068906386</v>
      </c>
      <c r="AN76" s="360">
        <v>79.686548915892118</v>
      </c>
      <c r="AO76" s="360">
        <f t="shared" si="3"/>
        <v>1</v>
      </c>
      <c r="AP76" s="360">
        <f t="shared" si="4"/>
        <v>1</v>
      </c>
      <c r="AQ76" s="360">
        <f t="shared" si="5"/>
        <v>1</v>
      </c>
    </row>
    <row r="77" spans="1:43">
      <c r="A77" s="360" t="s">
        <v>1077</v>
      </c>
      <c r="B77" t="s">
        <v>1075</v>
      </c>
      <c r="C77">
        <v>2</v>
      </c>
      <c r="D77" t="s">
        <v>1078</v>
      </c>
      <c r="E77" t="s">
        <v>1079</v>
      </c>
      <c r="F77" s="360">
        <v>2</v>
      </c>
      <c r="G77" s="360" t="str">
        <f>CONCATENATE(A77," ",B77," ",C77," ","inf+"," ",FanUpsizes!D77," ",FanUpsizes!F77)</f>
        <v>10ACH Percentile 2 inf+ New 2</v>
      </c>
      <c r="H77" s="360">
        <v>1.4421666666666666E-2</v>
      </c>
      <c r="I77" s="360">
        <v>0.44144052019407076</v>
      </c>
      <c r="J77" s="360">
        <v>0.80299498929911228</v>
      </c>
      <c r="K77" s="360">
        <v>358.07650034931368</v>
      </c>
      <c r="L77" s="360">
        <v>0.428201867027099</v>
      </c>
      <c r="M77" s="360">
        <v>0.82565265510272623</v>
      </c>
      <c r="N77" s="360">
        <v>1.2432100051189701</v>
      </c>
      <c r="O77" s="360">
        <v>0.43798678495901788</v>
      </c>
      <c r="P77" s="360">
        <v>0.80299504717416925</v>
      </c>
      <c r="Q77" s="360">
        <v>307.43048638823302</v>
      </c>
      <c r="R77" s="360">
        <v>372.66458662380131</v>
      </c>
      <c r="S77" s="360">
        <v>0.41623437401819474</v>
      </c>
      <c r="T77" s="360">
        <v>0.86151338635757335</v>
      </c>
      <c r="U77" s="360">
        <v>1.9379675647259442</v>
      </c>
      <c r="V77" s="360">
        <v>0.44262553114947967</v>
      </c>
      <c r="W77" s="360">
        <v>0.80299501043050214</v>
      </c>
      <c r="X77" s="360">
        <v>191.0255173441009</v>
      </c>
      <c r="Y77" s="360">
        <v>0.4054978575722446</v>
      </c>
      <c r="Z77" s="360">
        <v>0.87719091866825516</v>
      </c>
      <c r="AA77" s="360">
        <v>93.46399379094386</v>
      </c>
      <c r="AB77" s="360">
        <v>0.40211514228600781</v>
      </c>
      <c r="AC77" s="360">
        <v>0.88454120068506736</v>
      </c>
      <c r="AD77" s="360">
        <v>1.0805692602231616</v>
      </c>
      <c r="AE77" s="360">
        <v>0.40431039614877179</v>
      </c>
      <c r="AF77" s="360">
        <v>0.87719104905291956</v>
      </c>
      <c r="AG77" s="360">
        <v>83.270427320894328</v>
      </c>
      <c r="AH77" s="360">
        <v>106.66856664487868</v>
      </c>
      <c r="AI77" s="360">
        <v>0.39500688056118671</v>
      </c>
      <c r="AJ77" s="360">
        <v>0.91412655084589145</v>
      </c>
      <c r="AK77" s="360">
        <v>1.7006439262936737</v>
      </c>
      <c r="AL77" s="360">
        <v>0.40719209721037081</v>
      </c>
      <c r="AM77" s="360">
        <v>0.87719220801177211</v>
      </c>
      <c r="AN77" s="360">
        <v>12.693902087845508</v>
      </c>
      <c r="AO77" s="360">
        <f t="shared" si="3"/>
        <v>1</v>
      </c>
      <c r="AP77" s="360">
        <f t="shared" si="4"/>
        <v>1</v>
      </c>
      <c r="AQ77" s="360">
        <f t="shared" si="5"/>
        <v>1</v>
      </c>
    </row>
    <row r="78" spans="1:43">
      <c r="A78" s="360" t="s">
        <v>1077</v>
      </c>
      <c r="B78" t="s">
        <v>1074</v>
      </c>
      <c r="C78">
        <v>2</v>
      </c>
      <c r="D78" t="s">
        <v>1078</v>
      </c>
      <c r="E78" t="s">
        <v>1079</v>
      </c>
      <c r="F78" s="360">
        <v>2</v>
      </c>
      <c r="G78" s="360" t="str">
        <f>CONCATENATE(A78," ",B78," ",C78," ","inf+"," ",FanUpsizes!D78," ",FanUpsizes!F78)</f>
        <v>10ACH Infiltration 2 inf+ New 2</v>
      </c>
      <c r="H78" s="360">
        <v>1.4421666666666666E-2</v>
      </c>
      <c r="I78" s="360">
        <v>0.44144052019407076</v>
      </c>
      <c r="J78" s="360">
        <v>0.80299498929911228</v>
      </c>
      <c r="K78" s="360">
        <v>250.73833670857707</v>
      </c>
      <c r="L78" s="360">
        <v>0.43514623626521137</v>
      </c>
      <c r="M78" s="360">
        <v>0.81155130105214046</v>
      </c>
      <c r="N78" s="360">
        <v>1.0798482324946586</v>
      </c>
      <c r="O78" s="360">
        <v>0.4389132164991606</v>
      </c>
      <c r="P78" s="360">
        <v>0.80299554872267853</v>
      </c>
      <c r="Q78" s="360">
        <v>225.53999044118618</v>
      </c>
      <c r="R78" s="360">
        <v>307.88862071488245</v>
      </c>
      <c r="S78" s="360">
        <v>0.43049843008222233</v>
      </c>
      <c r="T78" s="360">
        <v>0.82130421508630791</v>
      </c>
      <c r="U78" s="360">
        <v>1.1865857638675077</v>
      </c>
      <c r="V78" s="360">
        <v>0.43843372585833723</v>
      </c>
      <c r="W78" s="360">
        <v>0.80299524905453046</v>
      </c>
      <c r="X78" s="360">
        <v>259.66968616162126</v>
      </c>
      <c r="Y78" s="360">
        <v>0.4054978575722446</v>
      </c>
      <c r="Z78" s="360">
        <v>0.87719091866825516</v>
      </c>
      <c r="AA78" s="360">
        <v>59.102157015050786</v>
      </c>
      <c r="AB78" s="360">
        <v>0.40408468273873066</v>
      </c>
      <c r="AC78" s="360">
        <v>0.87949412438654739</v>
      </c>
      <c r="AD78" s="360">
        <v>1.0231918242696236</v>
      </c>
      <c r="AE78" s="360">
        <v>0.40479248763083991</v>
      </c>
      <c r="AF78" s="360">
        <v>0.87719091955226858</v>
      </c>
      <c r="AG78" s="360">
        <v>54.805978008296727</v>
      </c>
      <c r="AH78" s="360">
        <v>85.05616371068318</v>
      </c>
      <c r="AI78" s="360">
        <v>0.40199718454011435</v>
      </c>
      <c r="AJ78" s="360">
        <v>0.88533416447238278</v>
      </c>
      <c r="AK78" s="360">
        <v>1.0900873763629977</v>
      </c>
      <c r="AL78" s="360">
        <v>0.40444464466630825</v>
      </c>
      <c r="AM78" s="360">
        <v>0.8771921314451937</v>
      </c>
      <c r="AN78" s="360">
        <v>72.280027231418075</v>
      </c>
      <c r="AO78" s="360">
        <f t="shared" si="3"/>
        <v>1</v>
      </c>
      <c r="AP78" s="360">
        <f t="shared" si="4"/>
        <v>1</v>
      </c>
      <c r="AQ78" s="360">
        <f t="shared" si="5"/>
        <v>1</v>
      </c>
    </row>
    <row r="79" spans="1:43">
      <c r="A79" s="360" t="s">
        <v>1077</v>
      </c>
      <c r="B79" t="s">
        <v>1076</v>
      </c>
      <c r="C79">
        <v>2</v>
      </c>
      <c r="D79" t="s">
        <v>1078</v>
      </c>
      <c r="E79" t="s">
        <v>1079</v>
      </c>
      <c r="F79" s="360">
        <v>2</v>
      </c>
      <c r="G79" s="360" t="str">
        <f>CONCATENATE(A79," ",B79," ",C79," ","inf+"," ",FanUpsizes!D79," ",FanUpsizes!F79)</f>
        <v>10ACH 5C 2 inf+ New 2</v>
      </c>
      <c r="H79" s="360">
        <v>1.4421666666666666E-2</v>
      </c>
      <c r="I79" s="360">
        <v>0.44144052019407076</v>
      </c>
      <c r="J79" s="360">
        <v>0.80299498929911228</v>
      </c>
      <c r="K79" s="360">
        <v>130.27225565744948</v>
      </c>
      <c r="L79" s="360">
        <v>0.438973841357086</v>
      </c>
      <c r="M79" s="360">
        <v>0.80584908681021283</v>
      </c>
      <c r="N79" s="360">
        <v>1.0252697763249776</v>
      </c>
      <c r="O79" s="360">
        <v>0.44026271004351125</v>
      </c>
      <c r="P79" s="360">
        <v>0.80299622325310305</v>
      </c>
      <c r="Q79" s="360">
        <v>119.25351902308893</v>
      </c>
      <c r="R79" s="360">
        <v>247.65558018932228</v>
      </c>
      <c r="S79" s="360">
        <v>0.43241223262816003</v>
      </c>
      <c r="T79" s="360">
        <v>0.81826188274915757</v>
      </c>
      <c r="U79" s="360">
        <v>1.1505938615536917</v>
      </c>
      <c r="V79" s="360">
        <v>0.43910503766922437</v>
      </c>
      <c r="W79" s="360">
        <v>0.80299519001721709</v>
      </c>
      <c r="X79" s="360">
        <v>199.66722491892523</v>
      </c>
      <c r="Y79" s="360">
        <v>0.4054978575722446</v>
      </c>
      <c r="Z79" s="360">
        <v>0.87719091866825516</v>
      </c>
      <c r="AA79" s="360">
        <v>28.536093412993772</v>
      </c>
      <c r="AB79" s="360">
        <v>0.40498495742746288</v>
      </c>
      <c r="AC79" s="360">
        <v>0.87787884443242648</v>
      </c>
      <c r="AD79" s="360">
        <v>1.00674580872394</v>
      </c>
      <c r="AE79" s="360">
        <v>0.40520144988980172</v>
      </c>
      <c r="AF79" s="360">
        <v>0.87719108015936953</v>
      </c>
      <c r="AG79" s="360">
        <v>26.911872120829099</v>
      </c>
      <c r="AH79" s="360">
        <v>76.348622676713248</v>
      </c>
      <c r="AI79" s="360">
        <v>0.40222494237893247</v>
      </c>
      <c r="AJ79" s="360">
        <v>0.88491203833483623</v>
      </c>
      <c r="AK79" s="360">
        <v>1.0847232205844297</v>
      </c>
      <c r="AL79" s="360">
        <v>0.40456192789137163</v>
      </c>
      <c r="AM79" s="360">
        <v>0.87719093613778043</v>
      </c>
      <c r="AN79" s="360">
        <v>63.00242968242388</v>
      </c>
      <c r="AO79" s="360">
        <f t="shared" si="3"/>
        <v>1</v>
      </c>
      <c r="AP79" s="360">
        <f t="shared" si="4"/>
        <v>1</v>
      </c>
      <c r="AQ79" s="360">
        <f t="shared" si="5"/>
        <v>1</v>
      </c>
    </row>
    <row r="80" spans="1:43">
      <c r="A80" s="360" t="s">
        <v>1077</v>
      </c>
      <c r="B80" t="s">
        <v>1075</v>
      </c>
      <c r="C80">
        <v>1</v>
      </c>
      <c r="D80" t="s">
        <v>1080</v>
      </c>
      <c r="E80" t="s">
        <v>1079</v>
      </c>
      <c r="F80" s="360">
        <v>2</v>
      </c>
      <c r="G80" s="360" t="str">
        <f>CONCATENATE(A80," ",B80," ",C80," ","inf+"," ",FanUpsizes!D80," ",FanUpsizes!F80)</f>
        <v>10ACH Percentile 1 inf+ Existing 2</v>
      </c>
      <c r="H80" s="360">
        <v>3.0623114435544975E-2</v>
      </c>
      <c r="I80" s="360">
        <v>0.40262068788144678</v>
      </c>
      <c r="J80" s="360">
        <v>1.1592097261709835</v>
      </c>
      <c r="K80" s="360">
        <v>760.34330152848406</v>
      </c>
      <c r="L80" s="360">
        <v>0.3745095964053301</v>
      </c>
      <c r="M80" s="360">
        <v>1.2487072472325722</v>
      </c>
      <c r="N80" s="360">
        <v>1.2868269768407579</v>
      </c>
      <c r="O80" s="360">
        <v>0.40127408446278479</v>
      </c>
      <c r="P80" s="360">
        <v>1.1592129488555023</v>
      </c>
      <c r="Q80" s="360">
        <v>633.51454546677087</v>
      </c>
      <c r="R80" s="360">
        <v>791.3197930606068</v>
      </c>
      <c r="S80" s="360">
        <v>0.34812539382363122</v>
      </c>
      <c r="T80" s="360">
        <v>1.3756896201758386</v>
      </c>
      <c r="U80" s="360">
        <v>2.0385565029673947</v>
      </c>
      <c r="V80" s="360">
        <v>0.41302631474735796</v>
      </c>
      <c r="W80" s="360">
        <v>1.1592097287677949</v>
      </c>
      <c r="X80" s="360">
        <v>356.44744201323726</v>
      </c>
      <c r="Y80" s="360">
        <v>0.37423502816806503</v>
      </c>
      <c r="Z80" s="360">
        <v>1.2243678619199208</v>
      </c>
      <c r="AA80" s="360">
        <v>461.23311833739962</v>
      </c>
      <c r="AB80" s="360">
        <v>0.35621945119715359</v>
      </c>
      <c r="AC80" s="360">
        <v>1.2919559544259895</v>
      </c>
      <c r="AD80" s="360">
        <v>1.1541372237198033</v>
      </c>
      <c r="AE80" s="360">
        <v>0.37422617068471309</v>
      </c>
      <c r="AF80" s="360">
        <v>1.2243680115679645</v>
      </c>
      <c r="AG80" s="360">
        <v>382.43860095416767</v>
      </c>
      <c r="AH80" s="360">
        <v>491.9883470859852</v>
      </c>
      <c r="AI80" s="360">
        <v>0.32492309236097988</v>
      </c>
      <c r="AJ80" s="360">
        <v>1.466495664708362</v>
      </c>
      <c r="AK80" s="360">
        <v>1.7948600461559421</v>
      </c>
      <c r="AL80" s="360">
        <v>0.38704964576071782</v>
      </c>
      <c r="AM80" s="360">
        <v>1.2243678783633336</v>
      </c>
      <c r="AN80" s="360">
        <v>64.871117106168498</v>
      </c>
      <c r="AO80" s="360">
        <f t="shared" si="3"/>
        <v>1</v>
      </c>
      <c r="AP80" s="360">
        <f t="shared" si="4"/>
        <v>1</v>
      </c>
      <c r="AQ80" s="360">
        <f t="shared" si="5"/>
        <v>1</v>
      </c>
    </row>
    <row r="81" spans="1:43">
      <c r="A81" s="360" t="s">
        <v>1077</v>
      </c>
      <c r="B81" t="s">
        <v>1074</v>
      </c>
      <c r="C81">
        <v>1</v>
      </c>
      <c r="D81" t="s">
        <v>1080</v>
      </c>
      <c r="E81" t="s">
        <v>1079</v>
      </c>
      <c r="F81" s="360">
        <v>2</v>
      </c>
      <c r="G81" s="360" t="str">
        <f>CONCATENATE(A81," ",B81," ",C81," ","inf+"," ",FanUpsizes!D81," ",FanUpsizes!F81)</f>
        <v>10ACH Infiltration 1 inf+ Existing 2</v>
      </c>
      <c r="H81" s="360">
        <v>3.0623114435544975E-2</v>
      </c>
      <c r="I81" s="360">
        <v>0.40262068788144678</v>
      </c>
      <c r="J81" s="360">
        <v>1.1592097261709835</v>
      </c>
      <c r="K81" s="360">
        <v>4.1803566565269481</v>
      </c>
      <c r="L81" s="360">
        <v>0.40256908422568527</v>
      </c>
      <c r="M81" s="360">
        <v>1.1592489785339601</v>
      </c>
      <c r="N81" s="360">
        <v>1.0001002299296466</v>
      </c>
      <c r="O81" s="360">
        <v>0.40258095837452973</v>
      </c>
      <c r="P81" s="360">
        <v>1.1592099401522833</v>
      </c>
      <c r="Q81" s="360">
        <v>4.0602469660641338</v>
      </c>
      <c r="R81" s="360">
        <v>304.87473416943396</v>
      </c>
      <c r="S81" s="360">
        <v>0.3940867333098757</v>
      </c>
      <c r="T81" s="360">
        <v>1.1795173117758755</v>
      </c>
      <c r="U81" s="360">
        <v>1.0546764184469146</v>
      </c>
      <c r="V81" s="360">
        <v>0.40010608741879733</v>
      </c>
      <c r="W81" s="360">
        <v>1.1592099927548369</v>
      </c>
      <c r="X81" s="360">
        <v>255.79460107612607</v>
      </c>
      <c r="Y81" s="360">
        <v>0.37423502816806503</v>
      </c>
      <c r="Z81" s="360">
        <v>1.2243678619199208</v>
      </c>
      <c r="AA81" s="360">
        <v>1.4043399974560851</v>
      </c>
      <c r="AB81" s="360">
        <v>0.37421814849382184</v>
      </c>
      <c r="AC81" s="360">
        <v>1.2243826536572975</v>
      </c>
      <c r="AD81" s="360">
        <v>1.0000244381742083</v>
      </c>
      <c r="AE81" s="360">
        <v>0.37422169292331087</v>
      </c>
      <c r="AF81" s="360">
        <v>1.2243693778278646</v>
      </c>
      <c r="AG81" s="360">
        <v>1.3724445485117003</v>
      </c>
      <c r="AH81" s="360">
        <v>252.68860504139374</v>
      </c>
      <c r="AI81" s="360">
        <v>0.36689391111303765</v>
      </c>
      <c r="AJ81" s="360">
        <v>1.2465629813494565</v>
      </c>
      <c r="AK81" s="360">
        <v>1.0435104043202805</v>
      </c>
      <c r="AL81" s="360">
        <v>0.37269975217630441</v>
      </c>
      <c r="AM81" s="360">
        <v>1.2243687700687225</v>
      </c>
      <c r="AN81" s="360">
        <v>214.76141376349068</v>
      </c>
      <c r="AO81" s="360">
        <f t="shared" si="3"/>
        <v>1</v>
      </c>
      <c r="AP81" s="360">
        <f t="shared" si="4"/>
        <v>1</v>
      </c>
      <c r="AQ81" s="360">
        <f t="shared" si="5"/>
        <v>1</v>
      </c>
    </row>
    <row r="82" spans="1:43">
      <c r="A82" s="360" t="s">
        <v>1077</v>
      </c>
      <c r="B82" t="s">
        <v>1076</v>
      </c>
      <c r="C82">
        <v>1</v>
      </c>
      <c r="D82" t="s">
        <v>1080</v>
      </c>
      <c r="E82" t="s">
        <v>1079</v>
      </c>
      <c r="F82" s="360">
        <v>2</v>
      </c>
      <c r="G82" s="360" t="str">
        <f>CONCATENATE(A82," ",B82," ",C82," ","inf+"," ",FanUpsizes!D82," ",FanUpsizes!F82)</f>
        <v>10ACH 5C 1 inf+ Existing 2</v>
      </c>
      <c r="H82" s="360">
        <v>3.0623114435544975E-2</v>
      </c>
      <c r="I82" s="360">
        <v>0.40262068788144678</v>
      </c>
      <c r="J82" s="360">
        <v>1.1592097261709835</v>
      </c>
      <c r="K82" s="360">
        <v>276.62143946200439</v>
      </c>
      <c r="L82" s="360">
        <v>0.39738291682164639</v>
      </c>
      <c r="M82" s="360">
        <v>1.1707350181261058</v>
      </c>
      <c r="N82" s="360">
        <v>1.0305452441466625</v>
      </c>
      <c r="O82" s="360">
        <v>0.40084317143291315</v>
      </c>
      <c r="P82" s="360">
        <v>1.1592099150751651</v>
      </c>
      <c r="Q82" s="360">
        <v>248.33958326020004</v>
      </c>
      <c r="R82" s="360">
        <v>441.09527557217217</v>
      </c>
      <c r="S82" s="360">
        <v>0.39149364960785638</v>
      </c>
      <c r="T82" s="360">
        <v>1.1861352992436054</v>
      </c>
      <c r="U82" s="360">
        <v>1.0739006263108066</v>
      </c>
      <c r="V82" s="360">
        <v>0.39944794786663845</v>
      </c>
      <c r="W82" s="360">
        <v>1.1592097293364223</v>
      </c>
      <c r="X82" s="360">
        <v>384.82536973604539</v>
      </c>
      <c r="Y82" s="360">
        <v>0.37423502816806503</v>
      </c>
      <c r="Z82" s="360">
        <v>1.2243678619199208</v>
      </c>
      <c r="AA82" s="360">
        <v>148.60526889992812</v>
      </c>
      <c r="AB82" s="360">
        <v>0.37141733212334227</v>
      </c>
      <c r="AC82" s="360">
        <v>1.231636276036604</v>
      </c>
      <c r="AD82" s="360">
        <v>1.0136953539130671</v>
      </c>
      <c r="AE82" s="360">
        <v>0.37333906458404992</v>
      </c>
      <c r="AF82" s="360">
        <v>1.2243681092930718</v>
      </c>
      <c r="AG82" s="360">
        <v>134.36484955917956</v>
      </c>
      <c r="AH82" s="360">
        <v>292.89296814541626</v>
      </c>
      <c r="AI82" s="360">
        <v>0.3661517565808719</v>
      </c>
      <c r="AJ82" s="360">
        <v>1.2487685227204832</v>
      </c>
      <c r="AK82" s="360">
        <v>1.0482713779914015</v>
      </c>
      <c r="AL82" s="360">
        <v>0.37252869816520823</v>
      </c>
      <c r="AM82" s="360">
        <v>1.2243687820910834</v>
      </c>
      <c r="AN82" s="360">
        <v>254.51323665957139</v>
      </c>
      <c r="AO82" s="360">
        <f t="shared" si="3"/>
        <v>1</v>
      </c>
      <c r="AP82" s="360">
        <f t="shared" si="4"/>
        <v>1</v>
      </c>
      <c r="AQ82" s="360">
        <f t="shared" si="5"/>
        <v>1</v>
      </c>
    </row>
    <row r="83" spans="1:43">
      <c r="A83" s="360" t="s">
        <v>1077</v>
      </c>
      <c r="B83" t="s">
        <v>1075</v>
      </c>
      <c r="C83">
        <v>2</v>
      </c>
      <c r="D83" t="s">
        <v>1080</v>
      </c>
      <c r="E83" t="s">
        <v>1079</v>
      </c>
      <c r="F83" s="360">
        <v>2</v>
      </c>
      <c r="G83" s="360" t="str">
        <f>CONCATENATE(A83," ",B83," ",C83," ","inf+"," ",FanUpsizes!D83," ",FanUpsizes!F83)</f>
        <v>10ACH Percentile 2 inf+ Existing 2</v>
      </c>
      <c r="H83" s="360">
        <v>2.1391928440556401E-2</v>
      </c>
      <c r="I83" s="360">
        <v>0.46732354391273423</v>
      </c>
      <c r="J83" s="360">
        <v>1.032435529587417</v>
      </c>
      <c r="K83" s="360">
        <v>531.14158361612442</v>
      </c>
      <c r="L83" s="360">
        <v>0.44768640156691947</v>
      </c>
      <c r="M83" s="360">
        <v>1.0755285782371382</v>
      </c>
      <c r="N83" s="360">
        <v>1.2610977012979903</v>
      </c>
      <c r="O83" s="360">
        <v>0.4633931577985293</v>
      </c>
      <c r="P83" s="360">
        <v>1.032435544433939</v>
      </c>
      <c r="Q83" s="360">
        <v>450.49214185983334</v>
      </c>
      <c r="R83" s="360">
        <v>552.78036537979028</v>
      </c>
      <c r="S83" s="360">
        <v>0.4298241894930343</v>
      </c>
      <c r="T83" s="360">
        <v>1.1417026314637666</v>
      </c>
      <c r="U83" s="360">
        <v>1.979686597337686</v>
      </c>
      <c r="V83" s="360">
        <v>0.47082331741051031</v>
      </c>
      <c r="W83" s="360">
        <v>1.0324356684277425</v>
      </c>
      <c r="X83" s="360">
        <v>271.36805103928992</v>
      </c>
      <c r="Y83" s="360">
        <v>0.42448181257190926</v>
      </c>
      <c r="Z83" s="360">
        <v>1.132142365211509</v>
      </c>
      <c r="AA83" s="360">
        <v>192.57793200929322</v>
      </c>
      <c r="AB83" s="360">
        <v>0.41721024565510301</v>
      </c>
      <c r="AC83" s="360">
        <v>1.1523664399897768</v>
      </c>
      <c r="AD83" s="360">
        <v>1.09749333633992</v>
      </c>
      <c r="AE83" s="360">
        <v>0.422552228317989</v>
      </c>
      <c r="AF83" s="360">
        <v>1.1321437802913199</v>
      </c>
      <c r="AG83" s="360">
        <v>169.01471314108443</v>
      </c>
      <c r="AH83" s="360">
        <v>212.7331361366702</v>
      </c>
      <c r="AI83" s="360">
        <v>0.4028381951278226</v>
      </c>
      <c r="AJ83" s="360">
        <v>1.2238677803198261</v>
      </c>
      <c r="AK83" s="360">
        <v>1.7192360977051202</v>
      </c>
      <c r="AL83" s="360">
        <v>0.42844686551904737</v>
      </c>
      <c r="AM83" s="360">
        <v>1.1321442363791123</v>
      </c>
      <c r="AN83" s="360">
        <v>25.913331682154745</v>
      </c>
      <c r="AO83" s="360">
        <f t="shared" si="3"/>
        <v>1</v>
      </c>
      <c r="AP83" s="360">
        <f t="shared" si="4"/>
        <v>1</v>
      </c>
      <c r="AQ83" s="360">
        <f t="shared" si="5"/>
        <v>1</v>
      </c>
    </row>
    <row r="84" spans="1:43">
      <c r="A84" s="360" t="s">
        <v>1077</v>
      </c>
      <c r="B84" t="s">
        <v>1074</v>
      </c>
      <c r="C84">
        <v>2</v>
      </c>
      <c r="D84" t="s">
        <v>1080</v>
      </c>
      <c r="E84" t="s">
        <v>1079</v>
      </c>
      <c r="F84" s="360">
        <v>2</v>
      </c>
      <c r="G84" s="360" t="str">
        <f>CONCATENATE(A84," ",B84," ",C84," ","inf+"," ",FanUpsizes!D84," ",FanUpsizes!F84)</f>
        <v>10ACH Infiltration 2 inf+ Existing 2</v>
      </c>
      <c r="H84" s="360">
        <v>2.1391928440556401E-2</v>
      </c>
      <c r="I84" s="360">
        <v>0.46732354391273423</v>
      </c>
      <c r="J84" s="360">
        <v>1.032435529587417</v>
      </c>
      <c r="K84" s="360">
        <v>108.6788283513817</v>
      </c>
      <c r="L84" s="360">
        <v>0.46542201246024811</v>
      </c>
      <c r="M84" s="360">
        <v>1.0351123597197858</v>
      </c>
      <c r="N84" s="360">
        <v>1.0130795521864855</v>
      </c>
      <c r="O84" s="360">
        <v>0.46643878401254307</v>
      </c>
      <c r="P84" s="360">
        <v>1.0324356960672525</v>
      </c>
      <c r="Q84" s="360">
        <v>99.113113279058865</v>
      </c>
      <c r="R84" s="360">
        <v>308.65365320711118</v>
      </c>
      <c r="S84" s="360">
        <v>0.45771675467884787</v>
      </c>
      <c r="T84" s="360">
        <v>1.0506965990878805</v>
      </c>
      <c r="U84" s="360">
        <v>1.0959578425765584</v>
      </c>
      <c r="V84" s="360">
        <v>0.46443808050758734</v>
      </c>
      <c r="W84" s="360">
        <v>1.0324358263148765</v>
      </c>
      <c r="X84" s="360">
        <v>257.66415092483328</v>
      </c>
      <c r="Y84" s="360">
        <v>0.42448181257190926</v>
      </c>
      <c r="Z84" s="360">
        <v>1.132142365211509</v>
      </c>
      <c r="AA84" s="360">
        <v>32.89612778698487</v>
      </c>
      <c r="AB84" s="360">
        <v>0.42391972466318034</v>
      </c>
      <c r="AC84" s="360">
        <v>1.1330766886594201</v>
      </c>
      <c r="AD84" s="360">
        <v>1.0039133939407348</v>
      </c>
      <c r="AE84" s="360">
        <v>0.42417776216962993</v>
      </c>
      <c r="AF84" s="360">
        <v>1.1321426080618915</v>
      </c>
      <c r="AG84" s="360">
        <v>30.836346610988794</v>
      </c>
      <c r="AH84" s="360">
        <v>139.96948520481232</v>
      </c>
      <c r="AI84" s="360">
        <v>0.41970146718952334</v>
      </c>
      <c r="AJ84" s="360">
        <v>1.1443739449024495</v>
      </c>
      <c r="AK84" s="360">
        <v>1.055325855158648</v>
      </c>
      <c r="AL84" s="360">
        <v>0.4229641900134386</v>
      </c>
      <c r="AM84" s="360">
        <v>1.1321449715673528</v>
      </c>
      <c r="AN84" s="360">
        <v>121.48102907226034</v>
      </c>
      <c r="AO84" s="360">
        <f t="shared" si="3"/>
        <v>1</v>
      </c>
      <c r="AP84" s="360">
        <f t="shared" si="4"/>
        <v>1</v>
      </c>
      <c r="AQ84" s="360">
        <f t="shared" si="5"/>
        <v>1</v>
      </c>
    </row>
    <row r="85" spans="1:43">
      <c r="A85" s="360" t="s">
        <v>1077</v>
      </c>
      <c r="B85" t="s">
        <v>1076</v>
      </c>
      <c r="C85">
        <v>2</v>
      </c>
      <c r="D85" t="s">
        <v>1080</v>
      </c>
      <c r="E85" t="s">
        <v>1079</v>
      </c>
      <c r="F85" s="360">
        <v>2</v>
      </c>
      <c r="G85" s="360" t="str">
        <f>CONCATENATE(A85," ",B85," ",C85," ","inf+"," ",FanUpsizes!D85," ",FanUpsizes!F85)</f>
        <v>10ACH 5C 2 inf+ Existing 2</v>
      </c>
      <c r="H85" s="360">
        <v>2.1391928440556401E-2</v>
      </c>
      <c r="I85" s="360">
        <v>0.46732354391273423</v>
      </c>
      <c r="J85" s="360">
        <v>1.032435529587417</v>
      </c>
      <c r="K85" s="360">
        <v>193.23527822586402</v>
      </c>
      <c r="L85" s="360">
        <v>0.46366467296624492</v>
      </c>
      <c r="M85" s="360">
        <v>1.0379095663728359</v>
      </c>
      <c r="N85" s="360">
        <v>1.0271325574070727</v>
      </c>
      <c r="O85" s="360">
        <v>0.46572620875124887</v>
      </c>
      <c r="P85" s="360">
        <v>1.0324357177403722</v>
      </c>
      <c r="Q85" s="360">
        <v>175.68614708271281</v>
      </c>
      <c r="R85" s="360">
        <v>350.93187814435026</v>
      </c>
      <c r="S85" s="360">
        <v>0.45683808493184591</v>
      </c>
      <c r="T85" s="360">
        <v>1.0522169950011777</v>
      </c>
      <c r="U85" s="360">
        <v>1.1048548471276343</v>
      </c>
      <c r="V85" s="360">
        <v>0.46409115686176827</v>
      </c>
      <c r="W85" s="360">
        <v>1.0324362607198172</v>
      </c>
      <c r="X85" s="360">
        <v>299.64781581166505</v>
      </c>
      <c r="Y85" s="360">
        <v>0.42448181257190926</v>
      </c>
      <c r="Z85" s="360">
        <v>1.132142365211509</v>
      </c>
      <c r="AA85" s="360">
        <v>60.21453322161765</v>
      </c>
      <c r="AB85" s="360">
        <v>0.42336845357567615</v>
      </c>
      <c r="AC85" s="360">
        <v>1.1341095885890713</v>
      </c>
      <c r="AD85" s="360">
        <v>1.0082882078076625</v>
      </c>
      <c r="AE85" s="360">
        <v>0.42390689742846754</v>
      </c>
      <c r="AF85" s="360">
        <v>1.1321460298912127</v>
      </c>
      <c r="AG85" s="360">
        <v>56.273880686257037</v>
      </c>
      <c r="AH85" s="360">
        <v>147.37853932556328</v>
      </c>
      <c r="AI85" s="360">
        <v>0.41956086881862958</v>
      </c>
      <c r="AJ85" s="360">
        <v>1.1446509652123813</v>
      </c>
      <c r="AK85" s="360">
        <v>1.0567262339270067</v>
      </c>
      <c r="AL85" s="360">
        <v>0.4228915305487837</v>
      </c>
      <c r="AM85" s="360">
        <v>1.1321424457543656</v>
      </c>
      <c r="AN85" s="360">
        <v>129.21752368794992</v>
      </c>
      <c r="AO85" s="360">
        <f t="shared" si="3"/>
        <v>1</v>
      </c>
      <c r="AP85" s="360">
        <f t="shared" si="4"/>
        <v>1</v>
      </c>
      <c r="AQ85" s="360">
        <f t="shared" si="5"/>
        <v>1</v>
      </c>
    </row>
    <row r="86" spans="1:43">
      <c r="A86" s="360" t="s">
        <v>1081</v>
      </c>
      <c r="B86" t="s">
        <v>1075</v>
      </c>
      <c r="C86">
        <v>1</v>
      </c>
      <c r="D86" t="s">
        <v>1078</v>
      </c>
      <c r="E86" t="s">
        <v>1079</v>
      </c>
      <c r="F86" s="360">
        <v>2</v>
      </c>
      <c r="G86" s="360" t="str">
        <f>CONCATENATE(A86," ",B86," ",C86," ","inf+"," ",FanUpsizes!D86," ",FanUpsizes!F86)</f>
        <v>7ACH Percentile 1 inf+ New 2</v>
      </c>
      <c r="H86" s="360">
        <v>2.304068010488149E-2</v>
      </c>
      <c r="I86" s="360">
        <v>0.28805748608125326</v>
      </c>
      <c r="J86" s="360">
        <v>1.1657499254498265</v>
      </c>
      <c r="K86" s="360">
        <v>572.07854600420012</v>
      </c>
      <c r="L86" s="360">
        <v>0.26690683964835665</v>
      </c>
      <c r="M86" s="360">
        <v>1.2607263746082478</v>
      </c>
      <c r="N86" s="360">
        <v>1.2870013341328479</v>
      </c>
      <c r="O86" s="360">
        <v>0.28757368612197926</v>
      </c>
      <c r="P86" s="360">
        <v>1.1657499473605528</v>
      </c>
      <c r="Q86" s="360">
        <v>476.59082685317844</v>
      </c>
      <c r="R86" s="360">
        <v>595.38510529181519</v>
      </c>
      <c r="S86" s="360">
        <v>0.24683733787991147</v>
      </c>
      <c r="T86" s="360">
        <v>1.3899106081214387</v>
      </c>
      <c r="U86" s="360">
        <v>2.0168920120851834</v>
      </c>
      <c r="V86" s="360">
        <v>0.29542853482872622</v>
      </c>
      <c r="W86" s="360">
        <v>1.165749964361634</v>
      </c>
      <c r="X86" s="360">
        <v>271.12362948184943</v>
      </c>
      <c r="Y86" s="360">
        <v>0.26970909055476361</v>
      </c>
      <c r="Z86" s="360">
        <v>1.2243379239998988</v>
      </c>
      <c r="AA86" s="360">
        <v>366.62597717379464</v>
      </c>
      <c r="AB86" s="360">
        <v>0.25537065892271327</v>
      </c>
      <c r="AC86" s="360">
        <v>1.2989891915116356</v>
      </c>
      <c r="AD86" s="360">
        <v>1.1627051230642598</v>
      </c>
      <c r="AE86" s="360">
        <v>0.27016487352746488</v>
      </c>
      <c r="AF86" s="360">
        <v>1.2243406641714001</v>
      </c>
      <c r="AG86" s="360">
        <v>301.64984560623168</v>
      </c>
      <c r="AH86" s="360">
        <v>389.94448690092582</v>
      </c>
      <c r="AI86" s="360">
        <v>0.23094040291275111</v>
      </c>
      <c r="AJ86" s="360">
        <v>1.4777791302701435</v>
      </c>
      <c r="AK86" s="360">
        <v>1.7872793518314118</v>
      </c>
      <c r="AL86" s="360">
        <v>0.27883982944091523</v>
      </c>
      <c r="AM86" s="360">
        <v>1.2243384389122307</v>
      </c>
      <c r="AN86" s="360">
        <v>61.996805169050852</v>
      </c>
      <c r="AO86" s="360">
        <f t="shared" si="3"/>
        <v>1</v>
      </c>
      <c r="AP86" s="360">
        <f t="shared" si="4"/>
        <v>1</v>
      </c>
      <c r="AQ86" s="360">
        <f t="shared" si="5"/>
        <v>1</v>
      </c>
    </row>
    <row r="87" spans="1:43">
      <c r="A87" s="360" t="s">
        <v>1081</v>
      </c>
      <c r="B87" t="s">
        <v>1074</v>
      </c>
      <c r="C87">
        <v>1</v>
      </c>
      <c r="D87" t="s">
        <v>1078</v>
      </c>
      <c r="E87" t="s">
        <v>1079</v>
      </c>
      <c r="F87" s="360">
        <v>2</v>
      </c>
      <c r="G87" s="360" t="str">
        <f>CONCATENATE(A87," ",B87," ",C87," ","inf+"," ",FanUpsizes!D87," ",FanUpsizes!F87)</f>
        <v>7ACH Infiltration 1 inf+ New 2</v>
      </c>
      <c r="H87" s="360">
        <v>2.304068010488149E-2</v>
      </c>
      <c r="I87" s="360">
        <v>0.28805748608125326</v>
      </c>
      <c r="J87" s="360">
        <v>1.1657499254498265</v>
      </c>
      <c r="K87" s="360">
        <v>0</v>
      </c>
      <c r="L87" s="360">
        <v>0.28805748608125326</v>
      </c>
      <c r="M87" s="360">
        <v>1.1657499254498265</v>
      </c>
      <c r="N87" s="360">
        <v>1</v>
      </c>
      <c r="O87" s="360">
        <v>0.28805748608125326</v>
      </c>
      <c r="P87" s="360">
        <v>1.1657499254498265</v>
      </c>
      <c r="Q87" s="360">
        <v>0</v>
      </c>
      <c r="R87" s="360">
        <v>218.69933221712517</v>
      </c>
      <c r="S87" s="360">
        <v>0.28216558962197374</v>
      </c>
      <c r="T87" s="360">
        <v>1.1855640751754497</v>
      </c>
      <c r="U87" s="360">
        <v>1.0507870634489587</v>
      </c>
      <c r="V87" s="360">
        <v>0.28644902806796124</v>
      </c>
      <c r="W87" s="360">
        <v>1.1657501595128767</v>
      </c>
      <c r="X87" s="360">
        <v>183.85573872950008</v>
      </c>
      <c r="Y87" s="360">
        <v>0.26970909055476361</v>
      </c>
      <c r="Z87" s="360">
        <v>1.2243379239998988</v>
      </c>
      <c r="AA87" s="360">
        <v>0</v>
      </c>
      <c r="AB87" s="360">
        <v>0.26970909055476361</v>
      </c>
      <c r="AC87" s="360">
        <v>1.2243379239998988</v>
      </c>
      <c r="AD87" s="360">
        <v>1</v>
      </c>
      <c r="AE87" s="360">
        <v>0.26970909055476361</v>
      </c>
      <c r="AF87" s="360">
        <v>1.2243379239998988</v>
      </c>
      <c r="AG87" s="360">
        <v>0</v>
      </c>
      <c r="AH87" s="360">
        <v>191.39239919235084</v>
      </c>
      <c r="AI87" s="360">
        <v>0.26437839680370501</v>
      </c>
      <c r="AJ87" s="360">
        <v>1.2467370908837248</v>
      </c>
      <c r="AK87" s="360">
        <v>1.0415972510028353</v>
      </c>
      <c r="AL87" s="360">
        <v>0.26873990471844028</v>
      </c>
      <c r="AM87" s="360">
        <v>1.2243380205700725</v>
      </c>
      <c r="AN87" s="360">
        <v>162.28012758072498</v>
      </c>
      <c r="AO87" s="360">
        <f t="shared" si="3"/>
        <v>1</v>
      </c>
      <c r="AP87" s="360">
        <f t="shared" si="4"/>
        <v>0</v>
      </c>
      <c r="AQ87" s="360">
        <f t="shared" si="5"/>
        <v>0</v>
      </c>
    </row>
    <row r="88" spans="1:43">
      <c r="A88" s="360" t="s">
        <v>1081</v>
      </c>
      <c r="B88" t="s">
        <v>1076</v>
      </c>
      <c r="C88">
        <v>1</v>
      </c>
      <c r="D88" t="s">
        <v>1078</v>
      </c>
      <c r="E88" t="s">
        <v>1079</v>
      </c>
      <c r="F88" s="360">
        <v>2</v>
      </c>
      <c r="G88" s="360" t="str">
        <f>CONCATENATE(A88," ",B88," ",C88," ","inf+"," ",FanUpsizes!D88," ",FanUpsizes!F88)</f>
        <v>7ACH 5C 1 inf+ New 2</v>
      </c>
      <c r="H88" s="360">
        <v>2.304068010488149E-2</v>
      </c>
      <c r="I88" s="360">
        <v>0.28805748608125326</v>
      </c>
      <c r="J88" s="360">
        <v>1.1657499254498265</v>
      </c>
      <c r="K88" s="360">
        <v>208.12860527987021</v>
      </c>
      <c r="L88" s="360">
        <v>0.28411661299646496</v>
      </c>
      <c r="M88" s="360">
        <v>1.1782233522569163</v>
      </c>
      <c r="N88" s="360">
        <v>1.031725853369494</v>
      </c>
      <c r="O88" s="360">
        <v>0.28684506622163597</v>
      </c>
      <c r="P88" s="360">
        <v>1.165749941034359</v>
      </c>
      <c r="Q88" s="360">
        <v>186.02701321953379</v>
      </c>
      <c r="R88" s="360">
        <v>322.76363485706514</v>
      </c>
      <c r="S88" s="360">
        <v>0.28019515307957987</v>
      </c>
      <c r="T88" s="360">
        <v>1.1927912369805149</v>
      </c>
      <c r="U88" s="360">
        <v>1.0704533816640818</v>
      </c>
      <c r="V88" s="360">
        <v>0.28601998291234765</v>
      </c>
      <c r="W88" s="360">
        <v>1.1657506239668318</v>
      </c>
      <c r="X88" s="360">
        <v>281.75920875741468</v>
      </c>
      <c r="Y88" s="360">
        <v>0.26970909055476361</v>
      </c>
      <c r="Z88" s="360">
        <v>1.2243379239998988</v>
      </c>
      <c r="AA88" s="360">
        <v>118.66240718770379</v>
      </c>
      <c r="AB88" s="360">
        <v>0.26745490832380514</v>
      </c>
      <c r="AC88" s="360">
        <v>1.232680028190561</v>
      </c>
      <c r="AD88" s="360">
        <v>1.014959467535014</v>
      </c>
      <c r="AE88" s="360">
        <v>0.26909231204462103</v>
      </c>
      <c r="AF88" s="360">
        <v>1.2243488006594845</v>
      </c>
      <c r="AG88" s="360">
        <v>106.47077580996833</v>
      </c>
      <c r="AH88" s="360">
        <v>223.95719914388479</v>
      </c>
      <c r="AI88" s="360">
        <v>0.26377669470532461</v>
      </c>
      <c r="AJ88" s="360">
        <v>1.2493234107112146</v>
      </c>
      <c r="AK88" s="360">
        <v>1.0468583392643378</v>
      </c>
      <c r="AL88" s="360">
        <v>0.26863963228245563</v>
      </c>
      <c r="AM88" s="360">
        <v>1.2243397581929556</v>
      </c>
      <c r="AN88" s="360">
        <v>194.06311165727524</v>
      </c>
      <c r="AO88" s="360">
        <f t="shared" si="3"/>
        <v>1</v>
      </c>
      <c r="AP88" s="360">
        <f t="shared" si="4"/>
        <v>1</v>
      </c>
      <c r="AQ88" s="360">
        <f t="shared" si="5"/>
        <v>1</v>
      </c>
    </row>
    <row r="89" spans="1:43">
      <c r="A89" s="360" t="s">
        <v>1081</v>
      </c>
      <c r="B89" t="s">
        <v>1075</v>
      </c>
      <c r="C89">
        <v>2</v>
      </c>
      <c r="D89" t="s">
        <v>1078</v>
      </c>
      <c r="E89" t="s">
        <v>1079</v>
      </c>
      <c r="F89" s="360">
        <v>2</v>
      </c>
      <c r="G89" s="360" t="str">
        <f>CONCATENATE(A89," ",B89," ",C89," ","inf+"," ",FanUpsizes!D89," ",FanUpsizes!F89)</f>
        <v>7ACH Percentile 2 inf+ New 2</v>
      </c>
      <c r="H89" s="360">
        <v>1.6578849908389488E-2</v>
      </c>
      <c r="I89" s="360">
        <v>0.33310133452879653</v>
      </c>
      <c r="J89" s="360">
        <v>1.0380021874137073</v>
      </c>
      <c r="K89" s="360">
        <v>411.63734346558226</v>
      </c>
      <c r="L89" s="360">
        <v>0.31788245248710945</v>
      </c>
      <c r="M89" s="360">
        <v>1.0854316039977294</v>
      </c>
      <c r="N89" s="360">
        <v>1.2717063602706444</v>
      </c>
      <c r="O89" s="360">
        <v>0.33059574226478999</v>
      </c>
      <c r="P89" s="360">
        <v>1.0380022903149599</v>
      </c>
      <c r="Q89" s="360">
        <v>346.59404084760047</v>
      </c>
      <c r="R89" s="360">
        <v>428.40750591527234</v>
      </c>
      <c r="S89" s="360">
        <v>0.30400520254239916</v>
      </c>
      <c r="T89" s="360">
        <v>1.1533178152935841</v>
      </c>
      <c r="U89" s="360">
        <v>1.9682556840026104</v>
      </c>
      <c r="V89" s="360">
        <v>0.33544047995240478</v>
      </c>
      <c r="W89" s="360">
        <v>1.0380038164751533</v>
      </c>
      <c r="X89" s="360">
        <v>212.85630394256202</v>
      </c>
      <c r="Y89" s="360">
        <v>0.30235314491530607</v>
      </c>
      <c r="Z89" s="360">
        <v>1.1369823446951666</v>
      </c>
      <c r="AA89" s="360">
        <v>162.47174424375916</v>
      </c>
      <c r="AB89" s="360">
        <v>0.29616999969448432</v>
      </c>
      <c r="AC89" s="360">
        <v>1.1611952267919696</v>
      </c>
      <c r="AD89" s="360">
        <v>1.1065195536448305</v>
      </c>
      <c r="AE89" s="360">
        <v>0.30103293307474932</v>
      </c>
      <c r="AF89" s="360">
        <v>1.1369823882295098</v>
      </c>
      <c r="AG89" s="360">
        <v>141.15198707471939</v>
      </c>
      <c r="AH89" s="360">
        <v>178.22764448842472</v>
      </c>
      <c r="AI89" s="360">
        <v>0.2841823130947862</v>
      </c>
      <c r="AJ89" s="360">
        <v>1.2376416642987829</v>
      </c>
      <c r="AK89" s="360">
        <v>1.7030116625044767</v>
      </c>
      <c r="AL89" s="360">
        <v>0.30499754630127168</v>
      </c>
      <c r="AM89" s="360">
        <v>1.1369836202560204</v>
      </c>
      <c r="AN89" s="360">
        <v>27.915162196782358</v>
      </c>
      <c r="AO89" s="360">
        <f t="shared" si="3"/>
        <v>1</v>
      </c>
      <c r="AP89" s="360">
        <f t="shared" si="4"/>
        <v>1</v>
      </c>
      <c r="AQ89" s="360">
        <f t="shared" si="5"/>
        <v>1</v>
      </c>
    </row>
    <row r="90" spans="1:43">
      <c r="A90" s="360" t="s">
        <v>1081</v>
      </c>
      <c r="B90" t="s">
        <v>1074</v>
      </c>
      <c r="C90">
        <v>2</v>
      </c>
      <c r="D90" t="s">
        <v>1078</v>
      </c>
      <c r="E90" t="s">
        <v>1079</v>
      </c>
      <c r="F90" s="360">
        <v>2</v>
      </c>
      <c r="G90" s="360" t="str">
        <f>CONCATENATE(A90," ",B90," ",C90," ","inf+"," ",FanUpsizes!D90," ",FanUpsizes!F90)</f>
        <v>7ACH Infiltration 2 inf+ New 2</v>
      </c>
      <c r="H90" s="360">
        <v>1.6578849908389488E-2</v>
      </c>
      <c r="I90" s="360">
        <v>0.33310133452879653</v>
      </c>
      <c r="J90" s="360">
        <v>1.0380021874137073</v>
      </c>
      <c r="K90" s="360">
        <v>58.133358478270935</v>
      </c>
      <c r="L90" s="360">
        <v>0.3321305109382528</v>
      </c>
      <c r="M90" s="360">
        <v>1.0399276243962037</v>
      </c>
      <c r="N90" s="360">
        <v>1.0088280207635481</v>
      </c>
      <c r="O90" s="360">
        <v>0.33266742810153715</v>
      </c>
      <c r="P90" s="360">
        <v>1.038003772877794</v>
      </c>
      <c r="Q90" s="360">
        <v>52.899293760325271</v>
      </c>
      <c r="R90" s="360">
        <v>226.15785210710771</v>
      </c>
      <c r="S90" s="360">
        <v>0.32591095405063319</v>
      </c>
      <c r="T90" s="360">
        <v>1.0575925123015737</v>
      </c>
      <c r="U90" s="360">
        <v>1.0968048226398326</v>
      </c>
      <c r="V90" s="360">
        <v>0.33120292161422366</v>
      </c>
      <c r="W90" s="360">
        <v>1.0380024854828269</v>
      </c>
      <c r="X90" s="360">
        <v>185.02860842490986</v>
      </c>
      <c r="Y90" s="360">
        <v>0.30235314491530607</v>
      </c>
      <c r="Z90" s="360">
        <v>1.1369823446951666</v>
      </c>
      <c r="AA90" s="360">
        <v>18.935629744653923</v>
      </c>
      <c r="AB90" s="360">
        <v>0.30204202473948438</v>
      </c>
      <c r="AC90" s="360">
        <v>1.1377229274500722</v>
      </c>
      <c r="AD90" s="360">
        <v>1.0027969901108844</v>
      </c>
      <c r="AE90" s="360">
        <v>0.30219673238010164</v>
      </c>
      <c r="AF90" s="360">
        <v>1.136982731848466</v>
      </c>
      <c r="AG90" s="360">
        <v>17.660251142411113</v>
      </c>
      <c r="AH90" s="360">
        <v>115.90070130772594</v>
      </c>
      <c r="AI90" s="360">
        <v>0.29833920884153631</v>
      </c>
      <c r="AJ90" s="360">
        <v>1.1515701370870042</v>
      </c>
      <c r="AK90" s="360">
        <v>1.0599019456588932</v>
      </c>
      <c r="AL90" s="360">
        <v>0.30129091148381265</v>
      </c>
      <c r="AM90" s="360">
        <v>1.1369824255887029</v>
      </c>
      <c r="AN90" s="360">
        <v>98.959920028588655</v>
      </c>
      <c r="AO90" s="360">
        <f t="shared" si="3"/>
        <v>1</v>
      </c>
      <c r="AP90" s="360">
        <f t="shared" si="4"/>
        <v>1</v>
      </c>
      <c r="AQ90" s="360">
        <f t="shared" si="5"/>
        <v>1</v>
      </c>
    </row>
    <row r="91" spans="1:43">
      <c r="A91" s="360" t="s">
        <v>1081</v>
      </c>
      <c r="B91" t="s">
        <v>1076</v>
      </c>
      <c r="C91">
        <v>2</v>
      </c>
      <c r="D91" t="s">
        <v>1078</v>
      </c>
      <c r="E91" t="s">
        <v>1079</v>
      </c>
      <c r="F91" s="360">
        <v>2</v>
      </c>
      <c r="G91" s="360" t="str">
        <f>CONCATENATE(A91," ",B91," ",C91," ","inf+"," ",FanUpsizes!D91," ",FanUpsizes!F91)</f>
        <v>7ACH 5C 2 inf+ New 2</v>
      </c>
      <c r="H91" s="360">
        <v>1.6578849908389488E-2</v>
      </c>
      <c r="I91" s="360">
        <v>0.33310133452879653</v>
      </c>
      <c r="J91" s="360">
        <v>1.0380021874137073</v>
      </c>
      <c r="K91" s="360">
        <v>149.75829241457006</v>
      </c>
      <c r="L91" s="360">
        <v>0.33026569152332313</v>
      </c>
      <c r="M91" s="360">
        <v>1.0441788843798796</v>
      </c>
      <c r="N91" s="360">
        <v>1.0289156523890841</v>
      </c>
      <c r="O91" s="360">
        <v>0.33197040901028735</v>
      </c>
      <c r="P91" s="360">
        <v>1.0380023914431602</v>
      </c>
      <c r="Q91" s="360">
        <v>135.2638221795367</v>
      </c>
      <c r="R91" s="360">
        <v>271.97031907525911</v>
      </c>
      <c r="S91" s="360">
        <v>0.32497854434316825</v>
      </c>
      <c r="T91" s="360">
        <v>1.0599289614133833</v>
      </c>
      <c r="U91" s="360">
        <v>1.1096963878045738</v>
      </c>
      <c r="V91" s="360">
        <v>0.33087427157096522</v>
      </c>
      <c r="W91" s="360">
        <v>1.0380024673578334</v>
      </c>
      <c r="X91" s="360">
        <v>230.38932771672401</v>
      </c>
      <c r="Y91" s="360">
        <v>0.30235314491530607</v>
      </c>
      <c r="Z91" s="360">
        <v>1.1369823446951666</v>
      </c>
      <c r="AA91" s="360">
        <v>51.099138412529847</v>
      </c>
      <c r="AB91" s="360">
        <v>0.30140299959179884</v>
      </c>
      <c r="AC91" s="360">
        <v>1.1394500608077476</v>
      </c>
      <c r="AD91" s="360">
        <v>1.009426886131088</v>
      </c>
      <c r="AE91" s="360">
        <v>0.30191391323452133</v>
      </c>
      <c r="AF91" s="360">
        <v>1.1369829916921552</v>
      </c>
      <c r="AG91" s="360">
        <v>47.363978536259701</v>
      </c>
      <c r="AH91" s="360">
        <v>124.60046068031069</v>
      </c>
      <c r="AI91" s="360">
        <v>0.29817561859770425</v>
      </c>
      <c r="AJ91" s="360">
        <v>1.1520404307174941</v>
      </c>
      <c r="AK91" s="360">
        <v>1.0620612999143135</v>
      </c>
      <c r="AL91" s="360">
        <v>0.30121517749039761</v>
      </c>
      <c r="AM91" s="360">
        <v>1.1369827292425068</v>
      </c>
      <c r="AN91" s="360">
        <v>108.07725219497704</v>
      </c>
      <c r="AO91" s="360">
        <f t="shared" si="3"/>
        <v>1</v>
      </c>
      <c r="AP91" s="360">
        <f t="shared" si="4"/>
        <v>1</v>
      </c>
      <c r="AQ91" s="360">
        <f t="shared" si="5"/>
        <v>1</v>
      </c>
    </row>
    <row r="92" spans="1:43">
      <c r="A92" s="360" t="s">
        <v>1081</v>
      </c>
      <c r="B92" t="s">
        <v>1075</v>
      </c>
      <c r="C92">
        <v>1</v>
      </c>
      <c r="D92" t="s">
        <v>1080</v>
      </c>
      <c r="E92" t="s">
        <v>1079</v>
      </c>
      <c r="F92" s="360">
        <v>2</v>
      </c>
      <c r="G92" s="360" t="str">
        <f>CONCATENATE(A92," ",B92," ",C92," ","inf+"," ",FanUpsizes!D92," ",FanUpsizes!F92)</f>
        <v>7ACH Percentile 1 inf+ Existing 2</v>
      </c>
      <c r="H92" s="360">
        <v>3.9290680104881487E-2</v>
      </c>
      <c r="I92" s="360">
        <v>0.3576856180606568</v>
      </c>
      <c r="J92" s="360">
        <v>1.2597062336873013</v>
      </c>
      <c r="K92" s="360">
        <v>977.01753080830997</v>
      </c>
      <c r="L92" s="360">
        <v>0.32138462155418324</v>
      </c>
      <c r="M92" s="360">
        <v>1.435422588611081</v>
      </c>
      <c r="N92" s="360">
        <v>1.3119277233869269</v>
      </c>
      <c r="O92" s="360">
        <v>0.37099102411224028</v>
      </c>
      <c r="P92" s="360">
        <v>1.2597063009198222</v>
      </c>
      <c r="Q92" s="360">
        <v>779.24393940185439</v>
      </c>
      <c r="R92" s="360">
        <v>1016.9835325668596</v>
      </c>
      <c r="S92" s="360">
        <v>0.27951706845477275</v>
      </c>
      <c r="T92" s="360">
        <v>1.6897150179256244</v>
      </c>
      <c r="U92" s="360">
        <v>2.0562118198731421</v>
      </c>
      <c r="V92" s="360">
        <v>0.3941496320488842</v>
      </c>
      <c r="W92" s="360">
        <v>1.2597064349413865</v>
      </c>
      <c r="X92" s="360">
        <v>245.95927833646448</v>
      </c>
      <c r="Y92" s="360">
        <v>0.36012842031846015</v>
      </c>
      <c r="Z92" s="360">
        <v>1.2355766916032209</v>
      </c>
      <c r="AA92" s="360">
        <v>900.59804406711055</v>
      </c>
      <c r="AB92" s="360">
        <v>0.32492113547230961</v>
      </c>
      <c r="AC92" s="360">
        <v>1.4100859272293975</v>
      </c>
      <c r="AD92" s="360">
        <v>1.2859137301227386</v>
      </c>
      <c r="AE92" s="360">
        <v>0.37862856835493053</v>
      </c>
      <c r="AF92" s="360">
        <v>1.2355769039626461</v>
      </c>
      <c r="AG92" s="360">
        <v>657.15843027806091</v>
      </c>
      <c r="AH92" s="360">
        <v>942.61818452431714</v>
      </c>
      <c r="AI92" s="360">
        <v>0.2732964453335251</v>
      </c>
      <c r="AJ92" s="360">
        <v>1.7157472921936605</v>
      </c>
      <c r="AK92" s="360">
        <v>2.0202037943989049</v>
      </c>
      <c r="AL92" s="360">
        <v>0.40476012818326945</v>
      </c>
      <c r="AM92" s="360">
        <v>1.2355766919777333</v>
      </c>
      <c r="AN92" s="360">
        <v>69.515863451236754</v>
      </c>
      <c r="AO92" s="360">
        <f t="shared" si="3"/>
        <v>1</v>
      </c>
      <c r="AP92" s="360">
        <f t="shared" si="4"/>
        <v>1</v>
      </c>
      <c r="AQ92" s="360">
        <f t="shared" si="5"/>
        <v>1</v>
      </c>
    </row>
    <row r="93" spans="1:43">
      <c r="A93" s="360" t="s">
        <v>1081</v>
      </c>
      <c r="B93" t="s">
        <v>1074</v>
      </c>
      <c r="C93">
        <v>1</v>
      </c>
      <c r="D93" t="s">
        <v>1080</v>
      </c>
      <c r="E93" t="s">
        <v>1079</v>
      </c>
      <c r="F93" s="360">
        <v>2</v>
      </c>
      <c r="G93" s="360" t="str">
        <f>CONCATENATE(A93," ",B93," ",C93," ","inf+"," ",FanUpsizes!D93," ",FanUpsizes!F93)</f>
        <v>7ACH Infiltration 1 inf+ Existing 2</v>
      </c>
      <c r="H93" s="360">
        <v>3.9290680104881487E-2</v>
      </c>
      <c r="I93" s="360">
        <v>0.3576856180606568</v>
      </c>
      <c r="J93" s="360">
        <v>1.2597062336873013</v>
      </c>
      <c r="K93" s="360">
        <v>0</v>
      </c>
      <c r="L93" s="360">
        <v>0.3576856180606568</v>
      </c>
      <c r="M93" s="360">
        <v>1.2597062336873013</v>
      </c>
      <c r="N93" s="360">
        <v>1</v>
      </c>
      <c r="O93" s="360">
        <v>0.3576856180606568</v>
      </c>
      <c r="P93" s="360">
        <v>1.2597062336873013</v>
      </c>
      <c r="Q93" s="360">
        <v>0</v>
      </c>
      <c r="R93" s="360">
        <v>177.45818295081909</v>
      </c>
      <c r="S93" s="360">
        <v>0.35432548322514801</v>
      </c>
      <c r="T93" s="360">
        <v>1.2696882708046537</v>
      </c>
      <c r="U93" s="360">
        <v>1.0139773499298375</v>
      </c>
      <c r="V93" s="360">
        <v>0.35688838365580067</v>
      </c>
      <c r="W93" s="360">
        <v>1.2597097287695473</v>
      </c>
      <c r="X93" s="360">
        <v>157.69167696210192</v>
      </c>
      <c r="Y93" s="360">
        <v>0.36012842031846015</v>
      </c>
      <c r="Z93" s="360">
        <v>1.2355766916032209</v>
      </c>
      <c r="AA93" s="360">
        <v>0</v>
      </c>
      <c r="AB93" s="360">
        <v>0.36012842031846015</v>
      </c>
      <c r="AC93" s="360">
        <v>1.2355766916032209</v>
      </c>
      <c r="AD93" s="360">
        <v>1</v>
      </c>
      <c r="AE93" s="360">
        <v>0.36012842031846015</v>
      </c>
      <c r="AF93" s="360">
        <v>1.2355766916032209</v>
      </c>
      <c r="AG93" s="360">
        <v>0</v>
      </c>
      <c r="AH93" s="360">
        <v>213.2265379283015</v>
      </c>
      <c r="AI93" s="360">
        <v>0.35602096414781104</v>
      </c>
      <c r="AJ93" s="360">
        <v>1.2495094142513867</v>
      </c>
      <c r="AK93" s="360">
        <v>1.0167174571098996</v>
      </c>
      <c r="AL93" s="360">
        <v>0.35989859225269955</v>
      </c>
      <c r="AM93" s="360">
        <v>1.2355784913983929</v>
      </c>
      <c r="AN93" s="360">
        <v>180.96231052497492</v>
      </c>
      <c r="AO93" s="360">
        <f t="shared" si="3"/>
        <v>1</v>
      </c>
      <c r="AP93" s="360">
        <f t="shared" si="4"/>
        <v>0</v>
      </c>
      <c r="AQ93" s="360">
        <f t="shared" si="5"/>
        <v>0</v>
      </c>
    </row>
    <row r="94" spans="1:43">
      <c r="A94" s="360" t="s">
        <v>1081</v>
      </c>
      <c r="B94" t="s">
        <v>1076</v>
      </c>
      <c r="C94">
        <v>1</v>
      </c>
      <c r="D94" t="s">
        <v>1080</v>
      </c>
      <c r="E94" t="s">
        <v>1079</v>
      </c>
      <c r="F94" s="360">
        <v>2</v>
      </c>
      <c r="G94" s="360" t="str">
        <f>CONCATENATE(A94," ",B94," ",C94," ","inf+"," ",FanUpsizes!D94," ",FanUpsizes!F94)</f>
        <v>7ACH 5C 1 inf+ Existing 2</v>
      </c>
      <c r="H94" s="360">
        <v>3.9290680104881487E-2</v>
      </c>
      <c r="I94" s="360">
        <v>0.3576856180606568</v>
      </c>
      <c r="J94" s="360">
        <v>1.2597062336873013</v>
      </c>
      <c r="K94" s="360">
        <v>354.91636590163768</v>
      </c>
      <c r="L94" s="360">
        <v>0.35096534838964177</v>
      </c>
      <c r="M94" s="360">
        <v>1.2832001770237429</v>
      </c>
      <c r="N94" s="360">
        <v>1.0334993425261583</v>
      </c>
      <c r="O94" s="360">
        <v>0.35703071536544506</v>
      </c>
      <c r="P94" s="360">
        <v>1.2597073390439004</v>
      </c>
      <c r="Q94" s="360">
        <v>313.36615161541022</v>
      </c>
      <c r="R94" s="360">
        <v>354.91636590163768</v>
      </c>
      <c r="S94" s="360">
        <v>0.35096534838964177</v>
      </c>
      <c r="T94" s="360">
        <v>1.2832001770237429</v>
      </c>
      <c r="U94" s="360">
        <v>1.0334993425261583</v>
      </c>
      <c r="V94" s="360">
        <v>0.35703071536544506</v>
      </c>
      <c r="W94" s="360">
        <v>1.2597073390439004</v>
      </c>
      <c r="X94" s="360">
        <v>313.36615161541022</v>
      </c>
      <c r="Y94" s="360">
        <v>0.36012842031846015</v>
      </c>
      <c r="Z94" s="360">
        <v>1.2355766916032209</v>
      </c>
      <c r="AA94" s="360">
        <v>301.83433262270131</v>
      </c>
      <c r="AB94" s="360">
        <v>0.35434514593599897</v>
      </c>
      <c r="AC94" s="360">
        <v>1.2570031952164968</v>
      </c>
      <c r="AD94" s="360">
        <v>1.026176553873775</v>
      </c>
      <c r="AE94" s="360">
        <v>0.36034186600448515</v>
      </c>
      <c r="AF94" s="360">
        <v>1.2355767069928421</v>
      </c>
      <c r="AG94" s="360">
        <v>255.54894927100057</v>
      </c>
      <c r="AH94" s="360">
        <v>301.83433262270131</v>
      </c>
      <c r="AI94" s="360">
        <v>0.35434514593599897</v>
      </c>
      <c r="AJ94" s="360">
        <v>1.2570031952164968</v>
      </c>
      <c r="AK94" s="360">
        <v>1.026176553873775</v>
      </c>
      <c r="AL94" s="360">
        <v>0.36034186600448515</v>
      </c>
      <c r="AM94" s="360">
        <v>1.2355767069928421</v>
      </c>
      <c r="AN94" s="360">
        <v>255.54894927100057</v>
      </c>
      <c r="AO94" s="360">
        <f t="shared" si="3"/>
        <v>1</v>
      </c>
      <c r="AP94" s="360">
        <f t="shared" si="4"/>
        <v>1</v>
      </c>
      <c r="AQ94" s="360">
        <f t="shared" si="5"/>
        <v>1</v>
      </c>
    </row>
    <row r="95" spans="1:43">
      <c r="A95" s="360" t="s">
        <v>1081</v>
      </c>
      <c r="B95" t="s">
        <v>1075</v>
      </c>
      <c r="C95">
        <v>2</v>
      </c>
      <c r="D95" t="s">
        <v>1080</v>
      </c>
      <c r="E95" t="s">
        <v>1079</v>
      </c>
      <c r="F95" s="360">
        <v>2</v>
      </c>
      <c r="G95" s="360" t="str">
        <f>CONCATENATE(A95," ",B95," ",C95," ","inf+"," ",FanUpsizes!D95," ",FanUpsizes!F95)</f>
        <v>7ACH Percentile 2 inf+ Existing 2</v>
      </c>
      <c r="H95" s="360">
        <v>3.2828849908389489E-2</v>
      </c>
      <c r="I95" s="360">
        <v>0.39499692213132326</v>
      </c>
      <c r="J95" s="360">
        <v>1.1759265572667346</v>
      </c>
      <c r="K95" s="360">
        <v>815.10965115143756</v>
      </c>
      <c r="L95" s="360">
        <v>0.36486103230297234</v>
      </c>
      <c r="M95" s="360">
        <v>1.2812100439074221</v>
      </c>
      <c r="N95" s="360">
        <v>1.2932891683379983</v>
      </c>
      <c r="O95" s="360">
        <v>0.39581645472473959</v>
      </c>
      <c r="P95" s="360">
        <v>1.1759269700624286</v>
      </c>
      <c r="Q95" s="360">
        <v>676.03180256144515</v>
      </c>
      <c r="R95" s="360">
        <v>848.31733136099967</v>
      </c>
      <c r="S95" s="360">
        <v>0.33582849222794381</v>
      </c>
      <c r="T95" s="360">
        <v>1.426002246772605</v>
      </c>
      <c r="U95" s="360">
        <v>2.0436099858914645</v>
      </c>
      <c r="V95" s="360">
        <v>0.40897451867628742</v>
      </c>
      <c r="W95" s="360">
        <v>1.1759270472602912</v>
      </c>
      <c r="X95" s="360">
        <v>361.71662290118735</v>
      </c>
      <c r="Y95" s="360">
        <v>0.37240084496430609</v>
      </c>
      <c r="Z95" s="360">
        <v>1.2227212989541929</v>
      </c>
      <c r="AA95" s="360">
        <v>553.53367857320973</v>
      </c>
      <c r="AB95" s="360">
        <v>0.35078054678270199</v>
      </c>
      <c r="AC95" s="360">
        <v>1.3095486977837325</v>
      </c>
      <c r="AD95" s="360">
        <v>1.1809681019357574</v>
      </c>
      <c r="AE95" s="360">
        <v>0.37484572696956758</v>
      </c>
      <c r="AF95" s="360">
        <v>1.2227258558580745</v>
      </c>
      <c r="AG95" s="360">
        <v>446.91904248904018</v>
      </c>
      <c r="AH95" s="360">
        <v>586.92680849294038</v>
      </c>
      <c r="AI95" s="360">
        <v>0.31514038512623699</v>
      </c>
      <c r="AJ95" s="360">
        <v>1.5078704283928894</v>
      </c>
      <c r="AK95" s="360">
        <v>1.833844138860961</v>
      </c>
      <c r="AL95" s="360">
        <v>0.38984276288341058</v>
      </c>
      <c r="AM95" s="360">
        <v>1.2227219780068008</v>
      </c>
      <c r="AN95" s="360">
        <v>75.948675563392811</v>
      </c>
      <c r="AO95" s="360">
        <f t="shared" si="3"/>
        <v>1</v>
      </c>
      <c r="AP95" s="360">
        <f t="shared" si="4"/>
        <v>1</v>
      </c>
      <c r="AQ95" s="360">
        <f t="shared" si="5"/>
        <v>1</v>
      </c>
    </row>
    <row r="96" spans="1:43">
      <c r="A96" s="360" t="s">
        <v>1081</v>
      </c>
      <c r="B96" t="s">
        <v>1074</v>
      </c>
      <c r="C96">
        <v>2</v>
      </c>
      <c r="D96" t="s">
        <v>1080</v>
      </c>
      <c r="E96" t="s">
        <v>1079</v>
      </c>
      <c r="F96" s="360">
        <v>2</v>
      </c>
      <c r="G96" s="360" t="str">
        <f>CONCATENATE(A96," ",B96," ",C96," ","inf+"," ",FanUpsizes!D96," ",FanUpsizes!F96)</f>
        <v>7ACH Infiltration 2 inf+ Existing 2</v>
      </c>
      <c r="H96" s="360">
        <v>3.2828849908389489E-2</v>
      </c>
      <c r="I96" s="360">
        <v>0.39499692213132326</v>
      </c>
      <c r="J96" s="360">
        <v>1.1759265572667346</v>
      </c>
      <c r="K96" s="360">
        <v>0</v>
      </c>
      <c r="L96" s="360">
        <v>0.39499692213132326</v>
      </c>
      <c r="M96" s="360">
        <v>1.1759265572667346</v>
      </c>
      <c r="N96" s="360">
        <v>1</v>
      </c>
      <c r="O96" s="360">
        <v>0.39499692213132326</v>
      </c>
      <c r="P96" s="360">
        <v>1.1759265572667346</v>
      </c>
      <c r="Q96" s="360">
        <v>0</v>
      </c>
      <c r="R96" s="360">
        <v>295.33104311839071</v>
      </c>
      <c r="S96" s="360">
        <v>0.3873903414036533</v>
      </c>
      <c r="T96" s="360">
        <v>1.1951885575759689</v>
      </c>
      <c r="U96" s="360">
        <v>1.0447336731590042</v>
      </c>
      <c r="V96" s="360">
        <v>0.39292198245238708</v>
      </c>
      <c r="W96" s="360">
        <v>1.1759265727042301</v>
      </c>
      <c r="X96" s="360">
        <v>250.87442053886855</v>
      </c>
      <c r="Y96" s="360">
        <v>0.37240084496430609</v>
      </c>
      <c r="Z96" s="360">
        <v>1.2227212989541929</v>
      </c>
      <c r="AA96" s="360">
        <v>0</v>
      </c>
      <c r="AB96" s="360">
        <v>0.37240084496430609</v>
      </c>
      <c r="AC96" s="360">
        <v>1.2227212989541929</v>
      </c>
      <c r="AD96" s="360">
        <v>1</v>
      </c>
      <c r="AE96" s="360">
        <v>0.37240084496430609</v>
      </c>
      <c r="AF96" s="360">
        <v>1.2227212989541929</v>
      </c>
      <c r="AG96" s="360">
        <v>0</v>
      </c>
      <c r="AH96" s="360">
        <v>273.13733743811059</v>
      </c>
      <c r="AI96" s="360">
        <v>0.36514186401049459</v>
      </c>
      <c r="AJ96" s="360">
        <v>1.2456033616566384</v>
      </c>
      <c r="AK96" s="360">
        <v>1.039599290206578</v>
      </c>
      <c r="AL96" s="360">
        <v>0.371270875238572</v>
      </c>
      <c r="AM96" s="360">
        <v>1.2227213125407084</v>
      </c>
      <c r="AN96" s="360">
        <v>230.97781492105224</v>
      </c>
      <c r="AO96" s="360">
        <f t="shared" si="3"/>
        <v>1</v>
      </c>
      <c r="AP96" s="360">
        <f t="shared" si="4"/>
        <v>0</v>
      </c>
      <c r="AQ96" s="360">
        <f t="shared" si="5"/>
        <v>0</v>
      </c>
    </row>
    <row r="97" spans="1:43">
      <c r="A97" s="360" t="s">
        <v>1081</v>
      </c>
      <c r="B97" t="s">
        <v>1076</v>
      </c>
      <c r="C97">
        <v>2</v>
      </c>
      <c r="D97" t="s">
        <v>1080</v>
      </c>
      <c r="E97" t="s">
        <v>1079</v>
      </c>
      <c r="F97" s="360">
        <v>2</v>
      </c>
      <c r="G97" s="360" t="str">
        <f>CONCATENATE(A97," ",B97," ",C97," ","inf+"," ",FanUpsizes!D97," ",FanUpsizes!F97)</f>
        <v>7ACH 5C 2 inf+ Existing 2</v>
      </c>
      <c r="H97" s="360">
        <v>3.2828849908389489E-2</v>
      </c>
      <c r="I97" s="360">
        <v>0.39499692213132326</v>
      </c>
      <c r="J97" s="360">
        <v>1.1759265572667346</v>
      </c>
      <c r="K97" s="360">
        <v>296.54605303633178</v>
      </c>
      <c r="L97" s="360">
        <v>0.38938188253962414</v>
      </c>
      <c r="M97" s="360">
        <v>1.1898967509833962</v>
      </c>
      <c r="N97" s="360">
        <v>1.0322982899737634</v>
      </c>
      <c r="O97" s="360">
        <v>0.39343446995181913</v>
      </c>
      <c r="P97" s="360">
        <v>1.1759265937802961</v>
      </c>
      <c r="Q97" s="360">
        <v>264.48703990308553</v>
      </c>
      <c r="R97" s="360">
        <v>443.60406963655794</v>
      </c>
      <c r="S97" s="360">
        <v>0.38458282160780349</v>
      </c>
      <c r="T97" s="360">
        <v>1.2033462781758715</v>
      </c>
      <c r="U97" s="360">
        <v>1.0649849901346657</v>
      </c>
      <c r="V97" s="360">
        <v>0.39245134144733984</v>
      </c>
      <c r="W97" s="360">
        <v>1.1759266257813934</v>
      </c>
      <c r="X97" s="360">
        <v>388.65707441713346</v>
      </c>
      <c r="Y97" s="360">
        <v>0.37240084496430609</v>
      </c>
      <c r="Z97" s="360">
        <v>1.2227212989541929</v>
      </c>
      <c r="AA97" s="360">
        <v>181.3020426529724</v>
      </c>
      <c r="AB97" s="360">
        <v>0.36894688151462435</v>
      </c>
      <c r="AC97" s="360">
        <v>1.2326739987098476</v>
      </c>
      <c r="AD97" s="360">
        <v>1.0167510599354308</v>
      </c>
      <c r="AE97" s="360">
        <v>0.371632670554567</v>
      </c>
      <c r="AF97" s="360">
        <v>1.2227239928556486</v>
      </c>
      <c r="AG97" s="360">
        <v>161.10922792701473</v>
      </c>
      <c r="AH97" s="360">
        <v>323.28308580562185</v>
      </c>
      <c r="AI97" s="360">
        <v>0.36420993439249749</v>
      </c>
      <c r="AJ97" s="360">
        <v>1.2487823566742304</v>
      </c>
      <c r="AK97" s="360">
        <v>1.0456205247321197</v>
      </c>
      <c r="AL97" s="360">
        <v>0.37119601664006929</v>
      </c>
      <c r="AM97" s="360">
        <v>1.2227250114761326</v>
      </c>
      <c r="AN97" s="360">
        <v>279.04269489918391</v>
      </c>
      <c r="AO97" s="360">
        <f t="shared" si="3"/>
        <v>1</v>
      </c>
      <c r="AP97" s="360">
        <f t="shared" si="4"/>
        <v>1</v>
      </c>
      <c r="AQ97" s="360">
        <f t="shared" si="5"/>
        <v>1</v>
      </c>
    </row>
    <row r="98" spans="1:43">
      <c r="A98" s="360" t="s">
        <v>1082</v>
      </c>
      <c r="B98" t="s">
        <v>1075</v>
      </c>
      <c r="C98">
        <v>1</v>
      </c>
      <c r="D98" t="s">
        <v>1078</v>
      </c>
      <c r="E98" t="s">
        <v>1079</v>
      </c>
      <c r="F98" s="360">
        <v>2</v>
      </c>
      <c r="G98" s="360" t="str">
        <f>CONCATENATE(A98," ",B98," ",C98," ","inf+"," ",FanUpsizes!D98," ",FanUpsizes!F98)</f>
        <v>5ACH Percentile 1 inf+ New 2</v>
      </c>
      <c r="H98" s="360">
        <v>2.8819057217772486E-2</v>
      </c>
      <c r="I98" s="360">
        <v>0.25908325080619016</v>
      </c>
      <c r="J98" s="360">
        <v>1.2590412700595335</v>
      </c>
      <c r="K98" s="360">
        <v>717.06403810665677</v>
      </c>
      <c r="L98" s="360">
        <v>0.23240609024174957</v>
      </c>
      <c r="M98" s="360">
        <v>1.4343842975507801</v>
      </c>
      <c r="N98" s="360">
        <v>1.3037012364438243</v>
      </c>
      <c r="O98" s="360">
        <v>0.26825413607396775</v>
      </c>
      <c r="P98" s="360">
        <v>1.2590460939201444</v>
      </c>
      <c r="Q98" s="360">
        <v>574.01437730593204</v>
      </c>
      <c r="R98" s="360">
        <v>746.40431105898188</v>
      </c>
      <c r="S98" s="360">
        <v>0.20126881205092534</v>
      </c>
      <c r="T98" s="360">
        <v>1.6868341248306664</v>
      </c>
      <c r="U98" s="360">
        <v>2.0277022041883352</v>
      </c>
      <c r="V98" s="360">
        <v>0.28396940607564808</v>
      </c>
      <c r="W98" s="360">
        <v>1.2590449819897427</v>
      </c>
      <c r="X98" s="360">
        <v>189.72703187188375</v>
      </c>
      <c r="Y98" s="360">
        <v>0.26182044156767498</v>
      </c>
      <c r="Z98" s="360">
        <v>1.2328362914351789</v>
      </c>
      <c r="AA98" s="360">
        <v>671.17756105089234</v>
      </c>
      <c r="AB98" s="360">
        <v>0.23559084751494802</v>
      </c>
      <c r="AC98" s="360">
        <v>1.4077894489689782</v>
      </c>
      <c r="AD98" s="360">
        <v>1.2804595113994364</v>
      </c>
      <c r="AE98" s="360">
        <v>0.27444738195299384</v>
      </c>
      <c r="AF98" s="360">
        <v>1.2328374867435932</v>
      </c>
      <c r="AG98" s="360">
        <v>494.85026492246095</v>
      </c>
      <c r="AH98" s="360">
        <v>702.07630809950069</v>
      </c>
      <c r="AI98" s="360">
        <v>0.19741594894029121</v>
      </c>
      <c r="AJ98" s="360">
        <v>1.7105549304678624</v>
      </c>
      <c r="AK98" s="360">
        <v>1.9989754695274626</v>
      </c>
      <c r="AL98" s="360">
        <v>0.29232534236419755</v>
      </c>
      <c r="AM98" s="360">
        <v>1.2328379234947451</v>
      </c>
      <c r="AN98" s="360">
        <v>72.282676876539483</v>
      </c>
      <c r="AO98" s="360">
        <f t="shared" si="3"/>
        <v>1</v>
      </c>
      <c r="AP98" s="360">
        <f t="shared" si="4"/>
        <v>1</v>
      </c>
      <c r="AQ98" s="360">
        <f t="shared" si="5"/>
        <v>1</v>
      </c>
    </row>
    <row r="99" spans="1:43">
      <c r="A99" s="360" t="s">
        <v>1082</v>
      </c>
      <c r="B99" t="s">
        <v>1074</v>
      </c>
      <c r="C99">
        <v>1</v>
      </c>
      <c r="D99" t="s">
        <v>1078</v>
      </c>
      <c r="E99" t="s">
        <v>1079</v>
      </c>
      <c r="F99" s="360">
        <v>2</v>
      </c>
      <c r="G99" s="360" t="str">
        <f>CONCATENATE(A99," ",B99," ",C99," ","inf+"," ",FanUpsizes!D99," ",FanUpsizes!F99)</f>
        <v>5ACH Infiltration 1 inf+ New 2</v>
      </c>
      <c r="H99" s="360">
        <v>2.8819057217772486E-2</v>
      </c>
      <c r="I99" s="360">
        <v>0.25908325080619016</v>
      </c>
      <c r="J99" s="360">
        <v>1.2590412700595335</v>
      </c>
      <c r="K99" s="360">
        <v>0</v>
      </c>
      <c r="L99" s="360">
        <v>0.25908325080619016</v>
      </c>
      <c r="M99" s="360">
        <v>1.2590412700595335</v>
      </c>
      <c r="N99" s="360">
        <v>1</v>
      </c>
      <c r="O99" s="360">
        <v>0.25908325080619016</v>
      </c>
      <c r="P99" s="360">
        <v>1.2590412700595335</v>
      </c>
      <c r="Q99" s="360">
        <v>0</v>
      </c>
      <c r="R99" s="360">
        <v>113.6872949532502</v>
      </c>
      <c r="S99" s="360">
        <v>0.25698287506687478</v>
      </c>
      <c r="T99" s="360">
        <v>1.2676199988901251</v>
      </c>
      <c r="U99" s="360">
        <v>1.0118015319097462</v>
      </c>
      <c r="V99" s="360">
        <v>0.25860438864996599</v>
      </c>
      <c r="W99" s="360">
        <v>1.2590413380337691</v>
      </c>
      <c r="X99" s="360">
        <v>101.16275887902756</v>
      </c>
      <c r="Y99" s="360">
        <v>0.26182044156767498</v>
      </c>
      <c r="Z99" s="360">
        <v>1.2328362914351789</v>
      </c>
      <c r="AA99" s="360">
        <v>0</v>
      </c>
      <c r="AB99" s="360">
        <v>0.26182044156767498</v>
      </c>
      <c r="AC99" s="360">
        <v>1.2328362914351789</v>
      </c>
      <c r="AD99" s="360">
        <v>1</v>
      </c>
      <c r="AE99" s="360">
        <v>0.26182044156767498</v>
      </c>
      <c r="AF99" s="360">
        <v>1.2328362914351789</v>
      </c>
      <c r="AG99" s="360">
        <v>0</v>
      </c>
      <c r="AH99" s="360">
        <v>138.2658422536972</v>
      </c>
      <c r="AI99" s="360">
        <v>0.25922407920360224</v>
      </c>
      <c r="AJ99" s="360">
        <v>1.2447466979486868</v>
      </c>
      <c r="AK99" s="360">
        <v>1.0141410554462109</v>
      </c>
      <c r="AL99" s="360">
        <v>0.26165771265881088</v>
      </c>
      <c r="AM99" s="360">
        <v>1.2328363684131767</v>
      </c>
      <c r="AN99" s="360">
        <v>117.60053097860036</v>
      </c>
      <c r="AO99" s="360">
        <f t="shared" si="3"/>
        <v>1</v>
      </c>
      <c r="AP99" s="360">
        <f t="shared" si="4"/>
        <v>0</v>
      </c>
      <c r="AQ99" s="360">
        <f t="shared" si="5"/>
        <v>0</v>
      </c>
    </row>
    <row r="100" spans="1:43">
      <c r="A100" s="360" t="s">
        <v>1082</v>
      </c>
      <c r="B100" t="s">
        <v>1076</v>
      </c>
      <c r="C100">
        <v>1</v>
      </c>
      <c r="D100" t="s">
        <v>1078</v>
      </c>
      <c r="E100" t="s">
        <v>1079</v>
      </c>
      <c r="F100" s="360">
        <v>2</v>
      </c>
      <c r="G100" s="360" t="str">
        <f>CONCATENATE(A100," ",B100," ",C100," ","inf+"," ",FanUpsizes!D100," ",FanUpsizes!F100)</f>
        <v>5ACH 5C 1 inf+ New 2</v>
      </c>
      <c r="H100" s="360">
        <v>2.8819057217772486E-2</v>
      </c>
      <c r="I100" s="360">
        <v>0.25908325080619016</v>
      </c>
      <c r="J100" s="360">
        <v>1.2590412700595335</v>
      </c>
      <c r="K100" s="360">
        <v>260.32522290629373</v>
      </c>
      <c r="L100" s="360">
        <v>0.25415404531392427</v>
      </c>
      <c r="M100" s="360">
        <v>1.2826589839140923</v>
      </c>
      <c r="N100" s="360">
        <v>1.0331782043597495</v>
      </c>
      <c r="O100" s="360">
        <v>0.25863251794152109</v>
      </c>
      <c r="P100" s="360">
        <v>1.2590517642960137</v>
      </c>
      <c r="Q100" s="360">
        <v>229.8800647972844</v>
      </c>
      <c r="R100" s="360">
        <v>260.32522290629373</v>
      </c>
      <c r="S100" s="360">
        <v>0.25415404531392427</v>
      </c>
      <c r="T100" s="360">
        <v>1.2826589839140923</v>
      </c>
      <c r="U100" s="360">
        <v>1.0331782043597495</v>
      </c>
      <c r="V100" s="360">
        <v>0.25863251794152109</v>
      </c>
      <c r="W100" s="360">
        <v>1.2590517642960137</v>
      </c>
      <c r="X100" s="360">
        <v>229.8800647972844</v>
      </c>
      <c r="Y100" s="360">
        <v>0.26182044156767498</v>
      </c>
      <c r="Z100" s="360">
        <v>1.2328362914351789</v>
      </c>
      <c r="AA100" s="360">
        <v>225.33099941791559</v>
      </c>
      <c r="AB100" s="360">
        <v>0.257502025349998</v>
      </c>
      <c r="AC100" s="360">
        <v>1.2545532117649449</v>
      </c>
      <c r="AD100" s="360">
        <v>1.0263103395287521</v>
      </c>
      <c r="AE100" s="360">
        <v>0.261955868038179</v>
      </c>
      <c r="AF100" s="360">
        <v>1.2328367899903541</v>
      </c>
      <c r="AG100" s="360">
        <v>190.90037968613822</v>
      </c>
      <c r="AH100" s="360">
        <v>225.33099941791559</v>
      </c>
      <c r="AI100" s="360">
        <v>0.257502025349998</v>
      </c>
      <c r="AJ100" s="360">
        <v>1.2545532117649449</v>
      </c>
      <c r="AK100" s="360">
        <v>1.0263103395287521</v>
      </c>
      <c r="AL100" s="360">
        <v>0.261955868038179</v>
      </c>
      <c r="AM100" s="360">
        <v>1.2328367899903541</v>
      </c>
      <c r="AN100" s="360">
        <v>190.90037968613822</v>
      </c>
      <c r="AO100" s="360">
        <f t="shared" si="3"/>
        <v>1</v>
      </c>
      <c r="AP100" s="360">
        <f t="shared" si="4"/>
        <v>1</v>
      </c>
      <c r="AQ100" s="360">
        <f t="shared" si="5"/>
        <v>1</v>
      </c>
    </row>
    <row r="101" spans="1:43">
      <c r="A101" s="360" t="s">
        <v>1082</v>
      </c>
      <c r="B101" t="s">
        <v>1075</v>
      </c>
      <c r="C101">
        <v>2</v>
      </c>
      <c r="D101" t="s">
        <v>1078</v>
      </c>
      <c r="E101" t="s">
        <v>1079</v>
      </c>
      <c r="F101" s="360">
        <v>2</v>
      </c>
      <c r="G101" s="360" t="str">
        <f>CONCATENATE(A101," ",B101," ",C101," ","inf+"," ",FanUpsizes!D101," ",FanUpsizes!F101)</f>
        <v>5ACH Percentile 2 inf+ New 2</v>
      </c>
      <c r="H101" s="360">
        <v>2.4203464220278199E-2</v>
      </c>
      <c r="I101" s="360">
        <v>0.28515253604997381</v>
      </c>
      <c r="J101" s="360">
        <v>1.1747988035375552</v>
      </c>
      <c r="K101" s="360">
        <v>600.94938848909396</v>
      </c>
      <c r="L101" s="360">
        <v>0.26293448901993471</v>
      </c>
      <c r="M101" s="360">
        <v>1.2810461274285865</v>
      </c>
      <c r="N101" s="360">
        <v>1.2916923849866253</v>
      </c>
      <c r="O101" s="360">
        <v>0.2859037643404434</v>
      </c>
      <c r="P101" s="360">
        <v>1.1747993081329091</v>
      </c>
      <c r="Q101" s="360">
        <v>498.95816105855846</v>
      </c>
      <c r="R101" s="360">
        <v>625.43214990272793</v>
      </c>
      <c r="S101" s="360">
        <v>0.24135987157903974</v>
      </c>
      <c r="T101" s="360">
        <v>1.4229236446635998</v>
      </c>
      <c r="U101" s="360">
        <v>2.0189008566991933</v>
      </c>
      <c r="V101" s="360">
        <v>0.29445046921951346</v>
      </c>
      <c r="W101" s="360">
        <v>1.1747990577587109</v>
      </c>
      <c r="X101" s="360">
        <v>272.72975507454817</v>
      </c>
      <c r="Y101" s="360">
        <v>0.26984309526870842</v>
      </c>
      <c r="Z101" s="360">
        <v>1.2198556747671314</v>
      </c>
      <c r="AA101" s="360">
        <v>417.64831170323345</v>
      </c>
      <c r="AB101" s="360">
        <v>0.25352576459300186</v>
      </c>
      <c r="AC101" s="360">
        <v>1.3087206734682721</v>
      </c>
      <c r="AD101" s="360">
        <v>1.1826576122327754</v>
      </c>
      <c r="AE101" s="360">
        <v>0.27166756510520479</v>
      </c>
      <c r="AF101" s="360">
        <v>1.2198560500268232</v>
      </c>
      <c r="AG101" s="360">
        <v>337.1463482556066</v>
      </c>
      <c r="AH101" s="360">
        <v>442.35077737719519</v>
      </c>
      <c r="AI101" s="360">
        <v>0.22685583273595475</v>
      </c>
      <c r="AJ101" s="360">
        <v>1.5033069584698371</v>
      </c>
      <c r="AK101" s="360">
        <v>1.8170043774322904</v>
      </c>
      <c r="AL101" s="360">
        <v>0.28144255089705295</v>
      </c>
      <c r="AM101" s="360">
        <v>1.2198561196248077</v>
      </c>
      <c r="AN101" s="360">
        <v>69.519556481256316</v>
      </c>
      <c r="AO101" s="360">
        <f t="shared" si="3"/>
        <v>1</v>
      </c>
      <c r="AP101" s="360">
        <f t="shared" si="4"/>
        <v>1</v>
      </c>
      <c r="AQ101" s="360">
        <f t="shared" si="5"/>
        <v>1</v>
      </c>
    </row>
    <row r="102" spans="1:43">
      <c r="A102" s="360" t="s">
        <v>1082</v>
      </c>
      <c r="B102" t="s">
        <v>1074</v>
      </c>
      <c r="C102">
        <v>2</v>
      </c>
      <c r="D102" t="s">
        <v>1078</v>
      </c>
      <c r="E102" t="s">
        <v>1079</v>
      </c>
      <c r="F102" s="360">
        <v>2</v>
      </c>
      <c r="G102" s="360" t="str">
        <f>CONCATENATE(A102," ",B102," ",C102," ","inf+"," ",FanUpsizes!D102," ",FanUpsizes!F102)</f>
        <v>5ACH Infiltration 2 inf+ New 2</v>
      </c>
      <c r="H102" s="360">
        <v>2.4203464220278199E-2</v>
      </c>
      <c r="I102" s="360">
        <v>0.28515253604997381</v>
      </c>
      <c r="J102" s="360">
        <v>1.1747988035375552</v>
      </c>
      <c r="K102" s="360">
        <v>0</v>
      </c>
      <c r="L102" s="360">
        <v>0.28515253604997381</v>
      </c>
      <c r="M102" s="360">
        <v>1.1747988035375552</v>
      </c>
      <c r="N102" s="360">
        <v>1</v>
      </c>
      <c r="O102" s="360">
        <v>0.28515253604997381</v>
      </c>
      <c r="P102" s="360">
        <v>1.1747988035375552</v>
      </c>
      <c r="Q102" s="360">
        <v>0</v>
      </c>
      <c r="R102" s="360">
        <v>210.40343330098537</v>
      </c>
      <c r="S102" s="360">
        <v>0.27987077911488395</v>
      </c>
      <c r="T102" s="360">
        <v>1.1933151881028141</v>
      </c>
      <c r="U102" s="360">
        <v>1.0426603159990739</v>
      </c>
      <c r="V102" s="360">
        <v>0.2838007762536639</v>
      </c>
      <c r="W102" s="360">
        <v>1.1748005277362996</v>
      </c>
      <c r="X102" s="360">
        <v>178.83356917837705</v>
      </c>
      <c r="Y102" s="360">
        <v>0.26984309526870842</v>
      </c>
      <c r="Z102" s="360">
        <v>1.2198556747671314</v>
      </c>
      <c r="AA102" s="360">
        <v>0</v>
      </c>
      <c r="AB102" s="360">
        <v>0.26984309526870842</v>
      </c>
      <c r="AC102" s="360">
        <v>1.2198556747671314</v>
      </c>
      <c r="AD102" s="360">
        <v>1</v>
      </c>
      <c r="AE102" s="360">
        <v>0.26984309526870842</v>
      </c>
      <c r="AF102" s="360">
        <v>1.2198556747671314</v>
      </c>
      <c r="AG102" s="360">
        <v>0</v>
      </c>
      <c r="AH102" s="360">
        <v>198.3779976528007</v>
      </c>
      <c r="AI102" s="360">
        <v>0.2647114683863927</v>
      </c>
      <c r="AJ102" s="360">
        <v>1.24200896219374</v>
      </c>
      <c r="AK102" s="360">
        <v>1.0378058224664568</v>
      </c>
      <c r="AL102" s="360">
        <v>0.26910775574814344</v>
      </c>
      <c r="AM102" s="360">
        <v>1.2198564493634525</v>
      </c>
      <c r="AN102" s="360">
        <v>167.71641335387616</v>
      </c>
      <c r="AO102" s="360">
        <f t="shared" si="3"/>
        <v>1</v>
      </c>
      <c r="AP102" s="360">
        <f t="shared" si="4"/>
        <v>0</v>
      </c>
      <c r="AQ102" s="360">
        <f t="shared" si="5"/>
        <v>0</v>
      </c>
    </row>
    <row r="103" spans="1:43">
      <c r="A103" s="360" t="s">
        <v>1082</v>
      </c>
      <c r="B103" t="s">
        <v>1076</v>
      </c>
      <c r="C103">
        <v>2</v>
      </c>
      <c r="D103" t="s">
        <v>1078</v>
      </c>
      <c r="E103" t="s">
        <v>1079</v>
      </c>
      <c r="F103" s="360">
        <v>2</v>
      </c>
      <c r="G103" s="360" t="str">
        <f>CONCATENATE(A103," ",B103," ",C103," ","inf+"," ",FanUpsizes!D103," ",FanUpsizes!F103)</f>
        <v>5ACH 5C 2 inf+ New 2</v>
      </c>
      <c r="H103" s="360">
        <v>2.4203464220278199E-2</v>
      </c>
      <c r="I103" s="360">
        <v>0.28515253604997381</v>
      </c>
      <c r="J103" s="360">
        <v>1.1747988035375552</v>
      </c>
      <c r="K103" s="360">
        <v>218.63214228821886</v>
      </c>
      <c r="L103" s="360">
        <v>0.28101278061436347</v>
      </c>
      <c r="M103" s="360">
        <v>1.1891083018707176</v>
      </c>
      <c r="N103" s="360">
        <v>1.0329018354111423</v>
      </c>
      <c r="O103" s="360">
        <v>0.28407647752055987</v>
      </c>
      <c r="P103" s="360">
        <v>1.1748003077463345</v>
      </c>
      <c r="Q103" s="360">
        <v>194.55457485479766</v>
      </c>
      <c r="R103" s="360">
        <v>319.71950444509559</v>
      </c>
      <c r="S103" s="360">
        <v>0.27780090139707891</v>
      </c>
      <c r="T103" s="360">
        <v>1.2016601003512717</v>
      </c>
      <c r="U103" s="360">
        <v>1.06300817627906</v>
      </c>
      <c r="V103" s="360">
        <v>0.28349400115710183</v>
      </c>
      <c r="W103" s="360">
        <v>1.1748051448612449</v>
      </c>
      <c r="X103" s="360">
        <v>279.97944318296072</v>
      </c>
      <c r="Y103" s="360">
        <v>0.26984309526870842</v>
      </c>
      <c r="Z103" s="360">
        <v>1.2198556747671314</v>
      </c>
      <c r="AA103" s="360">
        <v>137.06726094760762</v>
      </c>
      <c r="AB103" s="360">
        <v>0.26723012612633595</v>
      </c>
      <c r="AC103" s="360">
        <v>1.2302991631400211</v>
      </c>
      <c r="AD103" s="360">
        <v>1.0174078895751553</v>
      </c>
      <c r="AE103" s="360">
        <v>0.26931777092826659</v>
      </c>
      <c r="AF103" s="360">
        <v>1.219855695173395</v>
      </c>
      <c r="AG103" s="360">
        <v>121.33921658421103</v>
      </c>
      <c r="AH103" s="360">
        <v>236.40395719170931</v>
      </c>
      <c r="AI103" s="360">
        <v>0.26400361525043764</v>
      </c>
      <c r="AJ103" s="360">
        <v>1.2453596806369962</v>
      </c>
      <c r="AK103" s="360">
        <v>1.0440380458414704</v>
      </c>
      <c r="AL103" s="360">
        <v>0.269069880003795</v>
      </c>
      <c r="AM103" s="360">
        <v>1.2198559953105805</v>
      </c>
      <c r="AN103" s="360">
        <v>203.85085427858698</v>
      </c>
      <c r="AO103" s="360">
        <f t="shared" si="3"/>
        <v>1</v>
      </c>
      <c r="AP103" s="360">
        <f t="shared" si="4"/>
        <v>1</v>
      </c>
      <c r="AQ103" s="360">
        <f t="shared" si="5"/>
        <v>1</v>
      </c>
    </row>
    <row r="104" spans="1:43">
      <c r="A104" s="360" t="s">
        <v>1082</v>
      </c>
      <c r="B104" t="s">
        <v>1075</v>
      </c>
      <c r="C104">
        <v>1</v>
      </c>
      <c r="D104" t="s">
        <v>1080</v>
      </c>
      <c r="E104" t="s">
        <v>1079</v>
      </c>
      <c r="F104" s="360">
        <v>2</v>
      </c>
      <c r="G104" s="360" t="str">
        <f>CONCATENATE(A104," ",B104," ",C104," ","inf+"," ",FanUpsizes!D104," ",FanUpsizes!F104)</f>
        <v>5ACH Percentile 1 inf+ Existing 2</v>
      </c>
      <c r="H104" s="360">
        <v>4.506905721777249E-2</v>
      </c>
      <c r="I104" s="360">
        <v>0.34869833542493717</v>
      </c>
      <c r="J104" s="360">
        <v>1.2659618503073862</v>
      </c>
      <c r="K104" s="360">
        <v>1187.7717757569649</v>
      </c>
      <c r="L104" s="360">
        <v>0.30258854436152705</v>
      </c>
      <c r="M104" s="360">
        <v>1.5657491227849916</v>
      </c>
      <c r="N104" s="360">
        <v>1.4329889837895702</v>
      </c>
      <c r="O104" s="360">
        <v>0.40241838103395755</v>
      </c>
      <c r="P104" s="360">
        <v>1.265962241215512</v>
      </c>
      <c r="Q104" s="360">
        <v>733.70714252332232</v>
      </c>
      <c r="R104" s="360">
        <v>1235.5020658542023</v>
      </c>
      <c r="S104" s="360">
        <v>0.24191657953801546</v>
      </c>
      <c r="T104" s="360">
        <v>1.9670408618735917</v>
      </c>
      <c r="U104" s="360">
        <v>2.2797443206740602</v>
      </c>
      <c r="V104" s="360">
        <v>0.44524627456758231</v>
      </c>
      <c r="W104" s="360">
        <v>1.2659633778029982</v>
      </c>
      <c r="X104" s="360">
        <v>-129.37273678674808</v>
      </c>
      <c r="Y104" s="360">
        <v>0.36685860070602083</v>
      </c>
      <c r="Z104" s="360">
        <v>1.2015534533076511</v>
      </c>
      <c r="AA104" s="360">
        <v>1325.5508009027742</v>
      </c>
      <c r="AB104" s="360">
        <v>0.31544841867692525</v>
      </c>
      <c r="AC104" s="360">
        <v>1.5153376402507381</v>
      </c>
      <c r="AD104" s="360">
        <v>1.5076900044041246</v>
      </c>
      <c r="AE104" s="360">
        <v>0.43512515675529906</v>
      </c>
      <c r="AF104" s="360">
        <v>1.2015536854767546</v>
      </c>
      <c r="AG104" s="360">
        <v>772.09406644999081</v>
      </c>
      <c r="AH104" s="360">
        <v>1375.675646838039</v>
      </c>
      <c r="AI104" s="360">
        <v>0.24905963006483142</v>
      </c>
      <c r="AJ104" s="360">
        <v>1.9235020722825369</v>
      </c>
      <c r="AK104" s="360">
        <v>2.4170558177105446</v>
      </c>
      <c r="AL104" s="360">
        <v>0.4811146964007294</v>
      </c>
      <c r="AM104" s="360">
        <v>1.2015534808685575</v>
      </c>
      <c r="AN104" s="360">
        <v>-134.1743741881572</v>
      </c>
      <c r="AO104" s="360">
        <f t="shared" si="3"/>
        <v>1</v>
      </c>
      <c r="AP104" s="360">
        <f t="shared" si="4"/>
        <v>1</v>
      </c>
      <c r="AQ104" s="360">
        <f t="shared" si="5"/>
        <v>1</v>
      </c>
    </row>
    <row r="105" spans="1:43">
      <c r="A105" s="360" t="s">
        <v>1082</v>
      </c>
      <c r="B105" t="s">
        <v>1074</v>
      </c>
      <c r="C105">
        <v>1</v>
      </c>
      <c r="D105" t="s">
        <v>1080</v>
      </c>
      <c r="E105" t="s">
        <v>1079</v>
      </c>
      <c r="F105" s="360">
        <v>2</v>
      </c>
      <c r="G105" s="360" t="str">
        <f>CONCATENATE(A105," ",B105," ",C105," ","inf+"," ",FanUpsizes!D105," ",FanUpsizes!F105)</f>
        <v>5ACH Infiltration 1 inf+ Existing 2</v>
      </c>
      <c r="H105" s="360">
        <v>4.506905721777249E-2</v>
      </c>
      <c r="I105" s="360">
        <v>0.34869833542493717</v>
      </c>
      <c r="J105" s="360">
        <v>1.2659618503073862</v>
      </c>
      <c r="K105" s="360">
        <v>0</v>
      </c>
      <c r="L105" s="360">
        <v>0.34869833542493717</v>
      </c>
      <c r="M105" s="360">
        <v>1.2659618503073862</v>
      </c>
      <c r="N105" s="360">
        <v>1</v>
      </c>
      <c r="O105" s="360">
        <v>0.34869833542493717</v>
      </c>
      <c r="P105" s="360">
        <v>1.2659618503073862</v>
      </c>
      <c r="Q105" s="360">
        <v>0</v>
      </c>
      <c r="R105" s="360">
        <v>3.076185045452561</v>
      </c>
      <c r="S105" s="360">
        <v>0.34866036201568357</v>
      </c>
      <c r="T105" s="360">
        <v>1.2660327813585934</v>
      </c>
      <c r="U105" s="360">
        <v>1.0000678371537757</v>
      </c>
      <c r="V105" s="360">
        <v>0.34867932014663577</v>
      </c>
      <c r="W105" s="360">
        <v>1.2659619790488326</v>
      </c>
      <c r="X105" s="360">
        <v>2.9075200171383577</v>
      </c>
      <c r="Y105" s="360">
        <v>0.36685860070602083</v>
      </c>
      <c r="Z105" s="360">
        <v>1.2015534533076511</v>
      </c>
      <c r="AA105" s="360">
        <v>0</v>
      </c>
      <c r="AB105" s="360">
        <v>0.36685860070602083</v>
      </c>
      <c r="AC105" s="360">
        <v>1.2015534533076511</v>
      </c>
      <c r="AD105" s="360">
        <v>1</v>
      </c>
      <c r="AE105" s="360">
        <v>0.36685860070602083</v>
      </c>
      <c r="AF105" s="360">
        <v>1.2015534533076511</v>
      </c>
      <c r="AG105" s="360">
        <v>0</v>
      </c>
      <c r="AH105" s="360">
        <v>3.6004971997424575</v>
      </c>
      <c r="AI105" s="360">
        <v>0.36681409365207401</v>
      </c>
      <c r="AJ105" s="360">
        <v>1.2016494674215004</v>
      </c>
      <c r="AK105" s="360">
        <v>1.0000952168799464</v>
      </c>
      <c r="AL105" s="360">
        <v>0.36684295692653218</v>
      </c>
      <c r="AM105" s="360">
        <v>1.2015538246328497</v>
      </c>
      <c r="AN105" s="360">
        <v>3.3177555831919499</v>
      </c>
      <c r="AO105" s="360">
        <f t="shared" si="3"/>
        <v>1</v>
      </c>
      <c r="AP105" s="360">
        <f t="shared" si="4"/>
        <v>0</v>
      </c>
      <c r="AQ105" s="360">
        <f t="shared" si="5"/>
        <v>0</v>
      </c>
    </row>
    <row r="106" spans="1:43">
      <c r="A106" s="360" t="s">
        <v>1082</v>
      </c>
      <c r="B106" t="s">
        <v>1076</v>
      </c>
      <c r="C106">
        <v>1</v>
      </c>
      <c r="D106" t="s">
        <v>1080</v>
      </c>
      <c r="E106" t="s">
        <v>1079</v>
      </c>
      <c r="F106" s="360">
        <v>2</v>
      </c>
      <c r="G106" s="360" t="str">
        <f>CONCATENATE(A106," ",B106," ",C106," ","inf+"," ",FanUpsizes!D106," ",FanUpsizes!F106)</f>
        <v>5ACH 5C 1 inf+ Existing 2</v>
      </c>
      <c r="H106" s="360">
        <v>4.506905721777249E-2</v>
      </c>
      <c r="I106" s="360">
        <v>0.34869833542493717</v>
      </c>
      <c r="J106" s="360">
        <v>1.2659618503073862</v>
      </c>
      <c r="K106" s="360">
        <v>407.76522725422541</v>
      </c>
      <c r="L106" s="360">
        <v>0.34097017603729546</v>
      </c>
      <c r="M106" s="360">
        <v>1.3044743673128465</v>
      </c>
      <c r="N106" s="360">
        <v>1.0381785149234977</v>
      </c>
      <c r="O106" s="360">
        <v>0.35142591867702494</v>
      </c>
      <c r="P106" s="360">
        <v>1.2659695578877355</v>
      </c>
      <c r="Q106" s="360">
        <v>328.22837910722262</v>
      </c>
      <c r="R106" s="360">
        <v>407.76522725422541</v>
      </c>
      <c r="S106" s="360">
        <v>0.34097017603729546</v>
      </c>
      <c r="T106" s="360">
        <v>1.3044743673128465</v>
      </c>
      <c r="U106" s="360">
        <v>1.0381785149234977</v>
      </c>
      <c r="V106" s="360">
        <v>0.35142591867702494</v>
      </c>
      <c r="W106" s="360">
        <v>1.2659695578877355</v>
      </c>
      <c r="X106" s="360">
        <v>328.22837910722262</v>
      </c>
      <c r="Y106" s="360">
        <v>0.36685860070602083</v>
      </c>
      <c r="Z106" s="360">
        <v>1.2015534533076511</v>
      </c>
      <c r="AA106" s="360">
        <v>457.1287355184063</v>
      </c>
      <c r="AB106" s="360">
        <v>0.35808086807349931</v>
      </c>
      <c r="AC106" s="360">
        <v>1.2421754409346459</v>
      </c>
      <c r="AD106" s="360">
        <v>1.0426669977467296</v>
      </c>
      <c r="AE106" s="360">
        <v>0.37049373657968088</v>
      </c>
      <c r="AF106" s="360">
        <v>1.2015535471936543</v>
      </c>
      <c r="AG106" s="360">
        <v>359.09520015278304</v>
      </c>
      <c r="AH106" s="360">
        <v>457.1287355184063</v>
      </c>
      <c r="AI106" s="360">
        <v>0.35808086807349931</v>
      </c>
      <c r="AJ106" s="360">
        <v>1.2421754409346459</v>
      </c>
      <c r="AK106" s="360">
        <v>1.0426669977467296</v>
      </c>
      <c r="AL106" s="360">
        <v>0.37049373657968088</v>
      </c>
      <c r="AM106" s="360">
        <v>1.2015535471936543</v>
      </c>
      <c r="AN106" s="360">
        <v>359.09520015278304</v>
      </c>
      <c r="AO106" s="360">
        <f t="shared" si="3"/>
        <v>1</v>
      </c>
      <c r="AP106" s="360">
        <f t="shared" si="4"/>
        <v>1</v>
      </c>
      <c r="AQ106" s="360">
        <f t="shared" si="5"/>
        <v>1</v>
      </c>
    </row>
    <row r="107" spans="1:43">
      <c r="A107" s="360" t="s">
        <v>1082</v>
      </c>
      <c r="B107" t="s">
        <v>1075</v>
      </c>
      <c r="C107">
        <v>2</v>
      </c>
      <c r="D107" t="s">
        <v>1080</v>
      </c>
      <c r="E107" t="s">
        <v>1079</v>
      </c>
      <c r="F107" s="360">
        <v>2</v>
      </c>
      <c r="G107" s="360" t="str">
        <f>CONCATENATE(A107," ",B107," ",C107," ","inf+"," ",FanUpsizes!D107," ",FanUpsizes!F107)</f>
        <v>5ACH Percentile 2 inf+ Existing 2</v>
      </c>
      <c r="H107" s="360">
        <v>4.04534642202782E-2</v>
      </c>
      <c r="I107" s="360">
        <v>0.35719920460298826</v>
      </c>
      <c r="J107" s="360">
        <v>1.2577193443148762</v>
      </c>
      <c r="K107" s="360">
        <v>1009.0814907272955</v>
      </c>
      <c r="L107" s="360">
        <v>0.31949170574389624</v>
      </c>
      <c r="M107" s="360">
        <v>1.4505854865001069</v>
      </c>
      <c r="N107" s="360">
        <v>1.3302764322887348</v>
      </c>
      <c r="O107" s="360">
        <v>0.37568245785431853</v>
      </c>
      <c r="P107" s="360">
        <v>1.2577193457265234</v>
      </c>
      <c r="Q107" s="360">
        <v>780.25140672423174</v>
      </c>
      <c r="R107" s="360">
        <v>1050.3547145298278</v>
      </c>
      <c r="S107" s="360">
        <v>0.27474932062585222</v>
      </c>
      <c r="T107" s="360">
        <v>1.7232226996334257</v>
      </c>
      <c r="U107" s="360">
        <v>2.0808860954052086</v>
      </c>
      <c r="V107" s="360">
        <v>0.4015056252291716</v>
      </c>
      <c r="W107" s="360">
        <v>1.2577205249905448</v>
      </c>
      <c r="X107" s="360">
        <v>192.1938731947111</v>
      </c>
      <c r="Y107" s="360">
        <v>0.36290251384763639</v>
      </c>
      <c r="Z107" s="360">
        <v>1.2244232778054707</v>
      </c>
      <c r="AA107" s="360">
        <v>976.8137862521254</v>
      </c>
      <c r="AB107" s="360">
        <v>0.32483262908441651</v>
      </c>
      <c r="AC107" s="360">
        <v>1.420096607443915</v>
      </c>
      <c r="AD107" s="360">
        <v>1.3200880642500117</v>
      </c>
      <c r="AE107" s="360">
        <v>0.38779056519803873</v>
      </c>
      <c r="AF107" s="360">
        <v>1.2244232782752422</v>
      </c>
      <c r="AG107" s="360">
        <v>689.59021410584046</v>
      </c>
      <c r="AH107" s="360">
        <v>1020.3066604099939</v>
      </c>
      <c r="AI107" s="360">
        <v>0.27077647648611303</v>
      </c>
      <c r="AJ107" s="360">
        <v>1.737395619523656</v>
      </c>
      <c r="AK107" s="360">
        <v>2.0783161869843103</v>
      </c>
      <c r="AL107" s="360">
        <v>0.41662146531514066</v>
      </c>
      <c r="AM107" s="360">
        <v>1.2244249722698404</v>
      </c>
      <c r="AN107" s="360">
        <v>53.150911930238259</v>
      </c>
      <c r="AO107" s="360">
        <f t="shared" si="3"/>
        <v>1</v>
      </c>
      <c r="AP107" s="360">
        <f t="shared" si="4"/>
        <v>1</v>
      </c>
      <c r="AQ107" s="360">
        <f t="shared" si="5"/>
        <v>1</v>
      </c>
    </row>
    <row r="108" spans="1:43">
      <c r="A108" s="360" t="s">
        <v>1082</v>
      </c>
      <c r="B108" t="s">
        <v>1074</v>
      </c>
      <c r="C108">
        <v>2</v>
      </c>
      <c r="D108" t="s">
        <v>1080</v>
      </c>
      <c r="E108" t="s">
        <v>1079</v>
      </c>
      <c r="F108" s="360">
        <v>2</v>
      </c>
      <c r="G108" s="360" t="str">
        <f>CONCATENATE(A108," ",B108," ",C108," ","inf+"," ",FanUpsizes!D108," ",FanUpsizes!F108)</f>
        <v>5ACH Infiltration 2 inf+ Existing 2</v>
      </c>
      <c r="H108" s="360">
        <v>4.04534642202782E-2</v>
      </c>
      <c r="I108" s="360">
        <v>0.35719920460298826</v>
      </c>
      <c r="J108" s="360">
        <v>1.2577193443148762</v>
      </c>
      <c r="K108" s="360">
        <v>0</v>
      </c>
      <c r="L108" s="360">
        <v>0.35719920460298826</v>
      </c>
      <c r="M108" s="360">
        <v>1.2577193443148762</v>
      </c>
      <c r="N108" s="360">
        <v>1</v>
      </c>
      <c r="O108" s="360">
        <v>0.35719920460298826</v>
      </c>
      <c r="P108" s="360">
        <v>1.2577193443148762</v>
      </c>
      <c r="Q108" s="360">
        <v>0</v>
      </c>
      <c r="R108" s="360">
        <v>102.75920439877706</v>
      </c>
      <c r="S108" s="360">
        <v>0.35540124761209235</v>
      </c>
      <c r="T108" s="360">
        <v>1.2631751232291264</v>
      </c>
      <c r="U108" s="360">
        <v>1.0071348925836952</v>
      </c>
      <c r="V108" s="360">
        <v>0.35681542745044131</v>
      </c>
      <c r="W108" s="360">
        <v>1.2577240088133426</v>
      </c>
      <c r="X108" s="360">
        <v>91.469532428133462</v>
      </c>
      <c r="Y108" s="360">
        <v>0.36290251384763639</v>
      </c>
      <c r="Z108" s="360">
        <v>1.2244232778054707</v>
      </c>
      <c r="AA108" s="360">
        <v>0</v>
      </c>
      <c r="AB108" s="360">
        <v>0.36290251384763639</v>
      </c>
      <c r="AC108" s="360">
        <v>1.2244232778054707</v>
      </c>
      <c r="AD108" s="360">
        <v>1</v>
      </c>
      <c r="AE108" s="360">
        <v>0.36290251384763639</v>
      </c>
      <c r="AF108" s="360">
        <v>1.2244232778054707</v>
      </c>
      <c r="AG108" s="360">
        <v>0</v>
      </c>
      <c r="AH108" s="360">
        <v>128.52893895252706</v>
      </c>
      <c r="AI108" s="360">
        <v>0.36061489736387747</v>
      </c>
      <c r="AJ108" s="360">
        <v>1.232146116706611</v>
      </c>
      <c r="AK108" s="360">
        <v>1.0089242454219101</v>
      </c>
      <c r="AL108" s="360">
        <v>0.36281496814777686</v>
      </c>
      <c r="AM108" s="360">
        <v>1.2244236256980037</v>
      </c>
      <c r="AN108" s="360">
        <v>108.8662564956804</v>
      </c>
      <c r="AO108" s="360">
        <f t="shared" si="3"/>
        <v>1</v>
      </c>
      <c r="AP108" s="360">
        <f t="shared" si="4"/>
        <v>0</v>
      </c>
      <c r="AQ108" s="360">
        <f t="shared" si="5"/>
        <v>0</v>
      </c>
    </row>
    <row r="109" spans="1:43">
      <c r="A109" s="360" t="s">
        <v>1082</v>
      </c>
      <c r="B109" t="s">
        <v>1076</v>
      </c>
      <c r="C109">
        <v>2</v>
      </c>
      <c r="D109" t="s">
        <v>1080</v>
      </c>
      <c r="E109" t="s">
        <v>1079</v>
      </c>
      <c r="F109" s="360">
        <v>2</v>
      </c>
      <c r="G109" s="360" t="str">
        <f>CONCATENATE(A109," ",B109," ",C109," ","inf+"," ",FanUpsizes!D109," ",FanUpsizes!F109)</f>
        <v>5ACH 5C 2 inf+ Existing 2</v>
      </c>
      <c r="H109" s="360">
        <v>4.04534642202782E-2</v>
      </c>
      <c r="I109" s="360">
        <v>0.35719920460298826</v>
      </c>
      <c r="J109" s="360">
        <v>1.2577193443148762</v>
      </c>
      <c r="K109" s="360">
        <v>365.4199029099837</v>
      </c>
      <c r="L109" s="360">
        <v>0.35028005258115236</v>
      </c>
      <c r="M109" s="360">
        <v>1.2839241090623157</v>
      </c>
      <c r="N109" s="360">
        <v>1.035205981645257</v>
      </c>
      <c r="O109" s="360">
        <v>0.35712266386238112</v>
      </c>
      <c r="P109" s="360">
        <v>1.2577205482589684</v>
      </c>
      <c r="Q109" s="360">
        <v>318.55233805140836</v>
      </c>
      <c r="R109" s="360">
        <v>365.4199029099837</v>
      </c>
      <c r="S109" s="360">
        <v>0.35028005258115236</v>
      </c>
      <c r="T109" s="360">
        <v>1.2839241090623157</v>
      </c>
      <c r="U109" s="360">
        <v>1.035205981645257</v>
      </c>
      <c r="V109" s="360">
        <v>0.35712266386238112</v>
      </c>
      <c r="W109" s="360">
        <v>1.2577205482589684</v>
      </c>
      <c r="X109" s="360">
        <v>318.55233805140836</v>
      </c>
      <c r="Y109" s="360">
        <v>0.36290251384763639</v>
      </c>
      <c r="Z109" s="360">
        <v>1.2244232778054707</v>
      </c>
      <c r="AA109" s="360">
        <v>331.11446106206893</v>
      </c>
      <c r="AB109" s="360">
        <v>0.35654892346767886</v>
      </c>
      <c r="AC109" s="360">
        <v>1.249329039531806</v>
      </c>
      <c r="AD109" s="360">
        <v>1.0297132861669571</v>
      </c>
      <c r="AE109" s="360">
        <v>0.36368916932264866</v>
      </c>
      <c r="AF109" s="360">
        <v>1.2244233412640053</v>
      </c>
      <c r="AG109" s="360">
        <v>275.60066034141431</v>
      </c>
      <c r="AH109" s="360">
        <v>331.11446106206893</v>
      </c>
      <c r="AI109" s="360">
        <v>0.35654892346767886</v>
      </c>
      <c r="AJ109" s="360">
        <v>1.249329039531806</v>
      </c>
      <c r="AK109" s="360">
        <v>1.0297132861669571</v>
      </c>
      <c r="AL109" s="360">
        <v>0.36368916932264866</v>
      </c>
      <c r="AM109" s="360">
        <v>1.2244233412640053</v>
      </c>
      <c r="AN109" s="360">
        <v>275.60066034141431</v>
      </c>
      <c r="AO109" s="360">
        <f t="shared" si="3"/>
        <v>1</v>
      </c>
      <c r="AP109" s="360">
        <f t="shared" si="4"/>
        <v>1</v>
      </c>
      <c r="AQ109" s="360">
        <f t="shared" si="5"/>
        <v>1</v>
      </c>
    </row>
    <row r="110" spans="1:43">
      <c r="A110" s="360" t="s">
        <v>1083</v>
      </c>
      <c r="B110" t="s">
        <v>1075</v>
      </c>
      <c r="C110">
        <v>1</v>
      </c>
      <c r="D110" t="s">
        <v>1078</v>
      </c>
      <c r="E110" t="s">
        <v>1079</v>
      </c>
      <c r="F110" s="360">
        <v>2</v>
      </c>
      <c r="G110" s="360" t="str">
        <f>CONCATENATE(A110," ",B110," ",C110," ","inf+"," ",FanUpsizes!D110," ",FanUpsizes!F110)</f>
        <v>3ACH Percentile 1 inf+ New 2</v>
      </c>
      <c r="H110" s="360">
        <v>3.4597434330663493E-2</v>
      </c>
      <c r="I110" s="360">
        <v>0.2590235419925086</v>
      </c>
      <c r="J110" s="360">
        <v>1.2339938189576911</v>
      </c>
      <c r="K110" s="360">
        <v>1011.8663669867419</v>
      </c>
      <c r="L110" s="360">
        <v>0.21948752127675852</v>
      </c>
      <c r="M110" s="360">
        <v>1.6097275746500104</v>
      </c>
      <c r="N110" s="360">
        <v>1.5344579528579978</v>
      </c>
      <c r="O110" s="360">
        <v>0.31985129216730851</v>
      </c>
      <c r="P110" s="360">
        <v>1.2339939785214675</v>
      </c>
      <c r="Q110" s="360">
        <v>543.75826096145897</v>
      </c>
      <c r="R110" s="360">
        <v>1049.5966462823931</v>
      </c>
      <c r="S110" s="360">
        <v>0.16883188275592231</v>
      </c>
      <c r="T110" s="360">
        <v>2.0779181214610838</v>
      </c>
      <c r="U110" s="360">
        <v>2.4784881725420211</v>
      </c>
      <c r="V110" s="360">
        <v>0.35958255317784665</v>
      </c>
      <c r="W110" s="360">
        <v>1.2339943014273109</v>
      </c>
      <c r="X110" s="360">
        <v>-205.06061558562035</v>
      </c>
      <c r="Y110" s="360">
        <v>0.27186870228217602</v>
      </c>
      <c r="Z110" s="360">
        <v>1.1761926977407158</v>
      </c>
      <c r="AA110" s="360">
        <v>1125.4473545831586</v>
      </c>
      <c r="AB110" s="360">
        <v>0.22842055135961656</v>
      </c>
      <c r="AC110" s="360">
        <v>1.5629223410184836</v>
      </c>
      <c r="AD110" s="360">
        <v>1.6282573164814385</v>
      </c>
      <c r="AE110" s="360">
        <v>0.3448297548380338</v>
      </c>
      <c r="AF110" s="360">
        <v>1.1761936902526982</v>
      </c>
      <c r="AG110" s="360">
        <v>584.04255502500371</v>
      </c>
      <c r="AH110" s="360">
        <v>1164.5032952751822</v>
      </c>
      <c r="AI110" s="360">
        <v>0.17550901536921815</v>
      </c>
      <c r="AJ110" s="360">
        <v>2.0192344865375373</v>
      </c>
      <c r="AK110" s="360">
        <v>2.637987173951132</v>
      </c>
      <c r="AL110" s="360">
        <v>0.38716626937943616</v>
      </c>
      <c r="AM110" s="360">
        <v>1.1761950235165668</v>
      </c>
      <c r="AN110" s="360">
        <v>-203.04684698730222</v>
      </c>
      <c r="AO110" s="360">
        <f t="shared" si="3"/>
        <v>1</v>
      </c>
      <c r="AP110" s="360">
        <f t="shared" si="4"/>
        <v>1</v>
      </c>
      <c r="AQ110" s="360">
        <f t="shared" si="5"/>
        <v>1</v>
      </c>
    </row>
    <row r="111" spans="1:43">
      <c r="A111" s="360" t="s">
        <v>1083</v>
      </c>
      <c r="B111" t="s">
        <v>1074</v>
      </c>
      <c r="C111">
        <v>1</v>
      </c>
      <c r="D111" t="s">
        <v>1078</v>
      </c>
      <c r="E111" t="s">
        <v>1079</v>
      </c>
      <c r="F111" s="360">
        <v>2</v>
      </c>
      <c r="G111" s="360" t="str">
        <f>CONCATENATE(A111," ",B111," ",C111," ","inf+"," ",FanUpsizes!D111," ",FanUpsizes!F111)</f>
        <v>3ACH Infiltration 1 inf+ New 2</v>
      </c>
      <c r="H111" s="360">
        <v>3.4597434330663493E-2</v>
      </c>
      <c r="I111" s="360">
        <v>0.2590235419925086</v>
      </c>
      <c r="J111" s="360">
        <v>1.2339938189576911</v>
      </c>
      <c r="K111" s="360">
        <v>0</v>
      </c>
      <c r="L111" s="360">
        <v>0.2590235419925086</v>
      </c>
      <c r="M111" s="360">
        <v>1.2339938189576911</v>
      </c>
      <c r="N111" s="360">
        <v>1</v>
      </c>
      <c r="O111" s="360">
        <v>0.2590235419925086</v>
      </c>
      <c r="P111" s="360">
        <v>1.2339938189576911</v>
      </c>
      <c r="Q111" s="360">
        <v>0</v>
      </c>
      <c r="R111" s="360">
        <v>0</v>
      </c>
      <c r="S111" s="360">
        <v>0.2590235419925086</v>
      </c>
      <c r="T111" s="360">
        <v>1.2339938189576911</v>
      </c>
      <c r="U111" s="360">
        <v>1</v>
      </c>
      <c r="V111" s="360">
        <v>0.2590235419925086</v>
      </c>
      <c r="W111" s="360">
        <v>1.2339938189576911</v>
      </c>
      <c r="X111" s="360">
        <v>0</v>
      </c>
      <c r="Y111" s="360">
        <v>0.27186870228217602</v>
      </c>
      <c r="Z111" s="360">
        <v>1.1761926977407158</v>
      </c>
      <c r="AA111" s="360">
        <v>0</v>
      </c>
      <c r="AB111" s="360">
        <v>0.27186870228217602</v>
      </c>
      <c r="AC111" s="360">
        <v>1.1761926977407158</v>
      </c>
      <c r="AD111" s="360">
        <v>1</v>
      </c>
      <c r="AE111" s="360">
        <v>0.27186870228217602</v>
      </c>
      <c r="AF111" s="360">
        <v>1.1761926977407158</v>
      </c>
      <c r="AG111" s="360">
        <v>0</v>
      </c>
      <c r="AH111" s="360">
        <v>0</v>
      </c>
      <c r="AI111" s="360">
        <v>0.27186870228217602</v>
      </c>
      <c r="AJ111" s="360">
        <v>1.1761926977407158</v>
      </c>
      <c r="AK111" s="360">
        <v>1</v>
      </c>
      <c r="AL111" s="360">
        <v>0.27186870228217602</v>
      </c>
      <c r="AM111" s="360">
        <v>1.1761926977407158</v>
      </c>
      <c r="AN111" s="360">
        <v>0</v>
      </c>
      <c r="AO111" s="360">
        <f t="shared" si="3"/>
        <v>1</v>
      </c>
      <c r="AP111" s="360">
        <f t="shared" si="4"/>
        <v>0</v>
      </c>
      <c r="AQ111" s="360">
        <f t="shared" si="5"/>
        <v>0</v>
      </c>
    </row>
    <row r="112" spans="1:43">
      <c r="A112" s="360" t="s">
        <v>1083</v>
      </c>
      <c r="B112" t="s">
        <v>1076</v>
      </c>
      <c r="C112">
        <v>1</v>
      </c>
      <c r="D112" t="s">
        <v>1078</v>
      </c>
      <c r="E112" t="s">
        <v>1079</v>
      </c>
      <c r="F112" s="360">
        <v>2</v>
      </c>
      <c r="G112" s="360" t="str">
        <f>CONCATENATE(A112," ",B112," ",C112," ","inf+"," ",FanUpsizes!D112," ",FanUpsizes!F112)</f>
        <v>3ACH 5C 1 inf+ New 2</v>
      </c>
      <c r="H112" s="360">
        <v>3.4597434330663493E-2</v>
      </c>
      <c r="I112" s="360">
        <v>0.2590235419925086</v>
      </c>
      <c r="J112" s="360">
        <v>1.2339938189576911</v>
      </c>
      <c r="K112" s="360">
        <v>342.64791273355257</v>
      </c>
      <c r="L112" s="360">
        <v>0.25245305227398285</v>
      </c>
      <c r="M112" s="360">
        <v>1.2811400900541299</v>
      </c>
      <c r="N112" s="360">
        <v>1.0433902378592395</v>
      </c>
      <c r="O112" s="360">
        <v>0.26239593007410633</v>
      </c>
      <c r="P112" s="360">
        <v>1.2339955907436673</v>
      </c>
      <c r="Q112" s="360">
        <v>264.36809557943025</v>
      </c>
      <c r="R112" s="360">
        <v>342.64791273355257</v>
      </c>
      <c r="S112" s="360">
        <v>0.25245305227398285</v>
      </c>
      <c r="T112" s="360">
        <v>1.2811400900541299</v>
      </c>
      <c r="U112" s="360">
        <v>1.0433902378592395</v>
      </c>
      <c r="V112" s="360">
        <v>0.26239593007410633</v>
      </c>
      <c r="W112" s="360">
        <v>1.2339955907436673</v>
      </c>
      <c r="X112" s="360">
        <v>264.36809557943025</v>
      </c>
      <c r="Y112" s="360">
        <v>0.27186870228217602</v>
      </c>
      <c r="Z112" s="360">
        <v>1.1761926977407158</v>
      </c>
      <c r="AA112" s="360">
        <v>392.94837418115441</v>
      </c>
      <c r="AB112" s="360">
        <v>0.26432304784955302</v>
      </c>
      <c r="AC112" s="360">
        <v>1.2255648593540569</v>
      </c>
      <c r="AD112" s="360">
        <v>1.0498682154884806</v>
      </c>
      <c r="AE112" s="360">
        <v>0.27580824835259427</v>
      </c>
      <c r="AF112" s="360">
        <v>1.1762056610651255</v>
      </c>
      <c r="AG112" s="360">
        <v>301.55381388498677</v>
      </c>
      <c r="AH112" s="360">
        <v>392.94837418115441</v>
      </c>
      <c r="AI112" s="360">
        <v>0.26432304784955302</v>
      </c>
      <c r="AJ112" s="360">
        <v>1.2255648593540569</v>
      </c>
      <c r="AK112" s="360">
        <v>1.0498682154884806</v>
      </c>
      <c r="AL112" s="360">
        <v>0.27580824835259427</v>
      </c>
      <c r="AM112" s="360">
        <v>1.1762056610651255</v>
      </c>
      <c r="AN112" s="360">
        <v>301.55381388498677</v>
      </c>
      <c r="AO112" s="360">
        <f t="shared" si="3"/>
        <v>1</v>
      </c>
      <c r="AP112" s="360">
        <f t="shared" si="4"/>
        <v>1</v>
      </c>
      <c r="AQ112" s="360">
        <f t="shared" si="5"/>
        <v>1</v>
      </c>
    </row>
    <row r="113" spans="1:43">
      <c r="A113" s="360" t="s">
        <v>1083</v>
      </c>
      <c r="B113" t="s">
        <v>1075</v>
      </c>
      <c r="C113">
        <v>2</v>
      </c>
      <c r="D113" t="s">
        <v>1078</v>
      </c>
      <c r="E113" t="s">
        <v>1079</v>
      </c>
      <c r="F113" s="360">
        <v>2</v>
      </c>
      <c r="G113" s="360" t="str">
        <f>CONCATENATE(A113," ",B113," ",C113," ","inf+"," ",FanUpsizes!D113," ",FanUpsizes!F113)</f>
        <v>3ACH Percentile 2 inf+ New 2</v>
      </c>
      <c r="H113" s="360">
        <v>3.1828078532166924E-2</v>
      </c>
      <c r="I113" s="360">
        <v>0.25466216592823165</v>
      </c>
      <c r="J113" s="360">
        <v>1.2646689875088686</v>
      </c>
      <c r="K113" s="360">
        <v>816.53376776497248</v>
      </c>
      <c r="L113" s="360">
        <v>0.22333928375060641</v>
      </c>
      <c r="M113" s="360">
        <v>1.5160943554207733</v>
      </c>
      <c r="N113" s="360">
        <v>1.3665975692282961</v>
      </c>
      <c r="O113" s="360">
        <v>0.27962591841820511</v>
      </c>
      <c r="P113" s="360">
        <v>1.264670139439404</v>
      </c>
      <c r="Q113" s="360">
        <v>567.19810002999736</v>
      </c>
      <c r="R113" s="360">
        <v>849.69173407146377</v>
      </c>
      <c r="S113" s="360">
        <v>0.18308133608010072</v>
      </c>
      <c r="T113" s="360">
        <v>1.8643287538945066</v>
      </c>
      <c r="U113" s="360">
        <v>2.1445296249450982</v>
      </c>
      <c r="V113" s="360">
        <v>0.3045236279827423</v>
      </c>
      <c r="W113" s="360">
        <v>1.2646696419773913</v>
      </c>
      <c r="X113" s="360">
        <v>26.320873172981159</v>
      </c>
      <c r="Y113" s="360">
        <v>0.26603648403396701</v>
      </c>
      <c r="Z113" s="360">
        <v>1.2062429611569874</v>
      </c>
      <c r="AA113" s="360">
        <v>887.13193228179364</v>
      </c>
      <c r="AB113" s="360">
        <v>0.23161103028227364</v>
      </c>
      <c r="AC113" s="360">
        <v>1.4690009882301898</v>
      </c>
      <c r="AD113" s="360">
        <v>1.4084113664487168</v>
      </c>
      <c r="AE113" s="360">
        <v>0.29818389007496415</v>
      </c>
      <c r="AF113" s="360">
        <v>1.2062430163436926</v>
      </c>
      <c r="AG113" s="360">
        <v>580.19351986494371</v>
      </c>
      <c r="AH113" s="360">
        <v>922.15013976322075</v>
      </c>
      <c r="AI113" s="360">
        <v>0.18607824402001397</v>
      </c>
      <c r="AJ113" s="360">
        <v>1.8397390185150948</v>
      </c>
      <c r="AK113" s="360">
        <v>2.2338325737690967</v>
      </c>
      <c r="AL113" s="360">
        <v>0.32529267007699425</v>
      </c>
      <c r="AM113" s="360">
        <v>1.206247756003475</v>
      </c>
      <c r="AN113" s="360">
        <v>10.060499720202152</v>
      </c>
      <c r="AO113" s="360">
        <f t="shared" si="3"/>
        <v>1</v>
      </c>
      <c r="AP113" s="360">
        <f t="shared" si="4"/>
        <v>1</v>
      </c>
      <c r="AQ113" s="360">
        <f t="shared" si="5"/>
        <v>1</v>
      </c>
    </row>
    <row r="114" spans="1:43">
      <c r="A114" s="360" t="s">
        <v>1083</v>
      </c>
      <c r="B114" t="s">
        <v>1074</v>
      </c>
      <c r="C114">
        <v>2</v>
      </c>
      <c r="D114" t="s">
        <v>1078</v>
      </c>
      <c r="E114" t="s">
        <v>1079</v>
      </c>
      <c r="F114" s="360">
        <v>2</v>
      </c>
      <c r="G114" s="360" t="str">
        <f>CONCATENATE(A114," ",B114," ",C114," ","inf+"," ",FanUpsizes!D114," ",FanUpsizes!F114)</f>
        <v>3ACH Infiltration 2 inf+ New 2</v>
      </c>
      <c r="H114" s="360">
        <v>3.1828078532166924E-2</v>
      </c>
      <c r="I114" s="360">
        <v>0.25466216592823165</v>
      </c>
      <c r="J114" s="360">
        <v>1.2646689875088686</v>
      </c>
      <c r="K114" s="360">
        <v>0</v>
      </c>
      <c r="L114" s="360">
        <v>0.25466216592823165</v>
      </c>
      <c r="M114" s="360">
        <v>1.2646689875088686</v>
      </c>
      <c r="N114" s="360">
        <v>1</v>
      </c>
      <c r="O114" s="360">
        <v>0.25466216592823165</v>
      </c>
      <c r="P114" s="360">
        <v>1.2646689875088686</v>
      </c>
      <c r="Q114" s="360">
        <v>0</v>
      </c>
      <c r="R114" s="360">
        <v>8.2392555839198121</v>
      </c>
      <c r="S114" s="360">
        <v>0.25455489759590166</v>
      </c>
      <c r="T114" s="360">
        <v>1.2650057120194234</v>
      </c>
      <c r="U114" s="360">
        <v>1.000352817999955</v>
      </c>
      <c r="V114" s="360">
        <v>0.2546196619030307</v>
      </c>
      <c r="W114" s="360">
        <v>1.2646703253824261</v>
      </c>
      <c r="X114" s="360">
        <v>7.6842514207562314</v>
      </c>
      <c r="Y114" s="360">
        <v>0.26603648403396701</v>
      </c>
      <c r="Z114" s="360">
        <v>1.2062429611569874</v>
      </c>
      <c r="AA114" s="360">
        <v>0</v>
      </c>
      <c r="AB114" s="360">
        <v>0.26603648403396701</v>
      </c>
      <c r="AC114" s="360">
        <v>1.2062429611569874</v>
      </c>
      <c r="AD114" s="360">
        <v>1</v>
      </c>
      <c r="AE114" s="360">
        <v>0.26603648403396701</v>
      </c>
      <c r="AF114" s="360">
        <v>1.2062429611569874</v>
      </c>
      <c r="AG114" s="360">
        <v>0</v>
      </c>
      <c r="AH114" s="360">
        <v>9.7443483866443845</v>
      </c>
      <c r="AI114" s="360">
        <v>0.26590902244399678</v>
      </c>
      <c r="AJ114" s="360">
        <v>1.2066959218750111</v>
      </c>
      <c r="AK114" s="360">
        <v>1.0004704444276875</v>
      </c>
      <c r="AL114" s="360">
        <v>0.26600732300571689</v>
      </c>
      <c r="AM114" s="360">
        <v>1.2062429637203764</v>
      </c>
      <c r="AN114" s="360">
        <v>8.7899132450141533</v>
      </c>
      <c r="AO114" s="360">
        <f t="shared" si="3"/>
        <v>1</v>
      </c>
      <c r="AP114" s="360">
        <f t="shared" si="4"/>
        <v>0</v>
      </c>
      <c r="AQ114" s="360">
        <f t="shared" si="5"/>
        <v>0</v>
      </c>
    </row>
    <row r="115" spans="1:43">
      <c r="A115" s="360" t="s">
        <v>1083</v>
      </c>
      <c r="B115" t="s">
        <v>1076</v>
      </c>
      <c r="C115">
        <v>2</v>
      </c>
      <c r="D115" t="s">
        <v>1078</v>
      </c>
      <c r="E115" t="s">
        <v>1079</v>
      </c>
      <c r="F115" s="360">
        <v>2</v>
      </c>
      <c r="G115" s="360" t="str">
        <f>CONCATENATE(A115," ",B115," ",C115," ","inf+"," ",FanUpsizes!D115," ",FanUpsizes!F115)</f>
        <v>3ACH 5C 2 inf+ New 2</v>
      </c>
      <c r="H115" s="360">
        <v>3.1828078532166924E-2</v>
      </c>
      <c r="I115" s="360">
        <v>0.25466216592823165</v>
      </c>
      <c r="J115" s="360">
        <v>1.2646689875088686</v>
      </c>
      <c r="K115" s="360">
        <v>287.50599216186197</v>
      </c>
      <c r="L115" s="360">
        <v>0.24921829806248191</v>
      </c>
      <c r="M115" s="360">
        <v>1.2980085109169273</v>
      </c>
      <c r="N115" s="360">
        <v>1.0360288923808196</v>
      </c>
      <c r="O115" s="360">
        <v>0.25571110544735381</v>
      </c>
      <c r="P115" s="360">
        <v>1.2646693428904907</v>
      </c>
      <c r="Q115" s="360">
        <v>240.17876939541429</v>
      </c>
      <c r="R115" s="360">
        <v>287.50599216186197</v>
      </c>
      <c r="S115" s="360">
        <v>0.24921829806248191</v>
      </c>
      <c r="T115" s="360">
        <v>1.2980085109169273</v>
      </c>
      <c r="U115" s="360">
        <v>1.0360288923808196</v>
      </c>
      <c r="V115" s="360">
        <v>0.25571110544735381</v>
      </c>
      <c r="W115" s="360">
        <v>1.2646693428904907</v>
      </c>
      <c r="X115" s="360">
        <v>240.17876939541429</v>
      </c>
      <c r="Y115" s="360">
        <v>0.26603648403396701</v>
      </c>
      <c r="Z115" s="360">
        <v>1.2062429611569874</v>
      </c>
      <c r="AA115" s="360">
        <v>305.45721009108303</v>
      </c>
      <c r="AB115" s="360">
        <v>0.26016863959150216</v>
      </c>
      <c r="AC115" s="360">
        <v>1.2404564914884284</v>
      </c>
      <c r="AD115" s="360">
        <v>1.0371937608280493</v>
      </c>
      <c r="AE115" s="360">
        <v>0.26763633554023097</v>
      </c>
      <c r="AF115" s="360">
        <v>1.2062439033591901</v>
      </c>
      <c r="AG115" s="360">
        <v>246.66772686448707</v>
      </c>
      <c r="AH115" s="360">
        <v>305.45721009108303</v>
      </c>
      <c r="AI115" s="360">
        <v>0.26016863959150216</v>
      </c>
      <c r="AJ115" s="360">
        <v>1.2404564914884284</v>
      </c>
      <c r="AK115" s="360">
        <v>1.0371937608280493</v>
      </c>
      <c r="AL115" s="360">
        <v>0.26763633554023097</v>
      </c>
      <c r="AM115" s="360">
        <v>1.2062439033591901</v>
      </c>
      <c r="AN115" s="360">
        <v>246.66772686448707</v>
      </c>
      <c r="AO115" s="360">
        <f t="shared" si="3"/>
        <v>1</v>
      </c>
      <c r="AP115" s="360">
        <f t="shared" si="4"/>
        <v>1</v>
      </c>
      <c r="AQ115" s="360">
        <f t="shared" si="5"/>
        <v>1</v>
      </c>
    </row>
    <row r="116" spans="1:43">
      <c r="A116" s="360" t="s">
        <v>1083</v>
      </c>
      <c r="B116" t="s">
        <v>1075</v>
      </c>
      <c r="C116">
        <v>1</v>
      </c>
      <c r="D116" t="s">
        <v>1080</v>
      </c>
      <c r="E116" t="s">
        <v>1079</v>
      </c>
      <c r="F116" s="360">
        <v>2</v>
      </c>
      <c r="G116" s="360" t="str">
        <f>CONCATENATE(A116," ",B116," ",C116," ","inf+"," ",FanUpsizes!D116," ",FanUpsizes!F116)</f>
        <v>3ACH Percentile 1 inf+ Existing 2</v>
      </c>
      <c r="H116" s="360">
        <v>5.0847434330663493E-2</v>
      </c>
      <c r="I116" s="360">
        <v>0.37562475510096621</v>
      </c>
      <c r="J116" s="360">
        <v>1.1694191094390891</v>
      </c>
      <c r="K116" s="360">
        <v>1764.0378764073039</v>
      </c>
      <c r="L116" s="360">
        <v>0.30747836860482802</v>
      </c>
      <c r="M116" s="360">
        <v>1.7416236087407886</v>
      </c>
      <c r="N116" s="360">
        <v>2.1390103013207953</v>
      </c>
      <c r="O116" s="360">
        <v>0.62844744747206038</v>
      </c>
      <c r="P116" s="360">
        <v>1.1694191754597494</v>
      </c>
      <c r="Q116" s="360">
        <v>258.56918943178198</v>
      </c>
      <c r="R116" s="360">
        <v>1821.8732025326135</v>
      </c>
      <c r="S116" s="360">
        <v>0.22671082454785413</v>
      </c>
      <c r="T116" s="360">
        <v>2.3003997935804721</v>
      </c>
      <c r="U116" s="360">
        <v>3.5324254728969802</v>
      </c>
      <c r="V116" s="360">
        <v>0.72476824739664913</v>
      </c>
      <c r="W116" s="360">
        <v>1.1694206300923971</v>
      </c>
      <c r="X116" s="360">
        <v>-1374.3065180143524</v>
      </c>
      <c r="Y116" s="360">
        <v>0.38684054938968709</v>
      </c>
      <c r="Z116" s="360">
        <v>1.1359659092657397</v>
      </c>
      <c r="AA116" s="360">
        <v>1869.3264729216492</v>
      </c>
      <c r="AB116" s="360">
        <v>0.31514117464998997</v>
      </c>
      <c r="AC116" s="360">
        <v>1.7139172581836459</v>
      </c>
      <c r="AD116" s="360">
        <v>2.2769847600676618</v>
      </c>
      <c r="AE116" s="360">
        <v>0.67085681257825869</v>
      </c>
      <c r="AF116" s="360">
        <v>1.1359659148486385</v>
      </c>
      <c r="AG116" s="360">
        <v>205.76224000176214</v>
      </c>
      <c r="AH116" s="360">
        <v>1927.6552908916156</v>
      </c>
      <c r="AI116" s="360">
        <v>0.23442392351906602</v>
      </c>
      <c r="AJ116" s="360">
        <v>2.2417622042138818</v>
      </c>
      <c r="AK116" s="360">
        <v>3.7632816813808514</v>
      </c>
      <c r="AL116" s="360">
        <v>0.77358545452694694</v>
      </c>
      <c r="AM116" s="360">
        <v>1.1359659098275177</v>
      </c>
      <c r="AN116" s="360">
        <v>-1528.512072183521</v>
      </c>
      <c r="AO116" s="360">
        <f t="shared" si="3"/>
        <v>1</v>
      </c>
      <c r="AP116" s="360">
        <f t="shared" si="4"/>
        <v>1</v>
      </c>
      <c r="AQ116" s="360">
        <f t="shared" si="5"/>
        <v>1</v>
      </c>
    </row>
    <row r="117" spans="1:43">
      <c r="A117" s="360" t="s">
        <v>1083</v>
      </c>
      <c r="B117" t="s">
        <v>1074</v>
      </c>
      <c r="C117">
        <v>1</v>
      </c>
      <c r="D117" t="s">
        <v>1080</v>
      </c>
      <c r="E117" t="s">
        <v>1079</v>
      </c>
      <c r="F117" s="360">
        <v>2</v>
      </c>
      <c r="G117" s="360" t="str">
        <f>CONCATENATE(A117," ",B117," ",C117," ","inf+"," ",FanUpsizes!D117," ",FanUpsizes!F117)</f>
        <v>3ACH Infiltration 1 inf+ Existing 2</v>
      </c>
      <c r="H117" s="360">
        <v>5.0847434330663493E-2</v>
      </c>
      <c r="I117" s="360">
        <v>0.37562475510096621</v>
      </c>
      <c r="J117" s="360">
        <v>1.1694191094390891</v>
      </c>
      <c r="K117" s="360">
        <v>0</v>
      </c>
      <c r="L117" s="360">
        <v>0.37562475510096621</v>
      </c>
      <c r="M117" s="360">
        <v>1.1694191094390891</v>
      </c>
      <c r="N117" s="360">
        <v>1</v>
      </c>
      <c r="O117" s="360">
        <v>0.37562475510096621</v>
      </c>
      <c r="P117" s="360">
        <v>1.1694191094390891</v>
      </c>
      <c r="Q117" s="360">
        <v>0</v>
      </c>
      <c r="R117" s="360">
        <v>0</v>
      </c>
      <c r="S117" s="360">
        <v>0.37562475510096621</v>
      </c>
      <c r="T117" s="360">
        <v>1.1694191094390891</v>
      </c>
      <c r="U117" s="360">
        <v>1</v>
      </c>
      <c r="V117" s="360">
        <v>0.37562475510096621</v>
      </c>
      <c r="W117" s="360">
        <v>1.1694191094390891</v>
      </c>
      <c r="X117" s="360">
        <v>0</v>
      </c>
      <c r="Y117" s="360">
        <v>0.38684054938968709</v>
      </c>
      <c r="Z117" s="360">
        <v>1.1359659092657397</v>
      </c>
      <c r="AA117" s="360">
        <v>0</v>
      </c>
      <c r="AB117" s="360">
        <v>0.38684054938968709</v>
      </c>
      <c r="AC117" s="360">
        <v>1.1359659092657397</v>
      </c>
      <c r="AD117" s="360">
        <v>1</v>
      </c>
      <c r="AE117" s="360">
        <v>0.38684054938968709</v>
      </c>
      <c r="AF117" s="360">
        <v>1.1359659092657397</v>
      </c>
      <c r="AG117" s="360">
        <v>0</v>
      </c>
      <c r="AH117" s="360">
        <v>0</v>
      </c>
      <c r="AI117" s="360">
        <v>0.38684054938968709</v>
      </c>
      <c r="AJ117" s="360">
        <v>1.1359659092657397</v>
      </c>
      <c r="AK117" s="360">
        <v>1</v>
      </c>
      <c r="AL117" s="360">
        <v>0.38684054938968709</v>
      </c>
      <c r="AM117" s="360">
        <v>1.1359659092657397</v>
      </c>
      <c r="AN117" s="360">
        <v>0</v>
      </c>
      <c r="AO117" s="360">
        <f t="shared" si="3"/>
        <v>1</v>
      </c>
      <c r="AP117" s="360">
        <f t="shared" si="4"/>
        <v>0</v>
      </c>
      <c r="AQ117" s="360">
        <f t="shared" si="5"/>
        <v>0</v>
      </c>
    </row>
    <row r="118" spans="1:43">
      <c r="A118" s="360" t="s">
        <v>1083</v>
      </c>
      <c r="B118" t="s">
        <v>1076</v>
      </c>
      <c r="C118">
        <v>1</v>
      </c>
      <c r="D118" t="s">
        <v>1080</v>
      </c>
      <c r="E118" t="s">
        <v>1079</v>
      </c>
      <c r="F118" s="360">
        <v>2</v>
      </c>
      <c r="G118" s="360" t="str">
        <f>CONCATENATE(A118," ",B118," ",C118," ","inf+"," ",FanUpsizes!D118," ",FanUpsizes!F118)</f>
        <v>3ACH 5C 1 inf+ Existing 2</v>
      </c>
      <c r="H118" s="360">
        <v>5.0847434330663493E-2</v>
      </c>
      <c r="I118" s="360">
        <v>0.37562475510096621</v>
      </c>
      <c r="J118" s="360">
        <v>1.1694191094390891</v>
      </c>
      <c r="K118" s="360">
        <v>617.4242643633853</v>
      </c>
      <c r="L118" s="360">
        <v>0.36375151286818863</v>
      </c>
      <c r="M118" s="360">
        <v>1.2416676312287396</v>
      </c>
      <c r="N118" s="360">
        <v>1.0669814829982358</v>
      </c>
      <c r="O118" s="360">
        <v>0.38761053745503521</v>
      </c>
      <c r="P118" s="360">
        <v>1.1694231487387243</v>
      </c>
      <c r="Q118" s="360">
        <v>425.34767143076056</v>
      </c>
      <c r="R118" s="360">
        <v>617.4242643633853</v>
      </c>
      <c r="S118" s="360">
        <v>0.36375151286818863</v>
      </c>
      <c r="T118" s="360">
        <v>1.2416676312287396</v>
      </c>
      <c r="U118" s="360">
        <v>1.0669814829982358</v>
      </c>
      <c r="V118" s="360">
        <v>0.38761053745503521</v>
      </c>
      <c r="W118" s="360">
        <v>1.1694231487387243</v>
      </c>
      <c r="X118" s="360">
        <v>425.34767143076056</v>
      </c>
      <c r="Y118" s="360">
        <v>0.38684054938968709</v>
      </c>
      <c r="Z118" s="360">
        <v>1.1359659092657397</v>
      </c>
      <c r="AA118" s="360">
        <v>662.77047672327956</v>
      </c>
      <c r="AB118" s="360">
        <v>0.37412094814297514</v>
      </c>
      <c r="AC118" s="360">
        <v>1.2090586373090848</v>
      </c>
      <c r="AD118" s="360">
        <v>1.073463784463849</v>
      </c>
      <c r="AE118" s="360">
        <v>0.39971859213775868</v>
      </c>
      <c r="AF118" s="360">
        <v>1.1359712437866711</v>
      </c>
      <c r="AG118" s="360">
        <v>457.56669345713073</v>
      </c>
      <c r="AH118" s="360">
        <v>662.77047672327956</v>
      </c>
      <c r="AI118" s="360">
        <v>0.37412094814297514</v>
      </c>
      <c r="AJ118" s="360">
        <v>1.2090586373090848</v>
      </c>
      <c r="AK118" s="360">
        <v>1.073463784463849</v>
      </c>
      <c r="AL118" s="360">
        <v>0.39971859213775868</v>
      </c>
      <c r="AM118" s="360">
        <v>1.1359712437866711</v>
      </c>
      <c r="AN118" s="360">
        <v>457.56669345713073</v>
      </c>
      <c r="AO118" s="360">
        <f t="shared" si="3"/>
        <v>1</v>
      </c>
      <c r="AP118" s="360">
        <f t="shared" si="4"/>
        <v>1</v>
      </c>
      <c r="AQ118" s="360">
        <f t="shared" si="5"/>
        <v>1</v>
      </c>
    </row>
    <row r="119" spans="1:43">
      <c r="A119" s="360" t="s">
        <v>1083</v>
      </c>
      <c r="B119" t="s">
        <v>1075</v>
      </c>
      <c r="C119">
        <v>2</v>
      </c>
      <c r="D119" t="s">
        <v>1080</v>
      </c>
      <c r="E119" t="s">
        <v>1079</v>
      </c>
      <c r="F119" s="360">
        <v>2</v>
      </c>
      <c r="G119" s="360" t="str">
        <f>CONCATENATE(A119," ",B119," ",C119," ","inf+"," ",FanUpsizes!D119," ",FanUpsizes!F119)</f>
        <v>3ACH Percentile 2 inf+ Existing 2</v>
      </c>
      <c r="H119" s="360">
        <v>4.8078078532166925E-2</v>
      </c>
      <c r="I119" s="360">
        <v>0.35954969773539869</v>
      </c>
      <c r="J119" s="360">
        <v>1.2229485345749123</v>
      </c>
      <c r="K119" s="360">
        <v>1445.6204377304925</v>
      </c>
      <c r="L119" s="360">
        <v>0.30327570466004483</v>
      </c>
      <c r="M119" s="360">
        <v>1.6372444799791681</v>
      </c>
      <c r="N119" s="360">
        <v>1.6471074389124516</v>
      </c>
      <c r="O119" s="360">
        <v>0.47291118660665143</v>
      </c>
      <c r="P119" s="360">
        <v>1.2229505187081311</v>
      </c>
      <c r="Q119" s="360">
        <v>652.49107987620812</v>
      </c>
      <c r="R119" s="360">
        <v>1498.1765133826204</v>
      </c>
      <c r="S119" s="360">
        <v>0.2326609977344439</v>
      </c>
      <c r="T119" s="360">
        <v>2.1112151681557805</v>
      </c>
      <c r="U119" s="360">
        <v>2.6737050109796963</v>
      </c>
      <c r="V119" s="360">
        <v>0.53453484607997592</v>
      </c>
      <c r="W119" s="360">
        <v>1.2229486181213383</v>
      </c>
      <c r="X119" s="360">
        <v>-480.67513150100035</v>
      </c>
      <c r="Y119" s="360">
        <v>0.37658957134454324</v>
      </c>
      <c r="Z119" s="360">
        <v>1.1681914763970274</v>
      </c>
      <c r="AA119" s="360">
        <v>1592.6273622000022</v>
      </c>
      <c r="AB119" s="360">
        <v>0.3152352339180996</v>
      </c>
      <c r="AC119" s="360">
        <v>1.5932775048542069</v>
      </c>
      <c r="AD119" s="360">
        <v>1.7622797041017271</v>
      </c>
      <c r="AE119" s="360">
        <v>0.51228222747845886</v>
      </c>
      <c r="AF119" s="360">
        <v>1.1681923185813721</v>
      </c>
      <c r="AG119" s="360">
        <v>674.58918430306312</v>
      </c>
      <c r="AH119" s="360">
        <v>1646.9478333669219</v>
      </c>
      <c r="AI119" s="360">
        <v>0.24156296373076283</v>
      </c>
      <c r="AJ119" s="360">
        <v>2.0539433441385029</v>
      </c>
      <c r="AK119" s="360">
        <v>2.8659354255159832</v>
      </c>
      <c r="AL119" s="360">
        <v>0.57818857399873846</v>
      </c>
      <c r="AM119" s="360">
        <v>1.1681916791206746</v>
      </c>
      <c r="AN119" s="360">
        <v>-526.41851883361119</v>
      </c>
      <c r="AO119" s="360">
        <f t="shared" si="3"/>
        <v>1</v>
      </c>
      <c r="AP119" s="360">
        <f t="shared" si="4"/>
        <v>1</v>
      </c>
      <c r="AQ119" s="360">
        <f t="shared" si="5"/>
        <v>1</v>
      </c>
    </row>
    <row r="120" spans="1:43">
      <c r="A120" s="360" t="s">
        <v>1083</v>
      </c>
      <c r="B120" t="s">
        <v>1074</v>
      </c>
      <c r="C120">
        <v>2</v>
      </c>
      <c r="D120" t="s">
        <v>1080</v>
      </c>
      <c r="E120" t="s">
        <v>1079</v>
      </c>
      <c r="F120" s="360">
        <v>2</v>
      </c>
      <c r="G120" s="360" t="str">
        <f>CONCATENATE(A120," ",B120," ",C120," ","inf+"," ",FanUpsizes!D120," ",FanUpsizes!F120)</f>
        <v>3ACH Infiltration 2 inf+ Existing 2</v>
      </c>
      <c r="H120" s="360">
        <v>4.8078078532166925E-2</v>
      </c>
      <c r="I120" s="360">
        <v>0.35954969773539869</v>
      </c>
      <c r="J120" s="360">
        <v>1.2229485345749123</v>
      </c>
      <c r="K120" s="360">
        <v>0</v>
      </c>
      <c r="L120" s="360">
        <v>0.35954969773539869</v>
      </c>
      <c r="M120" s="360">
        <v>1.2229485345749123</v>
      </c>
      <c r="N120" s="360">
        <v>1</v>
      </c>
      <c r="O120" s="360">
        <v>0.35954969773539869</v>
      </c>
      <c r="P120" s="360">
        <v>1.2229485345749123</v>
      </c>
      <c r="Q120" s="360">
        <v>0</v>
      </c>
      <c r="R120" s="360">
        <v>0</v>
      </c>
      <c r="S120" s="360">
        <v>0.35954969773539869</v>
      </c>
      <c r="T120" s="360">
        <v>1.2229485345749123</v>
      </c>
      <c r="U120" s="360">
        <v>1</v>
      </c>
      <c r="V120" s="360">
        <v>0.35954969773539869</v>
      </c>
      <c r="W120" s="360">
        <v>1.2229485345749123</v>
      </c>
      <c r="X120" s="360">
        <v>0</v>
      </c>
      <c r="Y120" s="360">
        <v>0.37658957134454324</v>
      </c>
      <c r="Z120" s="360">
        <v>1.1681914763970274</v>
      </c>
      <c r="AA120" s="360">
        <v>0</v>
      </c>
      <c r="AB120" s="360">
        <v>0.37658957134454324</v>
      </c>
      <c r="AC120" s="360">
        <v>1.1681914763970274</v>
      </c>
      <c r="AD120" s="360">
        <v>1</v>
      </c>
      <c r="AE120" s="360">
        <v>0.37658957134454324</v>
      </c>
      <c r="AF120" s="360">
        <v>1.1681914763970274</v>
      </c>
      <c r="AG120" s="360">
        <v>0</v>
      </c>
      <c r="AH120" s="360">
        <v>0</v>
      </c>
      <c r="AI120" s="360">
        <v>0.37658957134454324</v>
      </c>
      <c r="AJ120" s="360">
        <v>1.1681914763970274</v>
      </c>
      <c r="AK120" s="360">
        <v>1</v>
      </c>
      <c r="AL120" s="360">
        <v>0.37658957134454324</v>
      </c>
      <c r="AM120" s="360">
        <v>1.1681914763970274</v>
      </c>
      <c r="AN120" s="360">
        <v>0</v>
      </c>
      <c r="AO120" s="360">
        <f t="shared" si="3"/>
        <v>1</v>
      </c>
      <c r="AP120" s="360">
        <f t="shared" si="4"/>
        <v>0</v>
      </c>
      <c r="AQ120" s="360">
        <f t="shared" si="5"/>
        <v>0</v>
      </c>
    </row>
    <row r="121" spans="1:43">
      <c r="A121" s="360" t="s">
        <v>1083</v>
      </c>
      <c r="B121" t="s">
        <v>1076</v>
      </c>
      <c r="C121">
        <v>2</v>
      </c>
      <c r="D121" t="s">
        <v>1080</v>
      </c>
      <c r="E121" t="s">
        <v>1079</v>
      </c>
      <c r="F121" s="360">
        <v>2</v>
      </c>
      <c r="G121" s="360" t="str">
        <f>CONCATENATE(A121," ",B121," ",C121," ","inf+"," ",FanUpsizes!D121," ",FanUpsizes!F121)</f>
        <v>3ACH 5C 2 inf+ Existing 2</v>
      </c>
      <c r="H121" s="360">
        <v>4.8078078532166925E-2</v>
      </c>
      <c r="I121" s="360">
        <v>0.35954969773539869</v>
      </c>
      <c r="J121" s="360">
        <v>1.2229485345749123</v>
      </c>
      <c r="K121" s="360">
        <v>495.05789965053327</v>
      </c>
      <c r="L121" s="360">
        <v>0.35004251477873866</v>
      </c>
      <c r="M121" s="360">
        <v>1.2767337700335946</v>
      </c>
      <c r="N121" s="360">
        <v>1.0500328538482544</v>
      </c>
      <c r="O121" s="360">
        <v>0.36606049988090866</v>
      </c>
      <c r="P121" s="360">
        <v>1.2229502549850046</v>
      </c>
      <c r="Q121" s="360">
        <v>368.36227423809697</v>
      </c>
      <c r="R121" s="360">
        <v>495.05789965053327</v>
      </c>
      <c r="S121" s="360">
        <v>0.35004251477873866</v>
      </c>
      <c r="T121" s="360">
        <v>1.2767337700335946</v>
      </c>
      <c r="U121" s="360">
        <v>1.0500328538482544</v>
      </c>
      <c r="V121" s="360">
        <v>0.36606049988090866</v>
      </c>
      <c r="W121" s="360">
        <v>1.2229502549850046</v>
      </c>
      <c r="X121" s="360">
        <v>368.36227423809697</v>
      </c>
      <c r="Y121" s="360">
        <v>0.37658957134454324</v>
      </c>
      <c r="Z121" s="360">
        <v>1.1681914763970274</v>
      </c>
      <c r="AA121" s="360">
        <v>559.34441130326525</v>
      </c>
      <c r="AB121" s="360">
        <v>0.3658440559164034</v>
      </c>
      <c r="AC121" s="360">
        <v>1.2241046598457361</v>
      </c>
      <c r="AD121" s="360">
        <v>1.0570332861048435</v>
      </c>
      <c r="AE121" s="360">
        <v>0.3841528619970751</v>
      </c>
      <c r="AF121" s="360">
        <v>1.1681923028441963</v>
      </c>
      <c r="AG121" s="360">
        <v>413.37244978925349</v>
      </c>
      <c r="AH121" s="360">
        <v>559.34441130326525</v>
      </c>
      <c r="AI121" s="360">
        <v>0.3658440559164034</v>
      </c>
      <c r="AJ121" s="360">
        <v>1.2241046598457361</v>
      </c>
      <c r="AK121" s="360">
        <v>1.0570332861048435</v>
      </c>
      <c r="AL121" s="360">
        <v>0.3841528619970751</v>
      </c>
      <c r="AM121" s="360">
        <v>1.1681923028441963</v>
      </c>
      <c r="AN121" s="360">
        <v>413.37244978925349</v>
      </c>
      <c r="AO121" s="360">
        <f t="shared" si="3"/>
        <v>1</v>
      </c>
      <c r="AP121" s="360">
        <f t="shared" si="4"/>
        <v>1</v>
      </c>
      <c r="AQ121" s="360">
        <f t="shared" si="5"/>
        <v>1</v>
      </c>
    </row>
    <row r="122" spans="1:43">
      <c r="A122" s="360" t="s">
        <v>1084</v>
      </c>
      <c r="B122" t="s">
        <v>1075</v>
      </c>
      <c r="C122">
        <v>1</v>
      </c>
      <c r="D122" t="s">
        <v>1078</v>
      </c>
      <c r="E122" t="s">
        <v>1079</v>
      </c>
      <c r="F122" s="360">
        <v>2</v>
      </c>
      <c r="G122" s="360" t="str">
        <f>CONCATENATE(A122," ",B122," ",C122," ","inf+"," ",FanUpsizes!D122," ",FanUpsizes!F122)</f>
        <v>1.5ACH Percentile 1 inf+ New 2</v>
      </c>
      <c r="H122" s="360">
        <v>3.8931217165331745E-2</v>
      </c>
      <c r="I122" s="360">
        <v>0.28734631758457835</v>
      </c>
      <c r="J122" s="360">
        <v>1.1112619017508054</v>
      </c>
      <c r="K122" s="360">
        <v>1536.2202101053872</v>
      </c>
      <c r="L122" s="360">
        <v>0.22855307547948103</v>
      </c>
      <c r="M122" s="360">
        <v>1.8622344587396478</v>
      </c>
      <c r="N122" s="360">
        <v>2.9349965978986616</v>
      </c>
      <c r="O122" s="360">
        <v>0.64625953854749596</v>
      </c>
      <c r="P122" s="360">
        <v>1.1112619928714089</v>
      </c>
      <c r="Q122" s="360">
        <v>-423.06690916132339</v>
      </c>
      <c r="R122" s="360">
        <v>1581.5667118371866</v>
      </c>
      <c r="S122" s="360">
        <v>0.16456605781390998</v>
      </c>
      <c r="T122" s="360">
        <v>2.5090873164355538</v>
      </c>
      <c r="U122" s="360">
        <v>4.95450679938814</v>
      </c>
      <c r="V122" s="360">
        <v>0.7637573014404494</v>
      </c>
      <c r="W122" s="360">
        <v>1.1112619044367649</v>
      </c>
      <c r="X122" s="360">
        <v>-2242.5345154059173</v>
      </c>
      <c r="Y122" s="360">
        <v>0.29117041601972188</v>
      </c>
      <c r="Z122" s="360">
        <v>1.096758663223059</v>
      </c>
      <c r="AA122" s="360">
        <v>1573.6781559477677</v>
      </c>
      <c r="AB122" s="360">
        <v>0.23114590386642742</v>
      </c>
      <c r="AC122" s="360">
        <v>1.8487487386490491</v>
      </c>
      <c r="AD122" s="360">
        <v>3.0436038678797059</v>
      </c>
      <c r="AE122" s="360">
        <v>0.67056484942186079</v>
      </c>
      <c r="AF122" s="360">
        <v>1.0967595178307497</v>
      </c>
      <c r="AG122" s="360">
        <v>-485.45485619401171</v>
      </c>
      <c r="AH122" s="360">
        <v>1618.7798126552166</v>
      </c>
      <c r="AI122" s="360">
        <v>0.16800851081040846</v>
      </c>
      <c r="AJ122" s="360">
        <v>2.4629361746036271</v>
      </c>
      <c r="AK122" s="360">
        <v>5.1394267621433611</v>
      </c>
      <c r="AL122" s="360">
        <v>0.79253634652785632</v>
      </c>
      <c r="AM122" s="360">
        <v>1.0967588109978772</v>
      </c>
      <c r="AN122" s="360">
        <v>-2371.8138664853345</v>
      </c>
      <c r="AO122" s="360">
        <f t="shared" si="3"/>
        <v>1</v>
      </c>
      <c r="AP122" s="360">
        <f t="shared" si="4"/>
        <v>1</v>
      </c>
      <c r="AQ122" s="360">
        <f t="shared" si="5"/>
        <v>1</v>
      </c>
    </row>
    <row r="123" spans="1:43">
      <c r="A123" s="360" t="s">
        <v>1084</v>
      </c>
      <c r="B123" t="s">
        <v>1074</v>
      </c>
      <c r="C123">
        <v>1</v>
      </c>
      <c r="D123" t="s">
        <v>1078</v>
      </c>
      <c r="E123" t="s">
        <v>1079</v>
      </c>
      <c r="F123" s="360">
        <v>2</v>
      </c>
      <c r="G123" s="360" t="str">
        <f>CONCATENATE(A123," ",B123," ",C123," ","inf+"," ",FanUpsizes!D123," ",FanUpsizes!F123)</f>
        <v>1.5ACH Infiltration 1 inf+ New 2</v>
      </c>
      <c r="H123" s="360">
        <v>3.8931217165331745E-2</v>
      </c>
      <c r="I123" s="360">
        <v>0.28734631758457835</v>
      </c>
      <c r="J123" s="360">
        <v>1.1112619017508054</v>
      </c>
      <c r="K123" s="360">
        <v>0</v>
      </c>
      <c r="L123" s="360">
        <v>0.28734631758457835</v>
      </c>
      <c r="M123" s="360">
        <v>1.1112619017508054</v>
      </c>
      <c r="N123" s="360">
        <v>1</v>
      </c>
      <c r="O123" s="360">
        <v>0.28734631758457835</v>
      </c>
      <c r="P123" s="360">
        <v>1.1112619017508054</v>
      </c>
      <c r="Q123" s="360">
        <v>0</v>
      </c>
      <c r="R123" s="360">
        <v>0</v>
      </c>
      <c r="S123" s="360">
        <v>0.28734631758457835</v>
      </c>
      <c r="T123" s="360">
        <v>1.1112619017508054</v>
      </c>
      <c r="U123" s="360">
        <v>1</v>
      </c>
      <c r="V123" s="360">
        <v>0.28734631758457835</v>
      </c>
      <c r="W123" s="360">
        <v>1.1112619017508054</v>
      </c>
      <c r="X123" s="360">
        <v>0</v>
      </c>
      <c r="Y123" s="360">
        <v>0.29117041601972188</v>
      </c>
      <c r="Z123" s="360">
        <v>1.096758663223059</v>
      </c>
      <c r="AA123" s="360">
        <v>0</v>
      </c>
      <c r="AB123" s="360">
        <v>0.29117041601972188</v>
      </c>
      <c r="AC123" s="360">
        <v>1.096758663223059</v>
      </c>
      <c r="AD123" s="360">
        <v>1</v>
      </c>
      <c r="AE123" s="360">
        <v>0.29117041601972188</v>
      </c>
      <c r="AF123" s="360">
        <v>1.096758663223059</v>
      </c>
      <c r="AG123" s="360">
        <v>0</v>
      </c>
      <c r="AH123" s="360">
        <v>0</v>
      </c>
      <c r="AI123" s="360">
        <v>0.29117041601972188</v>
      </c>
      <c r="AJ123" s="360">
        <v>1.096758663223059</v>
      </c>
      <c r="AK123" s="360">
        <v>1</v>
      </c>
      <c r="AL123" s="360">
        <v>0.29117041601972188</v>
      </c>
      <c r="AM123" s="360">
        <v>1.096758663223059</v>
      </c>
      <c r="AN123" s="360">
        <v>0</v>
      </c>
      <c r="AO123" s="360">
        <f t="shared" si="3"/>
        <v>1</v>
      </c>
      <c r="AP123" s="360">
        <f t="shared" si="4"/>
        <v>0</v>
      </c>
      <c r="AQ123" s="360">
        <f t="shared" si="5"/>
        <v>0</v>
      </c>
    </row>
    <row r="124" spans="1:43">
      <c r="A124" s="360" t="s">
        <v>1084</v>
      </c>
      <c r="B124" t="s">
        <v>1076</v>
      </c>
      <c r="C124">
        <v>1</v>
      </c>
      <c r="D124" t="s">
        <v>1078</v>
      </c>
      <c r="E124" t="s">
        <v>1079</v>
      </c>
      <c r="F124" s="360">
        <v>2</v>
      </c>
      <c r="G124" s="360" t="str">
        <f>CONCATENATE(A124," ",B124," ",C124," ","inf+"," ",FanUpsizes!D124," ",FanUpsizes!F124)</f>
        <v>1.5ACH 5C 1 inf+ New 2</v>
      </c>
      <c r="H124" s="360">
        <v>3.8931217165331745E-2</v>
      </c>
      <c r="I124" s="360">
        <v>0.28734631758457835</v>
      </c>
      <c r="J124" s="360">
        <v>1.1112619017508054</v>
      </c>
      <c r="K124" s="360">
        <v>548.12875068781591</v>
      </c>
      <c r="L124" s="360">
        <v>0.27682166468811453</v>
      </c>
      <c r="M124" s="360">
        <v>1.1965796911907594</v>
      </c>
      <c r="N124" s="360">
        <v>1.0824004037204977</v>
      </c>
      <c r="O124" s="360">
        <v>0.29940161120533731</v>
      </c>
      <c r="P124" s="360">
        <v>1.1112741966337196</v>
      </c>
      <c r="Q124" s="360">
        <v>365.82904067044484</v>
      </c>
      <c r="R124" s="360">
        <v>548.12875068781591</v>
      </c>
      <c r="S124" s="360">
        <v>0.27682166468811453</v>
      </c>
      <c r="T124" s="360">
        <v>1.1965796911907594</v>
      </c>
      <c r="U124" s="360">
        <v>1.0824004037204977</v>
      </c>
      <c r="V124" s="360">
        <v>0.29940161120533731</v>
      </c>
      <c r="W124" s="360">
        <v>1.1112741966337196</v>
      </c>
      <c r="X124" s="360">
        <v>365.82904067044484</v>
      </c>
      <c r="Y124" s="360">
        <v>0.29117041601972188</v>
      </c>
      <c r="Z124" s="360">
        <v>1.096758663223059</v>
      </c>
      <c r="AA124" s="360">
        <v>564.68287000899977</v>
      </c>
      <c r="AB124" s="360">
        <v>0.2803429925826661</v>
      </c>
      <c r="AC124" s="360">
        <v>1.1820645523781395</v>
      </c>
      <c r="AD124" s="360">
        <v>1.0856479677874604</v>
      </c>
      <c r="AE124" s="360">
        <v>0.30354056168407895</v>
      </c>
      <c r="AF124" s="360">
        <v>1.0967625731864863</v>
      </c>
      <c r="AG124" s="360">
        <v>377.98047274119574</v>
      </c>
      <c r="AH124" s="360">
        <v>564.68287000899977</v>
      </c>
      <c r="AI124" s="360">
        <v>0.2803429925826661</v>
      </c>
      <c r="AJ124" s="360">
        <v>1.1820645523781395</v>
      </c>
      <c r="AK124" s="360">
        <v>1.0856479677874604</v>
      </c>
      <c r="AL124" s="360">
        <v>0.30354056168407895</v>
      </c>
      <c r="AM124" s="360">
        <v>1.0967625731864863</v>
      </c>
      <c r="AN124" s="360">
        <v>377.98047274119574</v>
      </c>
      <c r="AO124" s="360">
        <f t="shared" si="3"/>
        <v>1</v>
      </c>
      <c r="AP124" s="360">
        <f t="shared" si="4"/>
        <v>1</v>
      </c>
      <c r="AQ124" s="360">
        <f t="shared" si="5"/>
        <v>1</v>
      </c>
    </row>
    <row r="125" spans="1:43">
      <c r="A125" s="360" t="s">
        <v>1084</v>
      </c>
      <c r="B125" t="s">
        <v>1075</v>
      </c>
      <c r="C125">
        <v>2</v>
      </c>
      <c r="D125" t="s">
        <v>1078</v>
      </c>
      <c r="E125" t="s">
        <v>1079</v>
      </c>
      <c r="F125" s="360">
        <v>2</v>
      </c>
      <c r="G125" s="360" t="str">
        <f>CONCATENATE(A125," ",B125," ",C125," ","inf+"," ",FanUpsizes!D125," ",FanUpsizes!F125)</f>
        <v>1.5ACH Percentile 2 inf+ New 2</v>
      </c>
      <c r="H125" s="360">
        <v>3.7546539266083465E-2</v>
      </c>
      <c r="I125" s="360">
        <v>0.2772531201895852</v>
      </c>
      <c r="J125" s="360">
        <v>1.1517127759625481</v>
      </c>
      <c r="K125" s="360">
        <v>1354.7973229335137</v>
      </c>
      <c r="L125" s="360">
        <v>0.22512425178879505</v>
      </c>
      <c r="M125" s="360">
        <v>1.7412432623596077</v>
      </c>
      <c r="N125" s="360">
        <v>2.1184604707920371</v>
      </c>
      <c r="O125" s="360">
        <v>0.45791597869924006</v>
      </c>
      <c r="P125" s="360">
        <v>1.151712945361248</v>
      </c>
      <c r="Q125" s="360">
        <v>262.91283450853632</v>
      </c>
      <c r="R125" s="360">
        <v>1397.7527917634882</v>
      </c>
      <c r="S125" s="360">
        <v>0.1649474393265018</v>
      </c>
      <c r="T125" s="360">
        <v>2.3231818584582404</v>
      </c>
      <c r="U125" s="360">
        <v>3.522386569508611</v>
      </c>
      <c r="V125" s="360">
        <v>0.5318513502729536</v>
      </c>
      <c r="W125" s="360">
        <v>1.1517129404509638</v>
      </c>
      <c r="X125" s="360">
        <v>-953.53286699389525</v>
      </c>
      <c r="Y125" s="360">
        <v>0.2842894435642736</v>
      </c>
      <c r="Z125" s="360">
        <v>1.1235309924273758</v>
      </c>
      <c r="AA125" s="360">
        <v>1419.6448754199946</v>
      </c>
      <c r="AB125" s="360">
        <v>0.22996989324276393</v>
      </c>
      <c r="AC125" s="360">
        <v>1.7162367397298923</v>
      </c>
      <c r="AD125" s="360">
        <v>2.2247563995561643</v>
      </c>
      <c r="AE125" s="360">
        <v>0.48229045889968741</v>
      </c>
      <c r="AF125" s="360">
        <v>1.1235314712248123</v>
      </c>
      <c r="AG125" s="360">
        <v>238.84317885018547</v>
      </c>
      <c r="AH125" s="360">
        <v>1462.8139564255493</v>
      </c>
      <c r="AI125" s="360">
        <v>0.17007001154807488</v>
      </c>
      <c r="AJ125" s="360">
        <v>2.266184315854459</v>
      </c>
      <c r="AK125" s="360">
        <v>3.7017893116969476</v>
      </c>
      <c r="AL125" s="360">
        <v>0.56006868133438248</v>
      </c>
      <c r="AM125" s="360">
        <v>1.1235324330680214</v>
      </c>
      <c r="AN125" s="360">
        <v>-1036.2429974855791</v>
      </c>
      <c r="AO125" s="360">
        <f t="shared" si="3"/>
        <v>1</v>
      </c>
      <c r="AP125" s="360">
        <f t="shared" si="4"/>
        <v>1</v>
      </c>
      <c r="AQ125" s="360">
        <f t="shared" si="5"/>
        <v>1</v>
      </c>
    </row>
    <row r="126" spans="1:43">
      <c r="A126" s="360" t="s">
        <v>1084</v>
      </c>
      <c r="B126" t="s">
        <v>1074</v>
      </c>
      <c r="C126">
        <v>2</v>
      </c>
      <c r="D126" t="s">
        <v>1078</v>
      </c>
      <c r="E126" t="s">
        <v>1079</v>
      </c>
      <c r="F126" s="360">
        <v>2</v>
      </c>
      <c r="G126" s="360" t="str">
        <f>CONCATENATE(A126," ",B126," ",C126," ","inf+"," ",FanUpsizes!D126," ",FanUpsizes!F126)</f>
        <v>1.5ACH Infiltration 2 inf+ New 2</v>
      </c>
      <c r="H126" s="360">
        <v>3.7546539266083465E-2</v>
      </c>
      <c r="I126" s="360">
        <v>0.2772531201895852</v>
      </c>
      <c r="J126" s="360">
        <v>1.1517127759625481</v>
      </c>
      <c r="K126" s="360">
        <v>0</v>
      </c>
      <c r="L126" s="360">
        <v>0.2772531201895852</v>
      </c>
      <c r="M126" s="360">
        <v>1.1517127759625481</v>
      </c>
      <c r="N126" s="360">
        <v>1</v>
      </c>
      <c r="O126" s="360">
        <v>0.2772531201895852</v>
      </c>
      <c r="P126" s="360">
        <v>1.1517127759625481</v>
      </c>
      <c r="Q126" s="360">
        <v>0</v>
      </c>
      <c r="R126" s="360">
        <v>0</v>
      </c>
      <c r="S126" s="360">
        <v>0.2772531201895852</v>
      </c>
      <c r="T126" s="360">
        <v>1.1517127759625481</v>
      </c>
      <c r="U126" s="360">
        <v>1</v>
      </c>
      <c r="V126" s="360">
        <v>0.2772531201895852</v>
      </c>
      <c r="W126" s="360">
        <v>1.1517127759625481</v>
      </c>
      <c r="X126" s="360">
        <v>0</v>
      </c>
      <c r="Y126" s="360">
        <v>0.2842894435642736</v>
      </c>
      <c r="Z126" s="360">
        <v>1.1235309924273758</v>
      </c>
      <c r="AA126" s="360">
        <v>0</v>
      </c>
      <c r="AB126" s="360">
        <v>0.2842894435642736</v>
      </c>
      <c r="AC126" s="360">
        <v>1.1235309924273758</v>
      </c>
      <c r="AD126" s="360">
        <v>1</v>
      </c>
      <c r="AE126" s="360">
        <v>0.2842894435642736</v>
      </c>
      <c r="AF126" s="360">
        <v>1.1235309924273758</v>
      </c>
      <c r="AG126" s="360">
        <v>0</v>
      </c>
      <c r="AH126" s="360">
        <v>0</v>
      </c>
      <c r="AI126" s="360">
        <v>0.2842894435642736</v>
      </c>
      <c r="AJ126" s="360">
        <v>1.1235309924273758</v>
      </c>
      <c r="AK126" s="360">
        <v>1</v>
      </c>
      <c r="AL126" s="360">
        <v>0.2842894435642736</v>
      </c>
      <c r="AM126" s="360">
        <v>1.1235309924273758</v>
      </c>
      <c r="AN126" s="360">
        <v>0</v>
      </c>
      <c r="AO126" s="360">
        <f t="shared" si="3"/>
        <v>1</v>
      </c>
      <c r="AP126" s="360">
        <f t="shared" si="4"/>
        <v>0</v>
      </c>
      <c r="AQ126" s="360">
        <f t="shared" si="5"/>
        <v>0</v>
      </c>
    </row>
    <row r="127" spans="1:43">
      <c r="A127" s="360" t="s">
        <v>1084</v>
      </c>
      <c r="B127" t="s">
        <v>1076</v>
      </c>
      <c r="C127">
        <v>2</v>
      </c>
      <c r="D127" t="s">
        <v>1078</v>
      </c>
      <c r="E127" t="s">
        <v>1079</v>
      </c>
      <c r="F127" s="360">
        <v>2</v>
      </c>
      <c r="G127" s="360" t="str">
        <f>CONCATENATE(A127," ",B127," ",C127," ","inf+"," ",FanUpsizes!D127," ",FanUpsizes!F127)</f>
        <v>1.5ACH 5C 2 inf+ New 2</v>
      </c>
      <c r="H127" s="360">
        <v>3.7546539266083465E-2</v>
      </c>
      <c r="I127" s="360">
        <v>0.2772531201895852</v>
      </c>
      <c r="J127" s="360">
        <v>1.1517127759625481</v>
      </c>
      <c r="K127" s="360">
        <v>478.80331710100228</v>
      </c>
      <c r="L127" s="360">
        <v>0.26804376339008285</v>
      </c>
      <c r="M127" s="360">
        <v>1.2236260500139973</v>
      </c>
      <c r="N127" s="360">
        <v>1.0669216888931103</v>
      </c>
      <c r="O127" s="360">
        <v>0.28567926341278843</v>
      </c>
      <c r="P127" s="360">
        <v>1.1517134922344845</v>
      </c>
      <c r="Q127" s="360">
        <v>336.75670288568006</v>
      </c>
      <c r="R127" s="360">
        <v>478.80331710100228</v>
      </c>
      <c r="S127" s="360">
        <v>0.26804376339008285</v>
      </c>
      <c r="T127" s="360">
        <v>1.2236260500139973</v>
      </c>
      <c r="U127" s="360">
        <v>1.0669216888931103</v>
      </c>
      <c r="V127" s="360">
        <v>0.28567926341278843</v>
      </c>
      <c r="W127" s="360">
        <v>1.1517134922344845</v>
      </c>
      <c r="X127" s="360">
        <v>336.75670288568006</v>
      </c>
      <c r="Y127" s="360">
        <v>0.2842894435642736</v>
      </c>
      <c r="Z127" s="360">
        <v>1.1235309924273758</v>
      </c>
      <c r="AA127" s="360">
        <v>506.37991619470353</v>
      </c>
      <c r="AB127" s="360">
        <v>0.27457023059294527</v>
      </c>
      <c r="AC127" s="360">
        <v>1.1957098883420709</v>
      </c>
      <c r="AD127" s="360">
        <v>1.0720306596415914</v>
      </c>
      <c r="AE127" s="360">
        <v>0.29317879544845771</v>
      </c>
      <c r="AF127" s="360">
        <v>1.1235331634555605</v>
      </c>
      <c r="AG127" s="360">
        <v>356.97047033985791</v>
      </c>
      <c r="AH127" s="360">
        <v>506.37991619470353</v>
      </c>
      <c r="AI127" s="360">
        <v>0.27457023059294527</v>
      </c>
      <c r="AJ127" s="360">
        <v>1.1957098883420709</v>
      </c>
      <c r="AK127" s="360">
        <v>1.0720306596415914</v>
      </c>
      <c r="AL127" s="360">
        <v>0.29317879544845771</v>
      </c>
      <c r="AM127" s="360">
        <v>1.1235331634555605</v>
      </c>
      <c r="AN127" s="360">
        <v>356.97047033985791</v>
      </c>
      <c r="AO127" s="360">
        <f t="shared" si="3"/>
        <v>1</v>
      </c>
      <c r="AP127" s="360">
        <f t="shared" si="4"/>
        <v>1</v>
      </c>
      <c r="AQ127" s="360">
        <f t="shared" si="5"/>
        <v>1</v>
      </c>
    </row>
    <row r="128" spans="1:43">
      <c r="A128" s="360" t="s">
        <v>1084</v>
      </c>
      <c r="B128" t="s">
        <v>1075</v>
      </c>
      <c r="C128">
        <v>1</v>
      </c>
      <c r="D128" t="s">
        <v>1080</v>
      </c>
      <c r="E128" t="s">
        <v>1079</v>
      </c>
      <c r="F128" s="360">
        <v>2</v>
      </c>
      <c r="G128" s="360" t="str">
        <f>CONCATENATE(A128," ",B128," ",C128," ","inf+"," ",FanUpsizes!D128," ",FanUpsizes!F128)</f>
        <v>1.5ACH Percentile 1 inf+ Existing 2</v>
      </c>
      <c r="H128" s="360">
        <v>5.5181217165331746E-2</v>
      </c>
      <c r="I128" s="360">
        <v>0.40728320204029206</v>
      </c>
      <c r="J128" s="360">
        <v>1.0785104834093182</v>
      </c>
      <c r="K128" s="360">
        <v>2327.6187840222187</v>
      </c>
      <c r="L128" s="360">
        <v>0.31865755298660747</v>
      </c>
      <c r="M128" s="360">
        <v>2.1044976539322908</v>
      </c>
      <c r="N128" s="360">
        <v>7.2488433664218768</v>
      </c>
      <c r="O128" s="360">
        <v>2.2306400921847982</v>
      </c>
      <c r="P128" s="360">
        <v>1.1487573605343218</v>
      </c>
      <c r="Q128" s="360">
        <v>-6640.6953133916986</v>
      </c>
      <c r="R128" s="360">
        <v>2392.1003074408327</v>
      </c>
      <c r="S128" s="360">
        <v>0.2275726307846985</v>
      </c>
      <c r="T128" s="360">
        <v>2.7890563585221604</v>
      </c>
      <c r="U128" s="360">
        <v>7.2488433664218768</v>
      </c>
      <c r="V128" s="360">
        <v>1.5702411397683638</v>
      </c>
      <c r="W128" s="360">
        <v>1.2517866524059211</v>
      </c>
      <c r="X128" s="360">
        <v>-6173.2788501018695</v>
      </c>
      <c r="Y128" s="360">
        <v>0.40999805115386184</v>
      </c>
      <c r="Z128" s="360">
        <v>1.0713955406264883</v>
      </c>
      <c r="AA128" s="360">
        <v>2354.3144008866611</v>
      </c>
      <c r="AB128" s="360">
        <v>0.32049690052139562</v>
      </c>
      <c r="AC128" s="360">
        <v>2.0977174548074586</v>
      </c>
      <c r="AD128" s="360">
        <v>7.2488433664218768</v>
      </c>
      <c r="AE128" s="360">
        <v>2.2308952311840904</v>
      </c>
      <c r="AF128" s="360">
        <v>1.1487402499663764</v>
      </c>
      <c r="AG128" s="360">
        <v>-6604.7369850527002</v>
      </c>
      <c r="AH128" s="360">
        <v>2418.5084460013818</v>
      </c>
      <c r="AI128" s="360">
        <v>0.23022227947576321</v>
      </c>
      <c r="AJ128" s="360">
        <v>2.7602029871937872</v>
      </c>
      <c r="AK128" s="360">
        <v>7.2488433664218768</v>
      </c>
      <c r="AL128" s="360">
        <v>1.5706147756193316</v>
      </c>
      <c r="AM128" s="360">
        <v>1.2516918327670525</v>
      </c>
      <c r="AN128" s="360">
        <v>-6137.3619565589679</v>
      </c>
      <c r="AO128" s="360">
        <f t="shared" si="3"/>
        <v>0</v>
      </c>
      <c r="AP128" s="360">
        <f t="shared" si="4"/>
        <v>1</v>
      </c>
      <c r="AQ128" s="360">
        <f t="shared" si="5"/>
        <v>1</v>
      </c>
    </row>
    <row r="129" spans="1:43">
      <c r="A129" s="360" t="s">
        <v>1084</v>
      </c>
      <c r="B129" t="s">
        <v>1074</v>
      </c>
      <c r="C129">
        <v>1</v>
      </c>
      <c r="D129" t="s">
        <v>1080</v>
      </c>
      <c r="E129" t="s">
        <v>1079</v>
      </c>
      <c r="F129" s="360">
        <v>2</v>
      </c>
      <c r="G129" s="360" t="str">
        <f>CONCATENATE(A129," ",B129," ",C129," ","inf+"," ",FanUpsizes!D129," ",FanUpsizes!F129)</f>
        <v>1.5ACH Infiltration 1 inf+ Existing 2</v>
      </c>
      <c r="H129" s="360">
        <v>5.5181217165331746E-2</v>
      </c>
      <c r="I129" s="360">
        <v>0.40728320204029206</v>
      </c>
      <c r="J129" s="360">
        <v>1.0785104834093182</v>
      </c>
      <c r="K129" s="360">
        <v>0</v>
      </c>
      <c r="L129" s="360">
        <v>0.40728320204029206</v>
      </c>
      <c r="M129" s="360">
        <v>1.0785104834093182</v>
      </c>
      <c r="N129" s="360">
        <v>1</v>
      </c>
      <c r="O129" s="360">
        <v>0.40728320204029206</v>
      </c>
      <c r="P129" s="360">
        <v>1.0785104834093182</v>
      </c>
      <c r="Q129" s="360">
        <v>0</v>
      </c>
      <c r="R129" s="360">
        <v>0</v>
      </c>
      <c r="S129" s="360">
        <v>0.40728320204029206</v>
      </c>
      <c r="T129" s="360">
        <v>1.0785104834093182</v>
      </c>
      <c r="U129" s="360">
        <v>1</v>
      </c>
      <c r="V129" s="360">
        <v>0.40728320204029206</v>
      </c>
      <c r="W129" s="360">
        <v>1.0785104834093182</v>
      </c>
      <c r="X129" s="360">
        <v>0</v>
      </c>
      <c r="Y129" s="360">
        <v>0.40999805115386184</v>
      </c>
      <c r="Z129" s="360">
        <v>1.0713955406264883</v>
      </c>
      <c r="AA129" s="360">
        <v>0</v>
      </c>
      <c r="AB129" s="360">
        <v>0.40999805115386184</v>
      </c>
      <c r="AC129" s="360">
        <v>1.0713955406264883</v>
      </c>
      <c r="AD129" s="360">
        <v>1</v>
      </c>
      <c r="AE129" s="360">
        <v>0.40999805115386184</v>
      </c>
      <c r="AF129" s="360">
        <v>1.0713955406264883</v>
      </c>
      <c r="AG129" s="360">
        <v>0</v>
      </c>
      <c r="AH129" s="360">
        <v>0</v>
      </c>
      <c r="AI129" s="360">
        <v>0.40999805115386184</v>
      </c>
      <c r="AJ129" s="360">
        <v>1.0713955406264883</v>
      </c>
      <c r="AK129" s="360">
        <v>1</v>
      </c>
      <c r="AL129" s="360">
        <v>0.40999805115386184</v>
      </c>
      <c r="AM129" s="360">
        <v>1.0713955406264883</v>
      </c>
      <c r="AN129" s="360">
        <v>0</v>
      </c>
      <c r="AO129" s="360">
        <f t="shared" si="3"/>
        <v>1</v>
      </c>
      <c r="AP129" s="360">
        <f t="shared" si="4"/>
        <v>0</v>
      </c>
      <c r="AQ129" s="360">
        <f t="shared" si="5"/>
        <v>0</v>
      </c>
    </row>
    <row r="130" spans="1:43">
      <c r="A130" s="360" t="s">
        <v>1084</v>
      </c>
      <c r="B130" t="s">
        <v>1076</v>
      </c>
      <c r="C130">
        <v>1</v>
      </c>
      <c r="D130" t="s">
        <v>1080</v>
      </c>
      <c r="E130" t="s">
        <v>1079</v>
      </c>
      <c r="F130" s="360">
        <v>2</v>
      </c>
      <c r="G130" s="360" t="str">
        <f>CONCATENATE(A130," ",B130," ",C130," ","inf+"," ",FanUpsizes!D130," ",FanUpsizes!F130)</f>
        <v>1.5ACH 5C 1 inf+ Existing 2</v>
      </c>
      <c r="H130" s="360">
        <v>5.5181217165331746E-2</v>
      </c>
      <c r="I130" s="360">
        <v>0.40728320204029206</v>
      </c>
      <c r="J130" s="360">
        <v>1.0785104834093182</v>
      </c>
      <c r="K130" s="360">
        <v>838.7228166114794</v>
      </c>
      <c r="L130" s="360">
        <v>0.39120136459605692</v>
      </c>
      <c r="M130" s="360">
        <v>1.1911005311697958</v>
      </c>
      <c r="N130" s="360">
        <v>1.1150566006235805</v>
      </c>
      <c r="O130" s="360">
        <v>0.4358901346278124</v>
      </c>
      <c r="P130" s="360">
        <v>1.0785124808069801</v>
      </c>
      <c r="Q130" s="360">
        <v>477.92701881895465</v>
      </c>
      <c r="R130" s="360">
        <v>838.7228166114794</v>
      </c>
      <c r="S130" s="360">
        <v>0.39120136459605692</v>
      </c>
      <c r="T130" s="360">
        <v>1.1911005311697958</v>
      </c>
      <c r="U130" s="360">
        <v>1.1150566006235805</v>
      </c>
      <c r="V130" s="360">
        <v>0.4358901346278124</v>
      </c>
      <c r="W130" s="360">
        <v>1.0785124808069801</v>
      </c>
      <c r="X130" s="360">
        <v>477.92701881895465</v>
      </c>
      <c r="Y130" s="360">
        <v>0.40999805115386184</v>
      </c>
      <c r="Z130" s="360">
        <v>1.0713955406264883</v>
      </c>
      <c r="AA130" s="360">
        <v>850.57115036736855</v>
      </c>
      <c r="AB130" s="360">
        <v>0.39369985117272555</v>
      </c>
      <c r="AC130" s="360">
        <v>1.1839435604455237</v>
      </c>
      <c r="AD130" s="360">
        <v>1.1172963113547059</v>
      </c>
      <c r="AE130" s="360">
        <v>0.4389987888930732</v>
      </c>
      <c r="AF130" s="360">
        <v>1.0713978186249034</v>
      </c>
      <c r="AG130" s="360">
        <v>485.41074452429041</v>
      </c>
      <c r="AH130" s="360">
        <v>850.57115036736855</v>
      </c>
      <c r="AI130" s="360">
        <v>0.39369985117272555</v>
      </c>
      <c r="AJ130" s="360">
        <v>1.1839435604455237</v>
      </c>
      <c r="AK130" s="360">
        <v>1.1172963113547059</v>
      </c>
      <c r="AL130" s="360">
        <v>0.4389987888930732</v>
      </c>
      <c r="AM130" s="360">
        <v>1.0713978186249034</v>
      </c>
      <c r="AN130" s="360">
        <v>485.41074452429041</v>
      </c>
      <c r="AO130" s="360">
        <f t="shared" si="3"/>
        <v>1</v>
      </c>
      <c r="AP130" s="360">
        <f t="shared" si="4"/>
        <v>1</v>
      </c>
      <c r="AQ130" s="360">
        <f t="shared" si="5"/>
        <v>1</v>
      </c>
    </row>
    <row r="131" spans="1:43">
      <c r="A131" s="360" t="s">
        <v>1084</v>
      </c>
      <c r="B131" t="s">
        <v>1075</v>
      </c>
      <c r="C131">
        <v>2</v>
      </c>
      <c r="D131" t="s">
        <v>1080</v>
      </c>
      <c r="E131" t="s">
        <v>1079</v>
      </c>
      <c r="F131" s="360">
        <v>2</v>
      </c>
      <c r="G131" s="360" t="str">
        <f>CONCATENATE(A131," ",B131," ",C131," ","inf+"," ",FanUpsizes!D131," ",FanUpsizes!F131)</f>
        <v>1.5ACH Percentile 2 inf+ Existing 2</v>
      </c>
      <c r="H131" s="360">
        <v>5.3796539266083465E-2</v>
      </c>
      <c r="I131" s="360">
        <v>0.39706511050560606</v>
      </c>
      <c r="J131" s="360">
        <v>1.1062554258642248</v>
      </c>
      <c r="K131" s="360">
        <v>2143.1337839920693</v>
      </c>
      <c r="L131" s="360">
        <v>0.31516653248697812</v>
      </c>
      <c r="M131" s="360">
        <v>1.9351026178322335</v>
      </c>
      <c r="N131" s="360">
        <v>4.1856536983407615</v>
      </c>
      <c r="O131" s="360">
        <v>1.2654341042530033</v>
      </c>
      <c r="P131" s="360">
        <v>1.10625545401176</v>
      </c>
      <c r="Q131" s="360">
        <v>-2314.1757810627714</v>
      </c>
      <c r="R131" s="360">
        <v>2205.7976911179426</v>
      </c>
      <c r="S131" s="360">
        <v>0.22674963257720843</v>
      </c>
      <c r="T131" s="360">
        <v>2.5730260699286984</v>
      </c>
      <c r="U131" s="360">
        <v>7.0388172951456704</v>
      </c>
      <c r="V131" s="360">
        <v>1.4913479374145222</v>
      </c>
      <c r="W131" s="360">
        <v>1.1062554548294548</v>
      </c>
      <c r="X131" s="360">
        <v>-5863.7866725603581</v>
      </c>
      <c r="Y131" s="360">
        <v>0.40212166392828752</v>
      </c>
      <c r="Z131" s="360">
        <v>1.0924412285353848</v>
      </c>
      <c r="AA131" s="360">
        <v>2191.2422686498576</v>
      </c>
      <c r="AB131" s="360">
        <v>0.3186296628477282</v>
      </c>
      <c r="AC131" s="360">
        <v>1.9225692161611907</v>
      </c>
      <c r="AD131" s="360">
        <v>4.4200687360931985</v>
      </c>
      <c r="AE131" s="360">
        <v>1.3361508690521293</v>
      </c>
      <c r="AF131" s="360">
        <v>1.0924412420161596</v>
      </c>
      <c r="AG131" s="360">
        <v>-2578.7758553825379</v>
      </c>
      <c r="AH131" s="360">
        <v>2253.5742632392034</v>
      </c>
      <c r="AI131" s="360">
        <v>0.23136119061675792</v>
      </c>
      <c r="AJ131" s="360">
        <v>2.5287444513865358</v>
      </c>
      <c r="AK131" s="360">
        <v>7.4328439853443875</v>
      </c>
      <c r="AL131" s="360">
        <v>1.5745818565031391</v>
      </c>
      <c r="AM131" s="360">
        <v>1.0924412462160407</v>
      </c>
      <c r="AN131" s="360">
        <v>-6325.1849802469342</v>
      </c>
      <c r="AO131" s="360">
        <f t="shared" ref="AO131:AO194" si="6">IF(ROUND(P131,3)=ROUND(J131,3),1,0)</f>
        <v>1</v>
      </c>
      <c r="AP131" s="360">
        <f t="shared" ref="AP131:AP194" si="7">IF(O131&gt;L131,1,0)</f>
        <v>1</v>
      </c>
      <c r="AQ131" s="360">
        <f t="shared" ref="AQ131:AQ194" si="8">IF(I131&gt;L131,1,0)</f>
        <v>1</v>
      </c>
    </row>
    <row r="132" spans="1:43">
      <c r="A132" s="360" t="s">
        <v>1084</v>
      </c>
      <c r="B132" t="s">
        <v>1074</v>
      </c>
      <c r="C132">
        <v>2</v>
      </c>
      <c r="D132" t="s">
        <v>1080</v>
      </c>
      <c r="E132" t="s">
        <v>1079</v>
      </c>
      <c r="F132" s="360">
        <v>2</v>
      </c>
      <c r="G132" s="360" t="str">
        <f>CONCATENATE(A132," ",B132," ",C132," ","inf+"," ",FanUpsizes!D132," ",FanUpsizes!F132)</f>
        <v>1.5ACH Infiltration 2 inf+ Existing 2</v>
      </c>
      <c r="H132" s="360">
        <v>5.3796539266083465E-2</v>
      </c>
      <c r="I132" s="360">
        <v>0.39706511050560606</v>
      </c>
      <c r="J132" s="360">
        <v>1.1062554258642248</v>
      </c>
      <c r="K132" s="360">
        <v>0</v>
      </c>
      <c r="L132" s="360">
        <v>0.39706511050560606</v>
      </c>
      <c r="M132" s="360">
        <v>1.1062554258642248</v>
      </c>
      <c r="N132" s="360">
        <v>1</v>
      </c>
      <c r="O132" s="360">
        <v>0.39706511050560606</v>
      </c>
      <c r="P132" s="360">
        <v>1.1062554258642248</v>
      </c>
      <c r="Q132" s="360">
        <v>0</v>
      </c>
      <c r="R132" s="360">
        <v>0</v>
      </c>
      <c r="S132" s="360">
        <v>0.39706511050560606</v>
      </c>
      <c r="T132" s="360">
        <v>1.1062554258642248</v>
      </c>
      <c r="U132" s="360">
        <v>1</v>
      </c>
      <c r="V132" s="360">
        <v>0.39706511050560606</v>
      </c>
      <c r="W132" s="360">
        <v>1.1062554258642248</v>
      </c>
      <c r="X132" s="360">
        <v>0</v>
      </c>
      <c r="Y132" s="360">
        <v>0.40212166392828752</v>
      </c>
      <c r="Z132" s="360">
        <v>1.0924412285353848</v>
      </c>
      <c r="AA132" s="360">
        <v>0</v>
      </c>
      <c r="AB132" s="360">
        <v>0.40212166392828752</v>
      </c>
      <c r="AC132" s="360">
        <v>1.0924412285353848</v>
      </c>
      <c r="AD132" s="360">
        <v>1</v>
      </c>
      <c r="AE132" s="360">
        <v>0.40212166392828752</v>
      </c>
      <c r="AF132" s="360">
        <v>1.0924412285353848</v>
      </c>
      <c r="AG132" s="360">
        <v>0</v>
      </c>
      <c r="AH132" s="360">
        <v>0</v>
      </c>
      <c r="AI132" s="360">
        <v>0.40212166392828752</v>
      </c>
      <c r="AJ132" s="360">
        <v>1.0924412285353848</v>
      </c>
      <c r="AK132" s="360">
        <v>1</v>
      </c>
      <c r="AL132" s="360">
        <v>0.40212166392828752</v>
      </c>
      <c r="AM132" s="360">
        <v>1.0924412285353848</v>
      </c>
      <c r="AN132" s="360">
        <v>0</v>
      </c>
      <c r="AO132" s="360">
        <f t="shared" si="6"/>
        <v>1</v>
      </c>
      <c r="AP132" s="360">
        <f t="shared" si="7"/>
        <v>0</v>
      </c>
      <c r="AQ132" s="360">
        <f t="shared" si="8"/>
        <v>0</v>
      </c>
    </row>
    <row r="133" spans="1:43">
      <c r="A133" s="360" t="s">
        <v>1084</v>
      </c>
      <c r="B133" t="s">
        <v>1076</v>
      </c>
      <c r="C133">
        <v>2</v>
      </c>
      <c r="D133" t="s">
        <v>1080</v>
      </c>
      <c r="E133" t="s">
        <v>1079</v>
      </c>
      <c r="F133" s="360">
        <v>2</v>
      </c>
      <c r="G133" s="360" t="str">
        <f>CONCATENATE(A133," ",B133," ",C133," ","inf+"," ",FanUpsizes!D133," ",FanUpsizes!F133)</f>
        <v>1.5ACH 5C 2 inf+ Existing 2</v>
      </c>
      <c r="H133" s="360">
        <v>5.3796539266083465E-2</v>
      </c>
      <c r="I133" s="360">
        <v>0.39706511050560606</v>
      </c>
      <c r="J133" s="360">
        <v>1.1062554258642248</v>
      </c>
      <c r="K133" s="360">
        <v>767.56105388735352</v>
      </c>
      <c r="L133" s="360">
        <v>0.38232550947402599</v>
      </c>
      <c r="M133" s="360">
        <v>1.2043938680400581</v>
      </c>
      <c r="N133" s="360">
        <v>1.0969691714810232</v>
      </c>
      <c r="O133" s="360">
        <v>0.41904389782170842</v>
      </c>
      <c r="P133" s="360">
        <v>1.1062563027284187</v>
      </c>
      <c r="Q133" s="360">
        <v>471.11431328013197</v>
      </c>
      <c r="R133" s="360">
        <v>767.56105388735352</v>
      </c>
      <c r="S133" s="360">
        <v>0.38232550947402599</v>
      </c>
      <c r="T133" s="360">
        <v>1.2043938680400581</v>
      </c>
      <c r="U133" s="360">
        <v>1.0969691714810232</v>
      </c>
      <c r="V133" s="360">
        <v>0.41904389782170842</v>
      </c>
      <c r="W133" s="360">
        <v>1.1062563027284187</v>
      </c>
      <c r="X133" s="360">
        <v>471.11431328013197</v>
      </c>
      <c r="Y133" s="360">
        <v>0.40212166392828752</v>
      </c>
      <c r="Z133" s="360">
        <v>1.0924412285353848</v>
      </c>
      <c r="AA133" s="360">
        <v>788.44409170585732</v>
      </c>
      <c r="AB133" s="360">
        <v>0.38700147768041571</v>
      </c>
      <c r="AC133" s="360">
        <v>1.1906361649026882</v>
      </c>
      <c r="AD133" s="360">
        <v>1.1006996148968919</v>
      </c>
      <c r="AE133" s="360">
        <v>0.42471288022169823</v>
      </c>
      <c r="AF133" s="360">
        <v>1.0924418777158174</v>
      </c>
      <c r="AG133" s="360">
        <v>484.8048625027655</v>
      </c>
      <c r="AH133" s="360">
        <v>788.44409170585732</v>
      </c>
      <c r="AI133" s="360">
        <v>0.38700147768041571</v>
      </c>
      <c r="AJ133" s="360">
        <v>1.1906361649026882</v>
      </c>
      <c r="AK133" s="360">
        <v>1.1006996148968919</v>
      </c>
      <c r="AL133" s="360">
        <v>0.42471288022169823</v>
      </c>
      <c r="AM133" s="360">
        <v>1.0924418777158174</v>
      </c>
      <c r="AN133" s="360">
        <v>484.8048625027655</v>
      </c>
      <c r="AO133" s="360">
        <f t="shared" si="6"/>
        <v>1</v>
      </c>
      <c r="AP133" s="360">
        <f t="shared" si="7"/>
        <v>1</v>
      </c>
      <c r="AQ133" s="360">
        <f t="shared" si="8"/>
        <v>1</v>
      </c>
    </row>
    <row r="134" spans="1:43">
      <c r="A134" s="360" t="s">
        <v>1085</v>
      </c>
      <c r="B134" t="s">
        <v>1075</v>
      </c>
      <c r="C134">
        <v>1</v>
      </c>
      <c r="D134" t="s">
        <v>1078</v>
      </c>
      <c r="E134" t="s">
        <v>1079</v>
      </c>
      <c r="F134" s="360">
        <v>2</v>
      </c>
      <c r="G134" s="360" t="str">
        <f>CONCATENATE(A134," ",B134," ",C134," ","inf+"," ",FanUpsizes!D134," ",FanUpsizes!F134)</f>
        <v>0.6ACH Percentile 1 inf+ New 2</v>
      </c>
      <c r="H134" s="360">
        <v>4.15314868661327E-2</v>
      </c>
      <c r="I134" s="360">
        <v>0.30653685846862472</v>
      </c>
      <c r="J134" s="360">
        <v>1.0417216841279642</v>
      </c>
      <c r="K134" s="360">
        <v>1878.8539223908367</v>
      </c>
      <c r="L134" s="360">
        <v>0.23536105367539534</v>
      </c>
      <c r="M134" s="360">
        <v>2.3759742489849898</v>
      </c>
      <c r="N134" s="360">
        <v>9.6312468005132832</v>
      </c>
      <c r="O134" s="360">
        <v>2.2230298585179908</v>
      </c>
      <c r="P134" s="360">
        <v>1.2494007926356019</v>
      </c>
      <c r="Q134" s="360">
        <v>-7444.4729375584166</v>
      </c>
      <c r="R134" s="360">
        <v>1927.3851741561739</v>
      </c>
      <c r="S134" s="360">
        <v>0.16679267762864525</v>
      </c>
      <c r="T134" s="360">
        <v>3.1949094877985695</v>
      </c>
      <c r="U134" s="360">
        <v>9.6312468005132832</v>
      </c>
      <c r="V134" s="360">
        <v>1.5626309061015631</v>
      </c>
      <c r="W134" s="360">
        <v>1.3411181106273558</v>
      </c>
      <c r="X134" s="360">
        <v>-6977.0564742685874</v>
      </c>
      <c r="Y134" s="360">
        <v>0.30711645181832092</v>
      </c>
      <c r="Z134" s="360">
        <v>1.0397582738020428</v>
      </c>
      <c r="AA134" s="360">
        <v>1884.5596609210056</v>
      </c>
      <c r="AB134" s="360">
        <v>0.2357536383626419</v>
      </c>
      <c r="AC134" s="360">
        <v>2.3736808501815596</v>
      </c>
      <c r="AD134" s="360">
        <v>9.6312468005132832</v>
      </c>
      <c r="AE134" s="360">
        <v>2.2230706844750792</v>
      </c>
      <c r="AF134" s="360">
        <v>1.2493983814637211</v>
      </c>
      <c r="AG134" s="360">
        <v>-7436.7100122691882</v>
      </c>
      <c r="AH134" s="360">
        <v>1933.0278358072408</v>
      </c>
      <c r="AI134" s="360">
        <v>0.16736608903030717</v>
      </c>
      <c r="AJ134" s="360">
        <v>3.18406340300267</v>
      </c>
      <c r="AK134" s="360">
        <v>9.6312468005132832</v>
      </c>
      <c r="AL134" s="360">
        <v>1.5626907030179289</v>
      </c>
      <c r="AM134" s="360">
        <v>1.3411028506840297</v>
      </c>
      <c r="AN134" s="360">
        <v>-6969.3001835301129</v>
      </c>
      <c r="AO134" s="360">
        <f t="shared" si="6"/>
        <v>0</v>
      </c>
      <c r="AP134" s="360">
        <f t="shared" si="7"/>
        <v>1</v>
      </c>
      <c r="AQ134" s="360">
        <f t="shared" si="8"/>
        <v>1</v>
      </c>
    </row>
    <row r="135" spans="1:43">
      <c r="A135" s="360" t="s">
        <v>1085</v>
      </c>
      <c r="B135" t="s">
        <v>1074</v>
      </c>
      <c r="C135">
        <v>1</v>
      </c>
      <c r="D135" t="s">
        <v>1078</v>
      </c>
      <c r="E135" t="s">
        <v>1079</v>
      </c>
      <c r="F135" s="360">
        <v>2</v>
      </c>
      <c r="G135" s="360" t="str">
        <f>CONCATENATE(A135," ",B135," ",C135," ","inf+"," ",FanUpsizes!D135," ",FanUpsizes!F135)</f>
        <v>0.6ACH Infiltration 1 inf+ New 2</v>
      </c>
      <c r="H135" s="360">
        <v>4.15314868661327E-2</v>
      </c>
      <c r="I135" s="360">
        <v>0.30653685846862472</v>
      </c>
      <c r="J135" s="360">
        <v>1.0417216841279642</v>
      </c>
      <c r="K135" s="360">
        <v>0</v>
      </c>
      <c r="L135" s="360">
        <v>0.30653685846862472</v>
      </c>
      <c r="M135" s="360">
        <v>1.0417216841279642</v>
      </c>
      <c r="N135" s="360">
        <v>1</v>
      </c>
      <c r="O135" s="360">
        <v>0.30653685846862472</v>
      </c>
      <c r="P135" s="360">
        <v>1.0417216841279642</v>
      </c>
      <c r="Q135" s="360">
        <v>0</v>
      </c>
      <c r="R135" s="360">
        <v>0</v>
      </c>
      <c r="S135" s="360">
        <v>0.30653685846862472</v>
      </c>
      <c r="T135" s="360">
        <v>1.0417216841279642</v>
      </c>
      <c r="U135" s="360">
        <v>1</v>
      </c>
      <c r="V135" s="360">
        <v>0.30653685846862472</v>
      </c>
      <c r="W135" s="360">
        <v>1.0417216841279642</v>
      </c>
      <c r="X135" s="360">
        <v>0</v>
      </c>
      <c r="Y135" s="360">
        <v>0.30711645181832092</v>
      </c>
      <c r="Z135" s="360">
        <v>1.0397582738020428</v>
      </c>
      <c r="AA135" s="360">
        <v>0</v>
      </c>
      <c r="AB135" s="360">
        <v>0.30711645181832092</v>
      </c>
      <c r="AC135" s="360">
        <v>1.0397582738020428</v>
      </c>
      <c r="AD135" s="360">
        <v>1</v>
      </c>
      <c r="AE135" s="360">
        <v>0.30711645181832092</v>
      </c>
      <c r="AF135" s="360">
        <v>1.0397582738020428</v>
      </c>
      <c r="AG135" s="360">
        <v>0</v>
      </c>
      <c r="AH135" s="360">
        <v>0</v>
      </c>
      <c r="AI135" s="360">
        <v>0.30711645181832092</v>
      </c>
      <c r="AJ135" s="360">
        <v>1.0397582738020428</v>
      </c>
      <c r="AK135" s="360">
        <v>1</v>
      </c>
      <c r="AL135" s="360">
        <v>0.30711645181832092</v>
      </c>
      <c r="AM135" s="360">
        <v>1.0397582738020428</v>
      </c>
      <c r="AN135" s="360">
        <v>0</v>
      </c>
      <c r="AO135" s="360">
        <f t="shared" si="6"/>
        <v>1</v>
      </c>
      <c r="AP135" s="360">
        <f t="shared" si="7"/>
        <v>0</v>
      </c>
      <c r="AQ135" s="360">
        <f t="shared" si="8"/>
        <v>0</v>
      </c>
    </row>
    <row r="136" spans="1:43">
      <c r="A136" s="360" t="s">
        <v>1085</v>
      </c>
      <c r="B136" t="s">
        <v>1076</v>
      </c>
      <c r="C136">
        <v>1</v>
      </c>
      <c r="D136" t="s">
        <v>1078</v>
      </c>
      <c r="E136" t="s">
        <v>1079</v>
      </c>
      <c r="F136" s="360">
        <v>2</v>
      </c>
      <c r="G136" s="360" t="str">
        <f>CONCATENATE(A136," ",B136," ",C136," ","inf+"," ",FanUpsizes!D136," ",FanUpsizes!F136)</f>
        <v>0.6ACH 5C 1 inf+ New 2</v>
      </c>
      <c r="H136" s="360">
        <v>4.15314868661327E-2</v>
      </c>
      <c r="I136" s="360">
        <v>0.30653685846862472</v>
      </c>
      <c r="J136" s="360">
        <v>1.0417216841279642</v>
      </c>
      <c r="K136" s="360">
        <v>683.59369413182674</v>
      </c>
      <c r="L136" s="360">
        <v>0.29344759694676725</v>
      </c>
      <c r="M136" s="360">
        <v>1.1601296157156591</v>
      </c>
      <c r="N136" s="360">
        <v>1.1236009478334963</v>
      </c>
      <c r="O136" s="360">
        <v>0.32957983543929187</v>
      </c>
      <c r="P136" s="360">
        <v>1.0417224398943001</v>
      </c>
      <c r="Q136" s="360">
        <v>391.87924766762234</v>
      </c>
      <c r="R136" s="360">
        <v>683.59369413182674</v>
      </c>
      <c r="S136" s="360">
        <v>0.29344759694676725</v>
      </c>
      <c r="T136" s="360">
        <v>1.1601296157156591</v>
      </c>
      <c r="U136" s="360">
        <v>1.1236009478334963</v>
      </c>
      <c r="V136" s="360">
        <v>0.32957983543929187</v>
      </c>
      <c r="W136" s="360">
        <v>1.0417224398943001</v>
      </c>
      <c r="X136" s="360">
        <v>391.87924766762234</v>
      </c>
      <c r="Y136" s="360">
        <v>0.30711645181832092</v>
      </c>
      <c r="Z136" s="360">
        <v>1.0397582738020428</v>
      </c>
      <c r="AA136" s="360">
        <v>686.1275779581573</v>
      </c>
      <c r="AB136" s="360">
        <v>0.29398093986607782</v>
      </c>
      <c r="AC136" s="360">
        <v>1.1580849389144434</v>
      </c>
      <c r="AD136" s="360">
        <v>1.1242142825635897</v>
      </c>
      <c r="AE136" s="360">
        <v>0.3302337084536201</v>
      </c>
      <c r="AF136" s="360">
        <v>1.0397589264194422</v>
      </c>
      <c r="AG136" s="360">
        <v>393.56785409617544</v>
      </c>
      <c r="AH136" s="360">
        <v>686.1275779581573</v>
      </c>
      <c r="AI136" s="360">
        <v>0.29398093986607782</v>
      </c>
      <c r="AJ136" s="360">
        <v>1.1580849389144434</v>
      </c>
      <c r="AK136" s="360">
        <v>1.1242142825635897</v>
      </c>
      <c r="AL136" s="360">
        <v>0.3302337084536201</v>
      </c>
      <c r="AM136" s="360">
        <v>1.0397589264194422</v>
      </c>
      <c r="AN136" s="360">
        <v>393.56785409617544</v>
      </c>
      <c r="AO136" s="360">
        <f t="shared" si="6"/>
        <v>1</v>
      </c>
      <c r="AP136" s="360">
        <f t="shared" si="7"/>
        <v>1</v>
      </c>
      <c r="AQ136" s="360">
        <f t="shared" si="8"/>
        <v>1</v>
      </c>
    </row>
    <row r="137" spans="1:43">
      <c r="A137" s="360" t="s">
        <v>1085</v>
      </c>
      <c r="B137" t="s">
        <v>1075</v>
      </c>
      <c r="C137">
        <v>2</v>
      </c>
      <c r="D137" t="s">
        <v>1078</v>
      </c>
      <c r="E137" t="s">
        <v>1079</v>
      </c>
      <c r="F137" s="360">
        <v>2</v>
      </c>
      <c r="G137" s="360" t="str">
        <f>CONCATENATE(A137," ",B137," ",C137," ","inf+"," ",FanUpsizes!D137," ",FanUpsizes!F137)</f>
        <v>0.6ACH Percentile 2 inf+ New 2</v>
      </c>
      <c r="H137" s="360">
        <v>4.0977615706433379E-2</v>
      </c>
      <c r="I137" s="360">
        <v>0.30244882940678514</v>
      </c>
      <c r="J137" s="360">
        <v>1.0557959213094299</v>
      </c>
      <c r="K137" s="360">
        <v>1805.008843067513</v>
      </c>
      <c r="L137" s="360">
        <v>0.23396464547548401</v>
      </c>
      <c r="M137" s="360">
        <v>2.2021232260879162</v>
      </c>
      <c r="N137" s="360">
        <v>9.7614268937858455</v>
      </c>
      <c r="O137" s="360">
        <v>2.2247046054843191</v>
      </c>
      <c r="P137" s="360">
        <v>1.1155923267736945</v>
      </c>
      <c r="Q137" s="360">
        <v>-7532.7235271873151</v>
      </c>
      <c r="R137" s="360">
        <v>1852.8928735863897</v>
      </c>
      <c r="S137" s="360">
        <v>0.16631086439187112</v>
      </c>
      <c r="T137" s="360">
        <v>2.9639329068225693</v>
      </c>
      <c r="U137" s="360">
        <v>9.7614268937858455</v>
      </c>
      <c r="V137" s="360">
        <v>1.5643056530678989</v>
      </c>
      <c r="W137" s="360">
        <v>1.2016139412953792</v>
      </c>
      <c r="X137" s="360">
        <v>-7065.3070638974878</v>
      </c>
      <c r="Y137" s="360">
        <v>0.30352027708566764</v>
      </c>
      <c r="Z137" s="360">
        <v>1.0520768265692715</v>
      </c>
      <c r="AA137" s="360">
        <v>1815.2465226763859</v>
      </c>
      <c r="AB137" s="360">
        <v>0.23469785754712297</v>
      </c>
      <c r="AC137" s="360">
        <v>2.1980074987271876</v>
      </c>
      <c r="AD137" s="360">
        <v>9.7614268937858455</v>
      </c>
      <c r="AE137" s="360">
        <v>2.2247799491423366</v>
      </c>
      <c r="AF137" s="360">
        <v>1.1155881255333067</v>
      </c>
      <c r="AG137" s="360">
        <v>-7518.7213994285694</v>
      </c>
      <c r="AH137" s="360">
        <v>1863.0119593818781</v>
      </c>
      <c r="AI137" s="360">
        <v>0.16738553805335415</v>
      </c>
      <c r="AJ137" s="360">
        <v>2.9452084853919267</v>
      </c>
      <c r="AK137" s="360">
        <v>9.7614268937858455</v>
      </c>
      <c r="AL137" s="360">
        <v>1.5644167086204523</v>
      </c>
      <c r="AM137" s="360">
        <v>1.2015881001966886</v>
      </c>
      <c r="AN137" s="360">
        <v>-7051.3173935190644</v>
      </c>
      <c r="AO137" s="360">
        <f t="shared" si="6"/>
        <v>0</v>
      </c>
      <c r="AP137" s="360">
        <f t="shared" si="7"/>
        <v>1</v>
      </c>
      <c r="AQ137" s="360">
        <f t="shared" si="8"/>
        <v>1</v>
      </c>
    </row>
    <row r="138" spans="1:43">
      <c r="A138" s="360" t="s">
        <v>1085</v>
      </c>
      <c r="B138" t="s">
        <v>1074</v>
      </c>
      <c r="C138">
        <v>2</v>
      </c>
      <c r="D138" t="s">
        <v>1078</v>
      </c>
      <c r="E138" t="s">
        <v>1079</v>
      </c>
      <c r="F138" s="360">
        <v>2</v>
      </c>
      <c r="G138" s="360" t="str">
        <f>CONCATENATE(A138," ",B138," ",C138," ","inf+"," ",FanUpsizes!D138," ",FanUpsizes!F138)</f>
        <v>0.6ACH Infiltration 2 inf+ New 2</v>
      </c>
      <c r="H138" s="360">
        <v>4.0977615706433379E-2</v>
      </c>
      <c r="I138" s="360">
        <v>0.30244882940678514</v>
      </c>
      <c r="J138" s="360">
        <v>1.0557959213094299</v>
      </c>
      <c r="K138" s="360">
        <v>0</v>
      </c>
      <c r="L138" s="360">
        <v>0.30244882940678514</v>
      </c>
      <c r="M138" s="360">
        <v>1.0557959213094299</v>
      </c>
      <c r="N138" s="360">
        <v>1</v>
      </c>
      <c r="O138" s="360">
        <v>0.30244882940678514</v>
      </c>
      <c r="P138" s="360">
        <v>1.0557959213094299</v>
      </c>
      <c r="Q138" s="360">
        <v>0</v>
      </c>
      <c r="R138" s="360">
        <v>0</v>
      </c>
      <c r="S138" s="360">
        <v>0.30244882940678514</v>
      </c>
      <c r="T138" s="360">
        <v>1.0557959213094299</v>
      </c>
      <c r="U138" s="360">
        <v>1</v>
      </c>
      <c r="V138" s="360">
        <v>0.30244882940678514</v>
      </c>
      <c r="W138" s="360">
        <v>1.0557959213094299</v>
      </c>
      <c r="X138" s="360">
        <v>0</v>
      </c>
      <c r="Y138" s="360">
        <v>0.30352027708566764</v>
      </c>
      <c r="Z138" s="360">
        <v>1.0520768265692715</v>
      </c>
      <c r="AA138" s="360">
        <v>0</v>
      </c>
      <c r="AB138" s="360">
        <v>0.30352027708566764</v>
      </c>
      <c r="AC138" s="360">
        <v>1.0520768265692715</v>
      </c>
      <c r="AD138" s="360">
        <v>1</v>
      </c>
      <c r="AE138" s="360">
        <v>0.30352027708566764</v>
      </c>
      <c r="AF138" s="360">
        <v>1.0520768265692715</v>
      </c>
      <c r="AG138" s="360">
        <v>0</v>
      </c>
      <c r="AH138" s="360">
        <v>0</v>
      </c>
      <c r="AI138" s="360">
        <v>0.30352027708566764</v>
      </c>
      <c r="AJ138" s="360">
        <v>1.0520768265692715</v>
      </c>
      <c r="AK138" s="360">
        <v>1</v>
      </c>
      <c r="AL138" s="360">
        <v>0.30352027708566764</v>
      </c>
      <c r="AM138" s="360">
        <v>1.0520768265692715</v>
      </c>
      <c r="AN138" s="360">
        <v>0</v>
      </c>
      <c r="AO138" s="360">
        <f t="shared" si="6"/>
        <v>1</v>
      </c>
      <c r="AP138" s="360">
        <f t="shared" si="7"/>
        <v>0</v>
      </c>
      <c r="AQ138" s="360">
        <f t="shared" si="8"/>
        <v>0</v>
      </c>
    </row>
    <row r="139" spans="1:43">
      <c r="A139" s="360" t="s">
        <v>1085</v>
      </c>
      <c r="B139" t="s">
        <v>1076</v>
      </c>
      <c r="C139">
        <v>2</v>
      </c>
      <c r="D139" t="s">
        <v>1078</v>
      </c>
      <c r="E139" t="s">
        <v>1079</v>
      </c>
      <c r="F139" s="360">
        <v>2</v>
      </c>
      <c r="G139" s="360" t="str">
        <f>CONCATENATE(A139," ",B139," ",C139," ","inf+"," ",FanUpsizes!D139," ",FanUpsizes!F139)</f>
        <v>0.6ACH 5C 2 inf+ New 2</v>
      </c>
      <c r="H139" s="360">
        <v>4.0977615706433379E-2</v>
      </c>
      <c r="I139" s="360">
        <v>0.30244882940678514</v>
      </c>
      <c r="J139" s="360">
        <v>1.0557959213094299</v>
      </c>
      <c r="K139" s="360">
        <v>655.07790973090448</v>
      </c>
      <c r="L139" s="360">
        <v>0.28989725489789625</v>
      </c>
      <c r="M139" s="360">
        <v>1.1661767038390731</v>
      </c>
      <c r="N139" s="360">
        <v>1.1133129516722118</v>
      </c>
      <c r="O139" s="360">
        <v>0.32258024822602716</v>
      </c>
      <c r="P139" s="360">
        <v>1.0557967587602666</v>
      </c>
      <c r="Q139" s="360">
        <v>391.21102228450576</v>
      </c>
      <c r="R139" s="360">
        <v>655.07790973090448</v>
      </c>
      <c r="S139" s="360">
        <v>0.28989725489789625</v>
      </c>
      <c r="T139" s="360">
        <v>1.1661767038390731</v>
      </c>
      <c r="U139" s="360">
        <v>1.1133129516722118</v>
      </c>
      <c r="V139" s="360">
        <v>0.32258024822602716</v>
      </c>
      <c r="W139" s="360">
        <v>1.0557967587602666</v>
      </c>
      <c r="X139" s="360">
        <v>391.21102228450576</v>
      </c>
      <c r="Y139" s="360">
        <v>0.30352027708566764</v>
      </c>
      <c r="Z139" s="360">
        <v>1.0520768265692715</v>
      </c>
      <c r="AA139" s="360">
        <v>659.54162872791778</v>
      </c>
      <c r="AB139" s="360">
        <v>0.29088749805197472</v>
      </c>
      <c r="AC139" s="360">
        <v>1.1623329554074746</v>
      </c>
      <c r="AD139" s="360">
        <v>1.11438333217311</v>
      </c>
      <c r="AE139" s="360">
        <v>0.32377813116377635</v>
      </c>
      <c r="AF139" s="360">
        <v>1.0520769416340079</v>
      </c>
      <c r="AG139" s="360">
        <v>394.19937845000965</v>
      </c>
      <c r="AH139" s="360">
        <v>659.54162872791778</v>
      </c>
      <c r="AI139" s="360">
        <v>0.29088749805197472</v>
      </c>
      <c r="AJ139" s="360">
        <v>1.1623329554074746</v>
      </c>
      <c r="AK139" s="360">
        <v>1.11438333217311</v>
      </c>
      <c r="AL139" s="360">
        <v>0.32377813116377635</v>
      </c>
      <c r="AM139" s="360">
        <v>1.0520769416340079</v>
      </c>
      <c r="AN139" s="360">
        <v>394.19937845000965</v>
      </c>
      <c r="AO139" s="360">
        <f t="shared" si="6"/>
        <v>1</v>
      </c>
      <c r="AP139" s="360">
        <f t="shared" si="7"/>
        <v>1</v>
      </c>
      <c r="AQ139" s="360">
        <f t="shared" si="8"/>
        <v>1</v>
      </c>
    </row>
    <row r="140" spans="1:43">
      <c r="A140" s="360" t="s">
        <v>1085</v>
      </c>
      <c r="B140" t="s">
        <v>1075</v>
      </c>
      <c r="C140">
        <v>1</v>
      </c>
      <c r="D140" t="s">
        <v>1080</v>
      </c>
      <c r="E140" t="s">
        <v>1079</v>
      </c>
      <c r="F140" s="360">
        <v>2</v>
      </c>
      <c r="G140" s="360" t="str">
        <f>CONCATENATE(A140," ",B140," ",C140," ","inf+"," ",FanUpsizes!D140," ",FanUpsizes!F140)</f>
        <v>0.6ACH Percentile 1 inf+ Existing 2</v>
      </c>
      <c r="H140" s="360">
        <v>5.77814868661327E-2</v>
      </c>
      <c r="I140" s="360">
        <v>0.4264753515490452</v>
      </c>
      <c r="J140" s="360">
        <v>1.0299913217793919</v>
      </c>
      <c r="K140" s="360">
        <v>2670.3567818752176</v>
      </c>
      <c r="L140" s="360">
        <v>0.32546553118246985</v>
      </c>
      <c r="M140" s="360">
        <v>2.7801732129325138</v>
      </c>
      <c r="N140" s="360">
        <v>6.9226325194212146</v>
      </c>
      <c r="O140" s="360">
        <v>2.2230298585179908</v>
      </c>
      <c r="P140" s="360">
        <v>1.7182028287811226</v>
      </c>
      <c r="Q140" s="360">
        <v>-6230.3274862612279</v>
      </c>
      <c r="R140" s="360">
        <v>2737.8768274617073</v>
      </c>
      <c r="S140" s="360">
        <v>0.2300684476938489</v>
      </c>
      <c r="T140" s="360">
        <v>3.6338890046001819</v>
      </c>
      <c r="U140" s="360">
        <v>6.9226325194212146</v>
      </c>
      <c r="V140" s="360">
        <v>1.5626309061015631</v>
      </c>
      <c r="W140" s="360">
        <v>1.844359546629089</v>
      </c>
      <c r="X140" s="360">
        <v>-5762.9110229713988</v>
      </c>
      <c r="Y140" s="360">
        <v>0.42689228585886341</v>
      </c>
      <c r="Z140" s="360">
        <v>1.0289861823079194</v>
      </c>
      <c r="AA140" s="360">
        <v>2674.4621602564494</v>
      </c>
      <c r="AB140" s="360">
        <v>0.3257479257938643</v>
      </c>
      <c r="AC140" s="360">
        <v>2.7789726719834351</v>
      </c>
      <c r="AD140" s="360">
        <v>6.9226325194212146</v>
      </c>
      <c r="AE140" s="360">
        <v>2.2230706844750792</v>
      </c>
      <c r="AF140" s="360">
        <v>1.7181995121343823</v>
      </c>
      <c r="AG140" s="360">
        <v>-6224.8092870740065</v>
      </c>
      <c r="AH140" s="360">
        <v>2741.9365826078151</v>
      </c>
      <c r="AI140" s="360">
        <v>0.23048147018804691</v>
      </c>
      <c r="AJ140" s="360">
        <v>3.6278885935517482</v>
      </c>
      <c r="AK140" s="360">
        <v>6.9226325194212146</v>
      </c>
      <c r="AL140" s="360">
        <v>1.5626907030179289</v>
      </c>
      <c r="AM140" s="360">
        <v>1.8443385571941913</v>
      </c>
      <c r="AN140" s="360">
        <v>-5757.3994583349313</v>
      </c>
      <c r="AO140" s="360">
        <f t="shared" si="6"/>
        <v>0</v>
      </c>
      <c r="AP140" s="360">
        <f t="shared" si="7"/>
        <v>1</v>
      </c>
      <c r="AQ140" s="360">
        <f t="shared" si="8"/>
        <v>1</v>
      </c>
    </row>
    <row r="141" spans="1:43">
      <c r="A141" s="360" t="s">
        <v>1085</v>
      </c>
      <c r="B141" t="s">
        <v>1074</v>
      </c>
      <c r="C141">
        <v>1</v>
      </c>
      <c r="D141" t="s">
        <v>1080</v>
      </c>
      <c r="E141" t="s">
        <v>1079</v>
      </c>
      <c r="F141" s="360">
        <v>2</v>
      </c>
      <c r="G141" s="360" t="str">
        <f>CONCATENATE(A141," ",B141," ",C141," ","inf+"," ",FanUpsizes!D141," ",FanUpsizes!F141)</f>
        <v>0.6ACH Infiltration 1 inf+ Existing 2</v>
      </c>
      <c r="H141" s="360">
        <v>5.77814868661327E-2</v>
      </c>
      <c r="I141" s="360">
        <v>0.4264753515490452</v>
      </c>
      <c r="J141" s="360">
        <v>1.0299913217793919</v>
      </c>
      <c r="K141" s="360">
        <v>0</v>
      </c>
      <c r="L141" s="360">
        <v>0.4264753515490452</v>
      </c>
      <c r="M141" s="360">
        <v>1.0299913217793919</v>
      </c>
      <c r="N141" s="360">
        <v>1</v>
      </c>
      <c r="O141" s="360">
        <v>0.4264753515490452</v>
      </c>
      <c r="P141" s="360">
        <v>1.0299913217793919</v>
      </c>
      <c r="Q141" s="360">
        <v>0</v>
      </c>
      <c r="R141" s="360">
        <v>0</v>
      </c>
      <c r="S141" s="360">
        <v>0.4264753515490452</v>
      </c>
      <c r="T141" s="360">
        <v>1.0299913217793919</v>
      </c>
      <c r="U141" s="360">
        <v>1</v>
      </c>
      <c r="V141" s="360">
        <v>0.4264753515490452</v>
      </c>
      <c r="W141" s="360">
        <v>1.0299913217793919</v>
      </c>
      <c r="X141" s="360">
        <v>0</v>
      </c>
      <c r="Y141" s="360">
        <v>0.42689228585886341</v>
      </c>
      <c r="Z141" s="360">
        <v>1.0289861823079194</v>
      </c>
      <c r="AA141" s="360">
        <v>0</v>
      </c>
      <c r="AB141" s="360">
        <v>0.42689228585886341</v>
      </c>
      <c r="AC141" s="360">
        <v>1.0289861823079194</v>
      </c>
      <c r="AD141" s="360">
        <v>1</v>
      </c>
      <c r="AE141" s="360">
        <v>0.42689228585886341</v>
      </c>
      <c r="AF141" s="360">
        <v>1.0289861823079194</v>
      </c>
      <c r="AG141" s="360">
        <v>0</v>
      </c>
      <c r="AH141" s="360">
        <v>0</v>
      </c>
      <c r="AI141" s="360">
        <v>0.42689228585886341</v>
      </c>
      <c r="AJ141" s="360">
        <v>1.0289861823079194</v>
      </c>
      <c r="AK141" s="360">
        <v>1</v>
      </c>
      <c r="AL141" s="360">
        <v>0.42689228585886341</v>
      </c>
      <c r="AM141" s="360">
        <v>1.0289861823079194</v>
      </c>
      <c r="AN141" s="360">
        <v>0</v>
      </c>
      <c r="AO141" s="360">
        <f t="shared" si="6"/>
        <v>1</v>
      </c>
      <c r="AP141" s="360">
        <f t="shared" si="7"/>
        <v>0</v>
      </c>
      <c r="AQ141" s="360">
        <f t="shared" si="8"/>
        <v>0</v>
      </c>
    </row>
    <row r="142" spans="1:43">
      <c r="A142" s="360" t="s">
        <v>1085</v>
      </c>
      <c r="B142" t="s">
        <v>1076</v>
      </c>
      <c r="C142">
        <v>1</v>
      </c>
      <c r="D142" t="s">
        <v>1080</v>
      </c>
      <c r="E142" t="s">
        <v>1079</v>
      </c>
      <c r="F142" s="360">
        <v>2</v>
      </c>
      <c r="G142" s="360" t="str">
        <f>CONCATENATE(A142," ",B142," ",C142," ","inf+"," ",FanUpsizes!D142," ",FanUpsizes!F142)</f>
        <v>0.6ACH 5C 1 inf+ Existing 2</v>
      </c>
      <c r="H142" s="360">
        <v>5.77814868661327E-2</v>
      </c>
      <c r="I142" s="360">
        <v>0.4264753515490452</v>
      </c>
      <c r="J142" s="360">
        <v>1.0299913217793919</v>
      </c>
      <c r="K142" s="360">
        <v>974.29204562304938</v>
      </c>
      <c r="L142" s="360">
        <v>0.40782729685473335</v>
      </c>
      <c r="M142" s="360">
        <v>1.1790932220454833</v>
      </c>
      <c r="N142" s="360">
        <v>1.1630651060049833</v>
      </c>
      <c r="O142" s="360">
        <v>0.47414742210683392</v>
      </c>
      <c r="P142" s="360">
        <v>1.0299916135399685</v>
      </c>
      <c r="Q142" s="360">
        <v>438.85501114932583</v>
      </c>
      <c r="R142" s="360">
        <v>974.29204562304938</v>
      </c>
      <c r="S142" s="360">
        <v>0.40782729685473335</v>
      </c>
      <c r="T142" s="360">
        <v>1.1790932220454833</v>
      </c>
      <c r="U142" s="360">
        <v>1.1630651060049833</v>
      </c>
      <c r="V142" s="360">
        <v>0.47414742210683392</v>
      </c>
      <c r="W142" s="360">
        <v>1.0299916135399685</v>
      </c>
      <c r="X142" s="360">
        <v>438.85501114932583</v>
      </c>
      <c r="Y142" s="360">
        <v>0.42689228585886341</v>
      </c>
      <c r="Z142" s="360">
        <v>1.0289861823079194</v>
      </c>
      <c r="AA142" s="360">
        <v>976.11543361430881</v>
      </c>
      <c r="AB142" s="360">
        <v>0.40821095221932252</v>
      </c>
      <c r="AC142" s="360">
        <v>1.1780467639452334</v>
      </c>
      <c r="AD142" s="360">
        <v>1.1634993123663295</v>
      </c>
      <c r="AE142" s="360">
        <v>0.47465383418030554</v>
      </c>
      <c r="AF142" s="360">
        <v>1.0289862650022787</v>
      </c>
      <c r="AG142" s="360">
        <v>439.80456992100022</v>
      </c>
      <c r="AH142" s="360">
        <v>976.11543361430881</v>
      </c>
      <c r="AI142" s="360">
        <v>0.40821095221932252</v>
      </c>
      <c r="AJ142" s="360">
        <v>1.1780467639452334</v>
      </c>
      <c r="AK142" s="360">
        <v>1.1634993123663295</v>
      </c>
      <c r="AL142" s="360">
        <v>0.47465383418030554</v>
      </c>
      <c r="AM142" s="360">
        <v>1.0289862650022787</v>
      </c>
      <c r="AN142" s="360">
        <v>439.80456992100022</v>
      </c>
      <c r="AO142" s="360">
        <f t="shared" si="6"/>
        <v>1</v>
      </c>
      <c r="AP142" s="360">
        <f t="shared" si="7"/>
        <v>1</v>
      </c>
      <c r="AQ142" s="360">
        <f t="shared" si="8"/>
        <v>1</v>
      </c>
    </row>
    <row r="143" spans="1:43">
      <c r="A143" s="360" t="s">
        <v>1085</v>
      </c>
      <c r="B143" t="s">
        <v>1075</v>
      </c>
      <c r="C143">
        <v>2</v>
      </c>
      <c r="D143" t="s">
        <v>1080</v>
      </c>
      <c r="E143" t="s">
        <v>1079</v>
      </c>
      <c r="F143" s="360">
        <v>2</v>
      </c>
      <c r="G143" s="360" t="str">
        <f>CONCATENATE(A143," ",B143," ",C143," ","inf+"," ",FanUpsizes!D143," ",FanUpsizes!F143)</f>
        <v>0.6ACH Percentile 2 inf+ Existing 2</v>
      </c>
      <c r="H143" s="360">
        <v>5.722761570643338E-2</v>
      </c>
      <c r="I143" s="360">
        <v>0.4223873224873132</v>
      </c>
      <c r="J143" s="360">
        <v>1.0399566948569303</v>
      </c>
      <c r="K143" s="360">
        <v>2596.511702551913</v>
      </c>
      <c r="L143" s="360">
        <v>0.3240691229826651</v>
      </c>
      <c r="M143" s="360">
        <v>2.5557788831029642</v>
      </c>
      <c r="N143" s="360">
        <v>6.9896324538824546</v>
      </c>
      <c r="O143" s="360">
        <v>2.2247046054843191</v>
      </c>
      <c r="P143" s="360">
        <v>1.5341511304730617</v>
      </c>
      <c r="Q143" s="360">
        <v>-6318.5780758901519</v>
      </c>
      <c r="R143" s="360">
        <v>2663.3845268919126</v>
      </c>
      <c r="S143" s="360">
        <v>0.22958647932810802</v>
      </c>
      <c r="T143" s="360">
        <v>3.3523014115640914</v>
      </c>
      <c r="U143" s="360">
        <v>6.9896324538824546</v>
      </c>
      <c r="V143" s="360">
        <v>1.5643056530678989</v>
      </c>
      <c r="W143" s="360">
        <v>1.6524734838078108</v>
      </c>
      <c r="X143" s="360">
        <v>-5851.1616126003255</v>
      </c>
      <c r="Y143" s="360">
        <v>0.42315574666414685</v>
      </c>
      <c r="Z143" s="360">
        <v>1.0380706497061774</v>
      </c>
      <c r="AA143" s="360">
        <v>2603.8569450229952</v>
      </c>
      <c r="AB143" s="360">
        <v>0.32459492607717816</v>
      </c>
      <c r="AC143" s="360">
        <v>2.5536437501772244</v>
      </c>
      <c r="AD143" s="360">
        <v>6.9896324538824546</v>
      </c>
      <c r="AE143" s="360">
        <v>2.2247799491423366</v>
      </c>
      <c r="AF143" s="360">
        <v>1.5341453515331651</v>
      </c>
      <c r="AG143" s="360">
        <v>-6308.6550834332984</v>
      </c>
      <c r="AH143" s="360">
        <v>2670.6438122004561</v>
      </c>
      <c r="AI143" s="360">
        <v>0.23035930516669015</v>
      </c>
      <c r="AJ143" s="360">
        <v>3.3419297845144058</v>
      </c>
      <c r="AK143" s="360">
        <v>6.9896324538824546</v>
      </c>
      <c r="AL143" s="360">
        <v>1.5644167086204523</v>
      </c>
      <c r="AM143" s="360">
        <v>1.6524379405337315</v>
      </c>
      <c r="AN143" s="360">
        <v>-5841.2510775237934</v>
      </c>
      <c r="AO143" s="360">
        <f t="shared" si="6"/>
        <v>0</v>
      </c>
      <c r="AP143" s="360">
        <f t="shared" si="7"/>
        <v>1</v>
      </c>
      <c r="AQ143" s="360">
        <f t="shared" si="8"/>
        <v>1</v>
      </c>
    </row>
    <row r="144" spans="1:43">
      <c r="A144" s="360" t="s">
        <v>1085</v>
      </c>
      <c r="B144" t="s">
        <v>1074</v>
      </c>
      <c r="C144">
        <v>2</v>
      </c>
      <c r="D144" t="s">
        <v>1080</v>
      </c>
      <c r="E144" t="s">
        <v>1079</v>
      </c>
      <c r="F144" s="360">
        <v>2</v>
      </c>
      <c r="G144" s="360" t="str">
        <f>CONCATENATE(A144," ",B144," ",C144," ","inf+"," ",FanUpsizes!D144," ",FanUpsizes!F144)</f>
        <v>0.6ACH Infiltration 2 inf+ Existing 2</v>
      </c>
      <c r="H144" s="360">
        <v>5.722761570643338E-2</v>
      </c>
      <c r="I144" s="360">
        <v>0.4223873224873132</v>
      </c>
      <c r="J144" s="360">
        <v>1.0399566948569303</v>
      </c>
      <c r="K144" s="360">
        <v>0</v>
      </c>
      <c r="L144" s="360">
        <v>0.4223873224873132</v>
      </c>
      <c r="M144" s="360">
        <v>1.0399566948569303</v>
      </c>
      <c r="N144" s="360">
        <v>1</v>
      </c>
      <c r="O144" s="360">
        <v>0.4223873224873132</v>
      </c>
      <c r="P144" s="360">
        <v>1.0399566948569303</v>
      </c>
      <c r="Q144" s="360">
        <v>0</v>
      </c>
      <c r="R144" s="360">
        <v>0</v>
      </c>
      <c r="S144" s="360">
        <v>0.4223873224873132</v>
      </c>
      <c r="T144" s="360">
        <v>1.0399566948569303</v>
      </c>
      <c r="U144" s="360">
        <v>1</v>
      </c>
      <c r="V144" s="360">
        <v>0.4223873224873132</v>
      </c>
      <c r="W144" s="360">
        <v>1.0399566948569303</v>
      </c>
      <c r="X144" s="360">
        <v>0</v>
      </c>
      <c r="Y144" s="360">
        <v>0.42315574666414685</v>
      </c>
      <c r="Z144" s="360">
        <v>1.0380706497061774</v>
      </c>
      <c r="AA144" s="360">
        <v>0</v>
      </c>
      <c r="AB144" s="360">
        <v>0.42315574666414685</v>
      </c>
      <c r="AC144" s="360">
        <v>1.0380706497061774</v>
      </c>
      <c r="AD144" s="360">
        <v>1</v>
      </c>
      <c r="AE144" s="360">
        <v>0.42315574666414685</v>
      </c>
      <c r="AF144" s="360">
        <v>1.0380706497061774</v>
      </c>
      <c r="AG144" s="360">
        <v>0</v>
      </c>
      <c r="AH144" s="360">
        <v>0</v>
      </c>
      <c r="AI144" s="360">
        <v>0.42315574666414685</v>
      </c>
      <c r="AJ144" s="360">
        <v>1.0380706497061774</v>
      </c>
      <c r="AK144" s="360">
        <v>1</v>
      </c>
      <c r="AL144" s="360">
        <v>0.42315574666414685</v>
      </c>
      <c r="AM144" s="360">
        <v>1.0380706497061774</v>
      </c>
      <c r="AN144" s="360">
        <v>0</v>
      </c>
      <c r="AO144" s="360">
        <f t="shared" si="6"/>
        <v>1</v>
      </c>
      <c r="AP144" s="360">
        <f t="shared" si="7"/>
        <v>0</v>
      </c>
      <c r="AQ144" s="360">
        <f t="shared" si="8"/>
        <v>0</v>
      </c>
    </row>
    <row r="145" spans="1:43">
      <c r="A145" s="360" t="s">
        <v>1085</v>
      </c>
      <c r="B145" t="s">
        <v>1076</v>
      </c>
      <c r="C145">
        <v>2</v>
      </c>
      <c r="D145" t="s">
        <v>1080</v>
      </c>
      <c r="E145" t="s">
        <v>1079</v>
      </c>
      <c r="F145" s="360">
        <v>2</v>
      </c>
      <c r="G145" s="360" t="str">
        <f>CONCATENATE(A145," ",B145," ",C145," ","inf+"," ",FanUpsizes!D145," ",FanUpsizes!F145)</f>
        <v>0.6ACH 5C 2 inf+ Existing 2</v>
      </c>
      <c r="H145" s="360">
        <v>5.722761570643338E-2</v>
      </c>
      <c r="I145" s="360">
        <v>0.4223873224873132</v>
      </c>
      <c r="J145" s="360">
        <v>1.0399566948569303</v>
      </c>
      <c r="K145" s="360">
        <v>945.77626122213587</v>
      </c>
      <c r="L145" s="360">
        <v>0.40427695480596954</v>
      </c>
      <c r="M145" s="360">
        <v>1.1800921846146231</v>
      </c>
      <c r="N145" s="360">
        <v>1.1509515633419316</v>
      </c>
      <c r="O145" s="360">
        <v>0.46508189347726991</v>
      </c>
      <c r="P145" s="360">
        <v>1.0399567228024469</v>
      </c>
      <c r="Q145" s="360">
        <v>454.86621061739135</v>
      </c>
      <c r="R145" s="360">
        <v>945.77626122213587</v>
      </c>
      <c r="S145" s="360">
        <v>0.40427695480596954</v>
      </c>
      <c r="T145" s="360">
        <v>1.1800921846146231</v>
      </c>
      <c r="U145" s="360">
        <v>1.1509515633419316</v>
      </c>
      <c r="V145" s="360">
        <v>0.46508189347726991</v>
      </c>
      <c r="W145" s="360">
        <v>1.0399567228024469</v>
      </c>
      <c r="X145" s="360">
        <v>454.86621061739135</v>
      </c>
      <c r="Y145" s="360">
        <v>0.42315574666414685</v>
      </c>
      <c r="Z145" s="360">
        <v>1.0380706497061774</v>
      </c>
      <c r="AA145" s="360">
        <v>948.97948987655695</v>
      </c>
      <c r="AB145" s="360">
        <v>0.40498711564068729</v>
      </c>
      <c r="AC145" s="360">
        <v>1.1781412339954278</v>
      </c>
      <c r="AD145" s="360">
        <v>1.1517039361206636</v>
      </c>
      <c r="AE145" s="360">
        <v>0.46600182402847873</v>
      </c>
      <c r="AF145" s="360">
        <v>1.0380723659014073</v>
      </c>
      <c r="AG145" s="360">
        <v>456.56180288698084</v>
      </c>
      <c r="AH145" s="360">
        <v>948.97948987655695</v>
      </c>
      <c r="AI145" s="360">
        <v>0.40498711564068729</v>
      </c>
      <c r="AJ145" s="360">
        <v>1.1781412339954278</v>
      </c>
      <c r="AK145" s="360">
        <v>1.1517039361206636</v>
      </c>
      <c r="AL145" s="360">
        <v>0.46600182402847873</v>
      </c>
      <c r="AM145" s="360">
        <v>1.0380723659014073</v>
      </c>
      <c r="AN145" s="360">
        <v>456.56180288698084</v>
      </c>
      <c r="AO145" s="360">
        <f t="shared" si="6"/>
        <v>1</v>
      </c>
      <c r="AP145" s="360">
        <f t="shared" si="7"/>
        <v>1</v>
      </c>
      <c r="AQ145" s="360">
        <f t="shared" si="8"/>
        <v>1</v>
      </c>
    </row>
    <row r="146" spans="1:43">
      <c r="A146" s="360" t="s">
        <v>1077</v>
      </c>
      <c r="B146" t="s">
        <v>1075</v>
      </c>
      <c r="C146">
        <v>1</v>
      </c>
      <c r="D146" t="s">
        <v>1078</v>
      </c>
      <c r="E146" t="s">
        <v>1079</v>
      </c>
      <c r="F146">
        <v>3</v>
      </c>
      <c r="G146" s="360" t="str">
        <f>CONCATENATE(A146," ",B146," ",C146," ","inf+"," ",FanUpsizes!D146," ",FanUpsizes!F146)</f>
        <v>10ACH Percentile 1 inf+ New 3</v>
      </c>
      <c r="H146" s="360">
        <v>1.4421666666666666E-2</v>
      </c>
      <c r="I146" s="360">
        <v>0.32712538480219894</v>
      </c>
      <c r="J146" s="360">
        <v>1.0648614854488221</v>
      </c>
      <c r="K146" s="360">
        <v>338.88615057782567</v>
      </c>
      <c r="L146" s="360">
        <v>0.31456111919902868</v>
      </c>
      <c r="M146" s="360">
        <v>1.1203163509452105</v>
      </c>
      <c r="N146" s="360">
        <v>1.357999186299504</v>
      </c>
      <c r="O146" s="360">
        <v>0.32938562123462084</v>
      </c>
      <c r="P146" s="360">
        <v>1.0648620750542042</v>
      </c>
      <c r="Q146" s="360">
        <v>283.01217454389615</v>
      </c>
      <c r="R146" s="360">
        <v>362.40953766282973</v>
      </c>
      <c r="S146" s="360">
        <v>0.30209029222995781</v>
      </c>
      <c r="T146" s="360">
        <v>1.1911718991189519</v>
      </c>
      <c r="U146" s="360">
        <v>2.2953298328670919</v>
      </c>
      <c r="V146" s="360">
        <v>0.33905926238018619</v>
      </c>
      <c r="W146" s="360">
        <v>1.0648615160691801</v>
      </c>
      <c r="X146" s="360">
        <v>190.71418177398542</v>
      </c>
      <c r="Y146" s="360">
        <v>0.29729594938860948</v>
      </c>
      <c r="Z146" s="360">
        <v>1.1686369332434232</v>
      </c>
      <c r="AA146" s="360">
        <v>138.4780693452982</v>
      </c>
      <c r="AB146" s="360">
        <v>0.2921512689708598</v>
      </c>
      <c r="AC146" s="360">
        <v>1.1958987605303053</v>
      </c>
      <c r="AD146" s="360">
        <v>1.1459462374155078</v>
      </c>
      <c r="AE146" s="360">
        <v>0.29732146295223788</v>
      </c>
      <c r="AF146" s="360">
        <v>1.1686369413011022</v>
      </c>
      <c r="AG146" s="360">
        <v>121.86420530799724</v>
      </c>
      <c r="AH146" s="360">
        <v>157.51989305398754</v>
      </c>
      <c r="AI146" s="360">
        <v>0.28219476990881998</v>
      </c>
      <c r="AJ146" s="360">
        <v>1.2687710912880463</v>
      </c>
      <c r="AK146" s="360">
        <v>1.9735842564884449</v>
      </c>
      <c r="AL146" s="360">
        <v>0.30421961938366948</v>
      </c>
      <c r="AM146" s="360">
        <v>1.1686370825983914</v>
      </c>
      <c r="AN146" s="360">
        <v>52.873211272319011</v>
      </c>
      <c r="AO146" s="360">
        <f t="shared" si="6"/>
        <v>1</v>
      </c>
      <c r="AP146" s="360">
        <f t="shared" si="7"/>
        <v>1</v>
      </c>
      <c r="AQ146" s="360">
        <f t="shared" si="8"/>
        <v>1</v>
      </c>
    </row>
    <row r="147" spans="1:43">
      <c r="A147" s="360" t="s">
        <v>1077</v>
      </c>
      <c r="B147" t="s">
        <v>1074</v>
      </c>
      <c r="C147">
        <v>1</v>
      </c>
      <c r="D147" t="s">
        <v>1078</v>
      </c>
      <c r="E147" t="s">
        <v>1079</v>
      </c>
      <c r="F147" s="360">
        <v>3</v>
      </c>
      <c r="G147" s="360" t="str">
        <f>CONCATENATE(A147," ",B147," ",C147," ","inf+"," ",FanUpsizes!D147," ",FanUpsizes!F147)</f>
        <v>10ACH Infiltration 1 inf+ New 3</v>
      </c>
      <c r="H147" s="360">
        <v>1.4421666666666666E-2</v>
      </c>
      <c r="I147" s="360">
        <v>0.32712538480219894</v>
      </c>
      <c r="J147" s="360">
        <v>1.0648614854488221</v>
      </c>
      <c r="K147" s="360">
        <v>16.727185818673718</v>
      </c>
      <c r="L147" s="360">
        <v>0.32682160662030424</v>
      </c>
      <c r="M147" s="360">
        <v>1.0656016004546451</v>
      </c>
      <c r="N147" s="360">
        <v>1.0036451582863652</v>
      </c>
      <c r="O147" s="360">
        <v>0.32701602978811367</v>
      </c>
      <c r="P147" s="360">
        <v>1.0648638756528188</v>
      </c>
      <c r="Q147" s="360">
        <v>14.983954924863976</v>
      </c>
      <c r="R147" s="360">
        <v>163.60672658920896</v>
      </c>
      <c r="S147" s="360">
        <v>0.32163915083717615</v>
      </c>
      <c r="T147" s="360">
        <v>1.0858590054596511</v>
      </c>
      <c r="U147" s="360">
        <v>1.1122008419091358</v>
      </c>
      <c r="V147" s="360">
        <v>0.32707099326131678</v>
      </c>
      <c r="W147" s="360">
        <v>1.0648619749682697</v>
      </c>
      <c r="X147" s="360">
        <v>126.42871535520564</v>
      </c>
      <c r="Y147" s="360">
        <v>0.29729594938860948</v>
      </c>
      <c r="Z147" s="360">
        <v>1.1686369332434232</v>
      </c>
      <c r="AA147" s="360">
        <v>5.1760614047691869</v>
      </c>
      <c r="AB147" s="360">
        <v>0.29720587554377786</v>
      </c>
      <c r="AC147" s="360">
        <v>1.1688973083351824</v>
      </c>
      <c r="AD147" s="360">
        <v>1.0011444200901691</v>
      </c>
      <c r="AE147" s="360">
        <v>0.29725547839915178</v>
      </c>
      <c r="AF147" s="360">
        <v>1.1686369526775275</v>
      </c>
      <c r="AG147" s="360">
        <v>4.771455548250203</v>
      </c>
      <c r="AH147" s="360">
        <v>90.525706457412269</v>
      </c>
      <c r="AI147" s="360">
        <v>0.29415885610195369</v>
      </c>
      <c r="AJ147" s="360">
        <v>1.1838687203230001</v>
      </c>
      <c r="AK147" s="360">
        <v>1.0740591000219035</v>
      </c>
      <c r="AL147" s="360">
        <v>0.29701521082563687</v>
      </c>
      <c r="AM147" s="360">
        <v>1.1686420825941803</v>
      </c>
      <c r="AN147" s="360">
        <v>75.668434003399909</v>
      </c>
      <c r="AO147" s="360">
        <f t="shared" si="6"/>
        <v>1</v>
      </c>
      <c r="AP147" s="360">
        <f t="shared" si="7"/>
        <v>1</v>
      </c>
      <c r="AQ147" s="360">
        <f t="shared" si="8"/>
        <v>1</v>
      </c>
    </row>
    <row r="148" spans="1:43">
      <c r="A148" s="360" t="s">
        <v>1077</v>
      </c>
      <c r="B148" t="s">
        <v>1076</v>
      </c>
      <c r="C148">
        <v>1</v>
      </c>
      <c r="D148" t="s">
        <v>1078</v>
      </c>
      <c r="E148" t="s">
        <v>1079</v>
      </c>
      <c r="F148" s="360">
        <v>3</v>
      </c>
      <c r="G148" s="360" t="str">
        <f>CONCATENATE(A148," ",B148," ",C148," ","inf+"," ",FanUpsizes!D148," ",FanUpsizes!F148)</f>
        <v>10ACH 5C 1 inf+ New 3</v>
      </c>
      <c r="H148" s="360">
        <v>1.4421666666666666E-2</v>
      </c>
      <c r="I148" s="360">
        <v>0.32712538480219894</v>
      </c>
      <c r="J148" s="360">
        <v>1.0648614854488221</v>
      </c>
      <c r="K148" s="360">
        <v>22.606628341648985</v>
      </c>
      <c r="L148" s="360">
        <v>0.32669401978390861</v>
      </c>
      <c r="M148" s="360">
        <v>1.0659355981052749</v>
      </c>
      <c r="N148" s="360">
        <v>1.0053157882680548</v>
      </c>
      <c r="O148" s="360">
        <v>0.3269768717418875</v>
      </c>
      <c r="P148" s="360">
        <v>1.0648614901005642</v>
      </c>
      <c r="Q148" s="360">
        <v>20.095702805407726</v>
      </c>
      <c r="R148" s="360">
        <v>166.54644785069559</v>
      </c>
      <c r="S148" s="360">
        <v>0.32157535741897836</v>
      </c>
      <c r="T148" s="360">
        <v>1.0860448464176562</v>
      </c>
      <c r="U148" s="360">
        <v>1.1133035489675762</v>
      </c>
      <c r="V148" s="360">
        <v>0.32705337407025759</v>
      </c>
      <c r="W148" s="360">
        <v>1.0648635687295023</v>
      </c>
      <c r="X148" s="360">
        <v>129.33613290723309</v>
      </c>
      <c r="Y148" s="360">
        <v>0.29729594938860948</v>
      </c>
      <c r="Z148" s="360">
        <v>1.1686369332434232</v>
      </c>
      <c r="AA148" s="360">
        <v>7.1026626768341146</v>
      </c>
      <c r="AB148" s="360">
        <v>0.29716622425115291</v>
      </c>
      <c r="AC148" s="360">
        <v>1.1690181486219391</v>
      </c>
      <c r="AD148" s="360">
        <v>1.0016770778746809</v>
      </c>
      <c r="AE148" s="360">
        <v>0.29723879879836523</v>
      </c>
      <c r="AF148" s="360">
        <v>1.1686369487872041</v>
      </c>
      <c r="AG148" s="360">
        <v>6.5157247119632533</v>
      </c>
      <c r="AH148" s="360">
        <v>91.048710846586573</v>
      </c>
      <c r="AI148" s="360">
        <v>0.29414876081201846</v>
      </c>
      <c r="AJ148" s="360">
        <v>1.1839014495324804</v>
      </c>
      <c r="AK148" s="360">
        <v>1.0742628332131969</v>
      </c>
      <c r="AL148" s="360">
        <v>0.29701163449193119</v>
      </c>
      <c r="AM148" s="360">
        <v>1.1686374306511733</v>
      </c>
      <c r="AN148" s="360">
        <v>76.224371235887119</v>
      </c>
      <c r="AO148" s="360">
        <f t="shared" si="6"/>
        <v>1</v>
      </c>
      <c r="AP148" s="360">
        <f t="shared" si="7"/>
        <v>1</v>
      </c>
      <c r="AQ148" s="360">
        <f t="shared" si="8"/>
        <v>1</v>
      </c>
    </row>
    <row r="149" spans="1:43">
      <c r="A149" s="360" t="s">
        <v>1077</v>
      </c>
      <c r="B149" t="s">
        <v>1075</v>
      </c>
      <c r="C149">
        <v>2</v>
      </c>
      <c r="D149" t="s">
        <v>1078</v>
      </c>
      <c r="E149" t="s">
        <v>1079</v>
      </c>
      <c r="F149" s="360">
        <v>3</v>
      </c>
      <c r="G149" s="360" t="str">
        <f>CONCATENATE(A149," ",B149," ",C149," ","inf+"," ",FanUpsizes!D149," ",FanUpsizes!F149)</f>
        <v>10ACH Percentile 2 inf+ New 3</v>
      </c>
      <c r="H149" s="360">
        <v>1.4421666666666666E-2</v>
      </c>
      <c r="I149" s="360">
        <v>0.41675061649583456</v>
      </c>
      <c r="J149" s="360">
        <v>0.84979978090693886</v>
      </c>
      <c r="K149" s="360">
        <v>338.88615057782567</v>
      </c>
      <c r="L149" s="360">
        <v>0.4041863508926663</v>
      </c>
      <c r="M149" s="360">
        <v>0.88374597077407324</v>
      </c>
      <c r="N149" s="360">
        <v>1.3411984426406558</v>
      </c>
      <c r="O149" s="360">
        <v>0.41821336418141936</v>
      </c>
      <c r="P149" s="360">
        <v>0.84980010233105152</v>
      </c>
      <c r="Q149" s="360">
        <v>285.63431555558742</v>
      </c>
      <c r="R149" s="360">
        <v>362.40953766282814</v>
      </c>
      <c r="S149" s="360">
        <v>0.39177694772795379</v>
      </c>
      <c r="T149" s="360">
        <v>0.92869987915268681</v>
      </c>
      <c r="U149" s="360">
        <v>2.2750449972061899</v>
      </c>
      <c r="V149" s="360">
        <v>0.42806680314665813</v>
      </c>
      <c r="W149" s="360">
        <v>0.84980003404418969</v>
      </c>
      <c r="X149" s="360">
        <v>193.40292713409511</v>
      </c>
      <c r="Y149" s="360">
        <v>0.38189414734343768</v>
      </c>
      <c r="Z149" s="360">
        <v>0.92994717364405888</v>
      </c>
      <c r="AA149" s="360">
        <v>110.44807085750961</v>
      </c>
      <c r="AB149" s="360">
        <v>0.37789399382987487</v>
      </c>
      <c r="AC149" s="360">
        <v>0.94308525242150587</v>
      </c>
      <c r="AD149" s="360">
        <v>1.1280879447287702</v>
      </c>
      <c r="AE149" s="360">
        <v>0.38153953758012371</v>
      </c>
      <c r="AF149" s="360">
        <v>0.92994984326957753</v>
      </c>
      <c r="AG149" s="360">
        <v>97.933598054612645</v>
      </c>
      <c r="AH149" s="360">
        <v>128.08605691314889</v>
      </c>
      <c r="AI149" s="360">
        <v>0.36993662049762843</v>
      </c>
      <c r="AJ149" s="360">
        <v>0.98165011758006171</v>
      </c>
      <c r="AK149" s="360">
        <v>1.9705705245736025</v>
      </c>
      <c r="AL149" s="360">
        <v>0.38739655025196063</v>
      </c>
      <c r="AM149" s="360">
        <v>0.92994723544159352</v>
      </c>
      <c r="AN149" s="360">
        <v>39.64936026542518</v>
      </c>
      <c r="AO149" s="360">
        <f t="shared" si="6"/>
        <v>1</v>
      </c>
      <c r="AP149" s="360">
        <f t="shared" si="7"/>
        <v>1</v>
      </c>
      <c r="AQ149" s="360">
        <f t="shared" si="8"/>
        <v>1</v>
      </c>
    </row>
    <row r="150" spans="1:43">
      <c r="A150" s="360" t="s">
        <v>1077</v>
      </c>
      <c r="B150" t="s">
        <v>1074</v>
      </c>
      <c r="C150">
        <v>2</v>
      </c>
      <c r="D150" t="s">
        <v>1078</v>
      </c>
      <c r="E150" t="s">
        <v>1079</v>
      </c>
      <c r="F150" s="360">
        <v>3</v>
      </c>
      <c r="G150" s="360" t="str">
        <f>CONCATENATE(A150," ",B150," ",C150," ","inf+"," ",FanUpsizes!D150," ",FanUpsizes!F150)</f>
        <v>10ACH Infiltration 2 inf+ New 3</v>
      </c>
      <c r="H150" s="360">
        <v>1.4421666666666666E-2</v>
      </c>
      <c r="I150" s="360">
        <v>0.41675061649583456</v>
      </c>
      <c r="J150" s="360">
        <v>0.84979978090693886</v>
      </c>
      <c r="K150" s="360">
        <v>139.19037036931064</v>
      </c>
      <c r="L150" s="360">
        <v>0.41331792304042392</v>
      </c>
      <c r="M150" s="360">
        <v>0.8560751060401276</v>
      </c>
      <c r="N150" s="360">
        <v>1.0501241711437383</v>
      </c>
      <c r="O150" s="360">
        <v>0.41583458037725041</v>
      </c>
      <c r="P150" s="360">
        <v>0.84980199399392764</v>
      </c>
      <c r="Q150" s="360">
        <v>121.35775947864008</v>
      </c>
      <c r="R150" s="360">
        <v>240.05712526538744</v>
      </c>
      <c r="S150" s="360">
        <v>0.40776789565720822</v>
      </c>
      <c r="T150" s="360">
        <v>0.87285300626062867</v>
      </c>
      <c r="U150" s="360">
        <v>1.2085261312654019</v>
      </c>
      <c r="V150" s="360">
        <v>0.41708034540200362</v>
      </c>
      <c r="W150" s="360">
        <v>0.84980205673895082</v>
      </c>
      <c r="X150" s="360">
        <v>186.90341011420762</v>
      </c>
      <c r="Y150" s="360">
        <v>0.38189414734343768</v>
      </c>
      <c r="Z150" s="360">
        <v>0.92994717364405888</v>
      </c>
      <c r="AA150" s="360">
        <v>38.273632054891969</v>
      </c>
      <c r="AB150" s="360">
        <v>0.38100803771288716</v>
      </c>
      <c r="AC150" s="360">
        <v>0.93182436885271203</v>
      </c>
      <c r="AD150" s="360">
        <v>1.0156499843692617</v>
      </c>
      <c r="AE150" s="360">
        <v>0.38152981534986558</v>
      </c>
      <c r="AF150" s="360">
        <v>0.92994717803399973</v>
      </c>
      <c r="AG150" s="360">
        <v>34.722582938349099</v>
      </c>
      <c r="AH150" s="360">
        <v>90.684551039910559</v>
      </c>
      <c r="AI150" s="360">
        <v>0.37807340107688225</v>
      </c>
      <c r="AJ150" s="360">
        <v>0.94302330866210626</v>
      </c>
      <c r="AK150" s="360">
        <v>1.1263245115224647</v>
      </c>
      <c r="AL150" s="360">
        <v>0.38172558723255984</v>
      </c>
      <c r="AM150" s="360">
        <v>0.92994782779284857</v>
      </c>
      <c r="AN150" s="360">
        <v>73.611504610264788</v>
      </c>
      <c r="AO150" s="360">
        <f t="shared" si="6"/>
        <v>1</v>
      </c>
      <c r="AP150" s="360">
        <f t="shared" si="7"/>
        <v>1</v>
      </c>
      <c r="AQ150" s="360">
        <f t="shared" si="8"/>
        <v>1</v>
      </c>
    </row>
    <row r="151" spans="1:43">
      <c r="A151" s="360" t="s">
        <v>1077</v>
      </c>
      <c r="B151" t="s">
        <v>1076</v>
      </c>
      <c r="C151">
        <v>2</v>
      </c>
      <c r="D151" t="s">
        <v>1078</v>
      </c>
      <c r="E151" t="s">
        <v>1079</v>
      </c>
      <c r="F151" s="360">
        <v>3</v>
      </c>
      <c r="G151" s="360" t="str">
        <f>CONCATENATE(A151," ",B151," ",C151," ","inf+"," ",FanUpsizes!D151," ",FanUpsizes!F151)</f>
        <v>10ACH 5C 2 inf+ New 3</v>
      </c>
      <c r="H151" s="360">
        <v>1.4421666666666666E-2</v>
      </c>
      <c r="I151" s="360">
        <v>0.41675061649583456</v>
      </c>
      <c r="J151" s="360">
        <v>0.84979978090693886</v>
      </c>
      <c r="K151" s="360">
        <v>22.606628341647948</v>
      </c>
      <c r="L151" s="360">
        <v>0.41631925147754428</v>
      </c>
      <c r="M151" s="360">
        <v>0.8504473218593861</v>
      </c>
      <c r="N151" s="360">
        <v>1.00494949049504</v>
      </c>
      <c r="O151" s="360">
        <v>0.41658261280928621</v>
      </c>
      <c r="P151" s="360">
        <v>0.84980042392536115</v>
      </c>
      <c r="Q151" s="360">
        <v>20.268724450705601</v>
      </c>
      <c r="R151" s="360">
        <v>181.76525425156177</v>
      </c>
      <c r="S151" s="360">
        <v>0.40926855987576805</v>
      </c>
      <c r="T151" s="360">
        <v>0.86979750328316197</v>
      </c>
      <c r="U151" s="360">
        <v>1.1757940789982053</v>
      </c>
      <c r="V151" s="360">
        <v>0.41738305542278653</v>
      </c>
      <c r="W151" s="360">
        <v>0.84980044012015821</v>
      </c>
      <c r="X151" s="360">
        <v>126.7076369064109</v>
      </c>
      <c r="Y151" s="360">
        <v>0.38189414734343768</v>
      </c>
      <c r="Z151" s="360">
        <v>0.92994717364405888</v>
      </c>
      <c r="AA151" s="360">
        <v>5.6135998867005528</v>
      </c>
      <c r="AB151" s="360">
        <v>0.38179344830995088</v>
      </c>
      <c r="AC151" s="360">
        <v>0.9301210033635211</v>
      </c>
      <c r="AD151" s="360">
        <v>1.0014106957022728</v>
      </c>
      <c r="AE151" s="360">
        <v>0.38184239043222679</v>
      </c>
      <c r="AF151" s="360">
        <v>0.92994787403701873</v>
      </c>
      <c r="AG151" s="360">
        <v>5.2087066351770526</v>
      </c>
      <c r="AH151" s="360">
        <v>81.644003960081989</v>
      </c>
      <c r="AI151" s="360">
        <v>0.37827241455072191</v>
      </c>
      <c r="AJ151" s="360">
        <v>0.94257304504563244</v>
      </c>
      <c r="AK151" s="360">
        <v>1.121019117587482</v>
      </c>
      <c r="AL151" s="360">
        <v>0.38181510325185186</v>
      </c>
      <c r="AM151" s="360">
        <v>0.9299472151644117</v>
      </c>
      <c r="AN151" s="360">
        <v>63.214415652027235</v>
      </c>
      <c r="AO151" s="360">
        <f t="shared" si="6"/>
        <v>1</v>
      </c>
      <c r="AP151" s="360">
        <f t="shared" si="7"/>
        <v>1</v>
      </c>
      <c r="AQ151" s="360">
        <f t="shared" si="8"/>
        <v>1</v>
      </c>
    </row>
    <row r="152" spans="1:43">
      <c r="A152" s="360" t="s">
        <v>1077</v>
      </c>
      <c r="B152" t="s">
        <v>1075</v>
      </c>
      <c r="C152">
        <v>1</v>
      </c>
      <c r="D152" t="s">
        <v>1080</v>
      </c>
      <c r="E152" t="s">
        <v>1079</v>
      </c>
      <c r="F152" s="360">
        <v>3</v>
      </c>
      <c r="G152" s="360" t="str">
        <f>CONCATENATE(A152," ",B152," ",C152," ","inf+"," ",FanUpsizes!D152," ",FanUpsizes!F152)</f>
        <v>10ACH Percentile 1 inf+ Existing 3</v>
      </c>
      <c r="H152" s="360">
        <v>2.9935212398296052E-2</v>
      </c>
      <c r="I152" s="360">
        <v>0.38607445579956418</v>
      </c>
      <c r="J152" s="360">
        <v>1.2089719373936816</v>
      </c>
      <c r="K152" s="360">
        <v>703.42971661077377</v>
      </c>
      <c r="L152" s="360">
        <v>0.35999467125366352</v>
      </c>
      <c r="M152" s="360">
        <v>1.3308846597491251</v>
      </c>
      <c r="N152" s="360">
        <v>1.3647841845417246</v>
      </c>
      <c r="O152" s="360">
        <v>0.394632660072468</v>
      </c>
      <c r="P152" s="360">
        <v>1.2089742650678788</v>
      </c>
      <c r="Q152" s="360">
        <v>585.25340552983539</v>
      </c>
      <c r="R152" s="360">
        <v>752.25747036439805</v>
      </c>
      <c r="S152" s="360">
        <v>0.33275865959975487</v>
      </c>
      <c r="T152" s="360">
        <v>1.4912046811915309</v>
      </c>
      <c r="U152" s="360">
        <v>2.3542460079013443</v>
      </c>
      <c r="V152" s="360">
        <v>0.41563698146568995</v>
      </c>
      <c r="W152" s="360">
        <v>1.2089719946814326</v>
      </c>
      <c r="X152" s="360">
        <v>379.47686198468347</v>
      </c>
      <c r="Y152" s="360">
        <v>0.35948736279008708</v>
      </c>
      <c r="Z152" s="360">
        <v>1.2743068750798583</v>
      </c>
      <c r="AA152" s="360">
        <v>510.81664862600496</v>
      </c>
      <c r="AB152" s="360">
        <v>0.33988866687971769</v>
      </c>
      <c r="AC152" s="360">
        <v>1.3745108283440084</v>
      </c>
      <c r="AD152" s="360">
        <v>1.2230241533501058</v>
      </c>
      <c r="AE152" s="360">
        <v>0.36564627179954062</v>
      </c>
      <c r="AF152" s="360">
        <v>1.2743074485530499</v>
      </c>
      <c r="AG152" s="360">
        <v>431.05343744705931</v>
      </c>
      <c r="AH152" s="360">
        <v>560.78441912602386</v>
      </c>
      <c r="AI152" s="360">
        <v>0.30715089727053951</v>
      </c>
      <c r="AJ152" s="360">
        <v>1.5913908453951158</v>
      </c>
      <c r="AK152" s="360">
        <v>2.047610362395957</v>
      </c>
      <c r="AL152" s="360">
        <v>0.38793798070539737</v>
      </c>
      <c r="AM152" s="360">
        <v>1.2743082728040656</v>
      </c>
      <c r="AN152" s="360">
        <v>208.79917196386586</v>
      </c>
      <c r="AO152" s="360">
        <f t="shared" si="6"/>
        <v>1</v>
      </c>
      <c r="AP152" s="360">
        <f t="shared" si="7"/>
        <v>1</v>
      </c>
      <c r="AQ152" s="360">
        <f t="shared" si="8"/>
        <v>1</v>
      </c>
    </row>
    <row r="153" spans="1:43">
      <c r="A153" s="360" t="s">
        <v>1077</v>
      </c>
      <c r="B153" t="s">
        <v>1074</v>
      </c>
      <c r="C153">
        <v>1</v>
      </c>
      <c r="D153" t="s">
        <v>1080</v>
      </c>
      <c r="E153" t="s">
        <v>1079</v>
      </c>
      <c r="F153" s="360">
        <v>3</v>
      </c>
      <c r="G153" s="360" t="str">
        <f>CONCATENATE(A153," ",B153," ",C153," ","inf+"," ",FanUpsizes!D153," ",FanUpsizes!F153)</f>
        <v>10ACH Infiltration 1 inf+ Existing 3</v>
      </c>
      <c r="H153" s="360">
        <v>2.9935212398296052E-2</v>
      </c>
      <c r="I153" s="360">
        <v>0.38607445579956418</v>
      </c>
      <c r="J153" s="360">
        <v>1.2089719373936816</v>
      </c>
      <c r="K153" s="360">
        <v>0</v>
      </c>
      <c r="L153" s="360">
        <v>0.38607445579956418</v>
      </c>
      <c r="M153" s="360">
        <v>1.2089719373936816</v>
      </c>
      <c r="N153" s="360">
        <v>1</v>
      </c>
      <c r="O153" s="360">
        <v>0.38607445579956418</v>
      </c>
      <c r="P153" s="360">
        <v>1.2089719373936816</v>
      </c>
      <c r="Q153" s="360">
        <v>0</v>
      </c>
      <c r="R153" s="360">
        <v>205.60550869452754</v>
      </c>
      <c r="S153" s="360">
        <v>0.38031748208331428</v>
      </c>
      <c r="T153" s="360">
        <v>1.2276768983618869</v>
      </c>
      <c r="U153" s="360">
        <v>1.0454677811054744</v>
      </c>
      <c r="V153" s="360">
        <v>0.38541307031121558</v>
      </c>
      <c r="W153" s="360">
        <v>1.2089721235159598</v>
      </c>
      <c r="X153" s="360">
        <v>168.24070117612666</v>
      </c>
      <c r="Y153" s="360">
        <v>0.35948736279008708</v>
      </c>
      <c r="Z153" s="360">
        <v>1.2743068750798583</v>
      </c>
      <c r="AA153" s="360">
        <v>0</v>
      </c>
      <c r="AB153" s="360">
        <v>0.35948736279008708</v>
      </c>
      <c r="AC153" s="360">
        <v>1.2743068750798583</v>
      </c>
      <c r="AD153" s="360">
        <v>1</v>
      </c>
      <c r="AE153" s="360">
        <v>0.35948736279008708</v>
      </c>
      <c r="AF153" s="360">
        <v>1.2743068750798583</v>
      </c>
      <c r="AG153" s="360">
        <v>0</v>
      </c>
      <c r="AH153" s="360">
        <v>196.4231637293986</v>
      </c>
      <c r="AI153" s="360">
        <v>0.3539014099016986</v>
      </c>
      <c r="AJ153" s="360">
        <v>1.2961132282900363</v>
      </c>
      <c r="AK153" s="360">
        <v>1.0392233547303205</v>
      </c>
      <c r="AL153" s="360">
        <v>0.35921599729997916</v>
      </c>
      <c r="AM153" s="360">
        <v>1.2743073617974725</v>
      </c>
      <c r="AN153" s="360">
        <v>161.64103760104339</v>
      </c>
      <c r="AO153" s="360">
        <f t="shared" si="6"/>
        <v>1</v>
      </c>
      <c r="AP153" s="360">
        <f t="shared" si="7"/>
        <v>0</v>
      </c>
      <c r="AQ153" s="360">
        <f t="shared" si="8"/>
        <v>0</v>
      </c>
    </row>
    <row r="154" spans="1:43">
      <c r="A154" s="360" t="s">
        <v>1077</v>
      </c>
      <c r="B154" t="s">
        <v>1076</v>
      </c>
      <c r="C154">
        <v>1</v>
      </c>
      <c r="D154" t="s">
        <v>1080</v>
      </c>
      <c r="E154" t="s">
        <v>1079</v>
      </c>
      <c r="F154" s="360">
        <v>3</v>
      </c>
      <c r="G154" s="360" t="str">
        <f>CONCATENATE(A154," ",B154," ",C154," ","inf+"," ",FanUpsizes!D154," ",FanUpsizes!F154)</f>
        <v>10ACH 5C 1 inf+ Existing 3</v>
      </c>
      <c r="H154" s="360">
        <v>2.9935212398296052E-2</v>
      </c>
      <c r="I154" s="360">
        <v>0.38607445579956418</v>
      </c>
      <c r="J154" s="360">
        <v>1.2089719373936816</v>
      </c>
      <c r="K154" s="360">
        <v>46.92482752917573</v>
      </c>
      <c r="L154" s="360">
        <v>0.38517906667830776</v>
      </c>
      <c r="M154" s="360">
        <v>1.211401958916831</v>
      </c>
      <c r="N154" s="360">
        <v>1.0057719754931023</v>
      </c>
      <c r="O154" s="360">
        <v>0.38585029204080351</v>
      </c>
      <c r="P154" s="360">
        <v>1.2089719401067229</v>
      </c>
      <c r="Q154" s="360">
        <v>41.265595137416575</v>
      </c>
      <c r="R154" s="360">
        <v>229.06792245911541</v>
      </c>
      <c r="S154" s="360">
        <v>0.37986978752268608</v>
      </c>
      <c r="T154" s="360">
        <v>1.2291399589585741</v>
      </c>
      <c r="U154" s="360">
        <v>1.0492097549483947</v>
      </c>
      <c r="V154" s="360">
        <v>0.38536350507294187</v>
      </c>
      <c r="W154" s="360">
        <v>1.2089720714486325</v>
      </c>
      <c r="X154" s="360">
        <v>189.78259108213322</v>
      </c>
      <c r="Y154" s="360">
        <v>0.35948736279008708</v>
      </c>
      <c r="Z154" s="360">
        <v>1.2743068750798583</v>
      </c>
      <c r="AA154" s="360">
        <v>27.757817784531667</v>
      </c>
      <c r="AB154" s="360">
        <v>0.35896450438355804</v>
      </c>
      <c r="AC154" s="360">
        <v>1.2759521190044125</v>
      </c>
      <c r="AD154" s="360">
        <v>1.0028242630061421</v>
      </c>
      <c r="AE154" s="360">
        <v>0.35936848709161556</v>
      </c>
      <c r="AF154" s="360">
        <v>1.2743075579139322</v>
      </c>
      <c r="AG154" s="360">
        <v>24.461974793772843</v>
      </c>
      <c r="AH154" s="360">
        <v>204.04395267945108</v>
      </c>
      <c r="AI154" s="360">
        <v>0.35376191662520096</v>
      </c>
      <c r="AJ154" s="360">
        <v>1.2966421963502563</v>
      </c>
      <c r="AK154" s="360">
        <v>1.0402522485848109</v>
      </c>
      <c r="AL154" s="360">
        <v>0.35920612091137866</v>
      </c>
      <c r="AM154" s="360">
        <v>1.2743071259784651</v>
      </c>
      <c r="AN154" s="360">
        <v>168.93095458488344</v>
      </c>
      <c r="AO154" s="360">
        <f t="shared" si="6"/>
        <v>1</v>
      </c>
      <c r="AP154" s="360">
        <f t="shared" si="7"/>
        <v>1</v>
      </c>
      <c r="AQ154" s="360">
        <f t="shared" si="8"/>
        <v>1</v>
      </c>
    </row>
    <row r="155" spans="1:43">
      <c r="A155" s="360" t="s">
        <v>1077</v>
      </c>
      <c r="B155" t="s">
        <v>1075</v>
      </c>
      <c r="C155">
        <v>2</v>
      </c>
      <c r="D155" t="s">
        <v>1080</v>
      </c>
      <c r="E155" t="s">
        <v>1079</v>
      </c>
      <c r="F155" s="360">
        <v>3</v>
      </c>
      <c r="G155" s="360" t="str">
        <f>CONCATENATE(A155," ",B155," ",C155," ","inf+"," ",FanUpsizes!D155," ",FanUpsizes!F155)</f>
        <v>10ACH Percentile 2 inf+ Existing 3</v>
      </c>
      <c r="H155" s="360">
        <v>2.0484236260569659E-2</v>
      </c>
      <c r="I155" s="360">
        <v>0.43933353603616121</v>
      </c>
      <c r="J155" s="360">
        <v>1.097543094519192</v>
      </c>
      <c r="K155" s="360">
        <v>481.34686054809941</v>
      </c>
      <c r="L155" s="360">
        <v>0.42148751372788623</v>
      </c>
      <c r="M155" s="360">
        <v>1.1585063102296531</v>
      </c>
      <c r="N155" s="360">
        <v>1.3540337741445265</v>
      </c>
      <c r="O155" s="360">
        <v>0.44238178955713708</v>
      </c>
      <c r="P155" s="360">
        <v>1.0975431674480258</v>
      </c>
      <c r="Q155" s="360">
        <v>402.86368708044756</v>
      </c>
      <c r="R155" s="360">
        <v>514.75899174176686</v>
      </c>
      <c r="S155" s="360">
        <v>0.40371325815412462</v>
      </c>
      <c r="T155" s="360">
        <v>1.239129465466448</v>
      </c>
      <c r="U155" s="360">
        <v>2.3027520044257423</v>
      </c>
      <c r="V155" s="360">
        <v>0.45659160184197484</v>
      </c>
      <c r="W155" s="360">
        <v>1.0975431217978646</v>
      </c>
      <c r="X155" s="360">
        <v>269.48909212902385</v>
      </c>
      <c r="Y155" s="360">
        <v>0.39892609040443716</v>
      </c>
      <c r="Z155" s="360">
        <v>1.2035050242076959</v>
      </c>
      <c r="AA155" s="360">
        <v>210.25768975611254</v>
      </c>
      <c r="AB155" s="360">
        <v>0.3910785060975473</v>
      </c>
      <c r="AC155" s="360">
        <v>1.2357472923055519</v>
      </c>
      <c r="AD155" s="360">
        <v>1.1492210672168035</v>
      </c>
      <c r="AE155" s="360">
        <v>0.39895595924174343</v>
      </c>
      <c r="AF155" s="360">
        <v>1.2035050469535467</v>
      </c>
      <c r="AG155" s="360">
        <v>185.02605260628229</v>
      </c>
      <c r="AH155" s="360">
        <v>237.92475879529306</v>
      </c>
      <c r="AI155" s="360">
        <v>0.37628734136092734</v>
      </c>
      <c r="AJ155" s="360">
        <v>1.3227759735664233</v>
      </c>
      <c r="AK155" s="360">
        <v>1.9814398903457289</v>
      </c>
      <c r="AL155" s="360">
        <v>0.40968221208942246</v>
      </c>
      <c r="AM155" s="360">
        <v>1.2035050310587001</v>
      </c>
      <c r="AN155" s="360">
        <v>80.590904254676715</v>
      </c>
      <c r="AO155" s="360">
        <f t="shared" si="6"/>
        <v>1</v>
      </c>
      <c r="AP155" s="360">
        <f t="shared" si="7"/>
        <v>1</v>
      </c>
      <c r="AQ155" s="360">
        <f t="shared" si="8"/>
        <v>1</v>
      </c>
    </row>
    <row r="156" spans="1:43">
      <c r="A156" s="360" t="s">
        <v>1077</v>
      </c>
      <c r="B156" t="s">
        <v>1074</v>
      </c>
      <c r="C156">
        <v>2</v>
      </c>
      <c r="D156" t="s">
        <v>1080</v>
      </c>
      <c r="E156" t="s">
        <v>1079</v>
      </c>
      <c r="F156" s="360">
        <v>3</v>
      </c>
      <c r="G156" s="360" t="str">
        <f>CONCATENATE(A156," ",B156," ",C156," ","inf+"," ",FanUpsizes!D156," ",FanUpsizes!F156)</f>
        <v>10ACH Infiltration 2 inf+ Existing 3</v>
      </c>
      <c r="H156" s="360">
        <v>2.0484236260569659E-2</v>
      </c>
      <c r="I156" s="360">
        <v>0.43933353603616121</v>
      </c>
      <c r="J156" s="360">
        <v>1.097543094519192</v>
      </c>
      <c r="K156" s="360">
        <v>0.47928237049481348</v>
      </c>
      <c r="L156" s="360">
        <v>0.43932490643156341</v>
      </c>
      <c r="M156" s="360">
        <v>1.0975578611939267</v>
      </c>
      <c r="N156" s="360">
        <v>1.000063930937503</v>
      </c>
      <c r="O156" s="360">
        <v>0.43932980165423691</v>
      </c>
      <c r="P156" s="360">
        <v>1.0975433283990854</v>
      </c>
      <c r="Q156" s="360">
        <v>0.43436767065204995</v>
      </c>
      <c r="R156" s="360">
        <v>208.65253509299626</v>
      </c>
      <c r="S156" s="360">
        <v>0.43246437077630323</v>
      </c>
      <c r="T156" s="360">
        <v>1.1170746639325539</v>
      </c>
      <c r="U156" s="360">
        <v>1.0928544655297194</v>
      </c>
      <c r="V156" s="360">
        <v>0.43893725054877136</v>
      </c>
      <c r="W156" s="360">
        <v>1.0975434411987572</v>
      </c>
      <c r="X156" s="360">
        <v>162.74741786396655</v>
      </c>
      <c r="Y156" s="360">
        <v>0.39892609040443716</v>
      </c>
      <c r="Z156" s="360">
        <v>1.2035050242076959</v>
      </c>
      <c r="AA156" s="360">
        <v>0.16394745536174088</v>
      </c>
      <c r="AB156" s="360">
        <v>0.39892324632187726</v>
      </c>
      <c r="AC156" s="360">
        <v>1.2035109139215792</v>
      </c>
      <c r="AD156" s="360">
        <v>1</v>
      </c>
      <c r="AE156" s="360">
        <v>0.39892324632187726</v>
      </c>
      <c r="AF156" s="360">
        <v>1.2035109139215792</v>
      </c>
      <c r="AG156" s="360">
        <v>0.16394745536174088</v>
      </c>
      <c r="AH156" s="360">
        <v>126.47283727707226</v>
      </c>
      <c r="AI156" s="360">
        <v>0.39470088015918697</v>
      </c>
      <c r="AJ156" s="360">
        <v>1.2187355031588551</v>
      </c>
      <c r="AK156" s="360">
        <v>1.0628117196906817</v>
      </c>
      <c r="AL156" s="360">
        <v>0.39836863815695794</v>
      </c>
      <c r="AM156" s="360">
        <v>1.2035050778635703</v>
      </c>
      <c r="AN156" s="360">
        <v>106.38316228748474</v>
      </c>
      <c r="AO156" s="360">
        <f t="shared" si="6"/>
        <v>1</v>
      </c>
      <c r="AP156" s="360">
        <f t="shared" si="7"/>
        <v>1</v>
      </c>
      <c r="AQ156" s="360">
        <f t="shared" si="8"/>
        <v>1</v>
      </c>
    </row>
    <row r="157" spans="1:43">
      <c r="A157" s="360" t="s">
        <v>1077</v>
      </c>
      <c r="B157" t="s">
        <v>1076</v>
      </c>
      <c r="C157">
        <v>2</v>
      </c>
      <c r="D157" t="s">
        <v>1080</v>
      </c>
      <c r="E157" t="s">
        <v>1079</v>
      </c>
      <c r="F157" s="360">
        <v>3</v>
      </c>
      <c r="G157" s="360" t="str">
        <f>CONCATENATE(A157," ",B157," ",C157," ","inf+"," ",FanUpsizes!D157," ",FanUpsizes!F157)</f>
        <v>10ACH 5C 2 inf+ Existing 3</v>
      </c>
      <c r="H157" s="360">
        <v>2.0484236260569659E-2</v>
      </c>
      <c r="I157" s="360">
        <v>0.43933353603616121</v>
      </c>
      <c r="J157" s="360">
        <v>1.097543094519192</v>
      </c>
      <c r="K157" s="360">
        <v>32.109986086110624</v>
      </c>
      <c r="L157" s="360">
        <v>0.43872083410971646</v>
      </c>
      <c r="M157" s="360">
        <v>1.0987206412811787</v>
      </c>
      <c r="N157" s="360">
        <v>1.0052063454236937</v>
      </c>
      <c r="O157" s="360">
        <v>0.43911634147700057</v>
      </c>
      <c r="P157" s="360">
        <v>1.0975431013706529</v>
      </c>
      <c r="Q157" s="360">
        <v>28.616946875174211</v>
      </c>
      <c r="R157" s="360">
        <v>224.46788695080647</v>
      </c>
      <c r="S157" s="360">
        <v>0.43216233461537984</v>
      </c>
      <c r="T157" s="360">
        <v>1.1177269786200097</v>
      </c>
      <c r="U157" s="360">
        <v>1.0962779430894287</v>
      </c>
      <c r="V157" s="360">
        <v>0.43884478540315808</v>
      </c>
      <c r="W157" s="360">
        <v>1.0975434479101014</v>
      </c>
      <c r="X157" s="360">
        <v>178.39295051343328</v>
      </c>
      <c r="Y157" s="360">
        <v>0.39892609040443716</v>
      </c>
      <c r="Z157" s="360">
        <v>1.2035050242076959</v>
      </c>
      <c r="AA157" s="360">
        <v>10.918802528391449</v>
      </c>
      <c r="AB157" s="360">
        <v>0.39872566337769272</v>
      </c>
      <c r="AC157" s="360">
        <v>1.2039568438949135</v>
      </c>
      <c r="AD157" s="360">
        <v>1.0017084611824814</v>
      </c>
      <c r="AE157" s="360">
        <v>0.39883624662478256</v>
      </c>
      <c r="AF157" s="360">
        <v>1.2035052169380611</v>
      </c>
      <c r="AG157" s="360">
        <v>10.01988601778563</v>
      </c>
      <c r="AH157" s="360">
        <v>129.36979566564474</v>
      </c>
      <c r="AI157" s="360">
        <v>0.39465046990472036</v>
      </c>
      <c r="AJ157" s="360">
        <v>1.2188574014730904</v>
      </c>
      <c r="AK157" s="360">
        <v>1.0633667529267188</v>
      </c>
      <c r="AL157" s="360">
        <v>0.39834480840544501</v>
      </c>
      <c r="AM157" s="360">
        <v>1.2035071729100659</v>
      </c>
      <c r="AN157" s="360">
        <v>109.45398540814274</v>
      </c>
      <c r="AO157" s="360">
        <f t="shared" si="6"/>
        <v>1</v>
      </c>
      <c r="AP157" s="360">
        <f t="shared" si="7"/>
        <v>1</v>
      </c>
      <c r="AQ157" s="360">
        <f t="shared" si="8"/>
        <v>1</v>
      </c>
    </row>
    <row r="158" spans="1:43">
      <c r="A158" s="360" t="s">
        <v>1081</v>
      </c>
      <c r="B158" t="s">
        <v>1075</v>
      </c>
      <c r="C158">
        <v>1</v>
      </c>
      <c r="D158" t="s">
        <v>1078</v>
      </c>
      <c r="E158" t="s">
        <v>1079</v>
      </c>
      <c r="F158" s="360">
        <v>3</v>
      </c>
      <c r="G158" s="360" t="str">
        <f>CONCATENATE(A158," ",B158," ",C158," ","inf+"," ",FanUpsizes!D158," ",FanUpsizes!F158)</f>
        <v>7ACH Percentile 1 inf+ New 3</v>
      </c>
      <c r="H158" s="360">
        <v>2.2559148678807237E-2</v>
      </c>
      <c r="I158" s="360">
        <v>0.27657547877181188</v>
      </c>
      <c r="J158" s="360">
        <v>1.2153521972512298</v>
      </c>
      <c r="K158" s="360">
        <v>530.10399094467982</v>
      </c>
      <c r="L158" s="360">
        <v>0.25692177699564578</v>
      </c>
      <c r="M158" s="360">
        <v>1.3455118890146518</v>
      </c>
      <c r="N158" s="360">
        <v>1.3640409077968689</v>
      </c>
      <c r="O158" s="360">
        <v>0.28352137675969641</v>
      </c>
      <c r="P158" s="360">
        <v>1.2153534533529839</v>
      </c>
      <c r="Q158" s="360">
        <v>441.22789287178847</v>
      </c>
      <c r="R158" s="360">
        <v>566.90054150608466</v>
      </c>
      <c r="S158" s="360">
        <v>0.23612287039506522</v>
      </c>
      <c r="T158" s="360">
        <v>1.5130694403966705</v>
      </c>
      <c r="U158" s="360">
        <v>2.3429014541976132</v>
      </c>
      <c r="V158" s="360">
        <v>0.29877156710575903</v>
      </c>
      <c r="W158" s="360">
        <v>1.2153550122372598</v>
      </c>
      <c r="X158" s="360">
        <v>287.30653290254628</v>
      </c>
      <c r="Y158" s="360">
        <v>0.25949999851217737</v>
      </c>
      <c r="Z158" s="360">
        <v>1.272842536653036</v>
      </c>
      <c r="AA158" s="360">
        <v>405.5602026012001</v>
      </c>
      <c r="AB158" s="360">
        <v>0.24392195051218374</v>
      </c>
      <c r="AC158" s="360">
        <v>1.3833723570803562</v>
      </c>
      <c r="AD158" s="360">
        <v>1.2332928319712182</v>
      </c>
      <c r="AE158" s="360">
        <v>0.26494573398262583</v>
      </c>
      <c r="AF158" s="360">
        <v>1.2728462858652545</v>
      </c>
      <c r="AG158" s="360">
        <v>340.29044383070197</v>
      </c>
      <c r="AH158" s="360">
        <v>444.11488656570106</v>
      </c>
      <c r="AI158" s="360">
        <v>0.21833812636795885</v>
      </c>
      <c r="AJ158" s="360">
        <v>1.6107612489963685</v>
      </c>
      <c r="AK158" s="360">
        <v>2.0474598224981708</v>
      </c>
      <c r="AL158" s="360">
        <v>0.28149492969538908</v>
      </c>
      <c r="AM158" s="360">
        <v>1.2728450488558132</v>
      </c>
      <c r="AN158" s="360">
        <v>170.17904126535521</v>
      </c>
      <c r="AO158" s="360">
        <f t="shared" si="6"/>
        <v>1</v>
      </c>
      <c r="AP158" s="360">
        <f t="shared" si="7"/>
        <v>1</v>
      </c>
      <c r="AQ158" s="360">
        <f t="shared" si="8"/>
        <v>1</v>
      </c>
    </row>
    <row r="159" spans="1:43">
      <c r="A159" s="360" t="s">
        <v>1081</v>
      </c>
      <c r="B159" t="s">
        <v>1074</v>
      </c>
      <c r="C159">
        <v>1</v>
      </c>
      <c r="D159" t="s">
        <v>1078</v>
      </c>
      <c r="E159" t="s">
        <v>1079</v>
      </c>
      <c r="F159" s="360">
        <v>3</v>
      </c>
      <c r="G159" s="360" t="str">
        <f>CONCATENATE(A159," ",B159," ",C159," ","inf+"," ",FanUpsizes!D159," ",FanUpsizes!F159)</f>
        <v>7ACH Infiltration 1 inf+ New 3</v>
      </c>
      <c r="H159" s="360">
        <v>2.2559148678807237E-2</v>
      </c>
      <c r="I159" s="360">
        <v>0.27657547877181188</v>
      </c>
      <c r="J159" s="360">
        <v>1.2153521972512298</v>
      </c>
      <c r="K159" s="360">
        <v>0</v>
      </c>
      <c r="L159" s="360">
        <v>0.27657547877181188</v>
      </c>
      <c r="M159" s="360">
        <v>1.2153521972512298</v>
      </c>
      <c r="N159" s="360">
        <v>1</v>
      </c>
      <c r="O159" s="360">
        <v>0.27657547877181188</v>
      </c>
      <c r="P159" s="360">
        <v>1.2153521972512298</v>
      </c>
      <c r="Q159" s="360">
        <v>0</v>
      </c>
      <c r="R159" s="360">
        <v>139.24937490206352</v>
      </c>
      <c r="S159" s="360">
        <v>0.27279299651508504</v>
      </c>
      <c r="T159" s="360">
        <v>1.2327503386479539</v>
      </c>
      <c r="U159" s="360">
        <v>1.0402409348145389</v>
      </c>
      <c r="V159" s="360">
        <v>0.27624641108162068</v>
      </c>
      <c r="W159" s="360">
        <v>1.2153537965028329</v>
      </c>
      <c r="X159" s="360">
        <v>113.6966918157416</v>
      </c>
      <c r="Y159" s="360">
        <v>0.25949999851217737</v>
      </c>
      <c r="Z159" s="360">
        <v>1.272842536653036</v>
      </c>
      <c r="AA159" s="360">
        <v>0</v>
      </c>
      <c r="AB159" s="360">
        <v>0.25949999851217737</v>
      </c>
      <c r="AC159" s="360">
        <v>1.272842536653036</v>
      </c>
      <c r="AD159" s="360">
        <v>1</v>
      </c>
      <c r="AE159" s="360">
        <v>0.25949999851217737</v>
      </c>
      <c r="AF159" s="360">
        <v>1.272842536653036</v>
      </c>
      <c r="AG159" s="360">
        <v>0</v>
      </c>
      <c r="AH159" s="360">
        <v>138.68038084201851</v>
      </c>
      <c r="AI159" s="360">
        <v>0.25568046819954904</v>
      </c>
      <c r="AJ159" s="360">
        <v>1.2935306071615336</v>
      </c>
      <c r="AK159" s="360">
        <v>1.0351006414976207</v>
      </c>
      <c r="AL159" s="360">
        <v>0.25942882899313874</v>
      </c>
      <c r="AM159" s="360">
        <v>1.2728428756032724</v>
      </c>
      <c r="AN159" s="360">
        <v>113.28996222129794</v>
      </c>
      <c r="AO159" s="360">
        <f t="shared" si="6"/>
        <v>1</v>
      </c>
      <c r="AP159" s="360">
        <f t="shared" si="7"/>
        <v>0</v>
      </c>
      <c r="AQ159" s="360">
        <f t="shared" si="8"/>
        <v>0</v>
      </c>
    </row>
    <row r="160" spans="1:43">
      <c r="A160" s="360" t="s">
        <v>1081</v>
      </c>
      <c r="B160" t="s">
        <v>1076</v>
      </c>
      <c r="C160">
        <v>1</v>
      </c>
      <c r="D160" t="s">
        <v>1078</v>
      </c>
      <c r="E160" t="s">
        <v>1079</v>
      </c>
      <c r="F160" s="360">
        <v>3</v>
      </c>
      <c r="G160" s="360" t="str">
        <f>CONCATENATE(A160," ",B160," ",C160," ","inf+"," ",FanUpsizes!D160," ",FanUpsizes!F160)</f>
        <v>7ACH 5C 1 inf+ New 3</v>
      </c>
      <c r="H160" s="360">
        <v>2.2559148678807237E-2</v>
      </c>
      <c r="I160" s="360">
        <v>0.27657547877181188</v>
      </c>
      <c r="J160" s="360">
        <v>1.2153521972512298</v>
      </c>
      <c r="K160" s="360">
        <v>35.362507099440464</v>
      </c>
      <c r="L160" s="360">
        <v>0.27590071434912955</v>
      </c>
      <c r="M160" s="360">
        <v>1.2180334114544538</v>
      </c>
      <c r="N160" s="360">
        <v>1.0060628812945613</v>
      </c>
      <c r="O160" s="360">
        <v>0.27643778992231111</v>
      </c>
      <c r="P160" s="360">
        <v>1.2153583359977003</v>
      </c>
      <c r="Q160" s="360">
        <v>30.882770514333298</v>
      </c>
      <c r="R160" s="360">
        <v>156.93062845178378</v>
      </c>
      <c r="S160" s="360">
        <v>0.27245561430374376</v>
      </c>
      <c r="T160" s="360">
        <v>1.2343688584495793</v>
      </c>
      <c r="U160" s="360">
        <v>1.0441465888335333</v>
      </c>
      <c r="V160" s="360">
        <v>0.27622994348444918</v>
      </c>
      <c r="W160" s="360">
        <v>1.2153553868673008</v>
      </c>
      <c r="X160" s="360">
        <v>129.67845223208025</v>
      </c>
      <c r="Y160" s="360">
        <v>0.25949999851217737</v>
      </c>
      <c r="Z160" s="360">
        <v>1.272842536653036</v>
      </c>
      <c r="AA160" s="360">
        <v>22.200044678695885</v>
      </c>
      <c r="AB160" s="360">
        <v>0.259081003636147</v>
      </c>
      <c r="AC160" s="360">
        <v>1.2747570535002708</v>
      </c>
      <c r="AD160" s="360">
        <v>1.0031245502274198</v>
      </c>
      <c r="AE160" s="360">
        <v>0.25943033646370806</v>
      </c>
      <c r="AF160" s="360">
        <v>1.2728427804634319</v>
      </c>
      <c r="AG160" s="360">
        <v>19.342527391463872</v>
      </c>
      <c r="AH160" s="360">
        <v>144.81456295472884</v>
      </c>
      <c r="AI160" s="360">
        <v>0.25556772347062534</v>
      </c>
      <c r="AJ160" s="360">
        <v>1.2941579715363949</v>
      </c>
      <c r="AK160" s="360">
        <v>1.0362388119561241</v>
      </c>
      <c r="AL160" s="360">
        <v>0.25943056998185487</v>
      </c>
      <c r="AM160" s="360">
        <v>1.2728429811119586</v>
      </c>
      <c r="AN160" s="360">
        <v>119.02028369300442</v>
      </c>
      <c r="AO160" s="360">
        <f t="shared" si="6"/>
        <v>1</v>
      </c>
      <c r="AP160" s="360">
        <f t="shared" si="7"/>
        <v>1</v>
      </c>
      <c r="AQ160" s="360">
        <f t="shared" si="8"/>
        <v>1</v>
      </c>
    </row>
    <row r="161" spans="1:43">
      <c r="A161" s="360" t="s">
        <v>1081</v>
      </c>
      <c r="B161" t="s">
        <v>1075</v>
      </c>
      <c r="C161">
        <v>2</v>
      </c>
      <c r="D161" t="s">
        <v>1078</v>
      </c>
      <c r="E161" t="s">
        <v>1079</v>
      </c>
      <c r="F161" s="360">
        <v>3</v>
      </c>
      <c r="G161" s="360" t="str">
        <f>CONCATENATE(A161," ",B161," ",C161," ","inf+"," ",FanUpsizes!D161," ",FanUpsizes!F161)</f>
        <v>7ACH Percentile 2 inf+ New 3</v>
      </c>
      <c r="H161" s="360">
        <v>1.5943465382398755E-2</v>
      </c>
      <c r="I161" s="360">
        <v>0.31353180414298276</v>
      </c>
      <c r="J161" s="360">
        <v>1.1037857003368661</v>
      </c>
      <c r="K161" s="360">
        <v>374.64599170081482</v>
      </c>
      <c r="L161" s="360">
        <v>0.29964173593315913</v>
      </c>
      <c r="M161" s="360">
        <v>1.1720045927038101</v>
      </c>
      <c r="N161" s="360">
        <v>1.3685909643804324</v>
      </c>
      <c r="O161" s="360">
        <v>0.31669837387978739</v>
      </c>
      <c r="P161" s="360">
        <v>1.1037861126233013</v>
      </c>
      <c r="Q161" s="360">
        <v>311.04857250456621</v>
      </c>
      <c r="R161" s="360">
        <v>400.65160647024646</v>
      </c>
      <c r="S161" s="360">
        <v>0.28575830603695224</v>
      </c>
      <c r="T161" s="360">
        <v>1.2571258589930077</v>
      </c>
      <c r="U161" s="360">
        <v>2.3118393355827447</v>
      </c>
      <c r="V161" s="360">
        <v>0.32728005216351852</v>
      </c>
      <c r="W161" s="360">
        <v>1.1037858427943417</v>
      </c>
      <c r="X161" s="360">
        <v>208.41942283626574</v>
      </c>
      <c r="Y161" s="360">
        <v>0.28454970649316419</v>
      </c>
      <c r="Z161" s="360">
        <v>1.2086516807314833</v>
      </c>
      <c r="AA161" s="360">
        <v>178.55790423485922</v>
      </c>
      <c r="AB161" s="360">
        <v>0.2778406601970001</v>
      </c>
      <c r="AC161" s="360">
        <v>1.2477429323075047</v>
      </c>
      <c r="AD161" s="360">
        <v>1.1631840822608561</v>
      </c>
      <c r="AE161" s="360">
        <v>0.28507428179015448</v>
      </c>
      <c r="AF161" s="360">
        <v>1.2086527741273263</v>
      </c>
      <c r="AG161" s="360">
        <v>155.68292945962972</v>
      </c>
      <c r="AH161" s="360">
        <v>200.81054585622772</v>
      </c>
      <c r="AI161" s="360">
        <v>0.26543045163948475</v>
      </c>
      <c r="AJ161" s="360">
        <v>1.3438425654183164</v>
      </c>
      <c r="AK161" s="360">
        <v>1.9778997536479563</v>
      </c>
      <c r="AL161" s="360">
        <v>0.29343811759527366</v>
      </c>
      <c r="AM161" s="360">
        <v>1.2086529144034837</v>
      </c>
      <c r="AN161" s="360">
        <v>70.995297299065768</v>
      </c>
      <c r="AO161" s="360">
        <f t="shared" si="6"/>
        <v>1</v>
      </c>
      <c r="AP161" s="360">
        <f t="shared" si="7"/>
        <v>1</v>
      </c>
      <c r="AQ161" s="360">
        <f t="shared" si="8"/>
        <v>1</v>
      </c>
    </row>
    <row r="162" spans="1:43">
      <c r="A162" s="360" t="s">
        <v>1081</v>
      </c>
      <c r="B162" t="s">
        <v>1074</v>
      </c>
      <c r="C162">
        <v>2</v>
      </c>
      <c r="D162" t="s">
        <v>1078</v>
      </c>
      <c r="E162" t="s">
        <v>1079</v>
      </c>
      <c r="F162" s="360">
        <v>3</v>
      </c>
      <c r="G162" s="360" t="str">
        <f>CONCATENATE(A162," ",B162," ",C162," ","inf+"," ",FanUpsizes!D162," ",FanUpsizes!F162)</f>
        <v>7ACH Infiltration 2 inf+ New 3</v>
      </c>
      <c r="H162" s="360">
        <v>1.5943465382398755E-2</v>
      </c>
      <c r="I162" s="360">
        <v>0.31353180414298276</v>
      </c>
      <c r="J162" s="360">
        <v>1.1037857003368661</v>
      </c>
      <c r="K162" s="360">
        <v>0</v>
      </c>
      <c r="L162" s="360">
        <v>0.31353180414298276</v>
      </c>
      <c r="M162" s="360">
        <v>1.1037857003368661</v>
      </c>
      <c r="N162" s="360">
        <v>1</v>
      </c>
      <c r="O162" s="360">
        <v>0.31353180414298276</v>
      </c>
      <c r="P162" s="360">
        <v>1.1037857003368661</v>
      </c>
      <c r="Q162" s="360">
        <v>0</v>
      </c>
      <c r="R162" s="360">
        <v>162.21022371104326</v>
      </c>
      <c r="S162" s="360">
        <v>0.3081920535497476</v>
      </c>
      <c r="T162" s="360">
        <v>1.1258714354037305</v>
      </c>
      <c r="U162" s="360">
        <v>1.0984199457514376</v>
      </c>
      <c r="V162" s="360">
        <v>0.31353984896878839</v>
      </c>
      <c r="W162" s="360">
        <v>1.1037907150507091</v>
      </c>
      <c r="X162" s="360">
        <v>124.32073346565852</v>
      </c>
      <c r="Y162" s="360">
        <v>0.28454970649316419</v>
      </c>
      <c r="Z162" s="360">
        <v>1.2086516807314833</v>
      </c>
      <c r="AA162" s="360">
        <v>0</v>
      </c>
      <c r="AB162" s="360">
        <v>0.28454970649316419</v>
      </c>
      <c r="AC162" s="360">
        <v>1.2086516807314833</v>
      </c>
      <c r="AD162" s="360">
        <v>1</v>
      </c>
      <c r="AE162" s="360">
        <v>0.28454970649316419</v>
      </c>
      <c r="AF162" s="360">
        <v>1.2086516807314833</v>
      </c>
      <c r="AG162" s="360">
        <v>0</v>
      </c>
      <c r="AH162" s="360">
        <v>107.53321774622144</v>
      </c>
      <c r="AI162" s="360">
        <v>0.28094474966969041</v>
      </c>
      <c r="AJ162" s="360">
        <v>1.2273890383234403</v>
      </c>
      <c r="AK162" s="360">
        <v>1.0693038460742683</v>
      </c>
      <c r="AL162" s="360">
        <v>0.28434595522317863</v>
      </c>
      <c r="AM162" s="360">
        <v>1.2086554377692891</v>
      </c>
      <c r="AN162" s="360">
        <v>88.962906126819959</v>
      </c>
      <c r="AO162" s="360">
        <f t="shared" si="6"/>
        <v>1</v>
      </c>
      <c r="AP162" s="360">
        <f t="shared" si="7"/>
        <v>0</v>
      </c>
      <c r="AQ162" s="360">
        <f t="shared" si="8"/>
        <v>0</v>
      </c>
    </row>
    <row r="163" spans="1:43">
      <c r="A163" s="360" t="s">
        <v>1081</v>
      </c>
      <c r="B163" t="s">
        <v>1076</v>
      </c>
      <c r="C163">
        <v>2</v>
      </c>
      <c r="D163" t="s">
        <v>1078</v>
      </c>
      <c r="E163" t="s">
        <v>1079</v>
      </c>
      <c r="F163" s="360">
        <v>3</v>
      </c>
      <c r="G163" s="360" t="str">
        <f>CONCATENATE(A163," ",B163," ",C163," ","inf+"," ",FanUpsizes!D163," ",FanUpsizes!F163)</f>
        <v>7ACH 5C 2 inf+ New 3</v>
      </c>
      <c r="H163" s="360">
        <v>1.5943465382398755E-2</v>
      </c>
      <c r="I163" s="360">
        <v>0.31353180414298276</v>
      </c>
      <c r="J163" s="360">
        <v>1.1037857003368661</v>
      </c>
      <c r="K163" s="360">
        <v>24.992118089296604</v>
      </c>
      <c r="L163" s="360">
        <v>0.31305492075666835</v>
      </c>
      <c r="M163" s="360">
        <v>1.1051550717989198</v>
      </c>
      <c r="N163" s="360">
        <v>1.0056801591267435</v>
      </c>
      <c r="O163" s="360">
        <v>0.31339077052130804</v>
      </c>
      <c r="P163" s="360">
        <v>1.1037859858976147</v>
      </c>
      <c r="Q163" s="360">
        <v>22.025962477781849</v>
      </c>
      <c r="R163" s="360">
        <v>174.70628275569152</v>
      </c>
      <c r="S163" s="360">
        <v>0.30795361185659031</v>
      </c>
      <c r="T163" s="360">
        <v>1.1266555110799943</v>
      </c>
      <c r="U163" s="360">
        <v>1.1022928782042778</v>
      </c>
      <c r="V163" s="360">
        <v>0.31348800104070274</v>
      </c>
      <c r="W163" s="360">
        <v>1.1037859386331328</v>
      </c>
      <c r="X163" s="360">
        <v>136.60405749624729</v>
      </c>
      <c r="Y163" s="360">
        <v>0.28454970649316419</v>
      </c>
      <c r="Z163" s="360">
        <v>1.2086516807314833</v>
      </c>
      <c r="AA163" s="360">
        <v>9.3395907469501331</v>
      </c>
      <c r="AB163" s="360">
        <v>0.28437731734225402</v>
      </c>
      <c r="AC163" s="360">
        <v>1.2092414638271229</v>
      </c>
      <c r="AD163" s="360">
        <v>1.0019828855288919</v>
      </c>
      <c r="AE163" s="360">
        <v>0.28448511120433745</v>
      </c>
      <c r="AF163" s="360">
        <v>1.2086546058375713</v>
      </c>
      <c r="AG163" s="360">
        <v>8.46460857300392</v>
      </c>
      <c r="AH163" s="360">
        <v>110.04705369217707</v>
      </c>
      <c r="AI163" s="360">
        <v>0.28090056835533295</v>
      </c>
      <c r="AJ163" s="360">
        <v>1.2275546496797958</v>
      </c>
      <c r="AK163" s="360">
        <v>1.070010075385049</v>
      </c>
      <c r="AL163" s="360">
        <v>0.28433089162838987</v>
      </c>
      <c r="AM163" s="360">
        <v>1.2086522146554584</v>
      </c>
      <c r="AN163" s="360">
        <v>91.62584117062481</v>
      </c>
      <c r="AO163" s="360">
        <f t="shared" si="6"/>
        <v>1</v>
      </c>
      <c r="AP163" s="360">
        <f t="shared" si="7"/>
        <v>1</v>
      </c>
      <c r="AQ163" s="360">
        <f t="shared" si="8"/>
        <v>1</v>
      </c>
    </row>
    <row r="164" spans="1:43">
      <c r="A164" s="360" t="s">
        <v>1081</v>
      </c>
      <c r="B164" t="s">
        <v>1075</v>
      </c>
      <c r="C164">
        <v>1</v>
      </c>
      <c r="D164" t="s">
        <v>1080</v>
      </c>
      <c r="E164" t="s">
        <v>1079</v>
      </c>
      <c r="F164" s="360">
        <v>3</v>
      </c>
      <c r="G164" s="360" t="str">
        <f>CONCATENATE(A164," ",B164," ",C164," ","inf+"," ",FanUpsizes!D164," ",FanUpsizes!F164)</f>
        <v>7ACH Percentile 1 inf+ Existing 3</v>
      </c>
      <c r="H164" s="360">
        <v>3.8809148678807234E-2</v>
      </c>
      <c r="I164" s="360">
        <v>0.34677491301769581</v>
      </c>
      <c r="J164" s="360">
        <v>1.2975824607989881</v>
      </c>
      <c r="K164" s="360">
        <v>923.82155766189317</v>
      </c>
      <c r="L164" s="360">
        <v>0.31216224285293726</v>
      </c>
      <c r="M164" s="360">
        <v>1.5204345845418881</v>
      </c>
      <c r="N164" s="360">
        <v>1.3846322720037578</v>
      </c>
      <c r="O164" s="360">
        <v>0.37268382633948127</v>
      </c>
      <c r="P164" s="360">
        <v>1.2975830047055918</v>
      </c>
      <c r="Q164" s="360">
        <v>751.15407730436027</v>
      </c>
      <c r="R164" s="360">
        <v>987.40207546848478</v>
      </c>
      <c r="S164" s="360">
        <v>0.26888104621083103</v>
      </c>
      <c r="T164" s="360">
        <v>1.8436043743709514</v>
      </c>
      <c r="U164" s="360">
        <v>2.3033021684156538</v>
      </c>
      <c r="V164" s="360">
        <v>0.40677789545355747</v>
      </c>
      <c r="W164" s="360">
        <v>1.297584490439371</v>
      </c>
      <c r="X164" s="360">
        <v>403.4107513145326</v>
      </c>
      <c r="Y164" s="360">
        <v>0.35112216004757302</v>
      </c>
      <c r="Z164" s="360">
        <v>1.2663840934448076</v>
      </c>
      <c r="AA164" s="360">
        <v>973.00055777226601</v>
      </c>
      <c r="AB164" s="360">
        <v>0.31369909013102293</v>
      </c>
      <c r="AC164" s="360">
        <v>1.4975482095148684</v>
      </c>
      <c r="AD164" s="360">
        <v>1.3713456252171725</v>
      </c>
      <c r="AE164" s="360">
        <v>0.38373211827380799</v>
      </c>
      <c r="AF164" s="360">
        <v>1.2663860939272713</v>
      </c>
      <c r="AG164" s="360">
        <v>749.09514852593804</v>
      </c>
      <c r="AH164" s="360">
        <v>1050.1940566720061</v>
      </c>
      <c r="AI164" s="360">
        <v>0.25956393505578623</v>
      </c>
      <c r="AJ164" s="360">
        <v>1.8806984089400489</v>
      </c>
      <c r="AK164" s="360">
        <v>2.2609405547541228</v>
      </c>
      <c r="AL164" s="360">
        <v>0.4224185774271374</v>
      </c>
      <c r="AM164" s="360">
        <v>1.2663842973889874</v>
      </c>
      <c r="AN164" s="360">
        <v>360.11352636852882</v>
      </c>
      <c r="AO164" s="360">
        <f t="shared" si="6"/>
        <v>1</v>
      </c>
      <c r="AP164" s="360">
        <f t="shared" si="7"/>
        <v>1</v>
      </c>
      <c r="AQ164" s="360">
        <f t="shared" si="8"/>
        <v>1</v>
      </c>
    </row>
    <row r="165" spans="1:43">
      <c r="A165" s="360" t="s">
        <v>1081</v>
      </c>
      <c r="B165" t="s">
        <v>1074</v>
      </c>
      <c r="C165">
        <v>1</v>
      </c>
      <c r="D165" t="s">
        <v>1080</v>
      </c>
      <c r="E165" t="s">
        <v>1079</v>
      </c>
      <c r="F165" s="360">
        <v>3</v>
      </c>
      <c r="G165" s="360" t="str">
        <f>CONCATENATE(A165," ",B165," ",C165," ","inf+"," ",FanUpsizes!D165," ",FanUpsizes!F165)</f>
        <v>7ACH Infiltration 1 inf+ Existing 3</v>
      </c>
      <c r="H165" s="360">
        <v>3.8809148678807234E-2</v>
      </c>
      <c r="I165" s="360">
        <v>0.34677491301769581</v>
      </c>
      <c r="J165" s="360">
        <v>1.2975824607989881</v>
      </c>
      <c r="K165" s="360">
        <v>0</v>
      </c>
      <c r="L165" s="360">
        <v>0.34677491301769581</v>
      </c>
      <c r="M165" s="360">
        <v>1.2975824607989881</v>
      </c>
      <c r="N165" s="360">
        <v>1</v>
      </c>
      <c r="O165" s="360">
        <v>0.34677491301769581</v>
      </c>
      <c r="P165" s="360">
        <v>1.2975824607989881</v>
      </c>
      <c r="Q165" s="360">
        <v>0</v>
      </c>
      <c r="R165" s="360">
        <v>30.417566177193738</v>
      </c>
      <c r="S165" s="360">
        <v>0.34619450475016983</v>
      </c>
      <c r="T165" s="360">
        <v>1.2996654068023283</v>
      </c>
      <c r="U165" s="360">
        <v>1.002738090379333</v>
      </c>
      <c r="V165" s="360">
        <v>0.34670052291982723</v>
      </c>
      <c r="W165" s="360">
        <v>1.2975825091780366</v>
      </c>
      <c r="X165" s="360">
        <v>26.526368173709944</v>
      </c>
      <c r="Y165" s="360">
        <v>0.35112216004757302</v>
      </c>
      <c r="Z165" s="360">
        <v>1.2663840934448076</v>
      </c>
      <c r="AA165" s="360">
        <v>0</v>
      </c>
      <c r="AB165" s="360">
        <v>0.35112216004757302</v>
      </c>
      <c r="AC165" s="360">
        <v>1.2663840934448076</v>
      </c>
      <c r="AD165" s="360">
        <v>1</v>
      </c>
      <c r="AE165" s="360">
        <v>0.35112216004757302</v>
      </c>
      <c r="AF165" s="360">
        <v>1.2663840934448076</v>
      </c>
      <c r="AG165" s="360">
        <v>0</v>
      </c>
      <c r="AH165" s="360">
        <v>39.565090347235646</v>
      </c>
      <c r="AI165" s="360">
        <v>0.35036311400683245</v>
      </c>
      <c r="AJ165" s="360">
        <v>1.2692648342741153</v>
      </c>
      <c r="AK165" s="360">
        <v>1.0032363900615815</v>
      </c>
      <c r="AL165" s="360">
        <v>0.35112906277010852</v>
      </c>
      <c r="AM165" s="360">
        <v>1.2663871962709743</v>
      </c>
      <c r="AN165" s="360">
        <v>33.105811745006903</v>
      </c>
      <c r="AO165" s="360">
        <f t="shared" si="6"/>
        <v>1</v>
      </c>
      <c r="AP165" s="360">
        <f t="shared" si="7"/>
        <v>0</v>
      </c>
      <c r="AQ165" s="360">
        <f t="shared" si="8"/>
        <v>0</v>
      </c>
    </row>
    <row r="166" spans="1:43">
      <c r="A166" s="360" t="s">
        <v>1081</v>
      </c>
      <c r="B166" t="s">
        <v>1076</v>
      </c>
      <c r="C166">
        <v>1</v>
      </c>
      <c r="D166" t="s">
        <v>1080</v>
      </c>
      <c r="E166" t="s">
        <v>1079</v>
      </c>
      <c r="F166" s="360">
        <v>3</v>
      </c>
      <c r="G166" s="360" t="str">
        <f>CONCATENATE(A166," ",B166," ",C166," ","inf+"," ",FanUpsizes!D166," ",FanUpsizes!F166)</f>
        <v>7ACH 5C 1 inf+ Existing 3</v>
      </c>
      <c r="H166" s="360">
        <v>3.8809148678807234E-2</v>
      </c>
      <c r="I166" s="360">
        <v>0.34677491301769581</v>
      </c>
      <c r="J166" s="360">
        <v>1.2975824607989881</v>
      </c>
      <c r="K166" s="360">
        <v>60.835132354390055</v>
      </c>
      <c r="L166" s="360">
        <v>0.34561409648264396</v>
      </c>
      <c r="M166" s="360">
        <v>1.3022614727897917</v>
      </c>
      <c r="N166" s="360">
        <v>1.0061544057437326</v>
      </c>
      <c r="O166" s="360">
        <v>0.34675085858010851</v>
      </c>
      <c r="P166" s="360">
        <v>1.2975832510718033</v>
      </c>
      <c r="Q166" s="360">
        <v>52.26365573341981</v>
      </c>
      <c r="R166" s="360">
        <v>60.835132354390055</v>
      </c>
      <c r="S166" s="360">
        <v>0.34561409648264396</v>
      </c>
      <c r="T166" s="360">
        <v>1.3022614727897917</v>
      </c>
      <c r="U166" s="360">
        <v>1.0061544057437326</v>
      </c>
      <c r="V166" s="360">
        <v>0.34675085858010851</v>
      </c>
      <c r="W166" s="360">
        <v>1.2975832510718033</v>
      </c>
      <c r="X166" s="360">
        <v>52.26365573341981</v>
      </c>
      <c r="Y166" s="360">
        <v>0.35112216004757302</v>
      </c>
      <c r="Z166" s="360">
        <v>1.2663840934448076</v>
      </c>
      <c r="AA166" s="360">
        <v>56.456622543033092</v>
      </c>
      <c r="AB166" s="360">
        <v>0.35004564810399552</v>
      </c>
      <c r="AC166" s="360">
        <v>1.270742472399327</v>
      </c>
      <c r="AD166" s="360">
        <v>1.0049145175515068</v>
      </c>
      <c r="AE166" s="360">
        <v>0.35120612163410825</v>
      </c>
      <c r="AF166" s="360">
        <v>1.2663848666543465</v>
      </c>
      <c r="AG166" s="360">
        <v>46.797695643882705</v>
      </c>
      <c r="AH166" s="360">
        <v>56.456622543033092</v>
      </c>
      <c r="AI166" s="360">
        <v>0.35004564810399552</v>
      </c>
      <c r="AJ166" s="360">
        <v>1.270742472399327</v>
      </c>
      <c r="AK166" s="360">
        <v>1.0049145175515068</v>
      </c>
      <c r="AL166" s="360">
        <v>0.35120612163410825</v>
      </c>
      <c r="AM166" s="360">
        <v>1.2663848666543465</v>
      </c>
      <c r="AN166" s="360">
        <v>46.797695643882705</v>
      </c>
      <c r="AO166" s="360">
        <f t="shared" si="6"/>
        <v>1</v>
      </c>
      <c r="AP166" s="360">
        <f t="shared" si="7"/>
        <v>1</v>
      </c>
      <c r="AQ166" s="360">
        <f t="shared" si="8"/>
        <v>1</v>
      </c>
    </row>
    <row r="167" spans="1:43">
      <c r="A167" s="360" t="s">
        <v>1081</v>
      </c>
      <c r="B167" t="s">
        <v>1075</v>
      </c>
      <c r="C167">
        <v>2</v>
      </c>
      <c r="D167" t="s">
        <v>1080</v>
      </c>
      <c r="E167" t="s">
        <v>1079</v>
      </c>
      <c r="F167" s="360">
        <v>3</v>
      </c>
      <c r="G167" s="360" t="str">
        <f>CONCATENATE(A167," ",B167," ",C167," ","inf+"," ",FanUpsizes!D167," ",FanUpsizes!F167)</f>
        <v>7ACH Percentile 2 inf+ Existing 3</v>
      </c>
      <c r="H167" s="360">
        <v>3.2193465382398756E-2</v>
      </c>
      <c r="I167" s="360">
        <v>0.37614920102765076</v>
      </c>
      <c r="J167" s="360">
        <v>1.2312860767361931</v>
      </c>
      <c r="K167" s="360">
        <v>756.49505770493909</v>
      </c>
      <c r="L167" s="360">
        <v>0.34810200931951712</v>
      </c>
      <c r="M167" s="360">
        <v>1.3736029755733059</v>
      </c>
      <c r="N167" s="360">
        <v>1.3696726399791097</v>
      </c>
      <c r="O167" s="360">
        <v>0.38753573923173995</v>
      </c>
      <c r="P167" s="360">
        <v>1.2312876114251381</v>
      </c>
      <c r="Q167" s="360">
        <v>627.69883534324174</v>
      </c>
      <c r="R167" s="360">
        <v>809.00628024956154</v>
      </c>
      <c r="S167" s="360">
        <v>0.31797008941949906</v>
      </c>
      <c r="T167" s="360">
        <v>1.5600810829340868</v>
      </c>
      <c r="U167" s="360">
        <v>2.3511163511161275</v>
      </c>
      <c r="V167" s="360">
        <v>0.41000132579734155</v>
      </c>
      <c r="W167" s="360">
        <v>1.2312861018445729</v>
      </c>
      <c r="X167" s="360">
        <v>402.11502898638213</v>
      </c>
      <c r="Y167" s="360">
        <v>0.35605527112088398</v>
      </c>
      <c r="Z167" s="360">
        <v>1.2758888999211866</v>
      </c>
      <c r="AA167" s="360">
        <v>613.12372750892894</v>
      </c>
      <c r="AB167" s="360">
        <v>0.33250615983113407</v>
      </c>
      <c r="AC167" s="360">
        <v>1.4025294513023538</v>
      </c>
      <c r="AD167" s="360">
        <v>1.254033734899568</v>
      </c>
      <c r="AE167" s="360">
        <v>0.36628839857248646</v>
      </c>
      <c r="AF167" s="360">
        <v>1.2758890774169811</v>
      </c>
      <c r="AG167" s="360">
        <v>507.43730538529883</v>
      </c>
      <c r="AH167" s="360">
        <v>669.50242326795103</v>
      </c>
      <c r="AI167" s="360">
        <v>0.29490029479467966</v>
      </c>
      <c r="AJ167" s="360">
        <v>1.6541303597275356</v>
      </c>
      <c r="AK167" s="360">
        <v>2.0823543668819706</v>
      </c>
      <c r="AL167" s="360">
        <v>0.39174516317695196</v>
      </c>
      <c r="AM167" s="360">
        <v>1.275888960973911</v>
      </c>
      <c r="AN167" s="360">
        <v>250.04440057306121</v>
      </c>
      <c r="AO167" s="360">
        <f t="shared" si="6"/>
        <v>1</v>
      </c>
      <c r="AP167" s="360">
        <f t="shared" si="7"/>
        <v>1</v>
      </c>
      <c r="AQ167" s="360">
        <f t="shared" si="8"/>
        <v>1</v>
      </c>
    </row>
    <row r="168" spans="1:43">
      <c r="A168" s="360" t="s">
        <v>1081</v>
      </c>
      <c r="B168" t="s">
        <v>1074</v>
      </c>
      <c r="C168">
        <v>2</v>
      </c>
      <c r="D168" t="s">
        <v>1080</v>
      </c>
      <c r="E168" t="s">
        <v>1079</v>
      </c>
      <c r="F168" s="360">
        <v>3</v>
      </c>
      <c r="G168" s="360" t="str">
        <f>CONCATENATE(A168," ",B168," ",C168," ","inf+"," ",FanUpsizes!D168," ",FanUpsizes!F168)</f>
        <v>7ACH Infiltration 2 inf+ Existing 3</v>
      </c>
      <c r="H168" s="360">
        <v>3.2193465382398756E-2</v>
      </c>
      <c r="I168" s="360">
        <v>0.37614920102765076</v>
      </c>
      <c r="J168" s="360">
        <v>1.2312860767361931</v>
      </c>
      <c r="K168" s="360">
        <v>0</v>
      </c>
      <c r="L168" s="360">
        <v>0.37614920102765076</v>
      </c>
      <c r="M168" s="360">
        <v>1.2312860767361931</v>
      </c>
      <c r="N168" s="360">
        <v>1</v>
      </c>
      <c r="O168" s="360">
        <v>0.37614920102765076</v>
      </c>
      <c r="P168" s="360">
        <v>1.2312860767361931</v>
      </c>
      <c r="Q168" s="360">
        <v>0</v>
      </c>
      <c r="R168" s="360">
        <v>174.99156436111667</v>
      </c>
      <c r="S168" s="360">
        <v>0.37162611667820145</v>
      </c>
      <c r="T168" s="360">
        <v>1.2464175291519008</v>
      </c>
      <c r="U168" s="360">
        <v>1.0318990800076395</v>
      </c>
      <c r="V168" s="360">
        <v>0.37561835635102886</v>
      </c>
      <c r="W168" s="360">
        <v>1.2312927519365795</v>
      </c>
      <c r="X168" s="360">
        <v>145.32845580228249</v>
      </c>
      <c r="Y168" s="360">
        <v>0.35605527112088398</v>
      </c>
      <c r="Z168" s="360">
        <v>1.2758888999211866</v>
      </c>
      <c r="AA168" s="360">
        <v>0</v>
      </c>
      <c r="AB168" s="360">
        <v>0.35605527112088398</v>
      </c>
      <c r="AC168" s="360">
        <v>1.2758888999211866</v>
      </c>
      <c r="AD168" s="360">
        <v>1</v>
      </c>
      <c r="AE168" s="360">
        <v>0.35605527112088398</v>
      </c>
      <c r="AF168" s="360">
        <v>1.2758888999211866</v>
      </c>
      <c r="AG168" s="360">
        <v>0</v>
      </c>
      <c r="AH168" s="360">
        <v>183.28840068357343</v>
      </c>
      <c r="AI168" s="360">
        <v>0.35126425858078053</v>
      </c>
      <c r="AJ168" s="360">
        <v>1.2947640755924614</v>
      </c>
      <c r="AK168" s="360">
        <v>1.0295448401936833</v>
      </c>
      <c r="AL168" s="360">
        <v>0.35596472089966724</v>
      </c>
      <c r="AM168" s="360">
        <v>1.2758897110162788</v>
      </c>
      <c r="AN168" s="360">
        <v>150.235082076764</v>
      </c>
      <c r="AO168" s="360">
        <f t="shared" si="6"/>
        <v>1</v>
      </c>
      <c r="AP168" s="360">
        <f t="shared" si="7"/>
        <v>0</v>
      </c>
      <c r="AQ168" s="360">
        <f t="shared" si="8"/>
        <v>0</v>
      </c>
    </row>
    <row r="169" spans="1:43">
      <c r="A169" s="360" t="s">
        <v>1081</v>
      </c>
      <c r="B169" t="s">
        <v>1076</v>
      </c>
      <c r="C169">
        <v>2</v>
      </c>
      <c r="D169" t="s">
        <v>1080</v>
      </c>
      <c r="E169" t="s">
        <v>1079</v>
      </c>
      <c r="F169" s="360">
        <v>3</v>
      </c>
      <c r="G169" s="360" t="str">
        <f>CONCATENATE(A169," ",B169," ",C169," ","inf+"," ",FanUpsizes!D169," ",FanUpsizes!F169)</f>
        <v>7ACH 5C 2 inf+ Existing 3</v>
      </c>
      <c r="H169" s="360">
        <v>3.2193465382398756E-2</v>
      </c>
      <c r="I169" s="360">
        <v>0.37614920102765076</v>
      </c>
      <c r="J169" s="360">
        <v>1.2312860767361931</v>
      </c>
      <c r="K169" s="360">
        <v>50.464743344244127</v>
      </c>
      <c r="L169" s="360">
        <v>0.37518626552896683</v>
      </c>
      <c r="M169" s="360">
        <v>1.234220403825854</v>
      </c>
      <c r="N169" s="360">
        <v>1.0060803514231493</v>
      </c>
      <c r="O169" s="360">
        <v>0.37596712277700511</v>
      </c>
      <c r="P169" s="360">
        <v>1.231286535821482</v>
      </c>
      <c r="Q169" s="360">
        <v>44.053428356825421</v>
      </c>
      <c r="R169" s="360">
        <v>200.22393603323951</v>
      </c>
      <c r="S169" s="360">
        <v>0.37114464892885957</v>
      </c>
      <c r="T169" s="360">
        <v>1.2482070503042693</v>
      </c>
      <c r="U169" s="360">
        <v>1.0357717378998947</v>
      </c>
      <c r="V169" s="360">
        <v>0.37560915202399353</v>
      </c>
      <c r="W169" s="360">
        <v>1.2312916826627136</v>
      </c>
      <c r="X169" s="360">
        <v>167.86222998305357</v>
      </c>
      <c r="Y169" s="360">
        <v>0.35605527112088398</v>
      </c>
      <c r="Z169" s="360">
        <v>1.2758888999211866</v>
      </c>
      <c r="AA169" s="360">
        <v>34.08480637817722</v>
      </c>
      <c r="AB169" s="360">
        <v>0.3554105448606128</v>
      </c>
      <c r="AC169" s="360">
        <v>1.2781123302015738</v>
      </c>
      <c r="AD169" s="360">
        <v>1.0033695328411938</v>
      </c>
      <c r="AE169" s="360">
        <v>0.35596699807379489</v>
      </c>
      <c r="AF169" s="360">
        <v>1.2758890026825926</v>
      </c>
      <c r="AG169" s="360">
        <v>29.502486394827145</v>
      </c>
      <c r="AH169" s="360">
        <v>192.79808585498384</v>
      </c>
      <c r="AI169" s="360">
        <v>0.35108864731087785</v>
      </c>
      <c r="AJ169" s="360">
        <v>1.2955186852200713</v>
      </c>
      <c r="AK169" s="360">
        <v>1.0307985170598108</v>
      </c>
      <c r="AL169" s="360">
        <v>0.35597930075620315</v>
      </c>
      <c r="AM169" s="360">
        <v>1.2758893947614363</v>
      </c>
      <c r="AN169" s="360">
        <v>158.89144074318364</v>
      </c>
      <c r="AO169" s="360">
        <f t="shared" si="6"/>
        <v>1</v>
      </c>
      <c r="AP169" s="360">
        <f t="shared" si="7"/>
        <v>1</v>
      </c>
      <c r="AQ169" s="360">
        <f t="shared" si="8"/>
        <v>1</v>
      </c>
    </row>
    <row r="170" spans="1:43">
      <c r="A170" s="360" t="s">
        <v>1082</v>
      </c>
      <c r="B170" t="s">
        <v>1075</v>
      </c>
      <c r="C170">
        <v>1</v>
      </c>
      <c r="D170" t="s">
        <v>1078</v>
      </c>
      <c r="E170" t="s">
        <v>1079</v>
      </c>
      <c r="F170" s="360">
        <v>3</v>
      </c>
      <c r="G170" s="360" t="str">
        <f>CONCATENATE(A170," ",B170," ",C170," ","inf+"," ",FanUpsizes!D170," ",FanUpsizes!F170)</f>
        <v>5ACH Percentile 1 inf+ New 3</v>
      </c>
      <c r="H170" s="360">
        <v>2.8475106199148024E-2</v>
      </c>
      <c r="I170" s="360">
        <v>0.25133830736226781</v>
      </c>
      <c r="J170" s="360">
        <v>1.2965359598798893</v>
      </c>
      <c r="K170" s="360">
        <v>680.01080499552245</v>
      </c>
      <c r="L170" s="360">
        <v>0.22581230084784543</v>
      </c>
      <c r="M170" s="360">
        <v>1.5189879448059636</v>
      </c>
      <c r="N170" s="360">
        <v>1.3695711121039618</v>
      </c>
      <c r="O170" s="360">
        <v>0.26890326913077506</v>
      </c>
      <c r="P170" s="360">
        <v>1.2965371900825544</v>
      </c>
      <c r="Q170" s="360">
        <v>557.26521413190801</v>
      </c>
      <c r="R170" s="360">
        <v>726.7759592118116</v>
      </c>
      <c r="S170" s="360">
        <v>0.19361060822954396</v>
      </c>
      <c r="T170" s="360">
        <v>1.8475953368913125</v>
      </c>
      <c r="U170" s="360">
        <v>2.2713611647260747</v>
      </c>
      <c r="V170" s="360">
        <v>0.29347977893338545</v>
      </c>
      <c r="W170" s="360">
        <v>1.2965359627966966</v>
      </c>
      <c r="X170" s="360">
        <v>304.1032573900456</v>
      </c>
      <c r="Y170" s="360">
        <v>0.25543962505043583</v>
      </c>
      <c r="Z170" s="360">
        <v>1.2629669174559233</v>
      </c>
      <c r="AA170" s="360">
        <v>723.93048042484747</v>
      </c>
      <c r="AB170" s="360">
        <v>0.2276004234227427</v>
      </c>
      <c r="AC170" s="360">
        <v>1.4942414781124969</v>
      </c>
      <c r="AD170" s="360">
        <v>1.3594379527138005</v>
      </c>
      <c r="AE170" s="360">
        <v>0.27759030496325759</v>
      </c>
      <c r="AF170" s="360">
        <v>1.2629675288700208</v>
      </c>
      <c r="AG170" s="360">
        <v>563.93381951214189</v>
      </c>
      <c r="AH170" s="360">
        <v>780.92025595336918</v>
      </c>
      <c r="AI170" s="360">
        <v>0.18757605883555881</v>
      </c>
      <c r="AJ170" s="360">
        <v>1.880610363152742</v>
      </c>
      <c r="AK170" s="360">
        <v>2.2379343445347195</v>
      </c>
      <c r="AL170" s="360">
        <v>0.30551030156068421</v>
      </c>
      <c r="AM170" s="360">
        <v>1.2629672688188656</v>
      </c>
      <c r="AN170" s="360">
        <v>281.44565613604692</v>
      </c>
      <c r="AO170" s="360">
        <f t="shared" si="6"/>
        <v>1</v>
      </c>
      <c r="AP170" s="360">
        <f t="shared" si="7"/>
        <v>1</v>
      </c>
      <c r="AQ170" s="360">
        <f t="shared" si="8"/>
        <v>1</v>
      </c>
    </row>
    <row r="171" spans="1:43">
      <c r="A171" s="360" t="s">
        <v>1082</v>
      </c>
      <c r="B171" t="s">
        <v>1074</v>
      </c>
      <c r="C171">
        <v>1</v>
      </c>
      <c r="D171" t="s">
        <v>1078</v>
      </c>
      <c r="E171" t="s">
        <v>1079</v>
      </c>
      <c r="F171" s="360">
        <v>3</v>
      </c>
      <c r="G171" s="360" t="str">
        <f>CONCATENATE(A171," ",B171," ",C171," ","inf+"," ",FanUpsizes!D171," ",FanUpsizes!F171)</f>
        <v>5ACH Infiltration 1 inf+ New 3</v>
      </c>
      <c r="H171" s="360">
        <v>2.8475106199148024E-2</v>
      </c>
      <c r="I171" s="360">
        <v>0.25133830736226781</v>
      </c>
      <c r="J171" s="360">
        <v>1.2965359598798893</v>
      </c>
      <c r="K171" s="360">
        <v>0</v>
      </c>
      <c r="L171" s="360">
        <v>0.25133830736226781</v>
      </c>
      <c r="M171" s="360">
        <v>1.2965359598798893</v>
      </c>
      <c r="N171" s="360">
        <v>1</v>
      </c>
      <c r="O171" s="360">
        <v>0.25133830736226781</v>
      </c>
      <c r="P171" s="360">
        <v>1.2965359598798893</v>
      </c>
      <c r="Q171" s="360">
        <v>0</v>
      </c>
      <c r="R171" s="360">
        <v>16.513638943703686</v>
      </c>
      <c r="S171" s="360">
        <v>0.25103840735104255</v>
      </c>
      <c r="T171" s="360">
        <v>1.298032979137502</v>
      </c>
      <c r="U171" s="360">
        <v>1.0019286275164523</v>
      </c>
      <c r="V171" s="360">
        <v>0.25130474687119986</v>
      </c>
      <c r="W171" s="360">
        <v>1.2965398542207929</v>
      </c>
      <c r="X171" s="360">
        <v>14.459346777751147</v>
      </c>
      <c r="Y171" s="360">
        <v>0.25543962505043583</v>
      </c>
      <c r="Z171" s="360">
        <v>1.2629669174559233</v>
      </c>
      <c r="AA171" s="360">
        <v>0</v>
      </c>
      <c r="AB171" s="360">
        <v>0.25543962505043583</v>
      </c>
      <c r="AC171" s="360">
        <v>1.2629669174559233</v>
      </c>
      <c r="AD171" s="360">
        <v>1</v>
      </c>
      <c r="AE171" s="360">
        <v>0.25543962505043583</v>
      </c>
      <c r="AF171" s="360">
        <v>1.2629669174559233</v>
      </c>
      <c r="AG171" s="360">
        <v>0</v>
      </c>
      <c r="AH171" s="360">
        <v>21.630067412017461</v>
      </c>
      <c r="AI171" s="360">
        <v>0.25504479147592002</v>
      </c>
      <c r="AJ171" s="360">
        <v>1.2649876049991344</v>
      </c>
      <c r="AK171" s="360">
        <v>1.0022502781002605</v>
      </c>
      <c r="AL171" s="360">
        <v>0.25543899653967089</v>
      </c>
      <c r="AM171" s="360">
        <v>1.262970865069327</v>
      </c>
      <c r="AN171" s="360">
        <v>18.281378355308203</v>
      </c>
      <c r="AO171" s="360">
        <f t="shared" si="6"/>
        <v>1</v>
      </c>
      <c r="AP171" s="360">
        <f t="shared" si="7"/>
        <v>0</v>
      </c>
      <c r="AQ171" s="360">
        <f t="shared" si="8"/>
        <v>0</v>
      </c>
    </row>
    <row r="172" spans="1:43">
      <c r="A172" s="360" t="s">
        <v>1082</v>
      </c>
      <c r="B172" t="s">
        <v>1076</v>
      </c>
      <c r="C172">
        <v>1</v>
      </c>
      <c r="D172" t="s">
        <v>1078</v>
      </c>
      <c r="E172" t="s">
        <v>1079</v>
      </c>
      <c r="F172" s="360">
        <v>3</v>
      </c>
      <c r="G172" s="360" t="str">
        <f>CONCATENATE(A172," ",B172," ",C172," ","inf+"," ",FanUpsizes!D172," ",FanUpsizes!F172)</f>
        <v>5ACH 5C 1 inf+ New 3</v>
      </c>
      <c r="H172" s="360">
        <v>2.8475106199148024E-2</v>
      </c>
      <c r="I172" s="360">
        <v>0.25133830736226781</v>
      </c>
      <c r="J172" s="360">
        <v>1.2965359598798893</v>
      </c>
      <c r="K172" s="360">
        <v>44.636043649584479</v>
      </c>
      <c r="L172" s="360">
        <v>0.25048659133038831</v>
      </c>
      <c r="M172" s="360">
        <v>1.3012926383768</v>
      </c>
      <c r="N172" s="360">
        <v>1.0061671396240386</v>
      </c>
      <c r="O172" s="360">
        <v>0.25133500659228514</v>
      </c>
      <c r="P172" s="360">
        <v>1.2965364963553034</v>
      </c>
      <c r="Q172" s="360">
        <v>38.239862401570562</v>
      </c>
      <c r="R172" s="360">
        <v>44.636043649584479</v>
      </c>
      <c r="S172" s="360">
        <v>0.25048659133038831</v>
      </c>
      <c r="T172" s="360">
        <v>1.3012926383768</v>
      </c>
      <c r="U172" s="360">
        <v>1.0061671396240386</v>
      </c>
      <c r="V172" s="360">
        <v>0.25133500659228514</v>
      </c>
      <c r="W172" s="360">
        <v>1.2965364963553034</v>
      </c>
      <c r="X172" s="360">
        <v>38.239862401570562</v>
      </c>
      <c r="Y172" s="360">
        <v>0.25543962505043583</v>
      </c>
      <c r="Z172" s="360">
        <v>1.2629669174559233</v>
      </c>
      <c r="AA172" s="360">
        <v>42.126704649271915</v>
      </c>
      <c r="AB172" s="360">
        <v>0.25463607356650042</v>
      </c>
      <c r="AC172" s="360">
        <v>1.2673870512945495</v>
      </c>
      <c r="AD172" s="360">
        <v>1.0049496554355049</v>
      </c>
      <c r="AE172" s="360">
        <v>0.25549999576192928</v>
      </c>
      <c r="AF172" s="360">
        <v>1.2629669289460423</v>
      </c>
      <c r="AG172" s="360">
        <v>34.931399295875394</v>
      </c>
      <c r="AH172" s="360">
        <v>42.126704649271915</v>
      </c>
      <c r="AI172" s="360">
        <v>0.25463607356650042</v>
      </c>
      <c r="AJ172" s="360">
        <v>1.2673870512945495</v>
      </c>
      <c r="AK172" s="360">
        <v>1.0049496554355049</v>
      </c>
      <c r="AL172" s="360">
        <v>0.25549999576192928</v>
      </c>
      <c r="AM172" s="360">
        <v>1.2629669289460423</v>
      </c>
      <c r="AN172" s="360">
        <v>34.931399295875394</v>
      </c>
      <c r="AO172" s="360">
        <f t="shared" si="6"/>
        <v>1</v>
      </c>
      <c r="AP172" s="360">
        <f t="shared" si="7"/>
        <v>1</v>
      </c>
      <c r="AQ172" s="360">
        <f t="shared" si="8"/>
        <v>1</v>
      </c>
    </row>
    <row r="173" spans="1:43">
      <c r="A173" s="360" t="s">
        <v>1082</v>
      </c>
      <c r="B173" t="s">
        <v>1075</v>
      </c>
      <c r="C173">
        <v>2</v>
      </c>
      <c r="D173" t="s">
        <v>1078</v>
      </c>
      <c r="E173" t="s">
        <v>1079</v>
      </c>
      <c r="F173" s="360">
        <v>3</v>
      </c>
      <c r="G173" s="360" t="str">
        <f>CONCATENATE(A173," ",B173," ",C173," ","inf+"," ",FanUpsizes!D173," ",FanUpsizes!F173)</f>
        <v>5ACH Percentile 2 inf+ New 3</v>
      </c>
      <c r="H173" s="360">
        <v>2.3749618130284828E-2</v>
      </c>
      <c r="I173" s="360">
        <v>0.27171706510429688</v>
      </c>
      <c r="J173" s="360">
        <v>1.2309173552403512</v>
      </c>
      <c r="K173" s="360">
        <v>558.07812313870693</v>
      </c>
      <c r="L173" s="360">
        <v>0.25102621729456115</v>
      </c>
      <c r="M173" s="360">
        <v>1.3757980158038798</v>
      </c>
      <c r="N173" s="360">
        <v>1.3653992878848995</v>
      </c>
      <c r="O173" s="360">
        <v>0.28008325187242683</v>
      </c>
      <c r="P173" s="360">
        <v>1.2309191864533475</v>
      </c>
      <c r="Q173" s="360">
        <v>464.14553475860515</v>
      </c>
      <c r="R173" s="360">
        <v>596.81646547545063</v>
      </c>
      <c r="S173" s="360">
        <v>0.22862360871833795</v>
      </c>
      <c r="T173" s="360">
        <v>1.5631009852558442</v>
      </c>
      <c r="U173" s="360">
        <v>2.3323776127347964</v>
      </c>
      <c r="V173" s="360">
        <v>0.29615902486402379</v>
      </c>
      <c r="W173" s="360">
        <v>1.2309190831246108</v>
      </c>
      <c r="X173" s="360">
        <v>299.23553616889927</v>
      </c>
      <c r="Y173" s="360">
        <v>0.25824712921087778</v>
      </c>
      <c r="Z173" s="360">
        <v>1.2725545421365094</v>
      </c>
      <c r="AA173" s="360">
        <v>462.15289804507108</v>
      </c>
      <c r="AB173" s="360">
        <v>0.24049153026076719</v>
      </c>
      <c r="AC173" s="360">
        <v>1.4027554385990675</v>
      </c>
      <c r="AD173" s="360">
        <v>1.2552926742761696</v>
      </c>
      <c r="AE173" s="360">
        <v>0.26586421030019558</v>
      </c>
      <c r="AF173" s="360">
        <v>1.2725550179530731</v>
      </c>
      <c r="AG173" s="360">
        <v>382.67088387152393</v>
      </c>
      <c r="AH173" s="360">
        <v>504.15659563622069</v>
      </c>
      <c r="AI173" s="360">
        <v>0.21234500050112301</v>
      </c>
      <c r="AJ173" s="360">
        <v>1.6551824603087675</v>
      </c>
      <c r="AK173" s="360">
        <v>2.0728197131306079</v>
      </c>
      <c r="AL173" s="360">
        <v>0.28409028319780971</v>
      </c>
      <c r="AM173" s="360">
        <v>1.2725552293321407</v>
      </c>
      <c r="AN173" s="360">
        <v>193.88826034775454</v>
      </c>
      <c r="AO173" s="360">
        <f t="shared" si="6"/>
        <v>1</v>
      </c>
      <c r="AP173" s="360">
        <f t="shared" si="7"/>
        <v>1</v>
      </c>
      <c r="AQ173" s="360">
        <f t="shared" si="8"/>
        <v>1</v>
      </c>
    </row>
    <row r="174" spans="1:43">
      <c r="A174" s="360" t="s">
        <v>1082</v>
      </c>
      <c r="B174" t="s">
        <v>1074</v>
      </c>
      <c r="C174">
        <v>2</v>
      </c>
      <c r="D174" t="s">
        <v>1078</v>
      </c>
      <c r="E174" t="s">
        <v>1079</v>
      </c>
      <c r="F174" s="360">
        <v>3</v>
      </c>
      <c r="G174" s="360" t="str">
        <f>CONCATENATE(A174," ",B174," ",C174," ","inf+"," ",FanUpsizes!D174," ",FanUpsizes!F174)</f>
        <v>5ACH Infiltration 2 inf+ New 3</v>
      </c>
      <c r="H174" s="360">
        <v>2.3749618130284828E-2</v>
      </c>
      <c r="I174" s="360">
        <v>0.27171706510429688</v>
      </c>
      <c r="J174" s="360">
        <v>1.2309173552403512</v>
      </c>
      <c r="K174" s="360">
        <v>0</v>
      </c>
      <c r="L174" s="360">
        <v>0.27171706510429688</v>
      </c>
      <c r="M174" s="360">
        <v>1.2309173552403512</v>
      </c>
      <c r="N174" s="360">
        <v>1</v>
      </c>
      <c r="O174" s="360">
        <v>0.27171706510429688</v>
      </c>
      <c r="P174" s="360">
        <v>1.2309173552403512</v>
      </c>
      <c r="Q174" s="360">
        <v>0</v>
      </c>
      <c r="R174" s="360">
        <v>114.60943523693248</v>
      </c>
      <c r="S174" s="360">
        <v>0.26889058323473669</v>
      </c>
      <c r="T174" s="360">
        <v>1.243999364598146</v>
      </c>
      <c r="U174" s="360">
        <v>1.0270311252938533</v>
      </c>
      <c r="V174" s="360">
        <v>0.2714264482600019</v>
      </c>
      <c r="W174" s="360">
        <v>1.2309173790201851</v>
      </c>
      <c r="X174" s="360">
        <v>95.67440901503879</v>
      </c>
      <c r="Y174" s="360">
        <v>0.25824712921087778</v>
      </c>
      <c r="Z174" s="360">
        <v>1.2725545421365094</v>
      </c>
      <c r="AA174" s="360">
        <v>0</v>
      </c>
      <c r="AB174" s="360">
        <v>0.25824712921087778</v>
      </c>
      <c r="AC174" s="360">
        <v>1.2725545421365094</v>
      </c>
      <c r="AD174" s="360">
        <v>1</v>
      </c>
      <c r="AE174" s="360">
        <v>0.25824712921087778</v>
      </c>
      <c r="AF174" s="360">
        <v>1.2725545421365094</v>
      </c>
      <c r="AG174" s="360">
        <v>0</v>
      </c>
      <c r="AH174" s="360">
        <v>121.82495346234531</v>
      </c>
      <c r="AI174" s="360">
        <v>0.25522091980253181</v>
      </c>
      <c r="AJ174" s="360">
        <v>1.2888334926345104</v>
      </c>
      <c r="AK174" s="360">
        <v>1.0249954503856249</v>
      </c>
      <c r="AL174" s="360">
        <v>0.25821795396254255</v>
      </c>
      <c r="AM174" s="360">
        <v>1.2725551160233539</v>
      </c>
      <c r="AN174" s="360">
        <v>100.22137388524682</v>
      </c>
      <c r="AO174" s="360">
        <f t="shared" si="6"/>
        <v>1</v>
      </c>
      <c r="AP174" s="360">
        <f t="shared" si="7"/>
        <v>0</v>
      </c>
      <c r="AQ174" s="360">
        <f t="shared" si="8"/>
        <v>0</v>
      </c>
    </row>
    <row r="175" spans="1:43">
      <c r="A175" s="360" t="s">
        <v>1082</v>
      </c>
      <c r="B175" t="s">
        <v>1076</v>
      </c>
      <c r="C175">
        <v>2</v>
      </c>
      <c r="D175" t="s">
        <v>1078</v>
      </c>
      <c r="E175" t="s">
        <v>1079</v>
      </c>
      <c r="F175" s="360">
        <v>3</v>
      </c>
      <c r="G175" s="360" t="str">
        <f>CONCATENATE(A175," ",B175," ",C175," ","inf+"," ",FanUpsizes!D175," ",FanUpsizes!F175)</f>
        <v>5ACH 5C 2 inf+ New 3</v>
      </c>
      <c r="H175" s="360">
        <v>2.3749618130284828E-2</v>
      </c>
      <c r="I175" s="360">
        <v>0.27171706510429688</v>
      </c>
      <c r="J175" s="360">
        <v>1.2309173552403512</v>
      </c>
      <c r="K175" s="360">
        <v>37.228622928051408</v>
      </c>
      <c r="L175" s="360">
        <v>0.27100669266982336</v>
      </c>
      <c r="M175" s="360">
        <v>1.2339875416478374</v>
      </c>
      <c r="N175" s="360">
        <v>1.0062461633631099</v>
      </c>
      <c r="O175" s="360">
        <v>0.27160551399366584</v>
      </c>
      <c r="P175" s="360">
        <v>1.230917355250863</v>
      </c>
      <c r="Q175" s="360">
        <v>32.369916315299655</v>
      </c>
      <c r="R175" s="360">
        <v>133.22374670095945</v>
      </c>
      <c r="S175" s="360">
        <v>0.26853539701749984</v>
      </c>
      <c r="T175" s="360">
        <v>1.2458592892522471</v>
      </c>
      <c r="U175" s="360">
        <v>1.0309925267961444</v>
      </c>
      <c r="V175" s="360">
        <v>0.27143244446475934</v>
      </c>
      <c r="W175" s="360">
        <v>1.2309177552630668</v>
      </c>
      <c r="X175" s="360">
        <v>112.09070387460929</v>
      </c>
      <c r="Y175" s="360">
        <v>0.25824712921087778</v>
      </c>
      <c r="Z175" s="360">
        <v>1.2725545421365094</v>
      </c>
      <c r="AA175" s="360">
        <v>25.777617733178737</v>
      </c>
      <c r="AB175" s="360">
        <v>0.25775918074048365</v>
      </c>
      <c r="AC175" s="360">
        <v>1.2749233863190268</v>
      </c>
      <c r="AD175" s="360">
        <v>1.0035439579993624</v>
      </c>
      <c r="AE175" s="360">
        <v>0.25819719042659883</v>
      </c>
      <c r="AF175" s="360">
        <v>1.2725551295678907</v>
      </c>
      <c r="AG175" s="360">
        <v>22.166943835449644</v>
      </c>
      <c r="AH175" s="360">
        <v>129.04367481469012</v>
      </c>
      <c r="AI175" s="360">
        <v>0.25508740766306981</v>
      </c>
      <c r="AJ175" s="360">
        <v>1.2896371935408495</v>
      </c>
      <c r="AK175" s="360">
        <v>1.0262843960917882</v>
      </c>
      <c r="AL175" s="360">
        <v>0.25823300387751036</v>
      </c>
      <c r="AM175" s="360">
        <v>1.2725589625462139</v>
      </c>
      <c r="AN175" s="360">
        <v>106.68056783540572</v>
      </c>
      <c r="AO175" s="360">
        <f t="shared" si="6"/>
        <v>1</v>
      </c>
      <c r="AP175" s="360">
        <f t="shared" si="7"/>
        <v>1</v>
      </c>
      <c r="AQ175" s="360">
        <f t="shared" si="8"/>
        <v>1</v>
      </c>
    </row>
    <row r="176" spans="1:43">
      <c r="A176" s="360" t="s">
        <v>1082</v>
      </c>
      <c r="B176" t="s">
        <v>1075</v>
      </c>
      <c r="C176">
        <v>1</v>
      </c>
      <c r="D176" t="s">
        <v>1080</v>
      </c>
      <c r="E176" t="s">
        <v>1079</v>
      </c>
      <c r="F176" s="360">
        <v>3</v>
      </c>
      <c r="G176" s="360" t="str">
        <f>CONCATENATE(A176," ",B176," ",C176," ","inf+"," ",FanUpsizes!D176," ",FanUpsizes!F176)</f>
        <v>5ACH Percentile 1 inf+ Existing 3</v>
      </c>
      <c r="H176" s="360">
        <v>4.4725106199148025E-2</v>
      </c>
      <c r="I176" s="360">
        <v>0.34282050033854916</v>
      </c>
      <c r="J176" s="360">
        <v>1.2865220009408018</v>
      </c>
      <c r="K176" s="360">
        <v>1232.30264091661</v>
      </c>
      <c r="L176" s="360">
        <v>0.29508631931028068</v>
      </c>
      <c r="M176" s="360">
        <v>1.6508066245620996</v>
      </c>
      <c r="N176" s="360">
        <v>1.5120060397454262</v>
      </c>
      <c r="O176" s="360">
        <v>0.41441650367905492</v>
      </c>
      <c r="P176" s="360">
        <v>1.2865220715781107</v>
      </c>
      <c r="Q176" s="360">
        <v>856.44896784537059</v>
      </c>
      <c r="R176" s="360">
        <v>1319.5835064988748</v>
      </c>
      <c r="S176" s="360">
        <v>0.23056445910989579</v>
      </c>
      <c r="T176" s="360">
        <v>2.1661740533721403</v>
      </c>
      <c r="U176" s="360">
        <v>2.4829182165889985</v>
      </c>
      <c r="V176" s="360">
        <v>0.46912179869183562</v>
      </c>
      <c r="W176" s="360">
        <v>1.2865227055489492</v>
      </c>
      <c r="X176" s="360">
        <v>312.65591613003409</v>
      </c>
      <c r="Y176" s="360">
        <v>0.36140751052265602</v>
      </c>
      <c r="Z176" s="360">
        <v>1.219307652689579</v>
      </c>
      <c r="AA176" s="360">
        <v>1386.8251734566743</v>
      </c>
      <c r="AB176" s="360">
        <v>0.3082742655151785</v>
      </c>
      <c r="AC176" s="360">
        <v>1.5986937106112697</v>
      </c>
      <c r="AD176" s="360">
        <v>1.6005334165752871</v>
      </c>
      <c r="AE176" s="360">
        <v>0.45111358007979152</v>
      </c>
      <c r="AF176" s="360">
        <v>1.2193076672904599</v>
      </c>
      <c r="AG176" s="360">
        <v>920.12529908566489</v>
      </c>
      <c r="AH176" s="360">
        <v>1484.0512634513375</v>
      </c>
      <c r="AI176" s="360">
        <v>0.23898228105648031</v>
      </c>
      <c r="AJ176" s="360">
        <v>2.1046082407544162</v>
      </c>
      <c r="AK176" s="360">
        <v>2.6520870974725308</v>
      </c>
      <c r="AL176" s="360">
        <v>0.51092735292537939</v>
      </c>
      <c r="AM176" s="360">
        <v>1.2193077056509034</v>
      </c>
      <c r="AN176" s="360">
        <v>343.57261915672098</v>
      </c>
      <c r="AO176" s="360">
        <f t="shared" si="6"/>
        <v>1</v>
      </c>
      <c r="AP176" s="360">
        <f t="shared" si="7"/>
        <v>1</v>
      </c>
      <c r="AQ176" s="360">
        <f t="shared" si="8"/>
        <v>1</v>
      </c>
    </row>
    <row r="177" spans="1:43">
      <c r="A177" s="360" t="s">
        <v>1082</v>
      </c>
      <c r="B177" t="s">
        <v>1074</v>
      </c>
      <c r="C177">
        <v>1</v>
      </c>
      <c r="D177" t="s">
        <v>1080</v>
      </c>
      <c r="E177" t="s">
        <v>1079</v>
      </c>
      <c r="F177" s="360">
        <v>3</v>
      </c>
      <c r="G177" s="360" t="str">
        <f>CONCATENATE(A177," ",B177," ",C177," ","inf+"," ",FanUpsizes!D177," ",FanUpsizes!F177)</f>
        <v>5ACH Infiltration 1 inf+ Existing 3</v>
      </c>
      <c r="H177" s="360">
        <v>4.4725106199148025E-2</v>
      </c>
      <c r="I177" s="360">
        <v>0.34282050033854916</v>
      </c>
      <c r="J177" s="360">
        <v>1.2865220009408018</v>
      </c>
      <c r="K177" s="360">
        <v>0</v>
      </c>
      <c r="L177" s="360">
        <v>0.34282050033854916</v>
      </c>
      <c r="M177" s="360">
        <v>1.2865220009408018</v>
      </c>
      <c r="N177" s="360">
        <v>1</v>
      </c>
      <c r="O177" s="360">
        <v>0.34282050033854916</v>
      </c>
      <c r="P177" s="360">
        <v>1.2865220009408018</v>
      </c>
      <c r="Q177" s="360">
        <v>0</v>
      </c>
      <c r="R177" s="360">
        <v>0</v>
      </c>
      <c r="S177" s="360">
        <v>0.34282050033854916</v>
      </c>
      <c r="T177" s="360">
        <v>1.2865220009408018</v>
      </c>
      <c r="U177" s="360">
        <v>1</v>
      </c>
      <c r="V177" s="360">
        <v>0.34282050033854916</v>
      </c>
      <c r="W177" s="360">
        <v>1.2865220009408018</v>
      </c>
      <c r="X177" s="360">
        <v>0</v>
      </c>
      <c r="Y177" s="360">
        <v>0.36140751052265602</v>
      </c>
      <c r="Z177" s="360">
        <v>1.219307652689579</v>
      </c>
      <c r="AA177" s="360">
        <v>0</v>
      </c>
      <c r="AB177" s="360">
        <v>0.36140751052265602</v>
      </c>
      <c r="AC177" s="360">
        <v>1.219307652689579</v>
      </c>
      <c r="AD177" s="360">
        <v>1</v>
      </c>
      <c r="AE177" s="360">
        <v>0.36140751052265602</v>
      </c>
      <c r="AF177" s="360">
        <v>1.219307652689579</v>
      </c>
      <c r="AG177" s="360">
        <v>0</v>
      </c>
      <c r="AH177" s="360">
        <v>0</v>
      </c>
      <c r="AI177" s="360">
        <v>0.36140751052265602</v>
      </c>
      <c r="AJ177" s="360">
        <v>1.219307652689579</v>
      </c>
      <c r="AK177" s="360">
        <v>1</v>
      </c>
      <c r="AL177" s="360">
        <v>0.36140751052265602</v>
      </c>
      <c r="AM177" s="360">
        <v>1.219307652689579</v>
      </c>
      <c r="AN177" s="360">
        <v>0</v>
      </c>
      <c r="AO177" s="360">
        <f t="shared" si="6"/>
        <v>1</v>
      </c>
      <c r="AP177" s="360">
        <f t="shared" si="7"/>
        <v>0</v>
      </c>
      <c r="AQ177" s="360">
        <f t="shared" si="8"/>
        <v>0</v>
      </c>
    </row>
    <row r="178" spans="1:43">
      <c r="A178" s="360" t="s">
        <v>1082</v>
      </c>
      <c r="B178" t="s">
        <v>1076</v>
      </c>
      <c r="C178">
        <v>1</v>
      </c>
      <c r="D178" t="s">
        <v>1080</v>
      </c>
      <c r="E178" t="s">
        <v>1079</v>
      </c>
      <c r="F178" s="360">
        <v>3</v>
      </c>
      <c r="G178" s="360" t="str">
        <f>CONCATENATE(A178," ",B178," ",C178," ","inf+"," ",FanUpsizes!D178," ",FanUpsizes!F178)</f>
        <v>5ACH 5C 1 inf+ Existing 3</v>
      </c>
      <c r="H178" s="360">
        <v>4.4725106199148025E-2</v>
      </c>
      <c r="I178" s="360">
        <v>0.34282050033854916</v>
      </c>
      <c r="J178" s="360">
        <v>1.2865220009408018</v>
      </c>
      <c r="K178" s="360">
        <v>70.33498352699506</v>
      </c>
      <c r="L178" s="360">
        <v>0.34147832369268405</v>
      </c>
      <c r="M178" s="360">
        <v>1.2934092743518382</v>
      </c>
      <c r="N178" s="360">
        <v>1.006326014419191</v>
      </c>
      <c r="O178" s="360">
        <v>0.34327012630948978</v>
      </c>
      <c r="P178" s="360">
        <v>1.2865221312158817</v>
      </c>
      <c r="Q178" s="360">
        <v>55.044492640373271</v>
      </c>
      <c r="R178" s="360">
        <v>70.33498352699506</v>
      </c>
      <c r="S178" s="360">
        <v>0.34147832369268405</v>
      </c>
      <c r="T178" s="360">
        <v>1.2934092743518382</v>
      </c>
      <c r="U178" s="360">
        <v>1.006326014419191</v>
      </c>
      <c r="V178" s="360">
        <v>0.34327012630948978</v>
      </c>
      <c r="W178" s="360">
        <v>1.2865221312158817</v>
      </c>
      <c r="X178" s="360">
        <v>55.044492640373271</v>
      </c>
      <c r="Y178" s="360">
        <v>0.36140751052265602</v>
      </c>
      <c r="Z178" s="360">
        <v>1.219307652689579</v>
      </c>
      <c r="AA178" s="360">
        <v>84.412698213178103</v>
      </c>
      <c r="AB178" s="360">
        <v>0.35979027850433426</v>
      </c>
      <c r="AC178" s="360">
        <v>1.226560997986516</v>
      </c>
      <c r="AD178" s="360">
        <v>1.0070721555042275</v>
      </c>
      <c r="AE178" s="360">
        <v>0.36191719405562151</v>
      </c>
      <c r="AF178" s="360">
        <v>1.2193082135114377</v>
      </c>
      <c r="AG178" s="360">
        <v>66.564432906682356</v>
      </c>
      <c r="AH178" s="360">
        <v>84.412698213178103</v>
      </c>
      <c r="AI178" s="360">
        <v>0.35979027850433426</v>
      </c>
      <c r="AJ178" s="360">
        <v>1.226560997986516</v>
      </c>
      <c r="AK178" s="360">
        <v>1.0070721555042275</v>
      </c>
      <c r="AL178" s="360">
        <v>0.36191719405562151</v>
      </c>
      <c r="AM178" s="360">
        <v>1.2193082135114377</v>
      </c>
      <c r="AN178" s="360">
        <v>66.564432906682356</v>
      </c>
      <c r="AO178" s="360">
        <f t="shared" si="6"/>
        <v>1</v>
      </c>
      <c r="AP178" s="360">
        <f t="shared" si="7"/>
        <v>1</v>
      </c>
      <c r="AQ178" s="360">
        <f t="shared" si="8"/>
        <v>1</v>
      </c>
    </row>
    <row r="179" spans="1:43">
      <c r="A179" s="360" t="s">
        <v>1082</v>
      </c>
      <c r="B179" t="s">
        <v>1075</v>
      </c>
      <c r="C179">
        <v>2</v>
      </c>
      <c r="D179" t="s">
        <v>1080</v>
      </c>
      <c r="E179" t="s">
        <v>1079</v>
      </c>
      <c r="F179" s="360">
        <v>3</v>
      </c>
      <c r="G179" s="360" t="str">
        <f>CONCATENATE(A179," ",B179," ",C179," ","inf+"," ",FanUpsizes!D179," ",FanUpsizes!F179)</f>
        <v>5ACH Percentile 2 inf+ Existing 3</v>
      </c>
      <c r="H179" s="360">
        <v>3.9999618130284825E-2</v>
      </c>
      <c r="I179" s="360">
        <v>0.34459993428863572</v>
      </c>
      <c r="J179" s="360">
        <v>1.3002574241763685</v>
      </c>
      <c r="K179" s="360">
        <v>966.29207411030325</v>
      </c>
      <c r="L179" s="360">
        <v>0.30812844357673896</v>
      </c>
      <c r="M179" s="360">
        <v>1.5450602940594511</v>
      </c>
      <c r="N179" s="360">
        <v>1.4019151650182105</v>
      </c>
      <c r="O179" s="360">
        <v>0.37637694935431404</v>
      </c>
      <c r="P179" s="360">
        <v>1.3002577721847304</v>
      </c>
      <c r="Q179" s="360">
        <v>770.24814039911121</v>
      </c>
      <c r="R179" s="360">
        <v>1032.7778653471087</v>
      </c>
      <c r="S179" s="360">
        <v>0.26160538104223147</v>
      </c>
      <c r="T179" s="360">
        <v>1.8969568559947032</v>
      </c>
      <c r="U179" s="360">
        <v>2.3108944858981979</v>
      </c>
      <c r="V179" s="360">
        <v>0.41388785600651196</v>
      </c>
      <c r="W179" s="360">
        <v>1.300259363828014</v>
      </c>
      <c r="X179" s="360">
        <v>385.84481493067858</v>
      </c>
      <c r="Y179" s="360">
        <v>0.3529364515126075</v>
      </c>
      <c r="Z179" s="360">
        <v>1.2573768334624773</v>
      </c>
      <c r="AA179" s="360">
        <v>1052.1079325010462</v>
      </c>
      <c r="AB179" s="360">
        <v>0.31252723368908308</v>
      </c>
      <c r="AC179" s="360">
        <v>1.5142517466801921</v>
      </c>
      <c r="AD179" s="360">
        <v>1.4078924354601068</v>
      </c>
      <c r="AE179" s="360">
        <v>0.39347582501294642</v>
      </c>
      <c r="AF179" s="360">
        <v>1.2573803291869869</v>
      </c>
      <c r="AG179" s="360">
        <v>791.53206346415027</v>
      </c>
      <c r="AH179" s="360">
        <v>1133.2237749158944</v>
      </c>
      <c r="AI179" s="360">
        <v>0.25560900882571613</v>
      </c>
      <c r="AJ179" s="360">
        <v>1.9169646073572497</v>
      </c>
      <c r="AK179" s="360">
        <v>2.3190825246473263</v>
      </c>
      <c r="AL179" s="360">
        <v>0.43530033199835189</v>
      </c>
      <c r="AM179" s="360">
        <v>1.2573773304650373</v>
      </c>
      <c r="AN179" s="360">
        <v>372.21247647184384</v>
      </c>
      <c r="AO179" s="360">
        <f t="shared" si="6"/>
        <v>1</v>
      </c>
      <c r="AP179" s="360">
        <f t="shared" si="7"/>
        <v>1</v>
      </c>
      <c r="AQ179" s="360">
        <f t="shared" si="8"/>
        <v>1</v>
      </c>
    </row>
    <row r="180" spans="1:43">
      <c r="A180" s="360" t="s">
        <v>1082</v>
      </c>
      <c r="B180" t="s">
        <v>1074</v>
      </c>
      <c r="C180">
        <v>2</v>
      </c>
      <c r="D180" t="s">
        <v>1080</v>
      </c>
      <c r="E180" t="s">
        <v>1079</v>
      </c>
      <c r="F180" s="360">
        <v>3</v>
      </c>
      <c r="G180" s="360" t="str">
        <f>CONCATENATE(A180," ",B180," ",C180," ","inf+"," ",FanUpsizes!D180," ",FanUpsizes!F180)</f>
        <v>5ACH Infiltration 2 inf+ Existing 3</v>
      </c>
      <c r="H180" s="360">
        <v>3.9999618130284825E-2</v>
      </c>
      <c r="I180" s="360">
        <v>0.34459993428863572</v>
      </c>
      <c r="J180" s="360">
        <v>1.3002574241763685</v>
      </c>
      <c r="K180" s="360">
        <v>0</v>
      </c>
      <c r="L180" s="360">
        <v>0.34459993428863572</v>
      </c>
      <c r="M180" s="360">
        <v>1.3002574241763685</v>
      </c>
      <c r="N180" s="360">
        <v>1</v>
      </c>
      <c r="O180" s="360">
        <v>0.34459993428863572</v>
      </c>
      <c r="P180" s="360">
        <v>1.3002574241763685</v>
      </c>
      <c r="Q180" s="360">
        <v>0</v>
      </c>
      <c r="R180" s="360">
        <v>0.46794792719057843</v>
      </c>
      <c r="S180" s="360">
        <v>0.34459150876365791</v>
      </c>
      <c r="T180" s="360">
        <v>1.3002863490655125</v>
      </c>
      <c r="U180" s="360">
        <v>1.0000350105908853</v>
      </c>
      <c r="V180" s="360">
        <v>0.34459856622251384</v>
      </c>
      <c r="W180" s="360">
        <v>1.300257424207595</v>
      </c>
      <c r="X180" s="360">
        <v>0.41212960632271123</v>
      </c>
      <c r="Y180" s="360">
        <v>0.3529364515126075</v>
      </c>
      <c r="Z180" s="360">
        <v>1.2573768334624773</v>
      </c>
      <c r="AA180" s="360">
        <v>0</v>
      </c>
      <c r="AB180" s="360">
        <v>0.3529364515126075</v>
      </c>
      <c r="AC180" s="360">
        <v>1.2573768334624773</v>
      </c>
      <c r="AD180" s="360">
        <v>1</v>
      </c>
      <c r="AE180" s="360">
        <v>0.3529364515126075</v>
      </c>
      <c r="AF180" s="360">
        <v>1.2573768334624773</v>
      </c>
      <c r="AG180" s="360">
        <v>0</v>
      </c>
      <c r="AH180" s="360">
        <v>0.6466075764020992</v>
      </c>
      <c r="AI180" s="360">
        <v>0.35292474807805435</v>
      </c>
      <c r="AJ180" s="360">
        <v>1.2574170196315217</v>
      </c>
      <c r="AK180" s="360">
        <v>1.0000381473368389</v>
      </c>
      <c r="AL180" s="360">
        <v>0.35293430773322826</v>
      </c>
      <c r="AM180" s="360">
        <v>1.2573818218016979</v>
      </c>
      <c r="AN180" s="360">
        <v>0.56358869441340687</v>
      </c>
      <c r="AO180" s="360">
        <f t="shared" si="6"/>
        <v>1</v>
      </c>
      <c r="AP180" s="360">
        <f t="shared" si="7"/>
        <v>0</v>
      </c>
      <c r="AQ180" s="360">
        <f t="shared" si="8"/>
        <v>0</v>
      </c>
    </row>
    <row r="181" spans="1:43">
      <c r="A181" s="360" t="s">
        <v>1082</v>
      </c>
      <c r="B181" t="s">
        <v>1076</v>
      </c>
      <c r="C181">
        <v>2</v>
      </c>
      <c r="D181" t="s">
        <v>1080</v>
      </c>
      <c r="E181" t="s">
        <v>1079</v>
      </c>
      <c r="F181" s="360">
        <v>3</v>
      </c>
      <c r="G181" s="360" t="str">
        <f>CONCATENATE(A181," ",B181," ",C181," ","inf+"," ",FanUpsizes!D181," ",FanUpsizes!F181)</f>
        <v>5ACH 5C 2 inf+ Existing 3</v>
      </c>
      <c r="H181" s="360">
        <v>3.9999618130284825E-2</v>
      </c>
      <c r="I181" s="360">
        <v>0.34459993428863572</v>
      </c>
      <c r="J181" s="360">
        <v>1.3002574241763685</v>
      </c>
      <c r="K181" s="360">
        <v>62.701248182999969</v>
      </c>
      <c r="L181" s="360">
        <v>0.34340350974179273</v>
      </c>
      <c r="M181" s="360">
        <v>1.3054300277249999</v>
      </c>
      <c r="N181" s="360">
        <v>1.0062791262386412</v>
      </c>
      <c r="O181" s="360">
        <v>0.34466557654604152</v>
      </c>
      <c r="P181" s="360">
        <v>1.3002575172684276</v>
      </c>
      <c r="Q181" s="360">
        <v>53.056731358936617</v>
      </c>
      <c r="R181" s="360">
        <v>62.701248182999969</v>
      </c>
      <c r="S181" s="360">
        <v>0.34340350974179273</v>
      </c>
      <c r="T181" s="360">
        <v>1.3054300277249999</v>
      </c>
      <c r="U181" s="360">
        <v>1.0062791262386412</v>
      </c>
      <c r="V181" s="360">
        <v>0.34466557654604152</v>
      </c>
      <c r="W181" s="360">
        <v>1.3002575172684276</v>
      </c>
      <c r="X181" s="360">
        <v>53.056731358936617</v>
      </c>
      <c r="Y181" s="360">
        <v>0.3529364515126075</v>
      </c>
      <c r="Z181" s="360">
        <v>1.2573768334624773</v>
      </c>
      <c r="AA181" s="360">
        <v>62.015907332671219</v>
      </c>
      <c r="AB181" s="360">
        <v>0.35175244427280733</v>
      </c>
      <c r="AC181" s="360">
        <v>1.2623466823644669</v>
      </c>
      <c r="AD181" s="360">
        <v>1.0054196899022529</v>
      </c>
      <c r="AE181" s="360">
        <v>0.35310131489043206</v>
      </c>
      <c r="AF181" s="360">
        <v>1.2573783487655723</v>
      </c>
      <c r="AG181" s="360">
        <v>50.743496823470203</v>
      </c>
      <c r="AH181" s="360">
        <v>62.015907332671219</v>
      </c>
      <c r="AI181" s="360">
        <v>0.35175244427280733</v>
      </c>
      <c r="AJ181" s="360">
        <v>1.2623466823644669</v>
      </c>
      <c r="AK181" s="360">
        <v>1.0054196899022529</v>
      </c>
      <c r="AL181" s="360">
        <v>0.35310131489043206</v>
      </c>
      <c r="AM181" s="360">
        <v>1.2573783487655723</v>
      </c>
      <c r="AN181" s="360">
        <v>50.743496823470203</v>
      </c>
      <c r="AO181" s="360">
        <f t="shared" si="6"/>
        <v>1</v>
      </c>
      <c r="AP181" s="360">
        <f t="shared" si="7"/>
        <v>1</v>
      </c>
      <c r="AQ181" s="360">
        <f t="shared" si="8"/>
        <v>1</v>
      </c>
    </row>
    <row r="182" spans="1:43">
      <c r="A182" s="360" t="s">
        <v>1083</v>
      </c>
      <c r="B182" t="s">
        <v>1075</v>
      </c>
      <c r="C182">
        <v>1</v>
      </c>
      <c r="D182" t="s">
        <v>1078</v>
      </c>
      <c r="E182" t="s">
        <v>1079</v>
      </c>
      <c r="F182" s="360">
        <v>3</v>
      </c>
      <c r="G182" s="360" t="str">
        <f>CONCATENATE(A182," ",B182," ",C182," ","inf+"," ",FanUpsizes!D182," ",FanUpsizes!F182)</f>
        <v>3ACH Percentile 1 inf+ New 3</v>
      </c>
      <c r="H182" s="360">
        <v>3.4391063719488815E-2</v>
      </c>
      <c r="I182" s="360">
        <v>0.25653374290402681</v>
      </c>
      <c r="J182" s="360">
        <v>1.2456386205550589</v>
      </c>
      <c r="K182" s="360">
        <v>1074.4370266648079</v>
      </c>
      <c r="L182" s="360">
        <v>0.21513957306214132</v>
      </c>
      <c r="M182" s="360">
        <v>1.6829216677381902</v>
      </c>
      <c r="N182" s="360">
        <v>1.5948938790098677</v>
      </c>
      <c r="O182" s="360">
        <v>0.32825596870900686</v>
      </c>
      <c r="P182" s="360">
        <v>1.2456386480586412</v>
      </c>
      <c r="Q182" s="360">
        <v>701.72333385290278</v>
      </c>
      <c r="R182" s="360">
        <v>1149.1068926873347</v>
      </c>
      <c r="S182" s="360">
        <v>0.16091870995396268</v>
      </c>
      <c r="T182" s="360">
        <v>2.2856345219495391</v>
      </c>
      <c r="U182" s="360">
        <v>2.6521022837599078</v>
      </c>
      <c r="V182" s="360">
        <v>0.37745227008865578</v>
      </c>
      <c r="W182" s="360">
        <v>1.2456423804048253</v>
      </c>
      <c r="X182" s="360">
        <v>238.44530542059297</v>
      </c>
      <c r="Y182" s="360">
        <v>0.26889656609885593</v>
      </c>
      <c r="Z182" s="360">
        <v>1.189013608170415</v>
      </c>
      <c r="AA182" s="360">
        <v>1158.0954897104521</v>
      </c>
      <c r="AB182" s="360">
        <v>0.22462775505910246</v>
      </c>
      <c r="AC182" s="360">
        <v>1.6347680260804842</v>
      </c>
      <c r="AD182" s="360">
        <v>1.6896669284324586</v>
      </c>
      <c r="AE182" s="360">
        <v>0.35369741709178615</v>
      </c>
      <c r="AF182" s="360">
        <v>1.1890194380713279</v>
      </c>
      <c r="AG182" s="360">
        <v>733.74754713181335</v>
      </c>
      <c r="AH182" s="360">
        <v>1235.1065522729823</v>
      </c>
      <c r="AI182" s="360">
        <v>0.16955643386549138</v>
      </c>
      <c r="AJ182" s="360">
        <v>2.2034652977340694</v>
      </c>
      <c r="AK182" s="360">
        <v>2.8255423979908145</v>
      </c>
      <c r="AL182" s="360">
        <v>0.40666589222200339</v>
      </c>
      <c r="AM182" s="360">
        <v>1.1890139552227348</v>
      </c>
      <c r="AN182" s="360">
        <v>243.65736162648543</v>
      </c>
      <c r="AO182" s="360">
        <f t="shared" si="6"/>
        <v>1</v>
      </c>
      <c r="AP182" s="360">
        <f t="shared" si="7"/>
        <v>1</v>
      </c>
      <c r="AQ182" s="360">
        <f t="shared" si="8"/>
        <v>1</v>
      </c>
    </row>
    <row r="183" spans="1:43">
      <c r="A183" s="360" t="s">
        <v>1083</v>
      </c>
      <c r="B183" t="s">
        <v>1074</v>
      </c>
      <c r="C183">
        <v>1</v>
      </c>
      <c r="D183" t="s">
        <v>1078</v>
      </c>
      <c r="E183" t="s">
        <v>1079</v>
      </c>
      <c r="F183" s="360">
        <v>3</v>
      </c>
      <c r="G183" s="360" t="str">
        <f>CONCATENATE(A183," ",B183," ",C183," ","inf+"," ",FanUpsizes!D183," ",FanUpsizes!F183)</f>
        <v>3ACH Infiltration 1 inf+ New 3</v>
      </c>
      <c r="H183" s="360">
        <v>3.4391063719488815E-2</v>
      </c>
      <c r="I183" s="360">
        <v>0.25653374290402681</v>
      </c>
      <c r="J183" s="360">
        <v>1.2456386205550589</v>
      </c>
      <c r="K183" s="360">
        <v>0</v>
      </c>
      <c r="L183" s="360">
        <v>0.25653374290402681</v>
      </c>
      <c r="M183" s="360">
        <v>1.2456386205550589</v>
      </c>
      <c r="N183" s="360">
        <v>1</v>
      </c>
      <c r="O183" s="360">
        <v>0.25653374290402681</v>
      </c>
      <c r="P183" s="360">
        <v>1.2456386205550589</v>
      </c>
      <c r="Q183" s="360">
        <v>0</v>
      </c>
      <c r="R183" s="360">
        <v>0</v>
      </c>
      <c r="S183" s="360">
        <v>0.25653374290402681</v>
      </c>
      <c r="T183" s="360">
        <v>1.2456386205550589</v>
      </c>
      <c r="U183" s="360">
        <v>1</v>
      </c>
      <c r="V183" s="360">
        <v>0.25653374290402681</v>
      </c>
      <c r="W183" s="360">
        <v>1.2456386205550589</v>
      </c>
      <c r="X183" s="360">
        <v>0</v>
      </c>
      <c r="Y183" s="360">
        <v>0.26889656609885593</v>
      </c>
      <c r="Z183" s="360">
        <v>1.189013608170415</v>
      </c>
      <c r="AA183" s="360">
        <v>0</v>
      </c>
      <c r="AB183" s="360">
        <v>0.26889656609885593</v>
      </c>
      <c r="AC183" s="360">
        <v>1.189013608170415</v>
      </c>
      <c r="AD183" s="360">
        <v>1</v>
      </c>
      <c r="AE183" s="360">
        <v>0.26889656609885593</v>
      </c>
      <c r="AF183" s="360">
        <v>1.189013608170415</v>
      </c>
      <c r="AG183" s="360">
        <v>0</v>
      </c>
      <c r="AH183" s="360">
        <v>0</v>
      </c>
      <c r="AI183" s="360">
        <v>0.26889656609885593</v>
      </c>
      <c r="AJ183" s="360">
        <v>1.189013608170415</v>
      </c>
      <c r="AK183" s="360">
        <v>1</v>
      </c>
      <c r="AL183" s="360">
        <v>0.26889656609885593</v>
      </c>
      <c r="AM183" s="360">
        <v>1.189013608170415</v>
      </c>
      <c r="AN183" s="360">
        <v>0</v>
      </c>
      <c r="AO183" s="360">
        <f t="shared" si="6"/>
        <v>1</v>
      </c>
      <c r="AP183" s="360">
        <f t="shared" si="7"/>
        <v>0</v>
      </c>
      <c r="AQ183" s="360">
        <f t="shared" si="8"/>
        <v>0</v>
      </c>
    </row>
    <row r="184" spans="1:43">
      <c r="A184" s="360" t="s">
        <v>1083</v>
      </c>
      <c r="B184" t="s">
        <v>1076</v>
      </c>
      <c r="C184">
        <v>1</v>
      </c>
      <c r="D184" t="s">
        <v>1078</v>
      </c>
      <c r="E184" t="s">
        <v>1079</v>
      </c>
      <c r="F184" s="360">
        <v>3</v>
      </c>
      <c r="G184" s="360" t="str">
        <f>CONCATENATE(A184," ",B184," ",C184," ","inf+"," ",FanUpsizes!D184," ",FanUpsizes!F184)</f>
        <v>3ACH 5C 1 inf+ New 3</v>
      </c>
      <c r="H184" s="360">
        <v>3.4391063719488815E-2</v>
      </c>
      <c r="I184" s="360">
        <v>0.25653374290402681</v>
      </c>
      <c r="J184" s="360">
        <v>1.2456386205550589</v>
      </c>
      <c r="K184" s="360">
        <v>63.349969716210211</v>
      </c>
      <c r="L184" s="360">
        <v>0.2553201152897886</v>
      </c>
      <c r="M184" s="360">
        <v>1.2535828918388501</v>
      </c>
      <c r="N184" s="360">
        <v>1.006790046726542</v>
      </c>
      <c r="O184" s="360">
        <v>0.25694635414199635</v>
      </c>
      <c r="P184" s="360">
        <v>1.2456399230535682</v>
      </c>
      <c r="Q184" s="360">
        <v>49.516143656129984</v>
      </c>
      <c r="R184" s="360">
        <v>63.349969716210211</v>
      </c>
      <c r="S184" s="360">
        <v>0.2553201152897886</v>
      </c>
      <c r="T184" s="360">
        <v>1.2535828918388501</v>
      </c>
      <c r="U184" s="360">
        <v>1.006790046726542</v>
      </c>
      <c r="V184" s="360">
        <v>0.25694635414199635</v>
      </c>
      <c r="W184" s="360">
        <v>1.2456399230535682</v>
      </c>
      <c r="X184" s="360">
        <v>49.516143656129984</v>
      </c>
      <c r="Y184" s="360">
        <v>0.26889656609885593</v>
      </c>
      <c r="Z184" s="360">
        <v>1.189013608170415</v>
      </c>
      <c r="AA184" s="360">
        <v>71.940252798657625</v>
      </c>
      <c r="AB184" s="360">
        <v>0.26751619680093497</v>
      </c>
      <c r="AC184" s="360">
        <v>1.1971995042371901</v>
      </c>
      <c r="AD184" s="360">
        <v>1.0077193485651075</v>
      </c>
      <c r="AE184" s="360">
        <v>0.26935596966619252</v>
      </c>
      <c r="AF184" s="360">
        <v>1.1890224259304507</v>
      </c>
      <c r="AG184" s="360">
        <v>56.470242900343983</v>
      </c>
      <c r="AH184" s="360">
        <v>71.940252798657625</v>
      </c>
      <c r="AI184" s="360">
        <v>0.26751619680093497</v>
      </c>
      <c r="AJ184" s="360">
        <v>1.1971995042371901</v>
      </c>
      <c r="AK184" s="360">
        <v>1.0077193485651075</v>
      </c>
      <c r="AL184" s="360">
        <v>0.26935596966619252</v>
      </c>
      <c r="AM184" s="360">
        <v>1.1890224259304507</v>
      </c>
      <c r="AN184" s="360">
        <v>56.470242900343983</v>
      </c>
      <c r="AO184" s="360">
        <f t="shared" si="6"/>
        <v>1</v>
      </c>
      <c r="AP184" s="360">
        <f t="shared" si="7"/>
        <v>1</v>
      </c>
      <c r="AQ184" s="360">
        <f t="shared" si="8"/>
        <v>1</v>
      </c>
    </row>
    <row r="185" spans="1:43">
      <c r="A185" s="360" t="s">
        <v>1083</v>
      </c>
      <c r="B185" t="s">
        <v>1075</v>
      </c>
      <c r="C185">
        <v>2</v>
      </c>
      <c r="D185" t="s">
        <v>1078</v>
      </c>
      <c r="E185" t="s">
        <v>1079</v>
      </c>
      <c r="F185" s="360">
        <v>3</v>
      </c>
      <c r="G185" s="360" t="str">
        <f>CONCATENATE(A185," ",B185," ",C185," ","inf+"," ",FanUpsizes!D185," ",FanUpsizes!F185)</f>
        <v>3ACH Percentile 2 inf+ New 3</v>
      </c>
      <c r="H185" s="360">
        <v>3.1555770878170894E-2</v>
      </c>
      <c r="I185" s="360">
        <v>0.2482581388827039</v>
      </c>
      <c r="J185" s="360">
        <v>1.2949600256665545</v>
      </c>
      <c r="K185" s="360">
        <v>826.7635527379208</v>
      </c>
      <c r="L185" s="360">
        <v>0.2163554239828627</v>
      </c>
      <c r="M185" s="360">
        <v>1.6066240486635772</v>
      </c>
      <c r="N185" s="360">
        <v>1.4313101501133541</v>
      </c>
      <c r="O185" s="360">
        <v>0.28314028704763883</v>
      </c>
      <c r="P185" s="360">
        <v>1.2949602428054836</v>
      </c>
      <c r="Q185" s="360">
        <v>624.16939078736027</v>
      </c>
      <c r="R185" s="360">
        <v>885.22932512558043</v>
      </c>
      <c r="S185" s="360">
        <v>0.17356753644858741</v>
      </c>
      <c r="T185" s="360">
        <v>2.0703673687105124</v>
      </c>
      <c r="U185" s="360">
        <v>2.3437027379069839</v>
      </c>
      <c r="V185" s="360">
        <v>0.31782959767245039</v>
      </c>
      <c r="W185" s="360">
        <v>1.2949600402049775</v>
      </c>
      <c r="X185" s="360">
        <v>273.48325699970025</v>
      </c>
      <c r="Y185" s="360">
        <v>0.26066439478876813</v>
      </c>
      <c r="Z185" s="360">
        <v>1.2302885180819156</v>
      </c>
      <c r="AA185" s="360">
        <v>937.70029110877795</v>
      </c>
      <c r="AB185" s="360">
        <v>0.22472607668280428</v>
      </c>
      <c r="AC185" s="360">
        <v>1.5574241326463945</v>
      </c>
      <c r="AD185" s="360">
        <v>1.4874173244602114</v>
      </c>
      <c r="AE185" s="360">
        <v>0.30497907602853042</v>
      </c>
      <c r="AF185" s="360">
        <v>1.2302890940507385</v>
      </c>
      <c r="AG185" s="360">
        <v>676.4134623203571</v>
      </c>
      <c r="AH185" s="360">
        <v>1005.0651850643859</v>
      </c>
      <c r="AI185" s="360">
        <v>0.17696375016342789</v>
      </c>
      <c r="AJ185" s="360">
        <v>2.032067487619456</v>
      </c>
      <c r="AK185" s="360">
        <v>2.4599800986415379</v>
      </c>
      <c r="AL185" s="360">
        <v>0.3429237728567664</v>
      </c>
      <c r="AM185" s="360">
        <v>1.2302885477994141</v>
      </c>
      <c r="AN185" s="360">
        <v>306.60572760123921</v>
      </c>
      <c r="AO185" s="360">
        <f t="shared" si="6"/>
        <v>1</v>
      </c>
      <c r="AP185" s="360">
        <f t="shared" si="7"/>
        <v>1</v>
      </c>
      <c r="AQ185" s="360">
        <f t="shared" si="8"/>
        <v>1</v>
      </c>
    </row>
    <row r="186" spans="1:43">
      <c r="A186" s="360" t="s">
        <v>1083</v>
      </c>
      <c r="B186" t="s">
        <v>1074</v>
      </c>
      <c r="C186">
        <v>2</v>
      </c>
      <c r="D186" t="s">
        <v>1078</v>
      </c>
      <c r="E186" t="s">
        <v>1079</v>
      </c>
      <c r="F186" s="360">
        <v>3</v>
      </c>
      <c r="G186" s="360" t="str">
        <f>CONCATENATE(A186," ",B186," ",C186," ","inf+"," ",FanUpsizes!D186," ",FanUpsizes!F186)</f>
        <v>3ACH Infiltration 2 inf+ New 3</v>
      </c>
      <c r="H186" s="360">
        <v>3.1555770878170894E-2</v>
      </c>
      <c r="I186" s="360">
        <v>0.2482581388827039</v>
      </c>
      <c r="J186" s="360">
        <v>1.2949600256665545</v>
      </c>
      <c r="K186" s="360">
        <v>0</v>
      </c>
      <c r="L186" s="360">
        <v>0.2482581388827039</v>
      </c>
      <c r="M186" s="360">
        <v>1.2949600256665545</v>
      </c>
      <c r="N186" s="360">
        <v>1</v>
      </c>
      <c r="O186" s="360">
        <v>0.2482581388827039</v>
      </c>
      <c r="P186" s="360">
        <v>1.2949600256665545</v>
      </c>
      <c r="Q186" s="360">
        <v>0</v>
      </c>
      <c r="R186" s="360">
        <v>0</v>
      </c>
      <c r="S186" s="360">
        <v>0.2482581388827039</v>
      </c>
      <c r="T186" s="360">
        <v>1.2949600256665545</v>
      </c>
      <c r="U186" s="360">
        <v>1</v>
      </c>
      <c r="V186" s="360">
        <v>0.2482581388827039</v>
      </c>
      <c r="W186" s="360">
        <v>1.2949600256665545</v>
      </c>
      <c r="X186" s="360">
        <v>0</v>
      </c>
      <c r="Y186" s="360">
        <v>0.26066439478876813</v>
      </c>
      <c r="Z186" s="360">
        <v>1.2302885180819156</v>
      </c>
      <c r="AA186" s="360">
        <v>0</v>
      </c>
      <c r="AB186" s="360">
        <v>0.26066439478876813</v>
      </c>
      <c r="AC186" s="360">
        <v>1.2302885180819156</v>
      </c>
      <c r="AD186" s="360">
        <v>1</v>
      </c>
      <c r="AE186" s="360">
        <v>0.26066439478876813</v>
      </c>
      <c r="AF186" s="360">
        <v>1.2302885180819156</v>
      </c>
      <c r="AG186" s="360">
        <v>0</v>
      </c>
      <c r="AH186" s="360">
        <v>0</v>
      </c>
      <c r="AI186" s="360">
        <v>0.26066439478876813</v>
      </c>
      <c r="AJ186" s="360">
        <v>1.2302885180819156</v>
      </c>
      <c r="AK186" s="360">
        <v>1</v>
      </c>
      <c r="AL186" s="360">
        <v>0.26066439478876813</v>
      </c>
      <c r="AM186" s="360">
        <v>1.2302885180819156</v>
      </c>
      <c r="AN186" s="360">
        <v>0</v>
      </c>
      <c r="AO186" s="360">
        <f t="shared" si="6"/>
        <v>1</v>
      </c>
      <c r="AP186" s="360">
        <f t="shared" si="7"/>
        <v>0</v>
      </c>
      <c r="AQ186" s="360">
        <f t="shared" si="8"/>
        <v>0</v>
      </c>
    </row>
    <row r="187" spans="1:43">
      <c r="A187" s="360" t="s">
        <v>1083</v>
      </c>
      <c r="B187" t="s">
        <v>1076</v>
      </c>
      <c r="C187">
        <v>2</v>
      </c>
      <c r="D187" t="s">
        <v>1078</v>
      </c>
      <c r="E187" t="s">
        <v>1079</v>
      </c>
      <c r="F187" s="360">
        <v>3</v>
      </c>
      <c r="G187" s="360" t="str">
        <f>CONCATENATE(A187," ",B187," ",C187," ","inf+"," ",FanUpsizes!D187," ",FanUpsizes!F187)</f>
        <v>3ACH 5C 2 inf+ New 3</v>
      </c>
      <c r="H187" s="360">
        <v>3.1555770878170894E-2</v>
      </c>
      <c r="I187" s="360">
        <v>0.2482581388827039</v>
      </c>
      <c r="J187" s="360">
        <v>1.2949600256665545</v>
      </c>
      <c r="K187" s="360">
        <v>49.465127766809317</v>
      </c>
      <c r="L187" s="360">
        <v>0.24731427740007131</v>
      </c>
      <c r="M187" s="360">
        <v>1.3011870079392911</v>
      </c>
      <c r="N187" s="360">
        <v>1.0061604083053568</v>
      </c>
      <c r="O187" s="360">
        <v>0.24846584078139791</v>
      </c>
      <c r="P187" s="360">
        <v>1.2949626048949736</v>
      </c>
      <c r="Q187" s="360">
        <v>39.971172041372732</v>
      </c>
      <c r="R187" s="360">
        <v>49.465127766809317</v>
      </c>
      <c r="S187" s="360">
        <v>0.24731427740007131</v>
      </c>
      <c r="T187" s="360">
        <v>1.3011870079392911</v>
      </c>
      <c r="U187" s="360">
        <v>1.0061604083053568</v>
      </c>
      <c r="V187" s="360">
        <v>0.24846584078139791</v>
      </c>
      <c r="W187" s="360">
        <v>1.2949626048949736</v>
      </c>
      <c r="X187" s="360">
        <v>39.971172041372732</v>
      </c>
      <c r="Y187" s="360">
        <v>0.26066439478876813</v>
      </c>
      <c r="Z187" s="360">
        <v>1.2302885180819156</v>
      </c>
      <c r="AA187" s="360">
        <v>56.771538706446151</v>
      </c>
      <c r="AB187" s="360">
        <v>0.25957759479469539</v>
      </c>
      <c r="AC187" s="360">
        <v>1.2366335436759817</v>
      </c>
      <c r="AD187" s="360">
        <v>1.0063503250611741</v>
      </c>
      <c r="AE187" s="360">
        <v>0.26089898963627761</v>
      </c>
      <c r="AF187" s="360">
        <v>1.2303037531926753</v>
      </c>
      <c r="AG187" s="360">
        <v>45.68343290098823</v>
      </c>
      <c r="AH187" s="360">
        <v>56.771538706446151</v>
      </c>
      <c r="AI187" s="360">
        <v>0.25957759479469539</v>
      </c>
      <c r="AJ187" s="360">
        <v>1.2366335436759817</v>
      </c>
      <c r="AK187" s="360">
        <v>1.0063503250611741</v>
      </c>
      <c r="AL187" s="360">
        <v>0.26089898963627761</v>
      </c>
      <c r="AM187" s="360">
        <v>1.2303037531926753</v>
      </c>
      <c r="AN187" s="360">
        <v>45.68343290098823</v>
      </c>
      <c r="AO187" s="360">
        <f t="shared" si="6"/>
        <v>1</v>
      </c>
      <c r="AP187" s="360">
        <f t="shared" si="7"/>
        <v>1</v>
      </c>
      <c r="AQ187" s="360">
        <f t="shared" si="8"/>
        <v>1</v>
      </c>
    </row>
    <row r="188" spans="1:43">
      <c r="A188" s="360" t="s">
        <v>1083</v>
      </c>
      <c r="B188" t="s">
        <v>1075</v>
      </c>
      <c r="C188">
        <v>1</v>
      </c>
      <c r="D188" t="s">
        <v>1080</v>
      </c>
      <c r="E188" t="s">
        <v>1079</v>
      </c>
      <c r="F188" s="360">
        <v>3</v>
      </c>
      <c r="G188" s="360" t="str">
        <f>CONCATENATE(A188," ",B188," ",C188," ","inf+"," ",FanUpsizes!D188," ",FanUpsizes!F188)</f>
        <v>3ACH Percentile 1 inf+ Existing 3</v>
      </c>
      <c r="H188" s="360">
        <v>5.0641063719488816E-2</v>
      </c>
      <c r="I188" s="360">
        <v>0.37423282605123248</v>
      </c>
      <c r="J188" s="360">
        <v>1.1738017729219807</v>
      </c>
      <c r="K188" s="360">
        <v>1820.2872354722726</v>
      </c>
      <c r="L188" s="360">
        <v>0.30466039985173282</v>
      </c>
      <c r="M188" s="360">
        <v>1.8003296423292372</v>
      </c>
      <c r="N188" s="360">
        <v>2.1856761659754205</v>
      </c>
      <c r="O188" s="360">
        <v>0.64275767425960517</v>
      </c>
      <c r="P188" s="360">
        <v>1.173801934894644</v>
      </c>
      <c r="Q188" s="360">
        <v>697.59369858745015</v>
      </c>
      <c r="R188" s="360">
        <v>1938.4080262036625</v>
      </c>
      <c r="S188" s="360">
        <v>0.21994172790488464</v>
      </c>
      <c r="T188" s="360">
        <v>2.4770338442692599</v>
      </c>
      <c r="U188" s="360">
        <v>3.6803198915881148</v>
      </c>
      <c r="V188" s="360">
        <v>0.7512269663701393</v>
      </c>
      <c r="W188" s="360">
        <v>1.1738018869223683</v>
      </c>
      <c r="X188" s="360">
        <v>-276.52426207519011</v>
      </c>
      <c r="Y188" s="360">
        <v>0.38427292366885046</v>
      </c>
      <c r="Z188" s="360">
        <v>1.1435022926612128</v>
      </c>
      <c r="AA188" s="360">
        <v>1880.3082337439794</v>
      </c>
      <c r="AB188" s="360">
        <v>0.31262226705901214</v>
      </c>
      <c r="AC188" s="360">
        <v>1.7732418659974181</v>
      </c>
      <c r="AD188" s="360">
        <v>2.3057659427617785</v>
      </c>
      <c r="AE188" s="360">
        <v>0.680781517321979</v>
      </c>
      <c r="AF188" s="360">
        <v>1.1435024273177217</v>
      </c>
      <c r="AG188" s="360">
        <v>662.05928560683355</v>
      </c>
      <c r="AH188" s="360">
        <v>1997.0904875916599</v>
      </c>
      <c r="AI188" s="360">
        <v>0.22890000912214475</v>
      </c>
      <c r="AJ188" s="360">
        <v>2.4118623437587612</v>
      </c>
      <c r="AK188" s="360">
        <v>3.8877446713015864</v>
      </c>
      <c r="AL188" s="360">
        <v>0.79553974667465921</v>
      </c>
      <c r="AM188" s="360">
        <v>1.1435033800269419</v>
      </c>
      <c r="AN188" s="360">
        <v>-364.50127964183093</v>
      </c>
      <c r="AO188" s="360">
        <f t="shared" si="6"/>
        <v>1</v>
      </c>
      <c r="AP188" s="360">
        <f t="shared" si="7"/>
        <v>1</v>
      </c>
      <c r="AQ188" s="360">
        <f t="shared" si="8"/>
        <v>1</v>
      </c>
    </row>
    <row r="189" spans="1:43">
      <c r="A189" s="360" t="s">
        <v>1083</v>
      </c>
      <c r="B189" t="s">
        <v>1074</v>
      </c>
      <c r="C189">
        <v>1</v>
      </c>
      <c r="D189" t="s">
        <v>1080</v>
      </c>
      <c r="E189" t="s">
        <v>1079</v>
      </c>
      <c r="F189" s="360">
        <v>3</v>
      </c>
      <c r="G189" s="360" t="str">
        <f>CONCATENATE(A189," ",B189," ",C189," ","inf+"," ",FanUpsizes!D189," ",FanUpsizes!F189)</f>
        <v>3ACH Infiltration 1 inf+ Existing 3</v>
      </c>
      <c r="H189" s="360">
        <v>5.0641063719488816E-2</v>
      </c>
      <c r="I189" s="360">
        <v>0.37423282605123248</v>
      </c>
      <c r="J189" s="360">
        <v>1.1738017729219807</v>
      </c>
      <c r="K189" s="360">
        <v>0</v>
      </c>
      <c r="L189" s="360">
        <v>0.37423282605123248</v>
      </c>
      <c r="M189" s="360">
        <v>1.1738017729219807</v>
      </c>
      <c r="N189" s="360">
        <v>1</v>
      </c>
      <c r="O189" s="360">
        <v>0.37423282605123248</v>
      </c>
      <c r="P189" s="360">
        <v>1.1738017729219807</v>
      </c>
      <c r="Q189" s="360">
        <v>0</v>
      </c>
      <c r="R189" s="360">
        <v>0</v>
      </c>
      <c r="S189" s="360">
        <v>0.37423282605123248</v>
      </c>
      <c r="T189" s="360">
        <v>1.1738017729219807</v>
      </c>
      <c r="U189" s="360">
        <v>1</v>
      </c>
      <c r="V189" s="360">
        <v>0.37423282605123248</v>
      </c>
      <c r="W189" s="360">
        <v>1.1738017729219807</v>
      </c>
      <c r="X189" s="360">
        <v>0</v>
      </c>
      <c r="Y189" s="360">
        <v>0.38427292366885046</v>
      </c>
      <c r="Z189" s="360">
        <v>1.1435022926612128</v>
      </c>
      <c r="AA189" s="360">
        <v>0</v>
      </c>
      <c r="AB189" s="360">
        <v>0.38427292366885046</v>
      </c>
      <c r="AC189" s="360">
        <v>1.1435022926612128</v>
      </c>
      <c r="AD189" s="360">
        <v>1</v>
      </c>
      <c r="AE189" s="360">
        <v>0.38427292366885046</v>
      </c>
      <c r="AF189" s="360">
        <v>1.1435022926612128</v>
      </c>
      <c r="AG189" s="360">
        <v>0</v>
      </c>
      <c r="AH189" s="360">
        <v>0</v>
      </c>
      <c r="AI189" s="360">
        <v>0.38427292366885046</v>
      </c>
      <c r="AJ189" s="360">
        <v>1.1435022926612128</v>
      </c>
      <c r="AK189" s="360">
        <v>1</v>
      </c>
      <c r="AL189" s="360">
        <v>0.38427292366885046</v>
      </c>
      <c r="AM189" s="360">
        <v>1.1435022926612128</v>
      </c>
      <c r="AN189" s="360">
        <v>0</v>
      </c>
      <c r="AO189" s="360">
        <f t="shared" si="6"/>
        <v>1</v>
      </c>
      <c r="AP189" s="360">
        <f t="shared" si="7"/>
        <v>0</v>
      </c>
      <c r="AQ189" s="360">
        <f t="shared" si="8"/>
        <v>0</v>
      </c>
    </row>
    <row r="190" spans="1:43">
      <c r="A190" s="360" t="s">
        <v>1083</v>
      </c>
      <c r="B190" t="s">
        <v>1076</v>
      </c>
      <c r="C190">
        <v>1</v>
      </c>
      <c r="D190" t="s">
        <v>1080</v>
      </c>
      <c r="E190" t="s">
        <v>1079</v>
      </c>
      <c r="F190" s="360">
        <v>3</v>
      </c>
      <c r="G190" s="360" t="str">
        <f>CONCATENATE(A190," ",B190," ",C190," ","inf+"," ",FanUpsizes!D190," ",FanUpsizes!F190)</f>
        <v>3ACH 5C 1 inf+ Existing 3</v>
      </c>
      <c r="H190" s="360">
        <v>5.0641063719488816E-2</v>
      </c>
      <c r="I190" s="360">
        <v>0.37423282605123248</v>
      </c>
      <c r="J190" s="360">
        <v>1.1738017729219807</v>
      </c>
      <c r="K190" s="360">
        <v>113.79206985070574</v>
      </c>
      <c r="L190" s="360">
        <v>0.37204709421225468</v>
      </c>
      <c r="M190" s="360">
        <v>1.1846479985664216</v>
      </c>
      <c r="N190" s="360">
        <v>1.0093760012930915</v>
      </c>
      <c r="O190" s="360">
        <v>0.3755050096873907</v>
      </c>
      <c r="P190" s="360">
        <v>1.1738022434143698</v>
      </c>
      <c r="Q190" s="360">
        <v>84.556769866586691</v>
      </c>
      <c r="R190" s="360">
        <v>113.79206985070574</v>
      </c>
      <c r="S190" s="360">
        <v>0.37204709421225468</v>
      </c>
      <c r="T190" s="360">
        <v>1.1846479985664216</v>
      </c>
      <c r="U190" s="360">
        <v>1.0093760012930915</v>
      </c>
      <c r="V190" s="360">
        <v>0.3755050096873907</v>
      </c>
      <c r="W190" s="360">
        <v>1.1738022434143698</v>
      </c>
      <c r="X190" s="360">
        <v>84.556769866586691</v>
      </c>
      <c r="Y190" s="360">
        <v>0.38427292366885046</v>
      </c>
      <c r="Z190" s="360">
        <v>1.1435022926612128</v>
      </c>
      <c r="AA190" s="360">
        <v>119.75049414555583</v>
      </c>
      <c r="AB190" s="360">
        <v>0.38197154371851333</v>
      </c>
      <c r="AC190" s="360">
        <v>1.1543963313018168</v>
      </c>
      <c r="AD190" s="360">
        <v>1.0101328999482624</v>
      </c>
      <c r="AE190" s="360">
        <v>0.3856290236817671</v>
      </c>
      <c r="AF190" s="360">
        <v>1.1435040326260772</v>
      </c>
      <c r="AG190" s="360">
        <v>88.948459737763969</v>
      </c>
      <c r="AH190" s="360">
        <v>119.75049414555583</v>
      </c>
      <c r="AI190" s="360">
        <v>0.38197154371851333</v>
      </c>
      <c r="AJ190" s="360">
        <v>1.1543963313018168</v>
      </c>
      <c r="AK190" s="360">
        <v>1.0101328999482624</v>
      </c>
      <c r="AL190" s="360">
        <v>0.3856290236817671</v>
      </c>
      <c r="AM190" s="360">
        <v>1.1435040326260772</v>
      </c>
      <c r="AN190" s="360">
        <v>88.948459737763969</v>
      </c>
      <c r="AO190" s="360">
        <f t="shared" si="6"/>
        <v>1</v>
      </c>
      <c r="AP190" s="360">
        <f t="shared" si="7"/>
        <v>1</v>
      </c>
      <c r="AQ190" s="360">
        <f t="shared" si="8"/>
        <v>1</v>
      </c>
    </row>
    <row r="191" spans="1:43">
      <c r="A191" s="360" t="s">
        <v>1083</v>
      </c>
      <c r="B191" t="s">
        <v>1075</v>
      </c>
      <c r="C191">
        <v>2</v>
      </c>
      <c r="D191" t="s">
        <v>1080</v>
      </c>
      <c r="E191" t="s">
        <v>1079</v>
      </c>
      <c r="F191" s="360">
        <v>3</v>
      </c>
      <c r="G191" s="360" t="str">
        <f>CONCATENATE(A191," ",B191," ",C191," ","inf+"," ",FanUpsizes!D191," ",FanUpsizes!F191)</f>
        <v>3ACH Percentile 2 inf+ Existing 3</v>
      </c>
      <c r="H191" s="360">
        <v>4.7805770878170895E-2</v>
      </c>
      <c r="I191" s="360">
        <v>0.35607228646566241</v>
      </c>
      <c r="J191" s="360">
        <v>1.2345869526053317</v>
      </c>
      <c r="K191" s="360">
        <v>1531.2944181810001</v>
      </c>
      <c r="L191" s="360">
        <v>0.29720657642039672</v>
      </c>
      <c r="M191" s="360">
        <v>1.7183553373514835</v>
      </c>
      <c r="N191" s="360">
        <v>1.7348349511719026</v>
      </c>
      <c r="O191" s="360">
        <v>0.49250618461676043</v>
      </c>
      <c r="P191" s="360">
        <v>1.2345874078319958</v>
      </c>
      <c r="Q191" s="360">
        <v>885.19234487505412</v>
      </c>
      <c r="R191" s="360">
        <v>1636.7163615090356</v>
      </c>
      <c r="S191" s="360">
        <v>0.2212509175249244</v>
      </c>
      <c r="T191" s="360">
        <v>2.323250370346408</v>
      </c>
      <c r="U191" s="360">
        <v>2.8853529242582274</v>
      </c>
      <c r="V191" s="360">
        <v>0.56705338136247785</v>
      </c>
      <c r="W191" s="360">
        <v>1.2345871434283486</v>
      </c>
      <c r="X191" s="360">
        <v>183.78863456546267</v>
      </c>
      <c r="Y191" s="360">
        <v>0.37211209789532207</v>
      </c>
      <c r="Z191" s="360">
        <v>1.1819740783755801</v>
      </c>
      <c r="AA191" s="360">
        <v>1636.4227794251306</v>
      </c>
      <c r="AB191" s="360">
        <v>0.3096211240037739</v>
      </c>
      <c r="AC191" s="360">
        <v>1.6736362118715689</v>
      </c>
      <c r="AD191" s="360">
        <v>1.8523834273205266</v>
      </c>
      <c r="AE191" s="360">
        <v>0.53257598673778628</v>
      </c>
      <c r="AF191" s="360">
        <v>1.18197432105609</v>
      </c>
      <c r="AG191" s="360">
        <v>901.84224735303769</v>
      </c>
      <c r="AH191" s="360">
        <v>1743.9384465601674</v>
      </c>
      <c r="AI191" s="360">
        <v>0.2328113348291217</v>
      </c>
      <c r="AJ191" s="360">
        <v>2.2429268659783288</v>
      </c>
      <c r="AK191" s="360">
        <v>3.0933029333954263</v>
      </c>
      <c r="AL191" s="360">
        <v>0.61300066169156742</v>
      </c>
      <c r="AM191" s="360">
        <v>1.1819743047789146</v>
      </c>
      <c r="AN191" s="360">
        <v>154.53494145926248</v>
      </c>
      <c r="AO191" s="360">
        <f t="shared" si="6"/>
        <v>1</v>
      </c>
      <c r="AP191" s="360">
        <f t="shared" si="7"/>
        <v>1</v>
      </c>
      <c r="AQ191" s="360">
        <f t="shared" si="8"/>
        <v>1</v>
      </c>
    </row>
    <row r="192" spans="1:43">
      <c r="A192" s="360" t="s">
        <v>1083</v>
      </c>
      <c r="B192" t="s">
        <v>1074</v>
      </c>
      <c r="C192">
        <v>2</v>
      </c>
      <c r="D192" t="s">
        <v>1080</v>
      </c>
      <c r="E192" t="s">
        <v>1079</v>
      </c>
      <c r="F192" s="360">
        <v>3</v>
      </c>
      <c r="G192" s="360" t="str">
        <f>CONCATENATE(A192," ",B192," ",C192," ","inf+"," ",FanUpsizes!D192," ",FanUpsizes!F192)</f>
        <v>3ACH Infiltration 2 inf+ Existing 3</v>
      </c>
      <c r="H192" s="360">
        <v>4.7805770878170895E-2</v>
      </c>
      <c r="I192" s="360">
        <v>0.35607228646566241</v>
      </c>
      <c r="J192" s="360">
        <v>1.2345869526053317</v>
      </c>
      <c r="K192" s="360">
        <v>0</v>
      </c>
      <c r="L192" s="360">
        <v>0.35607228646566241</v>
      </c>
      <c r="M192" s="360">
        <v>1.2345869526053317</v>
      </c>
      <c r="N192" s="360">
        <v>1</v>
      </c>
      <c r="O192" s="360">
        <v>0.35607228646566241</v>
      </c>
      <c r="P192" s="360">
        <v>1.2345869526053317</v>
      </c>
      <c r="Q192" s="360">
        <v>0</v>
      </c>
      <c r="R192" s="360">
        <v>0</v>
      </c>
      <c r="S192" s="360">
        <v>0.35607228646566241</v>
      </c>
      <c r="T192" s="360">
        <v>1.2345869526053317</v>
      </c>
      <c r="U192" s="360">
        <v>1</v>
      </c>
      <c r="V192" s="360">
        <v>0.35607228646566241</v>
      </c>
      <c r="W192" s="360">
        <v>1.2345869526053317</v>
      </c>
      <c r="X192" s="360">
        <v>0</v>
      </c>
      <c r="Y192" s="360">
        <v>0.37211209789532207</v>
      </c>
      <c r="Z192" s="360">
        <v>1.1819740783755801</v>
      </c>
      <c r="AA192" s="360">
        <v>0</v>
      </c>
      <c r="AB192" s="360">
        <v>0.37211209789532207</v>
      </c>
      <c r="AC192" s="360">
        <v>1.1819740783755801</v>
      </c>
      <c r="AD192" s="360">
        <v>1</v>
      </c>
      <c r="AE192" s="360">
        <v>0.37211209789532207</v>
      </c>
      <c r="AF192" s="360">
        <v>1.1819740783755801</v>
      </c>
      <c r="AG192" s="360">
        <v>0</v>
      </c>
      <c r="AH192" s="360">
        <v>0</v>
      </c>
      <c r="AI192" s="360">
        <v>0.37211209789532207</v>
      </c>
      <c r="AJ192" s="360">
        <v>1.1819740783755801</v>
      </c>
      <c r="AK192" s="360">
        <v>1</v>
      </c>
      <c r="AL192" s="360">
        <v>0.37211209789532207</v>
      </c>
      <c r="AM192" s="360">
        <v>1.1819740783755801</v>
      </c>
      <c r="AN192" s="360">
        <v>0</v>
      </c>
      <c r="AO192" s="360">
        <f t="shared" si="6"/>
        <v>1</v>
      </c>
      <c r="AP192" s="360">
        <f t="shared" si="7"/>
        <v>0</v>
      </c>
      <c r="AQ192" s="360">
        <f t="shared" si="8"/>
        <v>0</v>
      </c>
    </row>
    <row r="193" spans="1:43">
      <c r="A193" s="360" t="s">
        <v>1083</v>
      </c>
      <c r="B193" t="s">
        <v>1076</v>
      </c>
      <c r="C193">
        <v>2</v>
      </c>
      <c r="D193" t="s">
        <v>1080</v>
      </c>
      <c r="E193" t="s">
        <v>1079</v>
      </c>
      <c r="F193" s="360">
        <v>3</v>
      </c>
      <c r="G193" s="360" t="str">
        <f>CONCATENATE(A193," ",B193," ",C193," ","inf+"," ",FanUpsizes!D193," ",FanUpsizes!F193)</f>
        <v>3ACH 5C 2 inf+ Existing 3</v>
      </c>
      <c r="H193" s="360">
        <v>4.7805770878170895E-2</v>
      </c>
      <c r="I193" s="360">
        <v>0.35607228646566241</v>
      </c>
      <c r="J193" s="360">
        <v>1.2345869526053317</v>
      </c>
      <c r="K193" s="360">
        <v>91.923675868466333</v>
      </c>
      <c r="L193" s="360">
        <v>0.35431021114276906</v>
      </c>
      <c r="M193" s="360">
        <v>1.243553594309067</v>
      </c>
      <c r="N193" s="360">
        <v>1.0076479282347146</v>
      </c>
      <c r="O193" s="360">
        <v>0.35688401901291411</v>
      </c>
      <c r="P193" s="360">
        <v>1.2345870724959687</v>
      </c>
      <c r="Q193" s="360">
        <v>70.046002061301479</v>
      </c>
      <c r="R193" s="360">
        <v>91.923675868466333</v>
      </c>
      <c r="S193" s="360">
        <v>0.35431021114276906</v>
      </c>
      <c r="T193" s="360">
        <v>1.243553594309067</v>
      </c>
      <c r="U193" s="360">
        <v>1.0076479282347146</v>
      </c>
      <c r="V193" s="360">
        <v>0.35688401901291411</v>
      </c>
      <c r="W193" s="360">
        <v>1.2345870724959687</v>
      </c>
      <c r="X193" s="360">
        <v>70.046002061301479</v>
      </c>
      <c r="Y193" s="360">
        <v>0.37211209789532207</v>
      </c>
      <c r="Z193" s="360">
        <v>1.1819740783755801</v>
      </c>
      <c r="AA193" s="360">
        <v>102.44164012804009</v>
      </c>
      <c r="AB193" s="360">
        <v>0.37014585951126278</v>
      </c>
      <c r="AC193" s="360">
        <v>1.191142694342598</v>
      </c>
      <c r="AD193" s="360">
        <v>1.0086390414201221</v>
      </c>
      <c r="AE193" s="360">
        <v>0.37302026277843142</v>
      </c>
      <c r="AF193" s="360">
        <v>1.1819749662316688</v>
      </c>
      <c r="AG193" s="360">
        <v>78.247825743560085</v>
      </c>
      <c r="AH193" s="360">
        <v>102.44164012804009</v>
      </c>
      <c r="AI193" s="360">
        <v>0.37014585951126278</v>
      </c>
      <c r="AJ193" s="360">
        <v>1.191142694342598</v>
      </c>
      <c r="AK193" s="360">
        <v>1.0086390414201221</v>
      </c>
      <c r="AL193" s="360">
        <v>0.37302026277843142</v>
      </c>
      <c r="AM193" s="360">
        <v>1.1819749662316688</v>
      </c>
      <c r="AN193" s="360">
        <v>78.247825743560085</v>
      </c>
      <c r="AO193" s="360">
        <f t="shared" si="6"/>
        <v>1</v>
      </c>
      <c r="AP193" s="360">
        <f t="shared" si="7"/>
        <v>1</v>
      </c>
      <c r="AQ193" s="360">
        <f t="shared" si="8"/>
        <v>1</v>
      </c>
    </row>
    <row r="194" spans="1:43">
      <c r="A194" s="360" t="s">
        <v>1084</v>
      </c>
      <c r="B194" t="s">
        <v>1075</v>
      </c>
      <c r="C194">
        <v>1</v>
      </c>
      <c r="D194" t="s">
        <v>1078</v>
      </c>
      <c r="E194" t="s">
        <v>1079</v>
      </c>
      <c r="F194" s="360">
        <v>3</v>
      </c>
      <c r="G194" s="360" t="str">
        <f>CONCATENATE(A194," ",B194," ",C194," ","inf+"," ",FanUpsizes!D194," ",FanUpsizes!F194)</f>
        <v>1.5ACH Percentile 1 inf+ New 3</v>
      </c>
      <c r="H194" s="360">
        <v>3.8828031859744407E-2</v>
      </c>
      <c r="I194" s="360">
        <v>0.28660111754777062</v>
      </c>
      <c r="J194" s="360">
        <v>1.1141509351475372</v>
      </c>
      <c r="K194" s="360">
        <v>1532.741651471476</v>
      </c>
      <c r="L194" s="360">
        <v>0.22828150757870522</v>
      </c>
      <c r="M194" s="360">
        <v>1.8793532400927979</v>
      </c>
      <c r="N194" s="360">
        <v>2.6642980129498195</v>
      </c>
      <c r="O194" s="360">
        <v>0.5926258778606972</v>
      </c>
      <c r="P194" s="360">
        <v>1.1141510350753563</v>
      </c>
      <c r="Q194" s="360">
        <v>322.72250541963416</v>
      </c>
      <c r="R194" s="360">
        <v>1624.6726931202359</v>
      </c>
      <c r="S194" s="360">
        <v>0.16221511282486278</v>
      </c>
      <c r="T194" s="360">
        <v>2.6456962493459679</v>
      </c>
      <c r="U194" s="360">
        <v>4.5675421766252917</v>
      </c>
      <c r="V194" s="360">
        <v>0.70641187032787212</v>
      </c>
      <c r="W194" s="360">
        <v>1.1141509491243984</v>
      </c>
      <c r="X194" s="360">
        <v>-639.32280441284502</v>
      </c>
      <c r="Y194" s="360">
        <v>0.29005614882250058</v>
      </c>
      <c r="Z194" s="360">
        <v>1.1009583010566775</v>
      </c>
      <c r="AA194" s="360">
        <v>1552.5127363976994</v>
      </c>
      <c r="AB194" s="360">
        <v>0.23105138851089965</v>
      </c>
      <c r="AC194" s="360">
        <v>1.8666242135363207</v>
      </c>
      <c r="AD194" s="360">
        <v>2.7390845236395682</v>
      </c>
      <c r="AE194" s="360">
        <v>0.61002775593813852</v>
      </c>
      <c r="AF194" s="360">
        <v>1.1009597322966347</v>
      </c>
      <c r="AG194" s="360">
        <v>295.57715315779251</v>
      </c>
      <c r="AH194" s="360">
        <v>1643.5689950336405</v>
      </c>
      <c r="AI194" s="360">
        <v>0.16570319567549421</v>
      </c>
      <c r="AJ194" s="360">
        <v>2.6066922653668709</v>
      </c>
      <c r="AK194" s="360">
        <v>4.6972363424362458</v>
      </c>
      <c r="AL194" s="360">
        <v>0.7270244730530665</v>
      </c>
      <c r="AM194" s="360">
        <v>1.1009584545376752</v>
      </c>
      <c r="AN194" s="360">
        <v>-692.87266394391418</v>
      </c>
      <c r="AO194" s="360">
        <f t="shared" si="6"/>
        <v>1</v>
      </c>
      <c r="AP194" s="360">
        <f t="shared" si="7"/>
        <v>1</v>
      </c>
      <c r="AQ194" s="360">
        <f t="shared" si="8"/>
        <v>1</v>
      </c>
    </row>
    <row r="195" spans="1:43">
      <c r="A195" s="360" t="s">
        <v>1084</v>
      </c>
      <c r="B195" t="s">
        <v>1074</v>
      </c>
      <c r="C195">
        <v>1</v>
      </c>
      <c r="D195" t="s">
        <v>1078</v>
      </c>
      <c r="E195" t="s">
        <v>1079</v>
      </c>
      <c r="F195" s="360">
        <v>3</v>
      </c>
      <c r="G195" s="360" t="str">
        <f>CONCATENATE(A195," ",B195," ",C195," ","inf+"," ",FanUpsizes!D195," ",FanUpsizes!F195)</f>
        <v>1.5ACH Infiltration 1 inf+ New 3</v>
      </c>
      <c r="H195" s="360">
        <v>3.8828031859744407E-2</v>
      </c>
      <c r="I195" s="360">
        <v>0.28660111754777062</v>
      </c>
      <c r="J195" s="360">
        <v>1.1141509351475372</v>
      </c>
      <c r="K195" s="360">
        <v>0</v>
      </c>
      <c r="L195" s="360">
        <v>0.28660111754777062</v>
      </c>
      <c r="M195" s="360">
        <v>1.1141509351475372</v>
      </c>
      <c r="N195" s="360">
        <v>1</v>
      </c>
      <c r="O195" s="360">
        <v>0.28660111754777062</v>
      </c>
      <c r="P195" s="360">
        <v>1.1141509351475372</v>
      </c>
      <c r="Q195" s="360">
        <v>0</v>
      </c>
      <c r="R195" s="360">
        <v>0</v>
      </c>
      <c r="S195" s="360">
        <v>0.28660111754777062</v>
      </c>
      <c r="T195" s="360">
        <v>1.1141509351475372</v>
      </c>
      <c r="U195" s="360">
        <v>1</v>
      </c>
      <c r="V195" s="360">
        <v>0.28660111754777062</v>
      </c>
      <c r="W195" s="360">
        <v>1.1141509351475372</v>
      </c>
      <c r="X195" s="360">
        <v>0</v>
      </c>
      <c r="Y195" s="360">
        <v>0.29005614882250058</v>
      </c>
      <c r="Z195" s="360">
        <v>1.1009583010566775</v>
      </c>
      <c r="AA195" s="360">
        <v>0</v>
      </c>
      <c r="AB195" s="360">
        <v>0.29005614882250058</v>
      </c>
      <c r="AC195" s="360">
        <v>1.1009583010566775</v>
      </c>
      <c r="AD195" s="360">
        <v>1</v>
      </c>
      <c r="AE195" s="360">
        <v>0.29005614882250058</v>
      </c>
      <c r="AF195" s="360">
        <v>1.1009583010566775</v>
      </c>
      <c r="AG195" s="360">
        <v>0</v>
      </c>
      <c r="AH195" s="360">
        <v>0</v>
      </c>
      <c r="AI195" s="360">
        <v>0.29005614882250058</v>
      </c>
      <c r="AJ195" s="360">
        <v>1.1009583010566775</v>
      </c>
      <c r="AK195" s="360">
        <v>1</v>
      </c>
      <c r="AL195" s="360">
        <v>0.29005614882250058</v>
      </c>
      <c r="AM195" s="360">
        <v>1.1009583010566775</v>
      </c>
      <c r="AN195" s="360">
        <v>0</v>
      </c>
      <c r="AO195" s="360">
        <f t="shared" ref="AO195:AO227" si="9">IF(ROUND(P195,3)=ROUND(J195,3),1,0)</f>
        <v>1</v>
      </c>
      <c r="AP195" s="360">
        <f t="shared" ref="AP195:AP227" si="10">IF(O195&gt;L195,1,0)</f>
        <v>0</v>
      </c>
      <c r="AQ195" s="360">
        <f t="shared" ref="AQ195:AQ227" si="11">IF(I195&gt;L195,1,0)</f>
        <v>0</v>
      </c>
    </row>
    <row r="196" spans="1:43">
      <c r="A196" s="360" t="s">
        <v>1084</v>
      </c>
      <c r="B196" t="s">
        <v>1076</v>
      </c>
      <c r="C196">
        <v>1</v>
      </c>
      <c r="D196" t="s">
        <v>1078</v>
      </c>
      <c r="E196" t="s">
        <v>1079</v>
      </c>
      <c r="F196" s="360">
        <v>3</v>
      </c>
      <c r="G196" s="360" t="str">
        <f>CONCATENATE(A196," ",B196," ",C196," ","inf+"," ",FanUpsizes!D196," ",FanUpsizes!F196)</f>
        <v>1.5ACH 5C 1 inf+ New 3</v>
      </c>
      <c r="H196" s="360">
        <v>3.8828031859744407E-2</v>
      </c>
      <c r="I196" s="360">
        <v>0.28660111754777062</v>
      </c>
      <c r="J196" s="360">
        <v>1.1141509351475372</v>
      </c>
      <c r="K196" s="360">
        <v>98.825060621764464</v>
      </c>
      <c r="L196" s="360">
        <v>0.28470020868577894</v>
      </c>
      <c r="M196" s="360">
        <v>1.1256189737706537</v>
      </c>
      <c r="N196" s="360">
        <v>1.0103619561509705</v>
      </c>
      <c r="O196" s="360">
        <v>0.28764434603500255</v>
      </c>
      <c r="P196" s="360">
        <v>1.1141623079376044</v>
      </c>
      <c r="Q196" s="360">
        <v>73.997954726007961</v>
      </c>
      <c r="R196" s="360">
        <v>98.825060621764464</v>
      </c>
      <c r="S196" s="360">
        <v>0.28470020868577894</v>
      </c>
      <c r="T196" s="360">
        <v>1.1256189737706537</v>
      </c>
      <c r="U196" s="360">
        <v>1.0103619561509705</v>
      </c>
      <c r="V196" s="360">
        <v>0.28764434603500255</v>
      </c>
      <c r="W196" s="360">
        <v>1.1141623079376044</v>
      </c>
      <c r="X196" s="360">
        <v>73.997954726007961</v>
      </c>
      <c r="Y196" s="360">
        <v>0.29005614882250058</v>
      </c>
      <c r="Z196" s="360">
        <v>1.1009583010566775</v>
      </c>
      <c r="AA196" s="360">
        <v>100.78918742222403</v>
      </c>
      <c r="AB196" s="360">
        <v>0.2881171192955479</v>
      </c>
      <c r="AC196" s="360">
        <v>1.1124168060382928</v>
      </c>
      <c r="AD196" s="360">
        <v>1.0107263946075884</v>
      </c>
      <c r="AE196" s="360">
        <v>0.29113055267470367</v>
      </c>
      <c r="AF196" s="360">
        <v>1.1009649071340513</v>
      </c>
      <c r="AG196" s="360">
        <v>75.395040288560779</v>
      </c>
      <c r="AH196" s="360">
        <v>100.78918742222403</v>
      </c>
      <c r="AI196" s="360">
        <v>0.2881171192955479</v>
      </c>
      <c r="AJ196" s="360">
        <v>1.1124168060382928</v>
      </c>
      <c r="AK196" s="360">
        <v>1.0107263946075884</v>
      </c>
      <c r="AL196" s="360">
        <v>0.29113055267470367</v>
      </c>
      <c r="AM196" s="360">
        <v>1.1009649071340513</v>
      </c>
      <c r="AN196" s="360">
        <v>75.395040288560779</v>
      </c>
      <c r="AO196" s="360">
        <f t="shared" si="9"/>
        <v>1</v>
      </c>
      <c r="AP196" s="360">
        <f t="shared" si="10"/>
        <v>1</v>
      </c>
      <c r="AQ196" s="360">
        <f t="shared" si="11"/>
        <v>1</v>
      </c>
    </row>
    <row r="197" spans="1:43">
      <c r="A197" s="360" t="s">
        <v>1084</v>
      </c>
      <c r="B197" t="s">
        <v>1075</v>
      </c>
      <c r="C197">
        <v>2</v>
      </c>
      <c r="D197" t="s">
        <v>1078</v>
      </c>
      <c r="E197" t="s">
        <v>1079</v>
      </c>
      <c r="F197" s="360">
        <v>3</v>
      </c>
      <c r="G197" s="360" t="str">
        <f>CONCATENATE(A197," ",B197," ",C197," ","inf+"," ",FanUpsizes!D197," ",FanUpsizes!F197)</f>
        <v>1.5ACH Percentile 2 inf+ New 3</v>
      </c>
      <c r="H197" s="360">
        <v>3.7410385439085446E-2</v>
      </c>
      <c r="I197" s="360">
        <v>0.27634968847531771</v>
      </c>
      <c r="J197" s="360">
        <v>1.1554956619193186</v>
      </c>
      <c r="K197" s="360">
        <v>1386.3387019767065</v>
      </c>
      <c r="L197" s="360">
        <v>0.22346786549475692</v>
      </c>
      <c r="M197" s="360">
        <v>1.7889102901503353</v>
      </c>
      <c r="N197" s="360">
        <v>2.1050214161732228</v>
      </c>
      <c r="O197" s="360">
        <v>0.45632659453862168</v>
      </c>
      <c r="P197" s="360">
        <v>1.1554966655741721</v>
      </c>
      <c r="Q197" s="360">
        <v>613.08772770041332</v>
      </c>
      <c r="R197" s="360">
        <v>1474.0505473235457</v>
      </c>
      <c r="S197" s="360">
        <v>0.1605676822660545</v>
      </c>
      <c r="T197" s="360">
        <v>2.4988119491743905</v>
      </c>
      <c r="U197" s="360">
        <v>3.574975606106225</v>
      </c>
      <c r="V197" s="360">
        <v>0.53797916017086511</v>
      </c>
      <c r="W197" s="360">
        <v>1.1554957760164364</v>
      </c>
      <c r="X197" s="360">
        <v>-98.60503687848022</v>
      </c>
      <c r="Y197" s="360">
        <v>0.2824474060399827</v>
      </c>
      <c r="Z197" s="360">
        <v>1.1307985527263125</v>
      </c>
      <c r="AA197" s="360">
        <v>1421.7974368788737</v>
      </c>
      <c r="AB197" s="360">
        <v>0.22833071547246175</v>
      </c>
      <c r="AC197" s="360">
        <v>1.765843386104587</v>
      </c>
      <c r="AD197" s="360">
        <v>2.188736831266378</v>
      </c>
      <c r="AE197" s="360">
        <v>0.47635609643274157</v>
      </c>
      <c r="AF197" s="360">
        <v>1.130798570218593</v>
      </c>
      <c r="AG197" s="360">
        <v>600.48236305405828</v>
      </c>
      <c r="AH197" s="360">
        <v>1508.5215579520122</v>
      </c>
      <c r="AI197" s="360">
        <v>0.16617503553201168</v>
      </c>
      <c r="AJ197" s="360">
        <v>2.4407340766407546</v>
      </c>
      <c r="AK197" s="360">
        <v>3.7214910850255185</v>
      </c>
      <c r="AL197" s="360">
        <v>0.56144288406029752</v>
      </c>
      <c r="AM197" s="360">
        <v>1.1307986840842876</v>
      </c>
      <c r="AN197" s="360">
        <v>-138.75772275606872</v>
      </c>
      <c r="AO197" s="360">
        <f t="shared" si="9"/>
        <v>1</v>
      </c>
      <c r="AP197" s="360">
        <f t="shared" si="10"/>
        <v>1</v>
      </c>
      <c r="AQ197" s="360">
        <f t="shared" si="11"/>
        <v>1</v>
      </c>
    </row>
    <row r="198" spans="1:43">
      <c r="A198" s="360" t="s">
        <v>1084</v>
      </c>
      <c r="B198" t="s">
        <v>1074</v>
      </c>
      <c r="C198">
        <v>2</v>
      </c>
      <c r="D198" t="s">
        <v>1078</v>
      </c>
      <c r="E198" t="s">
        <v>1079</v>
      </c>
      <c r="F198" s="360">
        <v>3</v>
      </c>
      <c r="G198" s="360" t="str">
        <f>CONCATENATE(A198," ",B198," ",C198," ","inf+"," ",FanUpsizes!D198," ",FanUpsizes!F198)</f>
        <v>1.5ACH Infiltration 2 inf+ New 3</v>
      </c>
      <c r="H198" s="360">
        <v>3.7410385439085446E-2</v>
      </c>
      <c r="I198" s="360">
        <v>0.27634968847531771</v>
      </c>
      <c r="J198" s="360">
        <v>1.1554956619193186</v>
      </c>
      <c r="K198" s="360">
        <v>0</v>
      </c>
      <c r="L198" s="360">
        <v>0.27634968847531771</v>
      </c>
      <c r="M198" s="360">
        <v>1.1554956619193186</v>
      </c>
      <c r="N198" s="360">
        <v>1</v>
      </c>
      <c r="O198" s="360">
        <v>0.27634968847531771</v>
      </c>
      <c r="P198" s="360">
        <v>1.1554956619193186</v>
      </c>
      <c r="Q198" s="360">
        <v>0</v>
      </c>
      <c r="R198" s="360">
        <v>0</v>
      </c>
      <c r="S198" s="360">
        <v>0.27634968847531771</v>
      </c>
      <c r="T198" s="360">
        <v>1.1554956619193186</v>
      </c>
      <c r="U198" s="360">
        <v>1</v>
      </c>
      <c r="V198" s="360">
        <v>0.27634968847531771</v>
      </c>
      <c r="W198" s="360">
        <v>1.1554956619193186</v>
      </c>
      <c r="X198" s="360">
        <v>0</v>
      </c>
      <c r="Y198" s="360">
        <v>0.2824474060399827</v>
      </c>
      <c r="Z198" s="360">
        <v>1.1307985527263125</v>
      </c>
      <c r="AA198" s="360">
        <v>0</v>
      </c>
      <c r="AB198" s="360">
        <v>0.2824474060399827</v>
      </c>
      <c r="AC198" s="360">
        <v>1.1307985527263125</v>
      </c>
      <c r="AD198" s="360">
        <v>1</v>
      </c>
      <c r="AE198" s="360">
        <v>0.2824474060399827</v>
      </c>
      <c r="AF198" s="360">
        <v>1.1307985527263125</v>
      </c>
      <c r="AG198" s="360">
        <v>0</v>
      </c>
      <c r="AH198" s="360">
        <v>0</v>
      </c>
      <c r="AI198" s="360">
        <v>0.2824474060399827</v>
      </c>
      <c r="AJ198" s="360">
        <v>1.1307985527263125</v>
      </c>
      <c r="AK198" s="360">
        <v>1</v>
      </c>
      <c r="AL198" s="360">
        <v>0.2824474060399827</v>
      </c>
      <c r="AM198" s="360">
        <v>1.1307985527263125</v>
      </c>
      <c r="AN198" s="360">
        <v>0</v>
      </c>
      <c r="AO198" s="360">
        <f t="shared" si="9"/>
        <v>1</v>
      </c>
      <c r="AP198" s="360">
        <f t="shared" si="10"/>
        <v>0</v>
      </c>
      <c r="AQ198" s="360">
        <f t="shared" si="11"/>
        <v>0</v>
      </c>
    </row>
    <row r="199" spans="1:43">
      <c r="A199" s="360" t="s">
        <v>1084</v>
      </c>
      <c r="B199" t="s">
        <v>1076</v>
      </c>
      <c r="C199">
        <v>2</v>
      </c>
      <c r="D199" t="s">
        <v>1078</v>
      </c>
      <c r="E199" t="s">
        <v>1079</v>
      </c>
      <c r="F199" s="360">
        <v>3</v>
      </c>
      <c r="G199" s="360" t="str">
        <f>CONCATENATE(A199," ",B199," ",C199," ","inf+"," ",FanUpsizes!D199," ",FanUpsizes!F199)</f>
        <v>1.5ACH 5C 2 inf+ New 3</v>
      </c>
      <c r="H199" s="360">
        <v>3.7410385439085446E-2</v>
      </c>
      <c r="I199" s="360">
        <v>0.27634968847531771</v>
      </c>
      <c r="J199" s="360">
        <v>1.1554956619193186</v>
      </c>
      <c r="K199" s="360">
        <v>87.890863630644773</v>
      </c>
      <c r="L199" s="360">
        <v>0.27466060787136826</v>
      </c>
      <c r="M199" s="360">
        <v>1.165945212705203</v>
      </c>
      <c r="N199" s="360">
        <v>1.0091486982796332</v>
      </c>
      <c r="O199" s="360">
        <v>0.27715659185327751</v>
      </c>
      <c r="P199" s="360">
        <v>1.1554965646778919</v>
      </c>
      <c r="Q199" s="360">
        <v>66.804616241217332</v>
      </c>
      <c r="R199" s="360">
        <v>87.890863630644773</v>
      </c>
      <c r="S199" s="360">
        <v>0.27466060787136826</v>
      </c>
      <c r="T199" s="360">
        <v>1.165945212705203</v>
      </c>
      <c r="U199" s="360">
        <v>1.0091486982796332</v>
      </c>
      <c r="V199" s="360">
        <v>0.27715659185327751</v>
      </c>
      <c r="W199" s="360">
        <v>1.1554965646778919</v>
      </c>
      <c r="X199" s="360">
        <v>66.804616241217332</v>
      </c>
      <c r="Y199" s="360">
        <v>0.2824474060399827</v>
      </c>
      <c r="Z199" s="360">
        <v>1.1307985527263125</v>
      </c>
      <c r="AA199" s="360">
        <v>91.321283733540469</v>
      </c>
      <c r="AB199" s="360">
        <v>0.28069174258315116</v>
      </c>
      <c r="AC199" s="360">
        <v>1.1412585027479294</v>
      </c>
      <c r="AD199" s="360">
        <v>1.0097341030302296</v>
      </c>
      <c r="AE199" s="360">
        <v>0.28329984478231934</v>
      </c>
      <c r="AF199" s="360">
        <v>1.1307985572810402</v>
      </c>
      <c r="AG199" s="360">
        <v>69.344564335549421</v>
      </c>
      <c r="AH199" s="360">
        <v>91.321283733540469</v>
      </c>
      <c r="AI199" s="360">
        <v>0.28069174258315116</v>
      </c>
      <c r="AJ199" s="360">
        <v>1.1412585027479294</v>
      </c>
      <c r="AK199" s="360">
        <v>1.0097341030302296</v>
      </c>
      <c r="AL199" s="360">
        <v>0.28329984478231934</v>
      </c>
      <c r="AM199" s="360">
        <v>1.1307985572810402</v>
      </c>
      <c r="AN199" s="360">
        <v>69.344564335549421</v>
      </c>
      <c r="AO199" s="360">
        <f t="shared" si="9"/>
        <v>1</v>
      </c>
      <c r="AP199" s="360">
        <f t="shared" si="10"/>
        <v>1</v>
      </c>
      <c r="AQ199" s="360">
        <f t="shared" si="11"/>
        <v>1</v>
      </c>
    </row>
    <row r="200" spans="1:43">
      <c r="A200" s="360" t="s">
        <v>1084</v>
      </c>
      <c r="B200" t="s">
        <v>1075</v>
      </c>
      <c r="C200">
        <v>1</v>
      </c>
      <c r="D200" t="s">
        <v>1080</v>
      </c>
      <c r="E200" t="s">
        <v>1079</v>
      </c>
      <c r="F200" s="360">
        <v>3</v>
      </c>
      <c r="G200" s="360" t="str">
        <f>CONCATENATE(A200," ",B200," ",C200," ","inf+"," ",FanUpsizes!D200," ",FanUpsizes!F200)</f>
        <v>1.5ACH Percentile 1 inf+ Existing 3</v>
      </c>
      <c r="H200" s="360">
        <v>5.5078031859744407E-2</v>
      </c>
      <c r="I200" s="360">
        <v>0.40652160880596483</v>
      </c>
      <c r="J200" s="360">
        <v>1.0805303254875938</v>
      </c>
      <c r="K200" s="360">
        <v>2281.7846429679971</v>
      </c>
      <c r="L200" s="360">
        <v>0.31988775184025792</v>
      </c>
      <c r="M200" s="360">
        <v>2.0902308216336007</v>
      </c>
      <c r="N200" s="360">
        <v>7.1296131367160891</v>
      </c>
      <c r="O200" s="360">
        <v>2.2234563290334561</v>
      </c>
      <c r="P200" s="360">
        <v>1.0805303328530296</v>
      </c>
      <c r="Q200" s="360">
        <v>-4040.1924951448104</v>
      </c>
      <c r="R200" s="360">
        <v>2412.6300813600469</v>
      </c>
      <c r="S200" s="360">
        <v>0.22588787439053404</v>
      </c>
      <c r="T200" s="360">
        <v>2.8872701892440147</v>
      </c>
      <c r="U200" s="360">
        <v>7.2624236286909367</v>
      </c>
      <c r="V200" s="360">
        <v>1.5815529133336153</v>
      </c>
      <c r="W200" s="360">
        <v>1.1859018303201025</v>
      </c>
      <c r="X200" s="360">
        <v>-3225.869363670075</v>
      </c>
      <c r="Y200" s="360">
        <v>0.40898390382526106</v>
      </c>
      <c r="Z200" s="360">
        <v>1.0740481511485791</v>
      </c>
      <c r="AA200" s="360">
        <v>2295.7716973521265</v>
      </c>
      <c r="AB200" s="360">
        <v>0.32186540134657032</v>
      </c>
      <c r="AC200" s="360">
        <v>2.0838857309433498</v>
      </c>
      <c r="AD200" s="360">
        <v>7.2624236286909367</v>
      </c>
      <c r="AE200" s="360">
        <v>2.2649750322396387</v>
      </c>
      <c r="AF200" s="360">
        <v>1.0777535644615972</v>
      </c>
      <c r="AG200" s="360">
        <v>-4155.8823195475907</v>
      </c>
      <c r="AH200" s="360">
        <v>2425.8220183232297</v>
      </c>
      <c r="AI200" s="360">
        <v>0.2285005681423303</v>
      </c>
      <c r="AJ200" s="360">
        <v>2.864684200325486</v>
      </c>
      <c r="AK200" s="360">
        <v>7.2624236286909367</v>
      </c>
      <c r="AL200" s="360">
        <v>1.5819268805155269</v>
      </c>
      <c r="AM200" s="360">
        <v>1.1858316829318207</v>
      </c>
      <c r="AN200" s="360">
        <v>-3204.715338979589</v>
      </c>
      <c r="AO200" s="360">
        <f t="shared" si="9"/>
        <v>1</v>
      </c>
      <c r="AP200" s="360">
        <f t="shared" si="10"/>
        <v>1</v>
      </c>
      <c r="AQ200" s="360">
        <f t="shared" si="11"/>
        <v>1</v>
      </c>
    </row>
    <row r="201" spans="1:43">
      <c r="A201" s="360" t="s">
        <v>1084</v>
      </c>
      <c r="B201" t="s">
        <v>1074</v>
      </c>
      <c r="C201">
        <v>1</v>
      </c>
      <c r="D201" t="s">
        <v>1080</v>
      </c>
      <c r="E201" t="s">
        <v>1079</v>
      </c>
      <c r="F201" s="360">
        <v>3</v>
      </c>
      <c r="G201" s="360" t="str">
        <f>CONCATENATE(A201," ",B201," ",C201," ","inf+"," ",FanUpsizes!D201," ",FanUpsizes!F201)</f>
        <v>1.5ACH Infiltration 1 inf+ Existing 3</v>
      </c>
      <c r="H201" s="360">
        <v>5.5078031859744407E-2</v>
      </c>
      <c r="I201" s="360">
        <v>0.40652160880596483</v>
      </c>
      <c r="J201" s="360">
        <v>1.0805303254875938</v>
      </c>
      <c r="K201" s="360">
        <v>0</v>
      </c>
      <c r="L201" s="360">
        <v>0.40652160880596483</v>
      </c>
      <c r="M201" s="360">
        <v>1.0805303254875938</v>
      </c>
      <c r="N201" s="360">
        <v>1</v>
      </c>
      <c r="O201" s="360">
        <v>0.40652160880596483</v>
      </c>
      <c r="P201" s="360">
        <v>1.0805303254875938</v>
      </c>
      <c r="Q201" s="360">
        <v>0</v>
      </c>
      <c r="R201" s="360">
        <v>0</v>
      </c>
      <c r="S201" s="360">
        <v>0.40652160880596483</v>
      </c>
      <c r="T201" s="360">
        <v>1.0805303254875938</v>
      </c>
      <c r="U201" s="360">
        <v>1</v>
      </c>
      <c r="V201" s="360">
        <v>0.40652160880596483</v>
      </c>
      <c r="W201" s="360">
        <v>1.0805303254875938</v>
      </c>
      <c r="X201" s="360">
        <v>0</v>
      </c>
      <c r="Y201" s="360">
        <v>0.40898390382526106</v>
      </c>
      <c r="Z201" s="360">
        <v>1.0740481511485791</v>
      </c>
      <c r="AA201" s="360">
        <v>0</v>
      </c>
      <c r="AB201" s="360">
        <v>0.40898390382526106</v>
      </c>
      <c r="AC201" s="360">
        <v>1.0740481511485791</v>
      </c>
      <c r="AD201" s="360">
        <v>1</v>
      </c>
      <c r="AE201" s="360">
        <v>0.40898390382526106</v>
      </c>
      <c r="AF201" s="360">
        <v>1.0740481511485791</v>
      </c>
      <c r="AG201" s="360">
        <v>0</v>
      </c>
      <c r="AH201" s="360">
        <v>0</v>
      </c>
      <c r="AI201" s="360">
        <v>0.40898390382526106</v>
      </c>
      <c r="AJ201" s="360">
        <v>1.0740481511485791</v>
      </c>
      <c r="AK201" s="360">
        <v>1</v>
      </c>
      <c r="AL201" s="360">
        <v>0.40898390382526106</v>
      </c>
      <c r="AM201" s="360">
        <v>1.0740481511485791</v>
      </c>
      <c r="AN201" s="360">
        <v>0</v>
      </c>
      <c r="AO201" s="360">
        <f t="shared" si="9"/>
        <v>1</v>
      </c>
      <c r="AP201" s="360">
        <f t="shared" si="10"/>
        <v>0</v>
      </c>
      <c r="AQ201" s="360">
        <f t="shared" si="11"/>
        <v>0</v>
      </c>
    </row>
    <row r="202" spans="1:43">
      <c r="A202" s="360" t="s">
        <v>1084</v>
      </c>
      <c r="B202" t="s">
        <v>1076</v>
      </c>
      <c r="C202">
        <v>1</v>
      </c>
      <c r="D202" t="s">
        <v>1080</v>
      </c>
      <c r="E202" t="s">
        <v>1079</v>
      </c>
      <c r="F202" s="360">
        <v>3</v>
      </c>
      <c r="G202" s="360" t="str">
        <f>CONCATENATE(A202," ",B202," ",C202," ","inf+"," ",FanUpsizes!D202," ",FanUpsizes!F202)</f>
        <v>1.5ACH 5C 1 inf+ Existing 3</v>
      </c>
      <c r="H202" s="360">
        <v>5.5078031859744407E-2</v>
      </c>
      <c r="I202" s="360">
        <v>0.40652160880596483</v>
      </c>
      <c r="J202" s="360">
        <v>1.0805303254875938</v>
      </c>
      <c r="K202" s="360">
        <v>149.26716075625484</v>
      </c>
      <c r="L202" s="360">
        <v>0.40364859571923356</v>
      </c>
      <c r="M202" s="360">
        <v>1.0945254460888338</v>
      </c>
      <c r="N202" s="360">
        <v>1.013069392447399</v>
      </c>
      <c r="O202" s="360">
        <v>0.40891852425411701</v>
      </c>
      <c r="P202" s="360">
        <v>1.0805305871766731</v>
      </c>
      <c r="Q202" s="360">
        <v>104.84125445232172</v>
      </c>
      <c r="R202" s="360">
        <v>149.26716075625484</v>
      </c>
      <c r="S202" s="360">
        <v>0.40364859571923356</v>
      </c>
      <c r="T202" s="360">
        <v>1.0945254460888338</v>
      </c>
      <c r="U202" s="360">
        <v>1.013069392447399</v>
      </c>
      <c r="V202" s="360">
        <v>0.40891852425411701</v>
      </c>
      <c r="W202" s="360">
        <v>1.0805305871766731</v>
      </c>
      <c r="X202" s="360">
        <v>104.84125445232172</v>
      </c>
      <c r="Y202" s="360">
        <v>0.40898390382526106</v>
      </c>
      <c r="Z202" s="360">
        <v>1.0740481511485791</v>
      </c>
      <c r="AA202" s="360">
        <v>150.65756761799872</v>
      </c>
      <c r="AB202" s="360">
        <v>0.4060839054840461</v>
      </c>
      <c r="AC202" s="360">
        <v>1.0880308428964001</v>
      </c>
      <c r="AD202" s="360">
        <v>1.0132941120848795</v>
      </c>
      <c r="AE202" s="360">
        <v>0.41141285552760076</v>
      </c>
      <c r="AF202" s="360">
        <v>1.0740481524003898</v>
      </c>
      <c r="AG202" s="360">
        <v>105.74166975431842</v>
      </c>
      <c r="AH202" s="360">
        <v>150.65756761799872</v>
      </c>
      <c r="AI202" s="360">
        <v>0.4060839054840461</v>
      </c>
      <c r="AJ202" s="360">
        <v>1.0880308428964001</v>
      </c>
      <c r="AK202" s="360">
        <v>1.0132941120848795</v>
      </c>
      <c r="AL202" s="360">
        <v>0.41141285552760076</v>
      </c>
      <c r="AM202" s="360">
        <v>1.0740481524003898</v>
      </c>
      <c r="AN202" s="360">
        <v>105.74166975431842</v>
      </c>
      <c r="AO202" s="360">
        <f t="shared" si="9"/>
        <v>1</v>
      </c>
      <c r="AP202" s="360">
        <f t="shared" si="10"/>
        <v>1</v>
      </c>
      <c r="AQ202" s="360">
        <f t="shared" si="11"/>
        <v>1</v>
      </c>
    </row>
    <row r="203" spans="1:43">
      <c r="A203" s="360" t="s">
        <v>1084</v>
      </c>
      <c r="B203" t="s">
        <v>1075</v>
      </c>
      <c r="C203">
        <v>2</v>
      </c>
      <c r="D203" t="s">
        <v>1080</v>
      </c>
      <c r="E203" t="s">
        <v>1079</v>
      </c>
      <c r="F203" s="360">
        <v>3</v>
      </c>
      <c r="G203" s="360" t="str">
        <f>CONCATENATE(A203," ",B203," ",C203," ","inf+"," ",FanUpsizes!D203," ",FanUpsizes!F203)</f>
        <v>1.5ACH Percentile 2 inf+ Existing 3</v>
      </c>
      <c r="H203" s="360">
        <v>5.3660385439085447E-2</v>
      </c>
      <c r="I203" s="360">
        <v>0.39608313483632857</v>
      </c>
      <c r="J203" s="360">
        <v>1.1089983857690762</v>
      </c>
      <c r="K203" s="360">
        <v>2135.3737137455296</v>
      </c>
      <c r="L203" s="360">
        <v>0.31488776835791094</v>
      </c>
      <c r="M203" s="360">
        <v>1.9617779087601388</v>
      </c>
      <c r="N203" s="360">
        <v>3.7137236087781607</v>
      </c>
      <c r="O203" s="360">
        <v>1.1359257738850219</v>
      </c>
      <c r="P203" s="360">
        <v>1.1089983870435023</v>
      </c>
      <c r="Q203" s="360">
        <v>-591.37521969201009</v>
      </c>
      <c r="R203" s="360">
        <v>2262.4316035646762</v>
      </c>
      <c r="S203" s="360">
        <v>0.2235813019436903</v>
      </c>
      <c r="T203" s="360">
        <v>2.7116297920560619</v>
      </c>
      <c r="U203" s="360">
        <v>6.3224152576259867</v>
      </c>
      <c r="V203" s="360">
        <v>1.3457927098544038</v>
      </c>
      <c r="W203" s="360">
        <v>1.1089984630059013</v>
      </c>
      <c r="X203" s="360">
        <v>-2405.8286306244058</v>
      </c>
      <c r="Y203" s="360">
        <v>0.40051835988600587</v>
      </c>
      <c r="Z203" s="360">
        <v>1.0967978126543614</v>
      </c>
      <c r="AA203" s="360">
        <v>2160.2685456376676</v>
      </c>
      <c r="AB203" s="360">
        <v>0.31845588533142721</v>
      </c>
      <c r="AC203" s="360">
        <v>1.9501408310604174</v>
      </c>
      <c r="AD203" s="360">
        <v>3.8648814327775938</v>
      </c>
      <c r="AE203" s="360">
        <v>1.1826003879990605</v>
      </c>
      <c r="AF203" s="360">
        <v>1.0967983443491394</v>
      </c>
      <c r="AG203" s="360">
        <v>-707.29296806136347</v>
      </c>
      <c r="AH203" s="360">
        <v>2286.221040743967</v>
      </c>
      <c r="AI203" s="360">
        <v>0.22808899352788073</v>
      </c>
      <c r="AJ203" s="360">
        <v>2.6748239050600127</v>
      </c>
      <c r="AK203" s="360">
        <v>6.5791840808426345</v>
      </c>
      <c r="AL203" s="360">
        <v>1.4007088392066505</v>
      </c>
      <c r="AM203" s="360">
        <v>1.0967982350614791</v>
      </c>
      <c r="AN203" s="360">
        <v>-2593.7378401711667</v>
      </c>
      <c r="AO203" s="360">
        <f t="shared" si="9"/>
        <v>1</v>
      </c>
      <c r="AP203" s="360">
        <f t="shared" si="10"/>
        <v>1</v>
      </c>
      <c r="AQ203" s="360">
        <f t="shared" si="11"/>
        <v>1</v>
      </c>
    </row>
    <row r="204" spans="1:43">
      <c r="A204" s="360" t="s">
        <v>1084</v>
      </c>
      <c r="B204" t="s">
        <v>1074</v>
      </c>
      <c r="C204">
        <v>2</v>
      </c>
      <c r="D204" t="s">
        <v>1080</v>
      </c>
      <c r="E204" t="s">
        <v>1079</v>
      </c>
      <c r="F204" s="360">
        <v>3</v>
      </c>
      <c r="G204" s="360" t="str">
        <f>CONCATENATE(A204," ",B204," ",C204," ","inf+"," ",FanUpsizes!D204," ",FanUpsizes!F204)</f>
        <v>1.5ACH Infiltration 2 inf+ Existing 3</v>
      </c>
      <c r="H204" s="360">
        <v>5.3660385439085447E-2</v>
      </c>
      <c r="I204" s="360">
        <v>0.39608313483632857</v>
      </c>
      <c r="J204" s="360">
        <v>1.1089983857690762</v>
      </c>
      <c r="K204" s="360">
        <v>0</v>
      </c>
      <c r="L204" s="360">
        <v>0.39608313483632857</v>
      </c>
      <c r="M204" s="360">
        <v>1.1089983857690762</v>
      </c>
      <c r="N204" s="360">
        <v>1</v>
      </c>
      <c r="O204" s="360">
        <v>0.39608313483632857</v>
      </c>
      <c r="P204" s="360">
        <v>1.1089983857690762</v>
      </c>
      <c r="Q204" s="360">
        <v>0</v>
      </c>
      <c r="R204" s="360">
        <v>0</v>
      </c>
      <c r="S204" s="360">
        <v>0.39608313483632857</v>
      </c>
      <c r="T204" s="360">
        <v>1.1089983857690762</v>
      </c>
      <c r="U204" s="360">
        <v>1</v>
      </c>
      <c r="V204" s="360">
        <v>0.39608313483632857</v>
      </c>
      <c r="W204" s="360">
        <v>1.1089983857690762</v>
      </c>
      <c r="X204" s="360">
        <v>0</v>
      </c>
      <c r="Y204" s="360">
        <v>0.40051835988600587</v>
      </c>
      <c r="Z204" s="360">
        <v>1.0967978126543614</v>
      </c>
      <c r="AA204" s="360">
        <v>0</v>
      </c>
      <c r="AB204" s="360">
        <v>0.40051835988600587</v>
      </c>
      <c r="AC204" s="360">
        <v>1.0967978126543614</v>
      </c>
      <c r="AD204" s="360">
        <v>1</v>
      </c>
      <c r="AE204" s="360">
        <v>0.40051835988600587</v>
      </c>
      <c r="AF204" s="360">
        <v>1.0967978126543614</v>
      </c>
      <c r="AG204" s="360">
        <v>0</v>
      </c>
      <c r="AH204" s="360">
        <v>0</v>
      </c>
      <c r="AI204" s="360">
        <v>0.40051835988600587</v>
      </c>
      <c r="AJ204" s="360">
        <v>1.0967978126543614</v>
      </c>
      <c r="AK204" s="360">
        <v>1</v>
      </c>
      <c r="AL204" s="360">
        <v>0.40051835988600587</v>
      </c>
      <c r="AM204" s="360">
        <v>1.0967978126543614</v>
      </c>
      <c r="AN204" s="360">
        <v>0</v>
      </c>
      <c r="AO204" s="360">
        <f t="shared" si="9"/>
        <v>1</v>
      </c>
      <c r="AP204" s="360">
        <f t="shared" si="10"/>
        <v>0</v>
      </c>
      <c r="AQ204" s="360">
        <f t="shared" si="11"/>
        <v>0</v>
      </c>
    </row>
    <row r="205" spans="1:43">
      <c r="A205" s="360" t="s">
        <v>1084</v>
      </c>
      <c r="B205" t="s">
        <v>1076</v>
      </c>
      <c r="C205">
        <v>2</v>
      </c>
      <c r="D205" t="s">
        <v>1080</v>
      </c>
      <c r="E205" t="s">
        <v>1079</v>
      </c>
      <c r="F205" s="360">
        <v>3</v>
      </c>
      <c r="G205" s="360" t="str">
        <f>CONCATENATE(A205," ",B205," ",C205," ","inf+"," ",FanUpsizes!D205," ",FanUpsizes!F205)</f>
        <v>1.5ACH 5C 2 inf+ Existing 3</v>
      </c>
      <c r="H205" s="360">
        <v>5.3660385439085447E-2</v>
      </c>
      <c r="I205" s="360">
        <v>0.39608313483632857</v>
      </c>
      <c r="J205" s="360">
        <v>1.1089983857690762</v>
      </c>
      <c r="K205" s="360">
        <v>138.33296376513772</v>
      </c>
      <c r="L205" s="360">
        <v>0.39342195000763952</v>
      </c>
      <c r="M205" s="360">
        <v>1.1220410249649457</v>
      </c>
      <c r="N205" s="360">
        <v>1.0118716583920662</v>
      </c>
      <c r="O205" s="360">
        <v>0.39808356195788441</v>
      </c>
      <c r="P205" s="360">
        <v>1.1089984211197406</v>
      </c>
      <c r="Q205" s="360">
        <v>99.022863791808476</v>
      </c>
      <c r="R205" s="360">
        <v>138.33296376513772</v>
      </c>
      <c r="S205" s="360">
        <v>0.39342195000763952</v>
      </c>
      <c r="T205" s="360">
        <v>1.1220410249649457</v>
      </c>
      <c r="U205" s="360">
        <v>1.0118716583920662</v>
      </c>
      <c r="V205" s="360">
        <v>0.39808356195788441</v>
      </c>
      <c r="W205" s="360">
        <v>1.1089984211197406</v>
      </c>
      <c r="X205" s="360">
        <v>99.022863791808476</v>
      </c>
      <c r="Y205" s="360">
        <v>0.40051835988600587</v>
      </c>
      <c r="Z205" s="360">
        <v>1.0967978126543614</v>
      </c>
      <c r="AA205" s="360">
        <v>140.74294050855772</v>
      </c>
      <c r="AB205" s="360">
        <v>0.39781039981120186</v>
      </c>
      <c r="AC205" s="360">
        <v>1.1098292040575937</v>
      </c>
      <c r="AD205" s="360">
        <v>1.0122521655926082</v>
      </c>
      <c r="AE205" s="360">
        <v>0.40257135396361254</v>
      </c>
      <c r="AF205" s="360">
        <v>1.0967984959614787</v>
      </c>
      <c r="AG205" s="360">
        <v>100.61438253653999</v>
      </c>
      <c r="AH205" s="360">
        <v>140.74294050855772</v>
      </c>
      <c r="AI205" s="360">
        <v>0.39781039981120186</v>
      </c>
      <c r="AJ205" s="360">
        <v>1.1098292040575937</v>
      </c>
      <c r="AK205" s="360">
        <v>1.0122521655926082</v>
      </c>
      <c r="AL205" s="360">
        <v>0.40257135396361254</v>
      </c>
      <c r="AM205" s="360">
        <v>1.0967984959614787</v>
      </c>
      <c r="AN205" s="360">
        <v>100.61438253653999</v>
      </c>
      <c r="AO205" s="360">
        <f t="shared" si="9"/>
        <v>1</v>
      </c>
      <c r="AP205" s="360">
        <f t="shared" si="10"/>
        <v>1</v>
      </c>
      <c r="AQ205" s="360">
        <f t="shared" si="11"/>
        <v>1</v>
      </c>
    </row>
    <row r="206" spans="1:43">
      <c r="A206" s="360" t="s">
        <v>1085</v>
      </c>
      <c r="B206" t="s">
        <v>1075</v>
      </c>
      <c r="C206">
        <v>1</v>
      </c>
      <c r="D206" t="s">
        <v>1078</v>
      </c>
      <c r="E206" t="s">
        <v>1079</v>
      </c>
      <c r="F206" s="360">
        <v>3</v>
      </c>
      <c r="G206" s="360" t="str">
        <f>CONCATENATE(A206," ",B206," ",C206," ","inf+"," ",FanUpsizes!D206," ",FanUpsizes!F206)</f>
        <v>0.6ACH Percentile 1 inf+ New 3</v>
      </c>
      <c r="H206" s="360">
        <v>4.1490212743897761E-2</v>
      </c>
      <c r="I206" s="360">
        <v>0.30623222117488857</v>
      </c>
      <c r="J206" s="360">
        <v>1.0427575344238151</v>
      </c>
      <c r="K206" s="360">
        <v>1809.6755538968353</v>
      </c>
      <c r="L206" s="360">
        <v>0.23767302101584969</v>
      </c>
      <c r="M206" s="360">
        <v>2.2581922576781852</v>
      </c>
      <c r="N206" s="360">
        <v>9.6408278855796095</v>
      </c>
      <c r="O206" s="360">
        <v>2.2591000346173198</v>
      </c>
      <c r="P206" s="360">
        <v>1.0966862805124873</v>
      </c>
      <c r="Q206" s="360">
        <v>-4903.7234375885473</v>
      </c>
      <c r="R206" s="360">
        <v>1908.3498161811049</v>
      </c>
      <c r="S206" s="360">
        <v>0.16681312234900475</v>
      </c>
      <c r="T206" s="360">
        <v>3.2023400769594672</v>
      </c>
      <c r="U206" s="360">
        <v>9.6408278855796095</v>
      </c>
      <c r="V206" s="360">
        <v>1.5759519475807773</v>
      </c>
      <c r="W206" s="360">
        <v>1.1841659045943544</v>
      </c>
      <c r="X206" s="360">
        <v>-3952.4218581694872</v>
      </c>
      <c r="Y206" s="360">
        <v>0.3067573899645808</v>
      </c>
      <c r="Z206" s="360">
        <v>1.0409743360222405</v>
      </c>
      <c r="AA206" s="360">
        <v>1812.65391414548</v>
      </c>
      <c r="AB206" s="360">
        <v>0.2380950004153532</v>
      </c>
      <c r="AC206" s="360">
        <v>2.2562392943989908</v>
      </c>
      <c r="AD206" s="360">
        <v>9.6408278855796095</v>
      </c>
      <c r="AE206" s="360">
        <v>2.2591438843069915</v>
      </c>
      <c r="AF206" s="360">
        <v>1.0966843085493587</v>
      </c>
      <c r="AG206" s="360">
        <v>-4899.1237579545314</v>
      </c>
      <c r="AH206" s="360">
        <v>1911.1229328345391</v>
      </c>
      <c r="AI206" s="360">
        <v>0.16738774661441186</v>
      </c>
      <c r="AJ206" s="360">
        <v>3.1944960820080701</v>
      </c>
      <c r="AK206" s="360">
        <v>9.6408278855796095</v>
      </c>
      <c r="AL206" s="360">
        <v>1.576011796759109</v>
      </c>
      <c r="AM206" s="360">
        <v>1.184156329185593</v>
      </c>
      <c r="AN206" s="360">
        <v>-3947.8437299069647</v>
      </c>
      <c r="AO206" s="360">
        <f t="shared" si="9"/>
        <v>0</v>
      </c>
      <c r="AP206" s="360">
        <f t="shared" si="10"/>
        <v>1</v>
      </c>
      <c r="AQ206" s="360">
        <f t="shared" si="11"/>
        <v>1</v>
      </c>
    </row>
    <row r="207" spans="1:43">
      <c r="A207" s="360" t="s">
        <v>1085</v>
      </c>
      <c r="B207" t="s">
        <v>1074</v>
      </c>
      <c r="C207">
        <v>1</v>
      </c>
      <c r="D207" t="s">
        <v>1078</v>
      </c>
      <c r="E207" t="s">
        <v>1079</v>
      </c>
      <c r="F207" s="360">
        <v>3</v>
      </c>
      <c r="G207" s="360" t="str">
        <f>CONCATENATE(A207," ",B207," ",C207," ","inf+"," ",FanUpsizes!D207," ",FanUpsizes!F207)</f>
        <v>0.6ACH Infiltration 1 inf+ New 3</v>
      </c>
      <c r="H207" s="360">
        <v>4.1490212743897761E-2</v>
      </c>
      <c r="I207" s="360">
        <v>0.30623222117488857</v>
      </c>
      <c r="J207" s="360">
        <v>1.0427575344238151</v>
      </c>
      <c r="K207" s="360">
        <v>0</v>
      </c>
      <c r="L207" s="360">
        <v>0.30623222117488857</v>
      </c>
      <c r="M207" s="360">
        <v>1.0427575344238151</v>
      </c>
      <c r="N207" s="360">
        <v>1</v>
      </c>
      <c r="O207" s="360">
        <v>0.30623222117488857</v>
      </c>
      <c r="P207" s="360">
        <v>1.0427575344238151</v>
      </c>
      <c r="Q207" s="360">
        <v>0</v>
      </c>
      <c r="R207" s="360">
        <v>0</v>
      </c>
      <c r="S207" s="360">
        <v>0.30623222117488857</v>
      </c>
      <c r="T207" s="360">
        <v>1.0427575344238151</v>
      </c>
      <c r="U207" s="360">
        <v>1</v>
      </c>
      <c r="V207" s="360">
        <v>0.30623222117488857</v>
      </c>
      <c r="W207" s="360">
        <v>1.0427575344238151</v>
      </c>
      <c r="X207" s="360">
        <v>0</v>
      </c>
      <c r="Y207" s="360">
        <v>0.3067573899645808</v>
      </c>
      <c r="Z207" s="360">
        <v>1.0409743360222405</v>
      </c>
      <c r="AA207" s="360">
        <v>0</v>
      </c>
      <c r="AB207" s="360">
        <v>0.3067573899645808</v>
      </c>
      <c r="AC207" s="360">
        <v>1.0409743360222405</v>
      </c>
      <c r="AD207" s="360">
        <v>1</v>
      </c>
      <c r="AE207" s="360">
        <v>0.3067573899645808</v>
      </c>
      <c r="AF207" s="360">
        <v>1.0409743360222405</v>
      </c>
      <c r="AG207" s="360">
        <v>0</v>
      </c>
      <c r="AH207" s="360">
        <v>0</v>
      </c>
      <c r="AI207" s="360">
        <v>0.3067573899645808</v>
      </c>
      <c r="AJ207" s="360">
        <v>1.0409743360222405</v>
      </c>
      <c r="AK207" s="360">
        <v>1</v>
      </c>
      <c r="AL207" s="360">
        <v>0.3067573899645808</v>
      </c>
      <c r="AM207" s="360">
        <v>1.0409743360222405</v>
      </c>
      <c r="AN207" s="360">
        <v>0</v>
      </c>
      <c r="AO207" s="360">
        <f t="shared" si="9"/>
        <v>1</v>
      </c>
      <c r="AP207" s="360">
        <f t="shared" si="10"/>
        <v>0</v>
      </c>
      <c r="AQ207" s="360">
        <f t="shared" si="11"/>
        <v>0</v>
      </c>
    </row>
    <row r="208" spans="1:43">
      <c r="A208" s="360" t="s">
        <v>1085</v>
      </c>
      <c r="B208" t="s">
        <v>1076</v>
      </c>
      <c r="C208">
        <v>1</v>
      </c>
      <c r="D208" t="s">
        <v>1078</v>
      </c>
      <c r="E208" t="s">
        <v>1079</v>
      </c>
      <c r="F208" s="360">
        <v>3</v>
      </c>
      <c r="G208" s="360" t="str">
        <f>CONCATENATE(A208," ",B208," ",C208," ","inf+"," ",FanUpsizes!D208," ",FanUpsizes!F208)</f>
        <v>0.6ACH 5C 1 inf+ New 3</v>
      </c>
      <c r="H208" s="360">
        <v>4.1490212743897761E-2</v>
      </c>
      <c r="I208" s="360">
        <v>0.30623222117488857</v>
      </c>
      <c r="J208" s="360">
        <v>1.0427575344238151</v>
      </c>
      <c r="K208" s="360">
        <v>120.11011516509207</v>
      </c>
      <c r="L208" s="360">
        <v>0.3039189435642457</v>
      </c>
      <c r="M208" s="360">
        <v>1.0562305569238706</v>
      </c>
      <c r="N208" s="360">
        <v>1.0130121330426245</v>
      </c>
      <c r="O208" s="360">
        <v>0.30787138160472449</v>
      </c>
      <c r="P208" s="360">
        <v>1.0427578962586417</v>
      </c>
      <c r="Q208" s="360">
        <v>86.790755918487406</v>
      </c>
      <c r="R208" s="360">
        <v>120.11011516509207</v>
      </c>
      <c r="S208" s="360">
        <v>0.3039189435642457</v>
      </c>
      <c r="T208" s="360">
        <v>1.0562305569238706</v>
      </c>
      <c r="U208" s="360">
        <v>1.0130121330426245</v>
      </c>
      <c r="V208" s="360">
        <v>0.30787138160472449</v>
      </c>
      <c r="W208" s="360">
        <v>1.0427578962586417</v>
      </c>
      <c r="X208" s="360">
        <v>86.790755918487406</v>
      </c>
      <c r="Y208" s="360">
        <v>0.3067573899645808</v>
      </c>
      <c r="Z208" s="360">
        <v>1.0409743360222405</v>
      </c>
      <c r="AA208" s="360">
        <v>120.40631816224082</v>
      </c>
      <c r="AB208" s="360">
        <v>0.30443836365633603</v>
      </c>
      <c r="AC208" s="360">
        <v>1.054441224838365</v>
      </c>
      <c r="AD208" s="360">
        <v>1.0130728011780539</v>
      </c>
      <c r="AE208" s="360">
        <v>0.30840254885596741</v>
      </c>
      <c r="AF208" s="360">
        <v>1.040974693641328</v>
      </c>
      <c r="AG208" s="360">
        <v>86.989412303174745</v>
      </c>
      <c r="AH208" s="360">
        <v>120.40631816224082</v>
      </c>
      <c r="AI208" s="360">
        <v>0.30443836365633603</v>
      </c>
      <c r="AJ208" s="360">
        <v>1.054441224838365</v>
      </c>
      <c r="AK208" s="360">
        <v>1.0130728011780539</v>
      </c>
      <c r="AL208" s="360">
        <v>0.30840254885596741</v>
      </c>
      <c r="AM208" s="360">
        <v>1.040974693641328</v>
      </c>
      <c r="AN208" s="360">
        <v>86.989412303174745</v>
      </c>
      <c r="AO208" s="360">
        <f t="shared" si="9"/>
        <v>1</v>
      </c>
      <c r="AP208" s="360">
        <f t="shared" si="10"/>
        <v>1</v>
      </c>
      <c r="AQ208" s="360">
        <f t="shared" si="11"/>
        <v>1</v>
      </c>
    </row>
    <row r="209" spans="1:43">
      <c r="A209" s="360" t="s">
        <v>1085</v>
      </c>
      <c r="B209" t="s">
        <v>1075</v>
      </c>
      <c r="C209">
        <v>2</v>
      </c>
      <c r="D209" t="s">
        <v>1078</v>
      </c>
      <c r="E209" t="s">
        <v>1079</v>
      </c>
      <c r="F209" s="360">
        <v>3</v>
      </c>
      <c r="G209" s="360" t="str">
        <f>CONCATENATE(A209," ",B209," ",C209," ","inf+"," ",FanUpsizes!D209," ",FanUpsizes!F209)</f>
        <v>0.6ACH Percentile 2 inf+ New 3</v>
      </c>
      <c r="H209" s="360">
        <v>4.0923154175634177E-2</v>
      </c>
      <c r="I209" s="360">
        <v>0.3020468580877132</v>
      </c>
      <c r="J209" s="360">
        <v>1.0572003896374778</v>
      </c>
      <c r="K209" s="360">
        <v>1751.111182207841</v>
      </c>
      <c r="L209" s="360">
        <v>0.23566305412362976</v>
      </c>
      <c r="M209" s="360">
        <v>2.1384365109037753</v>
      </c>
      <c r="N209" s="360">
        <v>6.6249550421987884</v>
      </c>
      <c r="O209" s="360">
        <v>1.5335749242687118</v>
      </c>
      <c r="P209" s="360">
        <v>1.0572004100766326</v>
      </c>
      <c r="Q209" s="360">
        <v>-2559.4081595449106</v>
      </c>
      <c r="R209" s="360">
        <v>1848.4241712903379</v>
      </c>
      <c r="S209" s="360">
        <v>0.16577916114619998</v>
      </c>
      <c r="T209" s="360">
        <v>3.0277536094241033</v>
      </c>
      <c r="U209" s="360">
        <v>9.774417638564179</v>
      </c>
      <c r="V209" s="360">
        <v>1.577139292307183</v>
      </c>
      <c r="W209" s="360">
        <v>1.0871963415036083</v>
      </c>
      <c r="X209" s="360">
        <v>-4021.604881163481</v>
      </c>
      <c r="Y209" s="360">
        <v>0.30299012156947164</v>
      </c>
      <c r="Z209" s="360">
        <v>1.0539154153333292</v>
      </c>
      <c r="AA209" s="360">
        <v>1756.3591011767758</v>
      </c>
      <c r="AB209" s="360">
        <v>0.23642355051371808</v>
      </c>
      <c r="AC209" s="360">
        <v>2.1349271635421405</v>
      </c>
      <c r="AD209" s="360">
        <v>6.7519784614545291</v>
      </c>
      <c r="AE209" s="360">
        <v>1.5629975465639832</v>
      </c>
      <c r="AF209" s="360">
        <v>1.0539154417664733</v>
      </c>
      <c r="AG209" s="360">
        <v>-2648.7711878408513</v>
      </c>
      <c r="AH209" s="360">
        <v>1853.3165777308882</v>
      </c>
      <c r="AI209" s="360">
        <v>0.16681274078742478</v>
      </c>
      <c r="AJ209" s="360">
        <v>3.0141022723497959</v>
      </c>
      <c r="AK209" s="360">
        <v>9.774417638564179</v>
      </c>
      <c r="AL209" s="360">
        <v>1.5772466620044041</v>
      </c>
      <c r="AM209" s="360">
        <v>1.0871796667329807</v>
      </c>
      <c r="AN209" s="360">
        <v>-4013.5184456156353</v>
      </c>
      <c r="AO209" s="360">
        <f t="shared" si="9"/>
        <v>1</v>
      </c>
      <c r="AP209" s="360">
        <f t="shared" si="10"/>
        <v>1</v>
      </c>
      <c r="AQ209" s="360">
        <f t="shared" si="11"/>
        <v>1</v>
      </c>
    </row>
    <row r="210" spans="1:43">
      <c r="A210" s="360" t="s">
        <v>1085</v>
      </c>
      <c r="B210" t="s">
        <v>1074</v>
      </c>
      <c r="C210">
        <v>2</v>
      </c>
      <c r="D210" t="s">
        <v>1078</v>
      </c>
      <c r="E210" t="s">
        <v>1079</v>
      </c>
      <c r="F210" s="360">
        <v>3</v>
      </c>
      <c r="G210" s="360" t="str">
        <f>CONCATENATE(A210," ",B210," ",C210," ","inf+"," ",FanUpsizes!D210," ",FanUpsizes!F210)</f>
        <v>0.6ACH Infiltration 2 inf+ New 3</v>
      </c>
      <c r="H210" s="360">
        <v>4.0923154175634177E-2</v>
      </c>
      <c r="I210" s="360">
        <v>0.3020468580877132</v>
      </c>
      <c r="J210" s="360">
        <v>1.0572003896374778</v>
      </c>
      <c r="K210" s="360">
        <v>0</v>
      </c>
      <c r="L210" s="360">
        <v>0.3020468580877132</v>
      </c>
      <c r="M210" s="360">
        <v>1.0572003896374778</v>
      </c>
      <c r="N210" s="360">
        <v>1</v>
      </c>
      <c r="O210" s="360">
        <v>0.3020468580877132</v>
      </c>
      <c r="P210" s="360">
        <v>1.0572003896374778</v>
      </c>
      <c r="Q210" s="360">
        <v>0</v>
      </c>
      <c r="R210" s="360">
        <v>0</v>
      </c>
      <c r="S210" s="360">
        <v>0.3020468580877132</v>
      </c>
      <c r="T210" s="360">
        <v>1.0572003896374778</v>
      </c>
      <c r="U210" s="360">
        <v>1</v>
      </c>
      <c r="V210" s="360">
        <v>0.3020468580877132</v>
      </c>
      <c r="W210" s="360">
        <v>1.0572003896374778</v>
      </c>
      <c r="X210" s="360">
        <v>0</v>
      </c>
      <c r="Y210" s="360">
        <v>0.30299012156947164</v>
      </c>
      <c r="Z210" s="360">
        <v>1.0539154153333292</v>
      </c>
      <c r="AA210" s="360">
        <v>0</v>
      </c>
      <c r="AB210" s="360">
        <v>0.30299012156947164</v>
      </c>
      <c r="AC210" s="360">
        <v>1.0539154153333292</v>
      </c>
      <c r="AD210" s="360">
        <v>1</v>
      </c>
      <c r="AE210" s="360">
        <v>0.30299012156947164</v>
      </c>
      <c r="AF210" s="360">
        <v>1.0539154153333292</v>
      </c>
      <c r="AG210" s="360">
        <v>0</v>
      </c>
      <c r="AH210" s="360">
        <v>0</v>
      </c>
      <c r="AI210" s="360">
        <v>0.30299012156947164</v>
      </c>
      <c r="AJ210" s="360">
        <v>1.0539154153333292</v>
      </c>
      <c r="AK210" s="360">
        <v>1</v>
      </c>
      <c r="AL210" s="360">
        <v>0.30299012156947164</v>
      </c>
      <c r="AM210" s="360">
        <v>1.0539154153333292</v>
      </c>
      <c r="AN210" s="360">
        <v>0</v>
      </c>
      <c r="AO210" s="360">
        <f t="shared" si="9"/>
        <v>1</v>
      </c>
      <c r="AP210" s="360">
        <f t="shared" si="10"/>
        <v>0</v>
      </c>
      <c r="AQ210" s="360">
        <f t="shared" si="11"/>
        <v>0</v>
      </c>
    </row>
    <row r="211" spans="1:43">
      <c r="A211" s="360" t="s">
        <v>1085</v>
      </c>
      <c r="B211" t="s">
        <v>1076</v>
      </c>
      <c r="C211">
        <v>2</v>
      </c>
      <c r="D211" t="s">
        <v>1078</v>
      </c>
      <c r="E211" t="s">
        <v>1079</v>
      </c>
      <c r="F211" s="360">
        <v>3</v>
      </c>
      <c r="G211" s="360" t="str">
        <f>CONCATENATE(A211," ",B211," ",C211," ","inf+"," ",FanUpsizes!D211," ",FanUpsizes!F211)</f>
        <v>0.6ACH 5C 2 inf+ New 3</v>
      </c>
      <c r="H211" s="360">
        <v>4.0923154175634177E-2</v>
      </c>
      <c r="I211" s="360">
        <v>0.3020468580877132</v>
      </c>
      <c r="J211" s="360">
        <v>1.0572003896374778</v>
      </c>
      <c r="K211" s="360">
        <v>115.73643636864574</v>
      </c>
      <c r="L211" s="360">
        <v>0.29981831178028834</v>
      </c>
      <c r="M211" s="360">
        <v>1.0702787232082283</v>
      </c>
      <c r="N211" s="360">
        <v>1.0124556693037572</v>
      </c>
      <c r="O211" s="360">
        <v>0.30355001487617583</v>
      </c>
      <c r="P211" s="360">
        <v>1.0572036253467572</v>
      </c>
      <c r="Q211" s="360">
        <v>84.27788982633318</v>
      </c>
      <c r="R211" s="360">
        <v>115.73643636864574</v>
      </c>
      <c r="S211" s="360">
        <v>0.29981831178028834</v>
      </c>
      <c r="T211" s="360">
        <v>1.0702787232082283</v>
      </c>
      <c r="U211" s="360">
        <v>1.0124556693037572</v>
      </c>
      <c r="V211" s="360">
        <v>0.30355001487617583</v>
      </c>
      <c r="W211" s="360">
        <v>1.0572036253467572</v>
      </c>
      <c r="X211" s="360">
        <v>84.27788982633318</v>
      </c>
      <c r="Y211" s="360">
        <v>0.30299012156947164</v>
      </c>
      <c r="Z211" s="360">
        <v>1.0539154153333292</v>
      </c>
      <c r="AA211" s="360">
        <v>116.24476473515091</v>
      </c>
      <c r="AB211" s="360">
        <v>0.30075170930839562</v>
      </c>
      <c r="AC211" s="360">
        <v>1.0669841054497695</v>
      </c>
      <c r="AD211" s="360">
        <v>1.012565630549181</v>
      </c>
      <c r="AE211" s="360">
        <v>0.3045048448640108</v>
      </c>
      <c r="AF211" s="360">
        <v>1.0539154442136445</v>
      </c>
      <c r="AG211" s="360">
        <v>84.606607199039487</v>
      </c>
      <c r="AH211" s="360">
        <v>116.24476473515091</v>
      </c>
      <c r="AI211" s="360">
        <v>0.30075170930839562</v>
      </c>
      <c r="AJ211" s="360">
        <v>1.0669841054497695</v>
      </c>
      <c r="AK211" s="360">
        <v>1.012565630549181</v>
      </c>
      <c r="AL211" s="360">
        <v>0.3045048448640108</v>
      </c>
      <c r="AM211" s="360">
        <v>1.0539154442136445</v>
      </c>
      <c r="AN211" s="360">
        <v>84.606607199039487</v>
      </c>
      <c r="AO211" s="360">
        <f t="shared" si="9"/>
        <v>1</v>
      </c>
      <c r="AP211" s="360">
        <f t="shared" si="10"/>
        <v>1</v>
      </c>
      <c r="AQ211" s="360">
        <f t="shared" si="11"/>
        <v>1</v>
      </c>
    </row>
    <row r="212" spans="1:43">
      <c r="A212" s="360" t="s">
        <v>1085</v>
      </c>
      <c r="B212" t="s">
        <v>1075</v>
      </c>
      <c r="C212">
        <v>1</v>
      </c>
      <c r="D212" t="s">
        <v>1080</v>
      </c>
      <c r="E212" t="s">
        <v>1079</v>
      </c>
      <c r="F212" s="360">
        <v>3</v>
      </c>
      <c r="G212" s="360" t="str">
        <f>CONCATENATE(A212," ",B212," ",C212," ","inf+"," ",FanUpsizes!D212," ",FanUpsizes!F212)</f>
        <v>0.6ACH Percentile 1 inf+ Existing 3</v>
      </c>
      <c r="H212" s="360">
        <v>5.7740212743897762E-2</v>
      </c>
      <c r="I212" s="360">
        <v>0.42617071425537606</v>
      </c>
      <c r="J212" s="360">
        <v>1.0307273440508085</v>
      </c>
      <c r="K212" s="360">
        <v>2558.7185453933707</v>
      </c>
      <c r="L212" s="360">
        <v>0.32929726709969503</v>
      </c>
      <c r="M212" s="360">
        <v>2.5877549220597302</v>
      </c>
      <c r="N212" s="360">
        <v>6.9275809871738616</v>
      </c>
      <c r="O212" s="360">
        <v>2.2591000346173198</v>
      </c>
      <c r="P212" s="360">
        <v>1.5081553964376431</v>
      </c>
      <c r="Q212" s="360">
        <v>-3850.3854519537031</v>
      </c>
      <c r="R212" s="360">
        <v>2696.0394343415023</v>
      </c>
      <c r="S212" s="360">
        <v>0.23068447739699818</v>
      </c>
      <c r="T212" s="360">
        <v>3.5540007439243282</v>
      </c>
      <c r="U212" s="360">
        <v>6.9275809871738616</v>
      </c>
      <c r="V212" s="360">
        <v>1.5759519475807773</v>
      </c>
      <c r="W212" s="360">
        <v>1.6284828846990784</v>
      </c>
      <c r="X212" s="360">
        <v>-2899.0838725346425</v>
      </c>
      <c r="Y212" s="360">
        <v>0.42654838657610356</v>
      </c>
      <c r="Z212" s="360">
        <v>1.0298153643142223</v>
      </c>
      <c r="AA212" s="360">
        <v>2560.8597314602016</v>
      </c>
      <c r="AB212" s="360">
        <v>0.32960075637174319</v>
      </c>
      <c r="AC212" s="360">
        <v>2.5867458929668286</v>
      </c>
      <c r="AD212" s="360">
        <v>6.9275809871738616</v>
      </c>
      <c r="AE212" s="360">
        <v>2.2591438843069915</v>
      </c>
      <c r="AF212" s="360">
        <v>1.5081526838476516</v>
      </c>
      <c r="AG212" s="360">
        <v>-3847.1309198070271</v>
      </c>
      <c r="AH212" s="360">
        <v>2698.03226833387</v>
      </c>
      <c r="AI212" s="360">
        <v>0.23109820528439284</v>
      </c>
      <c r="AJ212" s="360">
        <v>3.5497390034403056</v>
      </c>
      <c r="AK212" s="360">
        <v>6.9275809871738616</v>
      </c>
      <c r="AL212" s="360">
        <v>1.576011796759109</v>
      </c>
      <c r="AM212" s="360">
        <v>1.6284697131832468</v>
      </c>
      <c r="AN212" s="360">
        <v>-2895.8508917594613</v>
      </c>
      <c r="AO212" s="360">
        <f t="shared" si="9"/>
        <v>0</v>
      </c>
      <c r="AP212" s="360">
        <f t="shared" si="10"/>
        <v>1</v>
      </c>
      <c r="AQ212" s="360">
        <f t="shared" si="11"/>
        <v>1</v>
      </c>
    </row>
    <row r="213" spans="1:43">
      <c r="A213" s="360" t="s">
        <v>1085</v>
      </c>
      <c r="B213" t="s">
        <v>1074</v>
      </c>
      <c r="C213">
        <v>1</v>
      </c>
      <c r="D213" t="s">
        <v>1080</v>
      </c>
      <c r="E213" t="s">
        <v>1079</v>
      </c>
      <c r="F213" s="360">
        <v>3</v>
      </c>
      <c r="G213" s="360" t="str">
        <f>CONCATENATE(A213," ",B213," ",C213," ","inf+"," ",FanUpsizes!D213," ",FanUpsizes!F213)</f>
        <v>0.6ACH Infiltration 1 inf+ Existing 3</v>
      </c>
      <c r="H213" s="360">
        <v>5.7740212743897762E-2</v>
      </c>
      <c r="I213" s="360">
        <v>0.42617071425537606</v>
      </c>
      <c r="J213" s="360">
        <v>1.0307273440508085</v>
      </c>
      <c r="K213" s="360">
        <v>0</v>
      </c>
      <c r="L213" s="360">
        <v>0.42617071425537606</v>
      </c>
      <c r="M213" s="360">
        <v>1.0307273440508085</v>
      </c>
      <c r="N213" s="360">
        <v>1</v>
      </c>
      <c r="O213" s="360">
        <v>0.42617071425537606</v>
      </c>
      <c r="P213" s="360">
        <v>1.0307273440508085</v>
      </c>
      <c r="Q213" s="360">
        <v>0</v>
      </c>
      <c r="R213" s="360">
        <v>0</v>
      </c>
      <c r="S213" s="360">
        <v>0.42617071425537606</v>
      </c>
      <c r="T213" s="360">
        <v>1.0307273440508085</v>
      </c>
      <c r="U213" s="360">
        <v>1</v>
      </c>
      <c r="V213" s="360">
        <v>0.42617071425537606</v>
      </c>
      <c r="W213" s="360">
        <v>1.0307273440508085</v>
      </c>
      <c r="X213" s="360">
        <v>0</v>
      </c>
      <c r="Y213" s="360">
        <v>0.42654838657610356</v>
      </c>
      <c r="Z213" s="360">
        <v>1.0298153643142223</v>
      </c>
      <c r="AA213" s="360">
        <v>0</v>
      </c>
      <c r="AB213" s="360">
        <v>0.42654838657610356</v>
      </c>
      <c r="AC213" s="360">
        <v>1.0298153643142223</v>
      </c>
      <c r="AD213" s="360">
        <v>1</v>
      </c>
      <c r="AE213" s="360">
        <v>0.42654838657610356</v>
      </c>
      <c r="AF213" s="360">
        <v>1.0298153643142223</v>
      </c>
      <c r="AG213" s="360">
        <v>0</v>
      </c>
      <c r="AH213" s="360">
        <v>0</v>
      </c>
      <c r="AI213" s="360">
        <v>0.42654838657610356</v>
      </c>
      <c r="AJ213" s="360">
        <v>1.0298153643142223</v>
      </c>
      <c r="AK213" s="360">
        <v>1</v>
      </c>
      <c r="AL213" s="360">
        <v>0.42654838657610356</v>
      </c>
      <c r="AM213" s="360">
        <v>1.0298153643142223</v>
      </c>
      <c r="AN213" s="360">
        <v>0</v>
      </c>
      <c r="AO213" s="360">
        <f t="shared" si="9"/>
        <v>1</v>
      </c>
      <c r="AP213" s="360">
        <f t="shared" si="10"/>
        <v>0</v>
      </c>
      <c r="AQ213" s="360">
        <f t="shared" si="11"/>
        <v>0</v>
      </c>
    </row>
    <row r="214" spans="1:43">
      <c r="A214" s="360" t="s">
        <v>1085</v>
      </c>
      <c r="B214" t="s">
        <v>1076</v>
      </c>
      <c r="C214">
        <v>1</v>
      </c>
      <c r="D214" t="s">
        <v>1080</v>
      </c>
      <c r="E214" t="s">
        <v>1079</v>
      </c>
      <c r="F214" s="360">
        <v>3</v>
      </c>
      <c r="G214" s="360" t="str">
        <f>CONCATENATE(A214," ",B214," ",C214," ","inf+"," ",FanUpsizes!D214," ",FanUpsizes!F214)</f>
        <v>0.6ACH 5C 1 inf+ Existing 3</v>
      </c>
      <c r="H214" s="360">
        <v>5.7740212743897762E-2</v>
      </c>
      <c r="I214" s="360">
        <v>0.42617071425537606</v>
      </c>
      <c r="J214" s="360">
        <v>1.0307273440508085</v>
      </c>
      <c r="K214" s="360">
        <v>170.5522152995907</v>
      </c>
      <c r="L214" s="360">
        <v>0.42288533241999354</v>
      </c>
      <c r="M214" s="360">
        <v>1.046686019059599</v>
      </c>
      <c r="N214" s="360">
        <v>1.0156286159237868</v>
      </c>
      <c r="O214" s="360">
        <v>0.42949180766344502</v>
      </c>
      <c r="P214" s="360">
        <v>1.0307273846021325</v>
      </c>
      <c r="Q214" s="360">
        <v>114.85911657503485</v>
      </c>
      <c r="R214" s="360">
        <v>170.5522152995907</v>
      </c>
      <c r="S214" s="360">
        <v>0.42288533241999354</v>
      </c>
      <c r="T214" s="360">
        <v>1.046686019059599</v>
      </c>
      <c r="U214" s="360">
        <v>1.0156286159237868</v>
      </c>
      <c r="V214" s="360">
        <v>0.42949180766344502</v>
      </c>
      <c r="W214" s="360">
        <v>1.0307273846021325</v>
      </c>
      <c r="X214" s="360">
        <v>114.85911657503485</v>
      </c>
      <c r="Y214" s="360">
        <v>0.42654838657610356</v>
      </c>
      <c r="Z214" s="360">
        <v>1.0298153643142223</v>
      </c>
      <c r="AA214" s="360">
        <v>170.76517821625967</v>
      </c>
      <c r="AB214" s="360">
        <v>0.42325887157215974</v>
      </c>
      <c r="AC214" s="360">
        <v>1.0457701574924598</v>
      </c>
      <c r="AD214" s="360">
        <v>1.015666074084</v>
      </c>
      <c r="AE214" s="360">
        <v>0.4298754290892115</v>
      </c>
      <c r="AF214" s="360">
        <v>1.029815497119237</v>
      </c>
      <c r="AG214" s="360">
        <v>114.98834153932758</v>
      </c>
      <c r="AH214" s="360">
        <v>170.76517821625967</v>
      </c>
      <c r="AI214" s="360">
        <v>0.42325887157215974</v>
      </c>
      <c r="AJ214" s="360">
        <v>1.0457701574924598</v>
      </c>
      <c r="AK214" s="360">
        <v>1.015666074084</v>
      </c>
      <c r="AL214" s="360">
        <v>0.4298754290892115</v>
      </c>
      <c r="AM214" s="360">
        <v>1.029815497119237</v>
      </c>
      <c r="AN214" s="360">
        <v>114.98834153932758</v>
      </c>
      <c r="AO214" s="360">
        <f t="shared" si="9"/>
        <v>1</v>
      </c>
      <c r="AP214" s="360">
        <f t="shared" si="10"/>
        <v>1</v>
      </c>
      <c r="AQ214" s="360">
        <f t="shared" si="11"/>
        <v>1</v>
      </c>
    </row>
    <row r="215" spans="1:43">
      <c r="A215" s="360" t="s">
        <v>1085</v>
      </c>
      <c r="B215" t="s">
        <v>1075</v>
      </c>
      <c r="C215">
        <v>2</v>
      </c>
      <c r="D215" t="s">
        <v>1080</v>
      </c>
      <c r="E215" t="s">
        <v>1079</v>
      </c>
      <c r="F215" s="360">
        <v>3</v>
      </c>
      <c r="G215" s="360" t="str">
        <f>CONCATENATE(A215," ",B215," ",C215," ","inf+"," ",FanUpsizes!D215," ",FanUpsizes!F215)</f>
        <v>0.6ACH Percentile 2 inf+ Existing 3</v>
      </c>
      <c r="H215" s="360">
        <v>5.7173154175634178E-2</v>
      </c>
      <c r="I215" s="360">
        <v>0.42198535116814007</v>
      </c>
      <c r="J215" s="360">
        <v>1.0409470021921345</v>
      </c>
      <c r="K215" s="360">
        <v>2500.1541737043572</v>
      </c>
      <c r="L215" s="360">
        <v>0.32728730020741709</v>
      </c>
      <c r="M215" s="360">
        <v>2.433924263725646</v>
      </c>
      <c r="N215" s="360">
        <v>6.9962905802120394</v>
      </c>
      <c r="O215" s="360">
        <v>2.2602873793437017</v>
      </c>
      <c r="P215" s="360">
        <v>1.3783161062174611</v>
      </c>
      <c r="Q215" s="360">
        <v>-3919.5684749476814</v>
      </c>
      <c r="R215" s="360">
        <v>2636.1264533734739</v>
      </c>
      <c r="S215" s="360">
        <v>0.22964297294510744</v>
      </c>
      <c r="T215" s="360">
        <v>3.3478316571389897</v>
      </c>
      <c r="U215" s="360">
        <v>6.9962905802120394</v>
      </c>
      <c r="V215" s="360">
        <v>1.577139292307183</v>
      </c>
      <c r="W215" s="360">
        <v>1.4951027609574716</v>
      </c>
      <c r="X215" s="360">
        <v>-2968.2668955286194</v>
      </c>
      <c r="Y215" s="360">
        <v>0.42266155253099869</v>
      </c>
      <c r="Z215" s="360">
        <v>1.0392835718464515</v>
      </c>
      <c r="AA215" s="360">
        <v>2503.9138684110412</v>
      </c>
      <c r="AB215" s="360">
        <v>0.32783256709485675</v>
      </c>
      <c r="AC215" s="360">
        <v>2.4321277548184956</v>
      </c>
      <c r="AD215" s="360">
        <v>6.9962905802120394</v>
      </c>
      <c r="AE215" s="360">
        <v>2.2603654535038737</v>
      </c>
      <c r="AF215" s="360">
        <v>1.3783113305644346</v>
      </c>
      <c r="AG215" s="360">
        <v>-3913.838886968415</v>
      </c>
      <c r="AH215" s="360">
        <v>2639.6196343484212</v>
      </c>
      <c r="AI215" s="360">
        <v>0.23039105431417026</v>
      </c>
      <c r="AJ215" s="360">
        <v>3.3403733874210446</v>
      </c>
      <c r="AK215" s="360">
        <v>6.9962905802120394</v>
      </c>
      <c r="AL215" s="360">
        <v>1.5772466620044041</v>
      </c>
      <c r="AM215" s="360">
        <v>1.4950798238465886</v>
      </c>
      <c r="AN215" s="360">
        <v>-2962.5758739891062</v>
      </c>
      <c r="AO215" s="360">
        <f t="shared" si="9"/>
        <v>0</v>
      </c>
      <c r="AP215" s="360">
        <f t="shared" si="10"/>
        <v>1</v>
      </c>
      <c r="AQ215" s="360">
        <f t="shared" si="11"/>
        <v>1</v>
      </c>
    </row>
    <row r="216" spans="1:43">
      <c r="A216" s="360" t="s">
        <v>1085</v>
      </c>
      <c r="B216" t="s">
        <v>1074</v>
      </c>
      <c r="C216">
        <v>2</v>
      </c>
      <c r="D216" t="s">
        <v>1080</v>
      </c>
      <c r="E216" t="s">
        <v>1079</v>
      </c>
      <c r="F216" s="360">
        <v>3</v>
      </c>
      <c r="G216" s="360" t="str">
        <f>CONCATENATE(A216," ",B216," ",C216," ","inf+"," ",FanUpsizes!D216," ",FanUpsizes!F216)</f>
        <v>0.6ACH Infiltration 2 inf+ Existing 3</v>
      </c>
      <c r="H216" s="360">
        <v>5.7173154175634178E-2</v>
      </c>
      <c r="I216" s="360">
        <v>0.42198535116814007</v>
      </c>
      <c r="J216" s="360">
        <v>1.0409470021921345</v>
      </c>
      <c r="K216" s="360">
        <v>0</v>
      </c>
      <c r="L216" s="360">
        <v>0.42198535116814007</v>
      </c>
      <c r="M216" s="360">
        <v>1.0409470021921345</v>
      </c>
      <c r="N216" s="360">
        <v>1</v>
      </c>
      <c r="O216" s="360">
        <v>0.42198535116814007</v>
      </c>
      <c r="P216" s="360">
        <v>1.0409470021921345</v>
      </c>
      <c r="Q216" s="360">
        <v>0</v>
      </c>
      <c r="R216" s="360">
        <v>0</v>
      </c>
      <c r="S216" s="360">
        <v>0.42198535116814007</v>
      </c>
      <c r="T216" s="360">
        <v>1.0409470021921345</v>
      </c>
      <c r="U216" s="360">
        <v>1</v>
      </c>
      <c r="V216" s="360">
        <v>0.42198535116814007</v>
      </c>
      <c r="W216" s="360">
        <v>1.0409470021921345</v>
      </c>
      <c r="X216" s="360">
        <v>0</v>
      </c>
      <c r="Y216" s="360">
        <v>0.42266155253099869</v>
      </c>
      <c r="Z216" s="360">
        <v>1.0392835718464515</v>
      </c>
      <c r="AA216" s="360">
        <v>0</v>
      </c>
      <c r="AB216" s="360">
        <v>0.42266155253099869</v>
      </c>
      <c r="AC216" s="360">
        <v>1.0392835718464515</v>
      </c>
      <c r="AD216" s="360">
        <v>1</v>
      </c>
      <c r="AE216" s="360">
        <v>0.42266155253099869</v>
      </c>
      <c r="AF216" s="360">
        <v>1.0392835718464515</v>
      </c>
      <c r="AG216" s="360">
        <v>0</v>
      </c>
      <c r="AH216" s="360">
        <v>0</v>
      </c>
      <c r="AI216" s="360">
        <v>0.42266155253099869</v>
      </c>
      <c r="AJ216" s="360">
        <v>1.0392835718464515</v>
      </c>
      <c r="AK216" s="360">
        <v>1</v>
      </c>
      <c r="AL216" s="360">
        <v>0.42266155253099869</v>
      </c>
      <c r="AM216" s="360">
        <v>1.0392835718464515</v>
      </c>
      <c r="AN216" s="360">
        <v>0</v>
      </c>
      <c r="AO216" s="360">
        <f t="shared" si="9"/>
        <v>1</v>
      </c>
      <c r="AP216" s="360">
        <f t="shared" si="10"/>
        <v>0</v>
      </c>
      <c r="AQ216" s="360">
        <f t="shared" si="11"/>
        <v>0</v>
      </c>
    </row>
    <row r="217" spans="1:43">
      <c r="A217" s="360" t="s">
        <v>1085</v>
      </c>
      <c r="B217" t="s">
        <v>1076</v>
      </c>
      <c r="C217">
        <v>2</v>
      </c>
      <c r="D217" t="s">
        <v>1080</v>
      </c>
      <c r="E217" t="s">
        <v>1079</v>
      </c>
      <c r="F217" s="360">
        <v>3</v>
      </c>
      <c r="G217" s="360" t="str">
        <f>CONCATENATE(A217," ",B217," ",C217," ","inf+"," ",FanUpsizes!D217," ",FanUpsizes!F217)</f>
        <v>0.6ACH 5C 2 inf+ Existing 3</v>
      </c>
      <c r="H217" s="360">
        <v>5.7173154175634178E-2</v>
      </c>
      <c r="I217" s="360">
        <v>0.42198535116814007</v>
      </c>
      <c r="J217" s="360">
        <v>1.0409470021921345</v>
      </c>
      <c r="K217" s="360">
        <v>166.17853650313918</v>
      </c>
      <c r="L217" s="360">
        <v>0.41878470063597562</v>
      </c>
      <c r="M217" s="360">
        <v>1.056509485562783</v>
      </c>
      <c r="N217" s="360">
        <v>1.0150898682361555</v>
      </c>
      <c r="O217" s="360">
        <v>0.42510079360172925</v>
      </c>
      <c r="P217" s="360">
        <v>1.0409470087305233</v>
      </c>
      <c r="Q217" s="360">
        <v>112.9333829040837</v>
      </c>
      <c r="R217" s="360">
        <v>166.17853650313918</v>
      </c>
      <c r="S217" s="360">
        <v>0.41878470063597562</v>
      </c>
      <c r="T217" s="360">
        <v>1.056509485562783</v>
      </c>
      <c r="U217" s="360">
        <v>1.0150898682361555</v>
      </c>
      <c r="V217" s="360">
        <v>0.42510079360172925</v>
      </c>
      <c r="W217" s="360">
        <v>1.0409470087305233</v>
      </c>
      <c r="X217" s="360">
        <v>112.9333829040837</v>
      </c>
      <c r="Y217" s="360">
        <v>0.42266155253099869</v>
      </c>
      <c r="Z217" s="360">
        <v>1.0392835718464515</v>
      </c>
      <c r="AA217" s="360">
        <v>166.5427500950392</v>
      </c>
      <c r="AB217" s="360">
        <v>0.41945383314070916</v>
      </c>
      <c r="AC217" s="360">
        <v>1.0548398135803791</v>
      </c>
      <c r="AD217" s="360">
        <v>1.0151559435459558</v>
      </c>
      <c r="AE217" s="360">
        <v>0.42578762478192483</v>
      </c>
      <c r="AF217" s="360">
        <v>1.0392836249412647</v>
      </c>
      <c r="AG217" s="360">
        <v>113.14924647974576</v>
      </c>
      <c r="AH217" s="360">
        <v>166.5427500950392</v>
      </c>
      <c r="AI217" s="360">
        <v>0.41945383314070916</v>
      </c>
      <c r="AJ217" s="360">
        <v>1.0548398135803791</v>
      </c>
      <c r="AK217" s="360">
        <v>1.0151559435459558</v>
      </c>
      <c r="AL217" s="360">
        <v>0.42578762478192483</v>
      </c>
      <c r="AM217" s="360">
        <v>1.0392836249412647</v>
      </c>
      <c r="AN217" s="360">
        <v>113.14924647974576</v>
      </c>
      <c r="AO217" s="360">
        <f t="shared" si="9"/>
        <v>1</v>
      </c>
      <c r="AP217" s="360">
        <f t="shared" si="10"/>
        <v>1</v>
      </c>
      <c r="AQ217" s="360">
        <f t="shared" si="11"/>
        <v>1</v>
      </c>
    </row>
    <row r="218" spans="1:43">
      <c r="A218" s="360" t="s">
        <v>1077</v>
      </c>
      <c r="B218" t="s">
        <v>1075</v>
      </c>
      <c r="C218">
        <v>1</v>
      </c>
      <c r="D218" t="s">
        <v>1078</v>
      </c>
      <c r="E218" t="s">
        <v>1079</v>
      </c>
      <c r="F218">
        <v>4</v>
      </c>
      <c r="G218" s="360" t="str">
        <f>CONCATENATE(A218," ",B218," ",C218," ","inf+"," ",FanUpsizes!D218," ",FanUpsizes!F218)</f>
        <v>10ACH Percentile 1 inf+ New 4</v>
      </c>
      <c r="H218" s="360">
        <v>1.4421666666666666E-2</v>
      </c>
      <c r="I218" s="360">
        <v>0.36887108352985104</v>
      </c>
      <c r="J218" s="360">
        <v>0.96535952588197527</v>
      </c>
      <c r="K218" s="360">
        <v>699.74855487607681</v>
      </c>
      <c r="L218" s="360">
        <v>0.35608202207207856</v>
      </c>
      <c r="M218" s="360">
        <v>0.98876978065936449</v>
      </c>
      <c r="N218" s="360">
        <v>1.1613941953889075</v>
      </c>
      <c r="O218" s="360">
        <v>0.36264348175816996</v>
      </c>
      <c r="P218" s="360">
        <v>0.96536108639777873</v>
      </c>
      <c r="Q218" s="360">
        <v>645.87744890223155</v>
      </c>
      <c r="R218" s="360">
        <v>799.68395408131789</v>
      </c>
      <c r="S218" s="360">
        <v>0.34427244114218164</v>
      </c>
      <c r="T218" s="360">
        <v>1.0398160938788903</v>
      </c>
      <c r="U218" s="360">
        <v>1.7283239264639356</v>
      </c>
      <c r="V218" s="360">
        <v>0.36518543923744118</v>
      </c>
      <c r="W218" s="360">
        <v>0.96536247059981017</v>
      </c>
      <c r="X218" s="360">
        <v>629.36504269652721</v>
      </c>
      <c r="Y218" s="360">
        <v>0.33653175968088306</v>
      </c>
      <c r="Z218" s="360">
        <v>1.0594763035515125</v>
      </c>
      <c r="AA218" s="360">
        <v>185.63087407730222</v>
      </c>
      <c r="AB218" s="360">
        <v>0.33319422076871574</v>
      </c>
      <c r="AC218" s="360">
        <v>1.067062093081633</v>
      </c>
      <c r="AD218" s="360">
        <v>1.0457070404395974</v>
      </c>
      <c r="AE218" s="360">
        <v>0.3347156169256868</v>
      </c>
      <c r="AF218" s="360">
        <v>1.059476927406716</v>
      </c>
      <c r="AG218" s="360">
        <v>174.673372497126</v>
      </c>
      <c r="AH218" s="360">
        <v>243.81630733768139</v>
      </c>
      <c r="AI218" s="360">
        <v>0.3250947176560795</v>
      </c>
      <c r="AJ218" s="360">
        <v>1.1162110926793611</v>
      </c>
      <c r="AK218" s="360">
        <v>1.5343637875353779</v>
      </c>
      <c r="AL218" s="360">
        <v>0.33684863416931543</v>
      </c>
      <c r="AM218" s="360">
        <v>1.0594763951960371</v>
      </c>
      <c r="AN218" s="360">
        <v>158.15710922534092</v>
      </c>
      <c r="AO218" s="360">
        <f t="shared" si="9"/>
        <v>1</v>
      </c>
      <c r="AP218" s="360">
        <f t="shared" si="10"/>
        <v>1</v>
      </c>
      <c r="AQ218" s="360">
        <f t="shared" si="11"/>
        <v>1</v>
      </c>
    </row>
    <row r="219" spans="1:43">
      <c r="A219" s="360" t="s">
        <v>1077</v>
      </c>
      <c r="B219" t="s">
        <v>1074</v>
      </c>
      <c r="C219">
        <v>1</v>
      </c>
      <c r="D219" t="s">
        <v>1078</v>
      </c>
      <c r="E219" t="s">
        <v>1079</v>
      </c>
      <c r="F219" s="360">
        <v>4</v>
      </c>
      <c r="G219" s="360" t="str">
        <f>CONCATENATE(A219," ",B219," ",C219," ","inf+"," ",FanUpsizes!D219," ",FanUpsizes!F219)</f>
        <v>10ACH Infiltration 1 inf+ New 4</v>
      </c>
      <c r="H219" s="360">
        <v>1.4421666666666666E-2</v>
      </c>
      <c r="I219" s="360">
        <v>0.36887108352985104</v>
      </c>
      <c r="J219" s="360">
        <v>0.96535952588197527</v>
      </c>
      <c r="K219" s="360">
        <v>423.00129131812372</v>
      </c>
      <c r="L219" s="360">
        <v>0.36244921276459452</v>
      </c>
      <c r="M219" s="360">
        <v>0.9744797182561552</v>
      </c>
      <c r="N219" s="360">
        <v>1.057183094754504</v>
      </c>
      <c r="O219" s="360">
        <v>0.36513758016695597</v>
      </c>
      <c r="P219" s="360">
        <v>0.96536375373749717</v>
      </c>
      <c r="Q219" s="360">
        <v>388.08911585511265</v>
      </c>
      <c r="R219" s="360">
        <v>644.14593870514932</v>
      </c>
      <c r="S219" s="360">
        <v>0.35582988618110423</v>
      </c>
      <c r="T219" s="360">
        <v>0.99207315192098811</v>
      </c>
      <c r="U219" s="360">
        <v>1.1861528424477235</v>
      </c>
      <c r="V219" s="360">
        <v>0.36335284407517204</v>
      </c>
      <c r="W219" s="360">
        <v>0.96535959507128843</v>
      </c>
      <c r="X219" s="360">
        <v>571.6601605131923</v>
      </c>
      <c r="Y219" s="360">
        <v>0.33653175968088306</v>
      </c>
      <c r="Z219" s="360">
        <v>1.0594763035515125</v>
      </c>
      <c r="AA219" s="360">
        <v>101.16016825073743</v>
      </c>
      <c r="AB219" s="360">
        <v>0.33505284679500635</v>
      </c>
      <c r="AC219" s="360">
        <v>1.0619862706654566</v>
      </c>
      <c r="AD219" s="360">
        <v>1.0143892014971845</v>
      </c>
      <c r="AE219" s="360">
        <v>0.3355788051479876</v>
      </c>
      <c r="AF219" s="360">
        <v>1.0594765056561439</v>
      </c>
      <c r="AG219" s="360">
        <v>95.449599191123738</v>
      </c>
      <c r="AH219" s="360">
        <v>206.89311464874055</v>
      </c>
      <c r="AI219" s="360">
        <v>0.33180266468187447</v>
      </c>
      <c r="AJ219" s="360">
        <v>1.0734966720997043</v>
      </c>
      <c r="AK219" s="360">
        <v>1.089471805203182</v>
      </c>
      <c r="AL219" s="360">
        <v>0.33458748721238796</v>
      </c>
      <c r="AM219" s="360">
        <v>1.0594794228401982</v>
      </c>
      <c r="AN219" s="360">
        <v>188.70431518972867</v>
      </c>
      <c r="AO219" s="360">
        <f t="shared" si="9"/>
        <v>1</v>
      </c>
      <c r="AP219" s="360">
        <f t="shared" si="10"/>
        <v>1</v>
      </c>
      <c r="AQ219" s="360">
        <f t="shared" si="11"/>
        <v>1</v>
      </c>
    </row>
    <row r="220" spans="1:43">
      <c r="A220" s="360" t="s">
        <v>1077</v>
      </c>
      <c r="B220" t="s">
        <v>1076</v>
      </c>
      <c r="C220">
        <v>1</v>
      </c>
      <c r="D220" t="s">
        <v>1078</v>
      </c>
      <c r="E220" t="s">
        <v>1079</v>
      </c>
      <c r="F220" s="360">
        <v>4</v>
      </c>
      <c r="G220" s="360" t="str">
        <f>CONCATENATE(A220," ",B220," ",C220," ","inf+"," ",FanUpsizes!D220," ",FanUpsizes!F220)</f>
        <v>10ACH 5C 1 inf+ New 4</v>
      </c>
      <c r="H220" s="360">
        <v>1.4421666666666666E-2</v>
      </c>
      <c r="I220" s="360">
        <v>0.36887108352985104</v>
      </c>
      <c r="J220" s="360">
        <v>0.96535952588197527</v>
      </c>
      <c r="K220" s="360">
        <v>453.7702332774312</v>
      </c>
      <c r="L220" s="360">
        <v>0.36184773196444314</v>
      </c>
      <c r="M220" s="360">
        <v>0.97554758390965446</v>
      </c>
      <c r="N220" s="360">
        <v>1.0643521106946225</v>
      </c>
      <c r="O220" s="360">
        <v>0.36483451479702911</v>
      </c>
      <c r="P220" s="360">
        <v>0.96535979350285483</v>
      </c>
      <c r="Q220" s="360">
        <v>416.46118222686016</v>
      </c>
      <c r="R220" s="360">
        <v>659.53040968480934</v>
      </c>
      <c r="S220" s="360">
        <v>0.35552914578102829</v>
      </c>
      <c r="T220" s="360">
        <v>0.99264625678837004</v>
      </c>
      <c r="U220" s="360">
        <v>1.1909772953997293</v>
      </c>
      <c r="V220" s="360">
        <v>0.36318995542943433</v>
      </c>
      <c r="W220" s="360">
        <v>0.9653598130764921</v>
      </c>
      <c r="X220" s="360">
        <v>588.10412959898179</v>
      </c>
      <c r="Y220" s="360">
        <v>0.33653175968088306</v>
      </c>
      <c r="Z220" s="360">
        <v>1.0594763035515125</v>
      </c>
      <c r="AA220" s="360">
        <v>109.68270298123882</v>
      </c>
      <c r="AB220" s="360">
        <v>0.3348949058286067</v>
      </c>
      <c r="AC220" s="360">
        <v>1.0623176320859509</v>
      </c>
      <c r="AD220" s="360">
        <v>1.0163407332909211</v>
      </c>
      <c r="AE220" s="360">
        <v>0.33548754189235258</v>
      </c>
      <c r="AF220" s="360">
        <v>1.0594767846995095</v>
      </c>
      <c r="AG220" s="360">
        <v>103.45821441220113</v>
      </c>
      <c r="AH220" s="360">
        <v>209.20793175649663</v>
      </c>
      <c r="AI220" s="360">
        <v>0.33176260621213538</v>
      </c>
      <c r="AJ220" s="360">
        <v>1.0735840409090629</v>
      </c>
      <c r="AK220" s="360">
        <v>1.0901267451500358</v>
      </c>
      <c r="AL220" s="360">
        <v>0.33456096706093463</v>
      </c>
      <c r="AM220" s="360">
        <v>1.0594791379974944</v>
      </c>
      <c r="AN220" s="360">
        <v>191.28513985169991</v>
      </c>
      <c r="AO220" s="360">
        <f t="shared" si="9"/>
        <v>1</v>
      </c>
      <c r="AP220" s="360">
        <f t="shared" si="10"/>
        <v>1</v>
      </c>
      <c r="AQ220" s="360">
        <f t="shared" si="11"/>
        <v>1</v>
      </c>
    </row>
    <row r="221" spans="1:43">
      <c r="A221" s="360" t="s">
        <v>1077</v>
      </c>
      <c r="B221" t="s">
        <v>1075</v>
      </c>
      <c r="C221">
        <v>2</v>
      </c>
      <c r="D221" t="s">
        <v>1078</v>
      </c>
      <c r="E221" t="s">
        <v>1079</v>
      </c>
      <c r="F221" s="360">
        <v>4</v>
      </c>
      <c r="G221" s="360" t="str">
        <f>CONCATENATE(A221," ",B221," ",C221," ","inf+"," ",FanUpsizes!D221," ",FanUpsizes!F221)</f>
        <v>10ACH Percentile 2 inf+ New 4</v>
      </c>
      <c r="H221" s="360">
        <v>1.4421666666666666E-2</v>
      </c>
      <c r="I221" s="360">
        <v>0.47732012507083671</v>
      </c>
      <c r="J221" s="360">
        <v>0.76054675220724965</v>
      </c>
      <c r="K221" s="360">
        <v>699.74855487607147</v>
      </c>
      <c r="L221" s="360">
        <v>0.46453106361306812</v>
      </c>
      <c r="M221" s="360">
        <v>0.77457115612343408</v>
      </c>
      <c r="N221" s="360">
        <v>1.1527886753219456</v>
      </c>
      <c r="O221" s="360">
        <v>0.47072545816989247</v>
      </c>
      <c r="P221" s="360">
        <v>0.76054818845851779</v>
      </c>
      <c r="Q221" s="360">
        <v>648.7498501206652</v>
      </c>
      <c r="R221" s="360">
        <v>799.68395408130027</v>
      </c>
      <c r="S221" s="360">
        <v>0.45273184176425829</v>
      </c>
      <c r="T221" s="360">
        <v>0.80668191284407897</v>
      </c>
      <c r="U221" s="360">
        <v>1.7177343736400372</v>
      </c>
      <c r="V221" s="360">
        <v>0.47333150919707806</v>
      </c>
      <c r="W221" s="360">
        <v>0.76054676615576733</v>
      </c>
      <c r="X221" s="360">
        <v>631.84141487580291</v>
      </c>
      <c r="Y221" s="360">
        <v>0.44019736684299055</v>
      </c>
      <c r="Z221" s="360">
        <v>0.83050735921379448</v>
      </c>
      <c r="AA221" s="360">
        <v>145.20297043873987</v>
      </c>
      <c r="AB221" s="360">
        <v>0.43764071229459645</v>
      </c>
      <c r="AC221" s="360">
        <v>0.83398575926421659</v>
      </c>
      <c r="AD221" s="360">
        <v>1.0399047618523396</v>
      </c>
      <c r="AE221" s="360">
        <v>0.43868931624577995</v>
      </c>
      <c r="AF221" s="360">
        <v>0.83050743404364358</v>
      </c>
      <c r="AG221" s="360">
        <v>137.4145056944551</v>
      </c>
      <c r="AH221" s="360">
        <v>192.75502991511152</v>
      </c>
      <c r="AI221" s="360">
        <v>0.43131217602395799</v>
      </c>
      <c r="AJ221" s="360">
        <v>0.85927422183339852</v>
      </c>
      <c r="AK221" s="360">
        <v>1.5322802212452187</v>
      </c>
      <c r="AL221" s="360">
        <v>0.44053251223564671</v>
      </c>
      <c r="AM221" s="360">
        <v>0.83050757888961468</v>
      </c>
      <c r="AN221" s="360">
        <v>122.85119269020807</v>
      </c>
      <c r="AO221" s="360">
        <f t="shared" si="9"/>
        <v>1</v>
      </c>
      <c r="AP221" s="360">
        <f t="shared" si="10"/>
        <v>1</v>
      </c>
      <c r="AQ221" s="360">
        <f t="shared" si="11"/>
        <v>1</v>
      </c>
    </row>
    <row r="222" spans="1:43">
      <c r="A222" s="360" t="s">
        <v>1077</v>
      </c>
      <c r="B222" t="s">
        <v>1074</v>
      </c>
      <c r="C222">
        <v>2</v>
      </c>
      <c r="D222" t="s">
        <v>1078</v>
      </c>
      <c r="E222" t="s">
        <v>1079</v>
      </c>
      <c r="F222" s="360">
        <v>4</v>
      </c>
      <c r="G222" s="360" t="str">
        <f>CONCATENATE(A222," ",B222," ",C222," ","inf+"," ",FanUpsizes!D222," ",FanUpsizes!F222)</f>
        <v>10ACH Infiltration 2 inf+ New 4</v>
      </c>
      <c r="H222" s="360">
        <v>1.4421666666666666E-2</v>
      </c>
      <c r="I222" s="360">
        <v>0.47732012507083671</v>
      </c>
      <c r="J222" s="360">
        <v>0.76054675220724965</v>
      </c>
      <c r="K222" s="360">
        <v>699.74855487607147</v>
      </c>
      <c r="L222" s="360">
        <v>0.46453106361306812</v>
      </c>
      <c r="M222" s="360">
        <v>0.77457115612343408</v>
      </c>
      <c r="N222" s="360">
        <v>1.1527886753219456</v>
      </c>
      <c r="O222" s="360">
        <v>0.47072545816989247</v>
      </c>
      <c r="P222" s="360">
        <v>0.76054818845851779</v>
      </c>
      <c r="Q222" s="360">
        <v>648.7498501206652</v>
      </c>
      <c r="R222" s="360">
        <v>792.71542204839022</v>
      </c>
      <c r="S222" s="360">
        <v>0.45950049692089218</v>
      </c>
      <c r="T222" s="360">
        <v>0.78549553678233919</v>
      </c>
      <c r="U222" s="360">
        <v>1.3046087181097494</v>
      </c>
      <c r="V222" s="360">
        <v>0.47031883262299234</v>
      </c>
      <c r="W222" s="360">
        <v>0.7605467582495633</v>
      </c>
      <c r="X222" s="360">
        <v>719.35984665106855</v>
      </c>
      <c r="Y222" s="360">
        <v>0.44019736684299055</v>
      </c>
      <c r="Z222" s="360">
        <v>0.83050735921379448</v>
      </c>
      <c r="AA222" s="360">
        <v>145.20297043873987</v>
      </c>
      <c r="AB222" s="360">
        <v>0.43764071229459645</v>
      </c>
      <c r="AC222" s="360">
        <v>0.83398575926421659</v>
      </c>
      <c r="AD222" s="360">
        <v>1.0399047618523396</v>
      </c>
      <c r="AE222" s="360">
        <v>0.43868931624577995</v>
      </c>
      <c r="AF222" s="360">
        <v>0.83050743404364358</v>
      </c>
      <c r="AG222" s="360">
        <v>137.4145056944551</v>
      </c>
      <c r="AH222" s="360">
        <v>185.78649788220147</v>
      </c>
      <c r="AI222" s="360">
        <v>0.43538688315450835</v>
      </c>
      <c r="AJ222" s="360">
        <v>0.84062207556966373</v>
      </c>
      <c r="AK222" s="360">
        <v>1.1311314859860877</v>
      </c>
      <c r="AL222" s="360">
        <v>0.43835789182411061</v>
      </c>
      <c r="AM222" s="360">
        <v>0.83050736071830533</v>
      </c>
      <c r="AN222" s="360">
        <v>169.59290594729416</v>
      </c>
      <c r="AO222" s="360">
        <f t="shared" si="9"/>
        <v>1</v>
      </c>
      <c r="AP222" s="360">
        <f t="shared" si="10"/>
        <v>1</v>
      </c>
      <c r="AQ222" s="360">
        <f t="shared" si="11"/>
        <v>1</v>
      </c>
    </row>
    <row r="223" spans="1:43">
      <c r="A223" s="360" t="s">
        <v>1077</v>
      </c>
      <c r="B223" t="s">
        <v>1076</v>
      </c>
      <c r="C223">
        <v>2</v>
      </c>
      <c r="D223" t="s">
        <v>1078</v>
      </c>
      <c r="E223" t="s">
        <v>1079</v>
      </c>
      <c r="F223" s="360">
        <v>4</v>
      </c>
      <c r="G223" s="360" t="str">
        <f>CONCATENATE(A223," ",B223," ",C223," ","inf+"," ",FanUpsizes!D223," ",FanUpsizes!F223)</f>
        <v>10ACH 5C 2 inf+ New 4</v>
      </c>
      <c r="H223" s="360">
        <v>1.4421666666666666E-2</v>
      </c>
      <c r="I223" s="360">
        <v>0.47732012507083671</v>
      </c>
      <c r="J223" s="360">
        <v>0.76054675220724965</v>
      </c>
      <c r="K223" s="360">
        <v>453.77023327741671</v>
      </c>
      <c r="L223" s="360">
        <v>0.47029677350543109</v>
      </c>
      <c r="M223" s="360">
        <v>0.76663415361409559</v>
      </c>
      <c r="N223" s="360">
        <v>1.0609494796920023</v>
      </c>
      <c r="O223" s="360">
        <v>0.47311921872267082</v>
      </c>
      <c r="P223" s="360">
        <v>0.76054948776559916</v>
      </c>
      <c r="Q223" s="360">
        <v>418.43390592482638</v>
      </c>
      <c r="R223" s="360">
        <v>669.72626124908254</v>
      </c>
      <c r="S223" s="360">
        <v>0.46238335186707324</v>
      </c>
      <c r="T223" s="360">
        <v>0.7812600705165782</v>
      </c>
      <c r="U223" s="360">
        <v>1.2396214287294276</v>
      </c>
      <c r="V223" s="360">
        <v>0.47158350266150401</v>
      </c>
      <c r="W223" s="360">
        <v>0.76054675304090913</v>
      </c>
      <c r="X223" s="360">
        <v>582.55002327978605</v>
      </c>
      <c r="Y223" s="360">
        <v>0.44019736684299055</v>
      </c>
      <c r="Z223" s="360">
        <v>0.83050735921379448</v>
      </c>
      <c r="AA223" s="360">
        <v>85.628076615870157</v>
      </c>
      <c r="AB223" s="360">
        <v>0.43894467739059906</v>
      </c>
      <c r="AC223" s="360">
        <v>0.83179870369485887</v>
      </c>
      <c r="AD223" s="360">
        <v>1.0142215153492711</v>
      </c>
      <c r="AE223" s="360">
        <v>0.43935126766136362</v>
      </c>
      <c r="AF223" s="360">
        <v>0.83050777763301586</v>
      </c>
      <c r="AG223" s="360">
        <v>81.279611477215241</v>
      </c>
      <c r="AH223" s="360">
        <v>169.25326325014927</v>
      </c>
      <c r="AI223" s="360">
        <v>0.43571656379970647</v>
      </c>
      <c r="AJ223" s="360">
        <v>0.84005054026392445</v>
      </c>
      <c r="AK223" s="360">
        <v>1.1220711298203057</v>
      </c>
      <c r="AL223" s="360">
        <v>0.43855777684543612</v>
      </c>
      <c r="AM223" s="360">
        <v>0.830507574775326</v>
      </c>
      <c r="AN223" s="360">
        <v>150.3628010052883</v>
      </c>
      <c r="AO223" s="360">
        <f t="shared" si="9"/>
        <v>1</v>
      </c>
      <c r="AP223" s="360">
        <f t="shared" si="10"/>
        <v>1</v>
      </c>
      <c r="AQ223" s="360">
        <f t="shared" si="11"/>
        <v>1</v>
      </c>
    </row>
    <row r="224" spans="1:43">
      <c r="A224" s="360" t="s">
        <v>1077</v>
      </c>
      <c r="B224" t="s">
        <v>1075</v>
      </c>
      <c r="C224">
        <v>1</v>
      </c>
      <c r="D224" t="s">
        <v>1080</v>
      </c>
      <c r="E224" t="s">
        <v>1079</v>
      </c>
      <c r="F224" s="360">
        <v>4</v>
      </c>
      <c r="G224" s="360" t="str">
        <f>CONCATENATE(A224," ",B224," ",C224," ","inf+"," ",FanUpsizes!D224," ",FanUpsizes!F224)</f>
        <v>10ACH Percentile 1 inf+ Existing 4</v>
      </c>
      <c r="H224" s="360">
        <v>2.7871506286549261E-2</v>
      </c>
      <c r="I224" s="360">
        <v>0.41910461128056881</v>
      </c>
      <c r="J224" s="360">
        <v>1.139959496151141</v>
      </c>
      <c r="K224" s="360">
        <v>1352.343435541329</v>
      </c>
      <c r="L224" s="360">
        <v>0.39438829970173894</v>
      </c>
      <c r="M224" s="360">
        <v>1.1941522044911765</v>
      </c>
      <c r="N224" s="360">
        <v>1.1863952081825753</v>
      </c>
      <c r="O224" s="360">
        <v>0.40971435367086473</v>
      </c>
      <c r="P224" s="360">
        <v>1.1399604147758231</v>
      </c>
      <c r="Q224" s="360">
        <v>1232.1037834345054</v>
      </c>
      <c r="R224" s="360">
        <v>1545.4799274306126</v>
      </c>
      <c r="S224" s="360">
        <v>0.3710540036967781</v>
      </c>
      <c r="T224" s="360">
        <v>1.3023482288940058</v>
      </c>
      <c r="U224" s="360">
        <v>1.7896395561708942</v>
      </c>
      <c r="V224" s="360">
        <v>0.41624919691885809</v>
      </c>
      <c r="W224" s="360">
        <v>1.1399603927775044</v>
      </c>
      <c r="X224" s="360">
        <v>1188.5293883473714</v>
      </c>
      <c r="Y224" s="360">
        <v>0.38462583664476802</v>
      </c>
      <c r="Z224" s="360">
        <v>1.2205108736758818</v>
      </c>
      <c r="AA224" s="360">
        <v>640.41314560003127</v>
      </c>
      <c r="AB224" s="360">
        <v>0.37276179675242843</v>
      </c>
      <c r="AC224" s="360">
        <v>1.2522869155881871</v>
      </c>
      <c r="AD224" s="360">
        <v>1.0764689231756293</v>
      </c>
      <c r="AE224" s="360">
        <v>0.3803660246573532</v>
      </c>
      <c r="AF224" s="360">
        <v>1.2205121305393607</v>
      </c>
      <c r="AG224" s="360">
        <v>585.30432253890388</v>
      </c>
      <c r="AH224" s="360">
        <v>818.25387847482557</v>
      </c>
      <c r="AI224" s="360">
        <v>0.34790406691882964</v>
      </c>
      <c r="AJ224" s="360">
        <v>1.3944797694326097</v>
      </c>
      <c r="AK224" s="360">
        <v>1.6006558266114712</v>
      </c>
      <c r="AL224" s="360">
        <v>0.38823891382329656</v>
      </c>
      <c r="AM224" s="360">
        <v>1.2205109300500592</v>
      </c>
      <c r="AN224" s="360">
        <v>529.39781720656936</v>
      </c>
      <c r="AO224" s="360">
        <f t="shared" si="9"/>
        <v>1</v>
      </c>
      <c r="AP224" s="360">
        <f t="shared" si="10"/>
        <v>1</v>
      </c>
      <c r="AQ224" s="360">
        <f t="shared" si="11"/>
        <v>1</v>
      </c>
    </row>
    <row r="225" spans="1:43">
      <c r="A225" s="360" t="s">
        <v>1077</v>
      </c>
      <c r="B225" t="s">
        <v>1074</v>
      </c>
      <c r="C225">
        <v>1</v>
      </c>
      <c r="D225" t="s">
        <v>1080</v>
      </c>
      <c r="E225" t="s">
        <v>1079</v>
      </c>
      <c r="F225" s="360">
        <v>4</v>
      </c>
      <c r="G225" s="360" t="str">
        <f>CONCATENATE(A225," ",B225," ",C225," ","inf+"," ",FanUpsizes!D225," ",FanUpsizes!F225)</f>
        <v>10ACH Infiltration 1 inf+ Existing 4</v>
      </c>
      <c r="H225" s="360">
        <v>2.7871506286549261E-2</v>
      </c>
      <c r="I225" s="360">
        <v>0.41910461128056881</v>
      </c>
      <c r="J225" s="360">
        <v>1.139959496151141</v>
      </c>
      <c r="K225" s="360">
        <v>104.76075287865879</v>
      </c>
      <c r="L225" s="360">
        <v>0.41784824769912721</v>
      </c>
      <c r="M225" s="360">
        <v>1.1411089039955831</v>
      </c>
      <c r="N225" s="360">
        <v>1.0033751100775166</v>
      </c>
      <c r="O225" s="360">
        <v>0.4182007643248643</v>
      </c>
      <c r="P225" s="360">
        <v>1.1399601951697595</v>
      </c>
      <c r="Q225" s="360">
        <v>98.37281104124196</v>
      </c>
      <c r="R225" s="360">
        <v>799.17310046748048</v>
      </c>
      <c r="S225" s="360">
        <v>0.40385799342541101</v>
      </c>
      <c r="T225" s="360">
        <v>1.1715065597533587</v>
      </c>
      <c r="U225" s="360">
        <v>1.0996327106441099</v>
      </c>
      <c r="V225" s="360">
        <v>0.41295063369356677</v>
      </c>
      <c r="W225" s="360">
        <v>1.1399609791849719</v>
      </c>
      <c r="X225" s="360">
        <v>679.78826177487588</v>
      </c>
      <c r="Y225" s="360">
        <v>0.38462583664476802</v>
      </c>
      <c r="Z225" s="360">
        <v>1.2205108736758818</v>
      </c>
      <c r="AA225" s="360">
        <v>33.33270062739993</v>
      </c>
      <c r="AB225" s="360">
        <v>0.38423685825083281</v>
      </c>
      <c r="AC225" s="360">
        <v>1.2209426799351757</v>
      </c>
      <c r="AD225" s="360">
        <v>1.000915281639748</v>
      </c>
      <c r="AE225" s="360">
        <v>0.38434579427365834</v>
      </c>
      <c r="AF225" s="360">
        <v>1.2205123548933943</v>
      </c>
      <c r="AG225" s="360">
        <v>31.661517759291797</v>
      </c>
      <c r="AH225" s="360">
        <v>536.50086785018607</v>
      </c>
      <c r="AI225" s="360">
        <v>0.37381429632054125</v>
      </c>
      <c r="AJ225" s="360">
        <v>1.2505356660424083</v>
      </c>
      <c r="AK225" s="360">
        <v>1.0709165106798428</v>
      </c>
      <c r="AL225" s="360">
        <v>0.3810381771883149</v>
      </c>
      <c r="AM225" s="360">
        <v>1.2205112159545104</v>
      </c>
      <c r="AN225" s="360">
        <v>470.34119477987906</v>
      </c>
      <c r="AO225" s="360">
        <f t="shared" si="9"/>
        <v>1</v>
      </c>
      <c r="AP225" s="360">
        <f t="shared" si="10"/>
        <v>1</v>
      </c>
      <c r="AQ225" s="360">
        <f t="shared" si="11"/>
        <v>1</v>
      </c>
    </row>
    <row r="226" spans="1:43">
      <c r="A226" s="360" t="s">
        <v>1077</v>
      </c>
      <c r="B226" t="s">
        <v>1076</v>
      </c>
      <c r="C226">
        <v>1</v>
      </c>
      <c r="D226" t="s">
        <v>1080</v>
      </c>
      <c r="E226" t="s">
        <v>1079</v>
      </c>
      <c r="F226" s="360">
        <v>4</v>
      </c>
      <c r="G226" s="360" t="str">
        <f>CONCATENATE(A226," ",B226," ",C226," ","inf+"," ",FanUpsizes!D226," ",FanUpsizes!F226)</f>
        <v>10ACH 5C 1 inf+ Existing 4</v>
      </c>
      <c r="H226" s="360">
        <v>2.7871506286549261E-2</v>
      </c>
      <c r="I226" s="360">
        <v>0.41910461128056881</v>
      </c>
      <c r="J226" s="360">
        <v>1.139959496151141</v>
      </c>
      <c r="K226" s="360">
        <v>876.96243449257099</v>
      </c>
      <c r="L226" s="360">
        <v>0.40553118791471343</v>
      </c>
      <c r="M226" s="360">
        <v>1.1640476223262788</v>
      </c>
      <c r="N226" s="360">
        <v>1.0755278725090565</v>
      </c>
      <c r="O226" s="360">
        <v>0.4125374718422109</v>
      </c>
      <c r="P226" s="360">
        <v>1.1399604171336348</v>
      </c>
      <c r="Q226" s="360">
        <v>792.33646724715891</v>
      </c>
      <c r="R226" s="360">
        <v>1185.2739412744481</v>
      </c>
      <c r="S226" s="360">
        <v>0.39769946353320423</v>
      </c>
      <c r="T226" s="360">
        <v>1.1843950670996297</v>
      </c>
      <c r="U226" s="360">
        <v>1.1470016404128012</v>
      </c>
      <c r="V226" s="360">
        <v>0.41024399597283284</v>
      </c>
      <c r="W226" s="360">
        <v>1.1399607426063962</v>
      </c>
      <c r="X226" s="360">
        <v>1065.8867664720954</v>
      </c>
      <c r="Y226" s="360">
        <v>0.38462583664476802</v>
      </c>
      <c r="Z226" s="360">
        <v>1.2205108736758818</v>
      </c>
      <c r="AA226" s="360">
        <v>382.33865222296026</v>
      </c>
      <c r="AB226" s="360">
        <v>0.37874517691563603</v>
      </c>
      <c r="AC226" s="360">
        <v>1.2331078374373514</v>
      </c>
      <c r="AD226" s="360">
        <v>1.0281278616916776</v>
      </c>
      <c r="AE226" s="360">
        <v>0.38182274119337006</v>
      </c>
      <c r="AF226" s="360">
        <v>1.220510940402874</v>
      </c>
      <c r="AG226" s="360">
        <v>349.01976647593921</v>
      </c>
      <c r="AH226" s="360">
        <v>630.42342037549611</v>
      </c>
      <c r="AI226" s="360">
        <v>0.37238360961474565</v>
      </c>
      <c r="AJ226" s="360">
        <v>1.2540449415204045</v>
      </c>
      <c r="AK226" s="360">
        <v>1.0806565409713058</v>
      </c>
      <c r="AL226" s="360">
        <v>0.38038451962373071</v>
      </c>
      <c r="AM226" s="360">
        <v>1.2205110042821159</v>
      </c>
      <c r="AN226" s="360">
        <v>569.89671805123567</v>
      </c>
      <c r="AO226" s="360">
        <f t="shared" si="9"/>
        <v>1</v>
      </c>
      <c r="AP226" s="360">
        <f t="shared" si="10"/>
        <v>1</v>
      </c>
      <c r="AQ226" s="360">
        <f t="shared" si="11"/>
        <v>1</v>
      </c>
    </row>
    <row r="227" spans="1:43">
      <c r="A227" s="360" t="s">
        <v>1077</v>
      </c>
      <c r="B227" t="s">
        <v>1075</v>
      </c>
      <c r="C227">
        <v>2</v>
      </c>
      <c r="D227" t="s">
        <v>1080</v>
      </c>
      <c r="E227" t="s">
        <v>1079</v>
      </c>
      <c r="F227" s="360">
        <v>4</v>
      </c>
      <c r="G227" s="360" t="str">
        <f>CONCATENATE(A227," ",B227," ",C227," ","inf+"," ",FanUpsizes!D227," ",FanUpsizes!F227)</f>
        <v>10ACH Percentile 2 inf+ Existing 4</v>
      </c>
      <c r="H227" s="360">
        <v>1.7761159720609397E-2</v>
      </c>
      <c r="I227" s="360">
        <v>0.48966956442859505</v>
      </c>
      <c r="J227" s="360">
        <v>1.0133764285435891</v>
      </c>
      <c r="K227" s="360">
        <v>861.78290863881227</v>
      </c>
      <c r="L227" s="360">
        <v>0.47391905732852802</v>
      </c>
      <c r="M227" s="360">
        <v>1.0364755215421277</v>
      </c>
      <c r="N227" s="360">
        <v>1.1592305856162277</v>
      </c>
      <c r="O227" s="360">
        <v>0.48188485351552929</v>
      </c>
      <c r="P227" s="360">
        <v>1.0133783188598797</v>
      </c>
      <c r="Q227" s="360">
        <v>796.32677642088743</v>
      </c>
      <c r="R227" s="360">
        <v>984.85943148821491</v>
      </c>
      <c r="S227" s="360">
        <v>0.45937786039333273</v>
      </c>
      <c r="T227" s="360">
        <v>1.0879714762685087</v>
      </c>
      <c r="U227" s="360">
        <v>1.7323983304775596</v>
      </c>
      <c r="V227" s="360">
        <v>0.48527572894056531</v>
      </c>
      <c r="W227" s="360">
        <v>1.0133767978032751</v>
      </c>
      <c r="X227" s="360">
        <v>773.9278993229392</v>
      </c>
      <c r="Y227" s="360">
        <v>0.44803986088948683</v>
      </c>
      <c r="Z227" s="360">
        <v>1.1112534246524666</v>
      </c>
      <c r="AA227" s="360">
        <v>215.32993830250606</v>
      </c>
      <c r="AB227" s="360">
        <v>0.44418570370474814</v>
      </c>
      <c r="AC227" s="360">
        <v>1.1183119382924005</v>
      </c>
      <c r="AD227" s="360">
        <v>1.0441861081378394</v>
      </c>
      <c r="AE227" s="360">
        <v>0.44587949710524927</v>
      </c>
      <c r="AF227" s="360">
        <v>1.1112539155629499</v>
      </c>
      <c r="AG227" s="360">
        <v>202.9765723427509</v>
      </c>
      <c r="AH227" s="360">
        <v>283.21585983232745</v>
      </c>
      <c r="AI227" s="360">
        <v>0.43491429125296488</v>
      </c>
      <c r="AJ227" s="360">
        <v>1.1658261800448166</v>
      </c>
      <c r="AK227" s="360">
        <v>1.5390893657200948</v>
      </c>
      <c r="AL227" s="360">
        <v>0.44860478083642519</v>
      </c>
      <c r="AM227" s="360">
        <v>1.1112544941763691</v>
      </c>
      <c r="AN227" s="360">
        <v>182.10500761908614</v>
      </c>
      <c r="AO227" s="360">
        <f t="shared" si="9"/>
        <v>1</v>
      </c>
      <c r="AP227" s="360">
        <f t="shared" si="10"/>
        <v>1</v>
      </c>
      <c r="AQ227" s="360">
        <f t="shared" si="11"/>
        <v>1</v>
      </c>
    </row>
    <row r="228" spans="1:43">
      <c r="A228" s="360" t="s">
        <v>1077</v>
      </c>
      <c r="B228" t="s">
        <v>1074</v>
      </c>
      <c r="C228">
        <v>2</v>
      </c>
      <c r="D228" t="s">
        <v>1080</v>
      </c>
      <c r="E228" t="s">
        <v>1079</v>
      </c>
      <c r="F228" s="360">
        <v>4</v>
      </c>
      <c r="G228" s="360" t="str">
        <f>CONCATENATE(A228," ",B228," ",C228," ","inf+"," ",FanUpsizes!D228," ",FanUpsizes!F228)</f>
        <v>10ACH Infiltration 2 inf+ Existing 4</v>
      </c>
      <c r="H228" s="360">
        <v>1.7761159720609397E-2</v>
      </c>
      <c r="I228" s="360">
        <v>0.48966956442859505</v>
      </c>
      <c r="J228" s="360">
        <v>1.0133764285435891</v>
      </c>
      <c r="K228" s="360">
        <v>429.57332113709361</v>
      </c>
      <c r="L228" s="360">
        <v>0.4834067737194469</v>
      </c>
      <c r="M228" s="360">
        <v>1.0201018517896006</v>
      </c>
      <c r="N228" s="360">
        <v>1.0417484568232542</v>
      </c>
      <c r="O228" s="360">
        <v>0.48588757540936872</v>
      </c>
      <c r="P228" s="360">
        <v>1.01337756034742</v>
      </c>
      <c r="Q228" s="360">
        <v>394.367381027222</v>
      </c>
      <c r="R228" s="360">
        <v>742.25077143225781</v>
      </c>
      <c r="S228" s="360">
        <v>0.47481320725653675</v>
      </c>
      <c r="T228" s="360">
        <v>1.0372877794524287</v>
      </c>
      <c r="U228" s="360">
        <v>1.163958675142488</v>
      </c>
      <c r="V228" s="360">
        <v>0.48316235385205525</v>
      </c>
      <c r="W228" s="360">
        <v>1.0133774689415092</v>
      </c>
      <c r="X228" s="360">
        <v>655.25269651054703</v>
      </c>
      <c r="Y228" s="360">
        <v>0.44803986088948683</v>
      </c>
      <c r="Z228" s="360">
        <v>1.1112534246524666</v>
      </c>
      <c r="AA228" s="360">
        <v>94.185648886638347</v>
      </c>
      <c r="AB228" s="360">
        <v>0.44672449869268616</v>
      </c>
      <c r="AC228" s="360">
        <v>1.1129421035270801</v>
      </c>
      <c r="AD228" s="360">
        <v>1.0099792147566982</v>
      </c>
      <c r="AE228" s="360">
        <v>0.44715190001634209</v>
      </c>
      <c r="AF228" s="360">
        <v>1.1112579103388796</v>
      </c>
      <c r="AG228" s="360">
        <v>89.14315887653791</v>
      </c>
      <c r="AH228" s="360">
        <v>230.23186656965655</v>
      </c>
      <c r="AI228" s="360">
        <v>0.44290663633827326</v>
      </c>
      <c r="AJ228" s="360">
        <v>1.1232177162920158</v>
      </c>
      <c r="AK228" s="360">
        <v>1.07842986922449</v>
      </c>
      <c r="AL228" s="360">
        <v>0.44575799999587101</v>
      </c>
      <c r="AM228" s="360">
        <v>1.1112535965614523</v>
      </c>
      <c r="AN228" s="360">
        <v>210.26201360763395</v>
      </c>
      <c r="AO228" s="360">
        <f>IF(ROUND(P228,3)=ROUND(J228,3),1,0)</f>
        <v>1</v>
      </c>
      <c r="AP228" s="360">
        <f>IF(O228&gt;L228,1,0)</f>
        <v>1</v>
      </c>
      <c r="AQ228" s="360">
        <f>IF(I228&gt;L228,1,0)</f>
        <v>1</v>
      </c>
    </row>
    <row r="229" spans="1:43">
      <c r="A229" s="360" t="s">
        <v>1077</v>
      </c>
      <c r="B229" t="s">
        <v>1076</v>
      </c>
      <c r="C229">
        <v>2</v>
      </c>
      <c r="D229" t="s">
        <v>1080</v>
      </c>
      <c r="E229" t="s">
        <v>1079</v>
      </c>
      <c r="F229" s="360">
        <v>4</v>
      </c>
      <c r="G229" s="360" t="str">
        <f>CONCATENATE(A229," ",B229," ",C229," ","inf+"," ",FanUpsizes!D229," ",FanUpsizes!F229)</f>
        <v>10ACH 5C 2 inf+ Existing 4</v>
      </c>
      <c r="H229" s="360">
        <v>1.7761159720609397E-2</v>
      </c>
      <c r="I229" s="360">
        <v>0.48966956442859505</v>
      </c>
      <c r="J229" s="360">
        <v>1.0133764285435891</v>
      </c>
      <c r="K229" s="360">
        <v>558.84564357090971</v>
      </c>
      <c r="L229" s="360">
        <v>0.48101987976936605</v>
      </c>
      <c r="M229" s="360">
        <v>1.0234496670998989</v>
      </c>
      <c r="N229" s="360">
        <v>1.063853450688885</v>
      </c>
      <c r="O229" s="360">
        <v>0.48466332630552361</v>
      </c>
      <c r="P229" s="360">
        <v>1.0133764739871505</v>
      </c>
      <c r="Q229" s="360">
        <v>513.25332849336689</v>
      </c>
      <c r="R229" s="360">
        <v>806.88693264916276</v>
      </c>
      <c r="S229" s="360">
        <v>0.47361976028149555</v>
      </c>
      <c r="T229" s="360">
        <v>1.0390755035423651</v>
      </c>
      <c r="U229" s="360">
        <v>1.1786289119407376</v>
      </c>
      <c r="V229" s="360">
        <v>0.48250341403948599</v>
      </c>
      <c r="W229" s="360">
        <v>1.0133767006285499</v>
      </c>
      <c r="X229" s="360">
        <v>723.65057390290212</v>
      </c>
      <c r="Y229" s="360">
        <v>0.44803986088948683</v>
      </c>
      <c r="Z229" s="360">
        <v>1.1112534246524666</v>
      </c>
      <c r="AA229" s="360">
        <v>127.26340508475131</v>
      </c>
      <c r="AB229" s="360">
        <v>0.44614870289729408</v>
      </c>
      <c r="AC229" s="360">
        <v>1.1138986252952201</v>
      </c>
      <c r="AD229" s="360">
        <v>1.015816889954108</v>
      </c>
      <c r="AE229" s="360">
        <v>0.44680964163228781</v>
      </c>
      <c r="AF229" s="360">
        <v>1.1112552346750897</v>
      </c>
      <c r="AG229" s="360">
        <v>120.25158591406398</v>
      </c>
      <c r="AH229" s="360">
        <v>239.21366978084737</v>
      </c>
      <c r="AI229" s="360">
        <v>0.44276090418599551</v>
      </c>
      <c r="AJ229" s="360">
        <v>1.1234680030682613</v>
      </c>
      <c r="AK229" s="360">
        <v>1.08031781078833</v>
      </c>
      <c r="AL229" s="360">
        <v>0.44565871794048567</v>
      </c>
      <c r="AM229" s="360">
        <v>1.1112537292920479</v>
      </c>
      <c r="AN229" s="360">
        <v>220.1368509081301</v>
      </c>
      <c r="AO229" s="360">
        <f t="shared" ref="AO229:AO289" si="12">IF(ROUND(P229,3)=ROUND(J229,3),1,0)</f>
        <v>1</v>
      </c>
      <c r="AP229" s="360">
        <f t="shared" ref="AP229:AP289" si="13">IF(O229&gt;L229,1,0)</f>
        <v>1</v>
      </c>
      <c r="AQ229" s="360">
        <f t="shared" ref="AQ229:AQ289" si="14">IF(I229&gt;L229,1,0)</f>
        <v>1</v>
      </c>
    </row>
    <row r="230" spans="1:43">
      <c r="A230" s="360" t="s">
        <v>1081</v>
      </c>
      <c r="B230" t="s">
        <v>1075</v>
      </c>
      <c r="C230">
        <v>1</v>
      </c>
      <c r="D230" t="s">
        <v>1078</v>
      </c>
      <c r="E230" t="s">
        <v>1079</v>
      </c>
      <c r="F230" s="360">
        <v>4</v>
      </c>
      <c r="G230" s="360" t="str">
        <f>CONCATENATE(A230," ",B230," ",C230," ","inf+"," ",FanUpsizes!D230," ",FanUpsizes!F230)</f>
        <v>7ACH Percentile 1 inf+ New 4</v>
      </c>
      <c r="H230" s="360">
        <v>2.1114554400584483E-2</v>
      </c>
      <c r="I230" s="360">
        <v>0.29949735296206886</v>
      </c>
      <c r="J230" s="360">
        <v>1.1480154168638235</v>
      </c>
      <c r="K230" s="360">
        <v>1024.4917782499294</v>
      </c>
      <c r="L230" s="360">
        <v>0.28077307232766618</v>
      </c>
      <c r="M230" s="360">
        <v>1.2071889362171853</v>
      </c>
      <c r="N230" s="360">
        <v>1.1933209801991234</v>
      </c>
      <c r="O230" s="360">
        <v>0.29297085140526602</v>
      </c>
      <c r="P230" s="360">
        <v>1.1480180689640493</v>
      </c>
      <c r="Q230" s="360">
        <v>930.01753185120413</v>
      </c>
      <c r="R230" s="360">
        <v>1170.8057565045967</v>
      </c>
      <c r="S230" s="360">
        <v>0.2629373339204511</v>
      </c>
      <c r="T230" s="360">
        <v>1.3198637433791831</v>
      </c>
      <c r="U230" s="360">
        <v>1.7864307209305978</v>
      </c>
      <c r="V230" s="360">
        <v>0.29756718813063221</v>
      </c>
      <c r="W230" s="360">
        <v>1.1480160392355783</v>
      </c>
      <c r="X230" s="360">
        <v>901.02056213461026</v>
      </c>
      <c r="Y230" s="360">
        <v>0.27629203942317487</v>
      </c>
      <c r="Z230" s="360">
        <v>1.2226268136536642</v>
      </c>
      <c r="AA230" s="360">
        <v>518.54209515626519</v>
      </c>
      <c r="AB230" s="360">
        <v>0.26666613017996965</v>
      </c>
      <c r="AC230" s="360">
        <v>1.2594682003032429</v>
      </c>
      <c r="AD230" s="360">
        <v>1.0838577979024433</v>
      </c>
      <c r="AE230" s="360">
        <v>0.27325459797422014</v>
      </c>
      <c r="AF230" s="360">
        <v>1.2226275469089827</v>
      </c>
      <c r="AG230" s="360">
        <v>470.60641335093214</v>
      </c>
      <c r="AH230" s="360">
        <v>660.22950197377816</v>
      </c>
      <c r="AI230" s="360">
        <v>0.24694320195135888</v>
      </c>
      <c r="AJ230" s="360">
        <v>1.4091653367539521</v>
      </c>
      <c r="AK230" s="360">
        <v>1.6032078867840613</v>
      </c>
      <c r="AL230" s="360">
        <v>0.27895755184776982</v>
      </c>
      <c r="AM230" s="360">
        <v>1.2226310703391616</v>
      </c>
      <c r="AN230" s="360">
        <v>430.5477498037481</v>
      </c>
      <c r="AO230" s="360">
        <f t="shared" si="12"/>
        <v>1</v>
      </c>
      <c r="AP230" s="360">
        <f t="shared" si="13"/>
        <v>1</v>
      </c>
      <c r="AQ230" s="360">
        <f t="shared" si="14"/>
        <v>1</v>
      </c>
    </row>
    <row r="231" spans="1:43">
      <c r="A231" s="360" t="s">
        <v>1081</v>
      </c>
      <c r="B231" t="s">
        <v>1074</v>
      </c>
      <c r="C231">
        <v>1</v>
      </c>
      <c r="D231" t="s">
        <v>1078</v>
      </c>
      <c r="E231" t="s">
        <v>1079</v>
      </c>
      <c r="F231" s="360">
        <v>4</v>
      </c>
      <c r="G231" s="360" t="str">
        <f>CONCATENATE(A231," ",B231," ",C231," ","inf+"," ",FanUpsizes!D231," ",FanUpsizes!F231)</f>
        <v>7ACH Infiltration 1 inf+ New 4</v>
      </c>
      <c r="H231" s="360">
        <v>2.1114554400584483E-2</v>
      </c>
      <c r="I231" s="360">
        <v>0.29949735296206886</v>
      </c>
      <c r="J231" s="360">
        <v>1.1480154168638235</v>
      </c>
      <c r="K231" s="360">
        <v>44.548516846370774</v>
      </c>
      <c r="L231" s="360">
        <v>0.29898143454078846</v>
      </c>
      <c r="M231" s="360">
        <v>1.1486450762231917</v>
      </c>
      <c r="N231" s="360">
        <v>1.0017340028130721</v>
      </c>
      <c r="O231" s="360">
        <v>0.29912093106699511</v>
      </c>
      <c r="P231" s="360">
        <v>1.1480178484086569</v>
      </c>
      <c r="Q231" s="360">
        <v>42.001900697044633</v>
      </c>
      <c r="R231" s="360">
        <v>571.78283400882231</v>
      </c>
      <c r="S231" s="360">
        <v>0.28871198941375043</v>
      </c>
      <c r="T231" s="360">
        <v>1.17964129032</v>
      </c>
      <c r="U231" s="360">
        <v>1.094202016835371</v>
      </c>
      <c r="V231" s="360">
        <v>0.29535815991515035</v>
      </c>
      <c r="W231" s="360">
        <v>1.1480154173215209</v>
      </c>
      <c r="X231" s="360">
        <v>483.10104927631772</v>
      </c>
      <c r="Y231" s="360">
        <v>0.27629203942317487</v>
      </c>
      <c r="Z231" s="360">
        <v>1.2226268136536642</v>
      </c>
      <c r="AA231" s="360">
        <v>14.715325393058286</v>
      </c>
      <c r="AB231" s="360">
        <v>0.27612585461806832</v>
      </c>
      <c r="AC231" s="360">
        <v>1.2228675157223414</v>
      </c>
      <c r="AD231" s="360">
        <v>1.0004797535686409</v>
      </c>
      <c r="AE231" s="360">
        <v>0.27617122453443771</v>
      </c>
      <c r="AF231" s="360">
        <v>1.2226268135608496</v>
      </c>
      <c r="AG231" s="360">
        <v>14.003896629920362</v>
      </c>
      <c r="AH231" s="360">
        <v>415.45732910024685</v>
      </c>
      <c r="AI231" s="360">
        <v>0.26810300604457871</v>
      </c>
      <c r="AJ231" s="360">
        <v>1.254253259591656</v>
      </c>
      <c r="AK231" s="360">
        <v>1.0698000674601575</v>
      </c>
      <c r="AL231" s="360">
        <v>0.2737889879660162</v>
      </c>
      <c r="AM231" s="360">
        <v>1.2226271443419343</v>
      </c>
      <c r="AN231" s="360">
        <v>361.18782391256048</v>
      </c>
      <c r="AO231" s="360">
        <f t="shared" si="12"/>
        <v>1</v>
      </c>
      <c r="AP231" s="360">
        <f t="shared" si="13"/>
        <v>1</v>
      </c>
      <c r="AQ231" s="360">
        <f t="shared" si="14"/>
        <v>1</v>
      </c>
    </row>
    <row r="232" spans="1:43">
      <c r="A232" s="360" t="s">
        <v>1081</v>
      </c>
      <c r="B232" t="s">
        <v>1076</v>
      </c>
      <c r="C232">
        <v>1</v>
      </c>
      <c r="D232" t="s">
        <v>1078</v>
      </c>
      <c r="E232" t="s">
        <v>1079</v>
      </c>
      <c r="F232" s="360">
        <v>4</v>
      </c>
      <c r="G232" s="360" t="str">
        <f>CONCATENATE(A232," ",B232," ",C232," ","inf+"," ",FanUpsizes!D232," ",FanUpsizes!F232)</f>
        <v>7ACH 5C 1 inf+ New 4</v>
      </c>
      <c r="H232" s="360">
        <v>2.1114554400584483E-2</v>
      </c>
      <c r="I232" s="360">
        <v>0.29949735296206886</v>
      </c>
      <c r="J232" s="360">
        <v>1.1480154168638235</v>
      </c>
      <c r="K232" s="360">
        <v>664.35846128986691</v>
      </c>
      <c r="L232" s="360">
        <v>0.28921456511723781</v>
      </c>
      <c r="M232" s="360">
        <v>1.1744440938975185</v>
      </c>
      <c r="N232" s="360">
        <v>1.0787002540878965</v>
      </c>
      <c r="O232" s="360">
        <v>0.29480046137587723</v>
      </c>
      <c r="P232" s="360">
        <v>1.1480168359095797</v>
      </c>
      <c r="Q232" s="360">
        <v>597.55576239832033</v>
      </c>
      <c r="R232" s="360">
        <v>881.6878062305658</v>
      </c>
      <c r="S232" s="360">
        <v>0.28382855470197504</v>
      </c>
      <c r="T232" s="360">
        <v>1.1942444828857073</v>
      </c>
      <c r="U232" s="360">
        <v>1.1446699450136213</v>
      </c>
      <c r="V232" s="360">
        <v>0.29335840589794293</v>
      </c>
      <c r="W232" s="360">
        <v>1.1480165655305554</v>
      </c>
      <c r="X232" s="360">
        <v>790.32944594255434</v>
      </c>
      <c r="Y232" s="360">
        <v>0.27629203942317487</v>
      </c>
      <c r="Z232" s="360">
        <v>1.2226268136536642</v>
      </c>
      <c r="AA232" s="360">
        <v>310.12379752113054</v>
      </c>
      <c r="AB232" s="360">
        <v>0.27151102407932431</v>
      </c>
      <c r="AC232" s="360">
        <v>1.2374290934707906</v>
      </c>
      <c r="AD232" s="360">
        <v>1.0311345890405534</v>
      </c>
      <c r="AE232" s="360">
        <v>0.27420598214289987</v>
      </c>
      <c r="AF232" s="360">
        <v>1.2226274815640092</v>
      </c>
      <c r="AG232" s="360">
        <v>280.75919795613248</v>
      </c>
      <c r="AH232" s="360">
        <v>495.18543349521116</v>
      </c>
      <c r="AI232" s="360">
        <v>0.26689411645400557</v>
      </c>
      <c r="AJ232" s="360">
        <v>1.2585310700390662</v>
      </c>
      <c r="AK232" s="360">
        <v>1.0808937385517263</v>
      </c>
      <c r="AL232" s="360">
        <v>0.27330236834890398</v>
      </c>
      <c r="AM232" s="360">
        <v>1.2226268331835743</v>
      </c>
      <c r="AN232" s="360">
        <v>444.80668702638025</v>
      </c>
      <c r="AO232" s="360">
        <f t="shared" si="12"/>
        <v>1</v>
      </c>
      <c r="AP232" s="360">
        <f t="shared" si="13"/>
        <v>1</v>
      </c>
      <c r="AQ232" s="360">
        <f t="shared" si="14"/>
        <v>1</v>
      </c>
    </row>
    <row r="233" spans="1:43">
      <c r="A233" s="360" t="s">
        <v>1081</v>
      </c>
      <c r="B233" t="s">
        <v>1075</v>
      </c>
      <c r="C233">
        <v>2</v>
      </c>
      <c r="D233" t="s">
        <v>1078</v>
      </c>
      <c r="E233" t="s">
        <v>1079</v>
      </c>
      <c r="F233" s="360">
        <v>4</v>
      </c>
      <c r="G233" s="360" t="str">
        <f>CONCATENATE(A233," ",B233," ",C233," ","inf+"," ",FanUpsizes!D233," ",FanUpsizes!F233)</f>
        <v>7ACH Percentile 2 inf+ New 4</v>
      </c>
      <c r="H233" s="360">
        <v>1.4421666666666666E-2</v>
      </c>
      <c r="I233" s="360">
        <v>0.35013431393600436</v>
      </c>
      <c r="J233" s="360">
        <v>1.0157316543719719</v>
      </c>
      <c r="K233" s="360">
        <v>699.74855487606942</v>
      </c>
      <c r="L233" s="360">
        <v>0.33734525247823344</v>
      </c>
      <c r="M233" s="360">
        <v>1.0428584740037361</v>
      </c>
      <c r="N233" s="360">
        <v>1.1703853205483317</v>
      </c>
      <c r="O233" s="360">
        <v>0.34427701323275844</v>
      </c>
      <c r="P233" s="360">
        <v>1.0157318479042741</v>
      </c>
      <c r="Q233" s="360">
        <v>642.87633814282708</v>
      </c>
      <c r="R233" s="360">
        <v>799.68395408129095</v>
      </c>
      <c r="S233" s="360">
        <v>0.32552257820639469</v>
      </c>
      <c r="T233" s="360">
        <v>1.0989052401777257</v>
      </c>
      <c r="U233" s="360">
        <v>1.7386008411283891</v>
      </c>
      <c r="V233" s="360">
        <v>0.34673394908591509</v>
      </c>
      <c r="W233" s="360">
        <v>1.0157318998673706</v>
      </c>
      <c r="X233" s="360">
        <v>626.96178110583207</v>
      </c>
      <c r="Y233" s="360">
        <v>0.31901523699332057</v>
      </c>
      <c r="Z233" s="360">
        <v>1.1147885202923202</v>
      </c>
      <c r="AA233" s="360">
        <v>199.6437894366955</v>
      </c>
      <c r="AB233" s="360">
        <v>0.31540705780296313</v>
      </c>
      <c r="AC233" s="360">
        <v>1.1243846466898268</v>
      </c>
      <c r="AD233" s="360">
        <v>1.0505861920500081</v>
      </c>
      <c r="AE233" s="360">
        <v>0.31717312670456088</v>
      </c>
      <c r="AF233" s="360">
        <v>1.1147928781245582</v>
      </c>
      <c r="AG233" s="360">
        <v>186.85600365147127</v>
      </c>
      <c r="AH233" s="360">
        <v>260.9451888787334</v>
      </c>
      <c r="AI233" s="360">
        <v>0.30693617437057796</v>
      </c>
      <c r="AJ233" s="360">
        <v>1.1804739936193773</v>
      </c>
      <c r="AK233" s="360">
        <v>1.5352518755972302</v>
      </c>
      <c r="AL233" s="360">
        <v>0.31931416729508233</v>
      </c>
      <c r="AM233" s="360">
        <v>1.1147885423625046</v>
      </c>
      <c r="AN233" s="360">
        <v>170.67155474456146</v>
      </c>
      <c r="AO233" s="360">
        <f t="shared" si="12"/>
        <v>1</v>
      </c>
      <c r="AP233" s="360">
        <f t="shared" si="13"/>
        <v>1</v>
      </c>
      <c r="AQ233" s="360">
        <f t="shared" si="14"/>
        <v>1</v>
      </c>
    </row>
    <row r="234" spans="1:43">
      <c r="A234" s="360" t="s">
        <v>1081</v>
      </c>
      <c r="B234" t="s">
        <v>1074</v>
      </c>
      <c r="C234">
        <v>2</v>
      </c>
      <c r="D234" t="s">
        <v>1078</v>
      </c>
      <c r="E234" t="s">
        <v>1079</v>
      </c>
      <c r="F234" s="360">
        <v>4</v>
      </c>
      <c r="G234" s="360" t="str">
        <f>CONCATENATE(A234," ",B234," ",C234," ","inf+"," ",FanUpsizes!D234," ",FanUpsizes!F234)</f>
        <v>7ACH Infiltration 2 inf+ New 4</v>
      </c>
      <c r="H234" s="360">
        <v>1.4421666666666666E-2</v>
      </c>
      <c r="I234" s="360">
        <v>0.35013431393600436</v>
      </c>
      <c r="J234" s="360">
        <v>1.0157316543719719</v>
      </c>
      <c r="K234" s="360">
        <v>291.62614224526664</v>
      </c>
      <c r="L234" s="360">
        <v>0.34601508178951129</v>
      </c>
      <c r="M234" s="360">
        <v>1.0218146509919077</v>
      </c>
      <c r="N234" s="360">
        <v>1.0337302225285119</v>
      </c>
      <c r="O234" s="360">
        <v>0.34767890938095664</v>
      </c>
      <c r="P234" s="360">
        <v>1.0157316572191255</v>
      </c>
      <c r="Q234" s="360">
        <v>266.60140992934504</v>
      </c>
      <c r="R234" s="360">
        <v>574.10219779940007</v>
      </c>
      <c r="S234" s="360">
        <v>0.33855428964217527</v>
      </c>
      <c r="T234" s="360">
        <v>1.0424694876991749</v>
      </c>
      <c r="U234" s="360">
        <v>1.1654303701032607</v>
      </c>
      <c r="V234" s="360">
        <v>0.34548415355114126</v>
      </c>
      <c r="W234" s="360">
        <v>1.0157320492652431</v>
      </c>
      <c r="X234" s="360">
        <v>498.09815028237256</v>
      </c>
      <c r="Y234" s="360">
        <v>0.31901523699332057</v>
      </c>
      <c r="Z234" s="360">
        <v>1.1147885202923202</v>
      </c>
      <c r="AA234" s="360">
        <v>71.186188462826337</v>
      </c>
      <c r="AB234" s="360">
        <v>0.3180451475016754</v>
      </c>
      <c r="AC234" s="360">
        <v>1.1165167947348711</v>
      </c>
      <c r="AD234" s="360">
        <v>1.0085226254567277</v>
      </c>
      <c r="AE234" s="360">
        <v>0.31838213958879774</v>
      </c>
      <c r="AF234" s="360">
        <v>1.1147885238794411</v>
      </c>
      <c r="AG234" s="360">
        <v>66.993419688196241</v>
      </c>
      <c r="AH234" s="360">
        <v>208.91742457439071</v>
      </c>
      <c r="AI234" s="360">
        <v>0.31429389270652147</v>
      </c>
      <c r="AJ234" s="360">
        <v>1.1304673077527705</v>
      </c>
      <c r="AK234" s="360">
        <v>1.0865311475207486</v>
      </c>
      <c r="AL234" s="360">
        <v>0.31717177436905969</v>
      </c>
      <c r="AM234" s="360">
        <v>1.1147885604259351</v>
      </c>
      <c r="AN234" s="360">
        <v>188.18469427881809</v>
      </c>
      <c r="AO234" s="360">
        <f t="shared" si="12"/>
        <v>1</v>
      </c>
      <c r="AP234" s="360">
        <f t="shared" si="13"/>
        <v>1</v>
      </c>
      <c r="AQ234" s="360">
        <f t="shared" si="14"/>
        <v>1</v>
      </c>
    </row>
    <row r="235" spans="1:43">
      <c r="A235" s="360" t="s">
        <v>1081</v>
      </c>
      <c r="B235" t="s">
        <v>1076</v>
      </c>
      <c r="C235">
        <v>2</v>
      </c>
      <c r="D235" t="s">
        <v>1078</v>
      </c>
      <c r="E235" t="s">
        <v>1079</v>
      </c>
      <c r="F235" s="360">
        <v>4</v>
      </c>
      <c r="G235" s="360" t="str">
        <f>CONCATENATE(A235," ",B235," ",C235," ","inf+"," ",FanUpsizes!D235," ",FanUpsizes!F235)</f>
        <v>7ACH 5C 2 inf+ New 4</v>
      </c>
      <c r="H235" s="360">
        <v>1.4421666666666666E-2</v>
      </c>
      <c r="I235" s="360">
        <v>0.35013431393600436</v>
      </c>
      <c r="J235" s="360">
        <v>1.0157316543719719</v>
      </c>
      <c r="K235" s="360">
        <v>453.77023327742194</v>
      </c>
      <c r="L235" s="360">
        <v>0.34311096237059563</v>
      </c>
      <c r="M235" s="360">
        <v>1.0276089884631667</v>
      </c>
      <c r="N235" s="360">
        <v>1.0681180202637612</v>
      </c>
      <c r="O235" s="360">
        <v>0.3462732312298426</v>
      </c>
      <c r="P235" s="360">
        <v>1.0157356022084469</v>
      </c>
      <c r="Q235" s="360">
        <v>414.27784261525994</v>
      </c>
      <c r="R235" s="360">
        <v>655.17424331547204</v>
      </c>
      <c r="S235" s="360">
        <v>0.33710222993271755</v>
      </c>
      <c r="T235" s="360">
        <v>1.0455974003744612</v>
      </c>
      <c r="U235" s="360">
        <v>1.1887801317061419</v>
      </c>
      <c r="V235" s="360">
        <v>0.34473767943784756</v>
      </c>
      <c r="W235" s="360">
        <v>1.0157319953708674</v>
      </c>
      <c r="X235" s="360">
        <v>583.74735366736809</v>
      </c>
      <c r="Y235" s="360">
        <v>0.31901523699332057</v>
      </c>
      <c r="Z235" s="360">
        <v>1.1147885202923202</v>
      </c>
      <c r="AA235" s="360">
        <v>118.19799932716639</v>
      </c>
      <c r="AB235" s="360">
        <v>0.31724229234785328</v>
      </c>
      <c r="AC235" s="360">
        <v>1.1184189583848343</v>
      </c>
      <c r="AD235" s="360">
        <v>1.0181948258672255</v>
      </c>
      <c r="AE235" s="360">
        <v>0.31793551910486284</v>
      </c>
      <c r="AF235" s="360">
        <v>1.1147890449285647</v>
      </c>
      <c r="AG235" s="360">
        <v>110.84900865480998</v>
      </c>
      <c r="AH235" s="360">
        <v>221.59920617036627</v>
      </c>
      <c r="AI235" s="360">
        <v>0.31408993837263172</v>
      </c>
      <c r="AJ235" s="360">
        <v>1.1309720549188247</v>
      </c>
      <c r="AK235" s="360">
        <v>1.0897950024294247</v>
      </c>
      <c r="AL235" s="360">
        <v>0.31704175147127867</v>
      </c>
      <c r="AM235" s="360">
        <v>1.1147890185021627</v>
      </c>
      <c r="AN235" s="360">
        <v>202.27886621113305</v>
      </c>
      <c r="AO235" s="360">
        <f t="shared" si="12"/>
        <v>1</v>
      </c>
      <c r="AP235" s="360">
        <f t="shared" si="13"/>
        <v>1</v>
      </c>
      <c r="AQ235" s="360">
        <f t="shared" si="14"/>
        <v>1</v>
      </c>
    </row>
    <row r="236" spans="1:43">
      <c r="A236" s="360" t="s">
        <v>1081</v>
      </c>
      <c r="B236" t="s">
        <v>1075</v>
      </c>
      <c r="C236">
        <v>1</v>
      </c>
      <c r="D236" t="s">
        <v>1080</v>
      </c>
      <c r="E236" t="s">
        <v>1079</v>
      </c>
      <c r="F236" s="360">
        <v>4</v>
      </c>
      <c r="G236" s="360" t="str">
        <f>CONCATENATE(A236," ",B236," ",C236," ","inf+"," ",FanUpsizes!D236," ",FanUpsizes!F236)</f>
        <v>7ACH Percentile 1 inf+ Existing 4</v>
      </c>
      <c r="H236" s="360">
        <v>3.7364554400584483E-2</v>
      </c>
      <c r="I236" s="360">
        <v>0.36624052046145794</v>
      </c>
      <c r="J236" s="360">
        <v>1.250210410586809</v>
      </c>
      <c r="K236" s="360">
        <v>1812.9522439891841</v>
      </c>
      <c r="L236" s="360">
        <v>0.33310582156596003</v>
      </c>
      <c r="M236" s="360">
        <v>1.367757993192573</v>
      </c>
      <c r="N236" s="360">
        <v>1.2141618637752221</v>
      </c>
      <c r="O236" s="360">
        <v>0.36355389793610915</v>
      </c>
      <c r="P236" s="360">
        <v>1.2502107369887907</v>
      </c>
      <c r="Q236" s="360">
        <v>1609.6891064790293</v>
      </c>
      <c r="R236" s="360">
        <v>2074.3062654815003</v>
      </c>
      <c r="S236" s="360">
        <v>0.29677045865825424</v>
      </c>
      <c r="T236" s="360">
        <v>1.5835801087930108</v>
      </c>
      <c r="U236" s="360">
        <v>1.8259554687108248</v>
      </c>
      <c r="V236" s="360">
        <v>0.3796753756851341</v>
      </c>
      <c r="W236" s="360">
        <v>1.250210620089601</v>
      </c>
      <c r="X236" s="360">
        <v>1492.7636797311382</v>
      </c>
      <c r="Y236" s="360">
        <v>0.36130439323944685</v>
      </c>
      <c r="Z236" s="360">
        <v>1.2435272876523844</v>
      </c>
      <c r="AA236" s="360">
        <v>1426.1652599017507</v>
      </c>
      <c r="AB236" s="360">
        <v>0.33463217802631817</v>
      </c>
      <c r="AC236" s="360">
        <v>1.3474352556874218</v>
      </c>
      <c r="AD236" s="360">
        <v>1.1637037282224776</v>
      </c>
      <c r="AE236" s="360">
        <v>0.36328159012956568</v>
      </c>
      <c r="AF236" s="360">
        <v>1.2435272963226596</v>
      </c>
      <c r="AG236" s="360">
        <v>1211.2264671417129</v>
      </c>
      <c r="AH236" s="360">
        <v>1767.5015156772815</v>
      </c>
      <c r="AI236" s="360">
        <v>0.28897415236297197</v>
      </c>
      <c r="AJ236" s="360">
        <v>1.6196753661723027</v>
      </c>
      <c r="AK236" s="360">
        <v>1.7754376020082516</v>
      </c>
      <c r="AL236" s="360">
        <v>0.38248771787239583</v>
      </c>
      <c r="AM236" s="360">
        <v>1.243527437245749</v>
      </c>
      <c r="AN236" s="360">
        <v>1080.1934891887508</v>
      </c>
      <c r="AO236" s="360">
        <f t="shared" si="12"/>
        <v>1</v>
      </c>
      <c r="AP236" s="360">
        <f t="shared" si="13"/>
        <v>1</v>
      </c>
      <c r="AQ236" s="360">
        <f t="shared" si="14"/>
        <v>1</v>
      </c>
    </row>
    <row r="237" spans="1:43">
      <c r="A237" s="360" t="s">
        <v>1081</v>
      </c>
      <c r="B237" t="s">
        <v>1074</v>
      </c>
      <c r="C237">
        <v>1</v>
      </c>
      <c r="D237" t="s">
        <v>1080</v>
      </c>
      <c r="E237" t="s">
        <v>1079</v>
      </c>
      <c r="F237" s="360">
        <v>4</v>
      </c>
      <c r="G237" s="360" t="str">
        <f>CONCATENATE(A237," ",B237," ",C237," ","inf+"," ",FanUpsizes!D237," ",FanUpsizes!F237)</f>
        <v>7ACH Infiltration 1 inf+ Existing 4</v>
      </c>
      <c r="H237" s="360">
        <v>3.7364554400584483E-2</v>
      </c>
      <c r="I237" s="360">
        <v>0.36624052046145794</v>
      </c>
      <c r="J237" s="360">
        <v>1.250210410586809</v>
      </c>
      <c r="K237" s="360">
        <v>0</v>
      </c>
      <c r="L237" s="360">
        <v>0.36624052046145794</v>
      </c>
      <c r="M237" s="360">
        <v>1.250210410586809</v>
      </c>
      <c r="N237" s="360">
        <v>1</v>
      </c>
      <c r="O237" s="360">
        <v>0.36624052046145794</v>
      </c>
      <c r="P237" s="360">
        <v>1.250210410586809</v>
      </c>
      <c r="Q237" s="360">
        <v>0</v>
      </c>
      <c r="R237" s="360">
        <v>587.4590862830471</v>
      </c>
      <c r="S237" s="360">
        <v>0.35715012207088875</v>
      </c>
      <c r="T237" s="360">
        <v>1.2729227315735301</v>
      </c>
      <c r="U237" s="360">
        <v>1.035748641668081</v>
      </c>
      <c r="V237" s="360">
        <v>0.36284429676485397</v>
      </c>
      <c r="W237" s="360">
        <v>1.2502104475854152</v>
      </c>
      <c r="X237" s="360">
        <v>511.19987667633899</v>
      </c>
      <c r="Y237" s="360">
        <v>0.36130439323944685</v>
      </c>
      <c r="Z237" s="360">
        <v>1.2435272876523844</v>
      </c>
      <c r="AA237" s="360">
        <v>0</v>
      </c>
      <c r="AB237" s="360">
        <v>0.36130439323944685</v>
      </c>
      <c r="AC237" s="360">
        <v>1.2435272876523844</v>
      </c>
      <c r="AD237" s="360">
        <v>1</v>
      </c>
      <c r="AE237" s="360">
        <v>0.36130439323944685</v>
      </c>
      <c r="AF237" s="360">
        <v>1.2435272876523844</v>
      </c>
      <c r="AG237" s="360">
        <v>0</v>
      </c>
      <c r="AH237" s="360">
        <v>619.88976277423512</v>
      </c>
      <c r="AI237" s="360">
        <v>0.35159073535892477</v>
      </c>
      <c r="AJ237" s="360">
        <v>1.2732407909464807</v>
      </c>
      <c r="AK237" s="360">
        <v>1.0392161439251664</v>
      </c>
      <c r="AL237" s="360">
        <v>0.35949531293469378</v>
      </c>
      <c r="AM237" s="360">
        <v>1.2435291391335368</v>
      </c>
      <c r="AN237" s="360">
        <v>514.54609002216148</v>
      </c>
      <c r="AO237" s="360">
        <f t="shared" si="12"/>
        <v>1</v>
      </c>
      <c r="AP237" s="360">
        <f t="shared" si="13"/>
        <v>0</v>
      </c>
      <c r="AQ237" s="360">
        <f t="shared" si="14"/>
        <v>0</v>
      </c>
    </row>
    <row r="238" spans="1:43">
      <c r="A238" s="360" t="s">
        <v>1081</v>
      </c>
      <c r="B238" t="s">
        <v>1076</v>
      </c>
      <c r="C238">
        <v>1</v>
      </c>
      <c r="D238" t="s">
        <v>1080</v>
      </c>
      <c r="E238" t="s">
        <v>1079</v>
      </c>
      <c r="F238" s="360">
        <v>4</v>
      </c>
      <c r="G238" s="360" t="str">
        <f>CONCATENATE(A238," ",B238," ",C238," ","inf+"," ",FanUpsizes!D238," ",FanUpsizes!F238)</f>
        <v>7ACH 5C 1 inf+ Existing 4</v>
      </c>
      <c r="H238" s="360">
        <v>3.7364554400584483E-2</v>
      </c>
      <c r="I238" s="360">
        <v>0.36624052046145794</v>
      </c>
      <c r="J238" s="360">
        <v>1.250210410586809</v>
      </c>
      <c r="K238" s="360">
        <v>1175.6562510107653</v>
      </c>
      <c r="L238" s="360">
        <v>0.3480439827307249</v>
      </c>
      <c r="M238" s="360">
        <v>1.3041158313393124</v>
      </c>
      <c r="N238" s="360">
        <v>1.0893379263847081</v>
      </c>
      <c r="O238" s="360">
        <v>0.36166560671434489</v>
      </c>
      <c r="P238" s="360">
        <v>1.2502164107499583</v>
      </c>
      <c r="Q238" s="360">
        <v>1036.8166447853584</v>
      </c>
      <c r="R238" s="360">
        <v>1175.6562510107653</v>
      </c>
      <c r="S238" s="360">
        <v>0.3480439827307249</v>
      </c>
      <c r="T238" s="360">
        <v>1.3041158313393124</v>
      </c>
      <c r="U238" s="360">
        <v>1.0893379263847081</v>
      </c>
      <c r="V238" s="360">
        <v>0.36166560671434489</v>
      </c>
      <c r="W238" s="360">
        <v>1.2502164107499583</v>
      </c>
      <c r="X238" s="360">
        <v>1036.8166447853584</v>
      </c>
      <c r="Y238" s="360">
        <v>0.36130439323944685</v>
      </c>
      <c r="Z238" s="360">
        <v>1.2435272876523844</v>
      </c>
      <c r="AA238" s="360">
        <v>867.09818115724704</v>
      </c>
      <c r="AB238" s="360">
        <v>0.34779104889732271</v>
      </c>
      <c r="AC238" s="360">
        <v>1.2884595123808313</v>
      </c>
      <c r="AD238" s="360">
        <v>1.062016376106014</v>
      </c>
      <c r="AE238" s="360">
        <v>0.35987511852570825</v>
      </c>
      <c r="AF238" s="360">
        <v>1.2435274617999321</v>
      </c>
      <c r="AG238" s="360">
        <v>729.13353451102023</v>
      </c>
      <c r="AH238" s="360">
        <v>867.09818115724704</v>
      </c>
      <c r="AI238" s="360">
        <v>0.34779104889732271</v>
      </c>
      <c r="AJ238" s="360">
        <v>1.2884595123808313</v>
      </c>
      <c r="AK238" s="360">
        <v>1.062016376106014</v>
      </c>
      <c r="AL238" s="360">
        <v>0.35987511852570825</v>
      </c>
      <c r="AM238" s="360">
        <v>1.2435274617999321</v>
      </c>
      <c r="AN238" s="360">
        <v>729.13353451102023</v>
      </c>
      <c r="AO238" s="360">
        <f t="shared" si="12"/>
        <v>1</v>
      </c>
      <c r="AP238" s="360">
        <f t="shared" si="13"/>
        <v>1</v>
      </c>
      <c r="AQ238" s="360">
        <f t="shared" si="14"/>
        <v>1</v>
      </c>
    </row>
    <row r="239" spans="1:43">
      <c r="A239" s="360" t="s">
        <v>1081</v>
      </c>
      <c r="B239" t="s">
        <v>1075</v>
      </c>
      <c r="C239">
        <v>2</v>
      </c>
      <c r="D239" t="s">
        <v>1080</v>
      </c>
      <c r="E239" t="s">
        <v>1079</v>
      </c>
      <c r="F239" s="360">
        <v>4</v>
      </c>
      <c r="G239" s="360" t="str">
        <f>CONCATENATE(A239," ",B239," ",C239," ","inf+"," ",FanUpsizes!D239," ",FanUpsizes!F239)</f>
        <v>7ACH Percentile 2 inf+ Existing 4</v>
      </c>
      <c r="H239" s="360">
        <v>3.0287311804426582E-2</v>
      </c>
      <c r="I239" s="360">
        <v>0.40983932774301068</v>
      </c>
      <c r="J239" s="360">
        <v>1.1579438090766296</v>
      </c>
      <c r="K239" s="360">
        <v>1469.5598751574278</v>
      </c>
      <c r="L239" s="360">
        <v>0.38298069198264001</v>
      </c>
      <c r="M239" s="360">
        <v>1.2238691443965468</v>
      </c>
      <c r="N239" s="360">
        <v>1.1995243178269492</v>
      </c>
      <c r="O239" s="360">
        <v>0.40133547754748083</v>
      </c>
      <c r="P239" s="360">
        <v>1.1579439091345507</v>
      </c>
      <c r="Q239" s="360">
        <v>1329.6865474830286</v>
      </c>
      <c r="R239" s="360">
        <v>1679.4367684449571</v>
      </c>
      <c r="S239" s="360">
        <v>0.35715446585928923</v>
      </c>
      <c r="T239" s="360">
        <v>1.3484976942420883</v>
      </c>
      <c r="U239" s="360">
        <v>1.8001999509111197</v>
      </c>
      <c r="V239" s="360">
        <v>0.40887947196494051</v>
      </c>
      <c r="W239" s="360">
        <v>1.1579441439037648</v>
      </c>
      <c r="X239" s="360">
        <v>1283.4815132982603</v>
      </c>
      <c r="Y239" s="360">
        <v>0.38024139280799557</v>
      </c>
      <c r="Z239" s="360">
        <v>1.2224068536043313</v>
      </c>
      <c r="AA239" s="360">
        <v>797.76696252064664</v>
      </c>
      <c r="AB239" s="360">
        <v>0.36540467012118183</v>
      </c>
      <c r="AC239" s="360">
        <v>1.2663920052439706</v>
      </c>
      <c r="AD239" s="360">
        <v>1.0939724935138155</v>
      </c>
      <c r="AE239" s="360">
        <v>0.37634387316131146</v>
      </c>
      <c r="AF239" s="360">
        <v>1.222407384095193</v>
      </c>
      <c r="AG239" s="360">
        <v>717.47285351205915</v>
      </c>
      <c r="AH239" s="360">
        <v>1010.504203778561</v>
      </c>
      <c r="AI239" s="360">
        <v>0.33616969275316821</v>
      </c>
      <c r="AJ239" s="360">
        <v>1.4328075646388208</v>
      </c>
      <c r="AK239" s="360">
        <v>1.6313829106001629</v>
      </c>
      <c r="AL239" s="360">
        <v>0.38606703413362609</v>
      </c>
      <c r="AM239" s="360">
        <v>1.2224070060093901</v>
      </c>
      <c r="AN239" s="360">
        <v>649.96329065839632</v>
      </c>
      <c r="AO239" s="360">
        <f t="shared" si="12"/>
        <v>1</v>
      </c>
      <c r="AP239" s="360">
        <f t="shared" si="13"/>
        <v>1</v>
      </c>
      <c r="AQ239" s="360">
        <f t="shared" si="14"/>
        <v>1</v>
      </c>
    </row>
    <row r="240" spans="1:43">
      <c r="A240" s="360" t="s">
        <v>1081</v>
      </c>
      <c r="B240" t="s">
        <v>1074</v>
      </c>
      <c r="C240">
        <v>2</v>
      </c>
      <c r="D240" t="s">
        <v>1080</v>
      </c>
      <c r="E240" t="s">
        <v>1079</v>
      </c>
      <c r="F240" s="360">
        <v>4</v>
      </c>
      <c r="G240" s="360" t="str">
        <f>CONCATENATE(A240," ",B240," ",C240," ","inf+"," ",FanUpsizes!D240," ",FanUpsizes!F240)</f>
        <v>7ACH Infiltration 2 inf+ Existing 4</v>
      </c>
      <c r="H240" s="360">
        <v>3.0287311804426582E-2</v>
      </c>
      <c r="I240" s="360">
        <v>0.40983932774301068</v>
      </c>
      <c r="J240" s="360">
        <v>1.1579438090766296</v>
      </c>
      <c r="K240" s="360">
        <v>16.098325692577205</v>
      </c>
      <c r="L240" s="360">
        <v>0.40966069548617212</v>
      </c>
      <c r="M240" s="360">
        <v>1.1581165504210538</v>
      </c>
      <c r="N240" s="360">
        <v>1.0004312581750807</v>
      </c>
      <c r="O240" s="360">
        <v>0.4097109838918998</v>
      </c>
      <c r="P240" s="360">
        <v>1.1579480263015864</v>
      </c>
      <c r="Q240" s="360">
        <v>15.169199851360398</v>
      </c>
      <c r="R240" s="360">
        <v>774.84729251605643</v>
      </c>
      <c r="S240" s="360">
        <v>0.39535735549217016</v>
      </c>
      <c r="T240" s="360">
        <v>1.1901471272614945</v>
      </c>
      <c r="U240" s="360">
        <v>1.0881857861365862</v>
      </c>
      <c r="V240" s="360">
        <v>0.40445328417568227</v>
      </c>
      <c r="W240" s="360">
        <v>1.1579438745226016</v>
      </c>
      <c r="X240" s="360">
        <v>651.7659590350986</v>
      </c>
      <c r="Y240" s="360">
        <v>0.38024139280799557</v>
      </c>
      <c r="Z240" s="360">
        <v>1.2224068536043313</v>
      </c>
      <c r="AA240" s="360">
        <v>5.7976142528136787</v>
      </c>
      <c r="AB240" s="360">
        <v>0.38017838648364632</v>
      </c>
      <c r="AC240" s="360">
        <v>1.2224802877838556</v>
      </c>
      <c r="AD240" s="360">
        <v>1.0001337728373172</v>
      </c>
      <c r="AE240" s="360">
        <v>0.3801972609368926</v>
      </c>
      <c r="AF240" s="360">
        <v>1.2224076018909831</v>
      </c>
      <c r="AG240" s="360">
        <v>5.4933660160800732</v>
      </c>
      <c r="AH240" s="360">
        <v>612.16673726435181</v>
      </c>
      <c r="AI240" s="360">
        <v>0.36840991602192102</v>
      </c>
      <c r="AJ240" s="360">
        <v>1.256837553127085</v>
      </c>
      <c r="AK240" s="360">
        <v>1.0702168066357292</v>
      </c>
      <c r="AL240" s="360">
        <v>0.37698273474640814</v>
      </c>
      <c r="AM240" s="360">
        <v>1.2224076578985066</v>
      </c>
      <c r="AN240" s="360">
        <v>526.59748811098484</v>
      </c>
      <c r="AO240" s="360">
        <f t="shared" si="12"/>
        <v>1</v>
      </c>
      <c r="AP240" s="360">
        <f t="shared" si="13"/>
        <v>1</v>
      </c>
      <c r="AQ240" s="360">
        <f t="shared" si="14"/>
        <v>1</v>
      </c>
    </row>
    <row r="241" spans="1:43">
      <c r="A241" s="360" t="s">
        <v>1081</v>
      </c>
      <c r="B241" t="s">
        <v>1076</v>
      </c>
      <c r="C241">
        <v>2</v>
      </c>
      <c r="D241" t="s">
        <v>1080</v>
      </c>
      <c r="E241" t="s">
        <v>1079</v>
      </c>
      <c r="F241" s="360">
        <v>4</v>
      </c>
      <c r="G241" s="360" t="str">
        <f>CONCATENATE(A241," ",B241," ",C241," ","inf+"," ",FanUpsizes!D241," ",FanUpsizes!F241)</f>
        <v>7ACH 5C 2 inf+ Existing 4</v>
      </c>
      <c r="H241" s="360">
        <v>3.0287311804426582E-2</v>
      </c>
      <c r="I241" s="360">
        <v>0.40983932774301068</v>
      </c>
      <c r="J241" s="360">
        <v>1.1579438090766296</v>
      </c>
      <c r="K241" s="360">
        <v>952.97449736559963</v>
      </c>
      <c r="L241" s="360">
        <v>0.39508940710691154</v>
      </c>
      <c r="M241" s="360">
        <v>1.1875482968076823</v>
      </c>
      <c r="N241" s="360">
        <v>1.0816866666095439</v>
      </c>
      <c r="O241" s="360">
        <v>0.40349022149359282</v>
      </c>
      <c r="P241" s="360">
        <v>1.1579455713302014</v>
      </c>
      <c r="Q241" s="360">
        <v>853.51463442581189</v>
      </c>
      <c r="R241" s="360">
        <v>1243.2853783525386</v>
      </c>
      <c r="S241" s="360">
        <v>0.38807171130253854</v>
      </c>
      <c r="T241" s="360">
        <v>1.2069120344024793</v>
      </c>
      <c r="U241" s="360">
        <v>1.1409895042377618</v>
      </c>
      <c r="V241" s="360">
        <v>0.40166473235857103</v>
      </c>
      <c r="W241" s="360">
        <v>1.1579450085094822</v>
      </c>
      <c r="X241" s="360">
        <v>1112.5504904715087</v>
      </c>
      <c r="Y241" s="360">
        <v>0.38024139280799557</v>
      </c>
      <c r="Z241" s="360">
        <v>1.2224068536043313</v>
      </c>
      <c r="AA241" s="360">
        <v>478.61238327824236</v>
      </c>
      <c r="AB241" s="360">
        <v>0.37284577618101439</v>
      </c>
      <c r="AC241" s="360">
        <v>1.2402863045566221</v>
      </c>
      <c r="AD241" s="360">
        <v>1.0349797026014658</v>
      </c>
      <c r="AE241" s="360">
        <v>0.37734045377417447</v>
      </c>
      <c r="AF241" s="360">
        <v>1.2224119872263552</v>
      </c>
      <c r="AG241" s="360">
        <v>429.04544909610667</v>
      </c>
      <c r="AH241" s="360">
        <v>740.36251857415652</v>
      </c>
      <c r="AI241" s="360">
        <v>0.36647476336534457</v>
      </c>
      <c r="AJ241" s="360">
        <v>1.2621926600108568</v>
      </c>
      <c r="AK241" s="360">
        <v>1.0831422525682763</v>
      </c>
      <c r="AL241" s="360">
        <v>0.37632913561701464</v>
      </c>
      <c r="AM241" s="360">
        <v>1.222406891279745</v>
      </c>
      <c r="AN241" s="360">
        <v>659.69372029184808</v>
      </c>
      <c r="AO241" s="360">
        <f t="shared" si="12"/>
        <v>1</v>
      </c>
      <c r="AP241" s="360">
        <f t="shared" si="13"/>
        <v>1</v>
      </c>
      <c r="AQ241" s="360">
        <f t="shared" si="14"/>
        <v>1</v>
      </c>
    </row>
    <row r="242" spans="1:43">
      <c r="A242" s="360" t="s">
        <v>1082</v>
      </c>
      <c r="B242" t="s">
        <v>1075</v>
      </c>
      <c r="C242">
        <v>1</v>
      </c>
      <c r="D242" t="s">
        <v>1078</v>
      </c>
      <c r="E242" t="s">
        <v>1079</v>
      </c>
      <c r="F242" s="360">
        <v>4</v>
      </c>
      <c r="G242" s="360" t="str">
        <f>CONCATENATE(A242," ",B242," ",C242," ","inf+"," ",FanUpsizes!D242," ",FanUpsizes!F242)</f>
        <v>5ACH Percentile 1 inf+ New 4</v>
      </c>
      <c r="H242" s="360">
        <v>2.7443253143274629E-2</v>
      </c>
      <c r="I242" s="360">
        <v>0.26499512713362572</v>
      </c>
      <c r="J242" s="360">
        <v>1.2505290520200585</v>
      </c>
      <c r="K242" s="360">
        <v>1331.5643172151388</v>
      </c>
      <c r="L242" s="360">
        <v>0.24065858828810413</v>
      </c>
      <c r="M242" s="360">
        <v>1.3700315868162538</v>
      </c>
      <c r="N242" s="360">
        <v>1.2133084639691984</v>
      </c>
      <c r="O242" s="360">
        <v>0.26330127052544605</v>
      </c>
      <c r="P242" s="360">
        <v>1.2505290849627444</v>
      </c>
      <c r="Q242" s="360">
        <v>1180.2118418607583</v>
      </c>
      <c r="R242" s="360">
        <v>1524.1300244646436</v>
      </c>
      <c r="S242" s="360">
        <v>0.21367761431295079</v>
      </c>
      <c r="T242" s="360">
        <v>1.5863093071625216</v>
      </c>
      <c r="U242" s="360">
        <v>1.8170813379640769</v>
      </c>
      <c r="V242" s="360">
        <v>0.27476053318967836</v>
      </c>
      <c r="W242" s="360">
        <v>1.2505349852691707</v>
      </c>
      <c r="X242" s="360">
        <v>1096.2331149630377</v>
      </c>
      <c r="Y242" s="360">
        <v>0.26246725953431777</v>
      </c>
      <c r="Z242" s="360">
        <v>1.2411870652857013</v>
      </c>
      <c r="AA242" s="360">
        <v>1067.8743992242892</v>
      </c>
      <c r="AB242" s="360">
        <v>0.24249386666582837</v>
      </c>
      <c r="AC242" s="360">
        <v>1.3478587094361345</v>
      </c>
      <c r="AD242" s="360">
        <v>1.1660487879232515</v>
      </c>
      <c r="AE242" s="360">
        <v>0.2640026122334414</v>
      </c>
      <c r="AF242" s="360">
        <v>1.2411875612469647</v>
      </c>
      <c r="AG242" s="360">
        <v>906.30537113849982</v>
      </c>
      <c r="AH242" s="360">
        <v>1321.6541741213998</v>
      </c>
      <c r="AI242" s="360">
        <v>0.20861566647609284</v>
      </c>
      <c r="AJ242" s="360">
        <v>1.6200050618092425</v>
      </c>
      <c r="AK242" s="360">
        <v>1.7731987515415497</v>
      </c>
      <c r="AL242" s="360">
        <v>0.2776318837490242</v>
      </c>
      <c r="AM242" s="360">
        <v>1.2411906367350709</v>
      </c>
      <c r="AN242" s="360">
        <v>813.83100556316163</v>
      </c>
      <c r="AO242" s="360">
        <f t="shared" si="12"/>
        <v>1</v>
      </c>
      <c r="AP242" s="360">
        <f t="shared" si="13"/>
        <v>1</v>
      </c>
      <c r="AQ242" s="360">
        <f t="shared" si="14"/>
        <v>1</v>
      </c>
    </row>
    <row r="243" spans="1:43">
      <c r="A243" s="360" t="s">
        <v>1082</v>
      </c>
      <c r="B243" t="s">
        <v>1074</v>
      </c>
      <c r="C243">
        <v>1</v>
      </c>
      <c r="D243" t="s">
        <v>1078</v>
      </c>
      <c r="E243" t="s">
        <v>1079</v>
      </c>
      <c r="F243" s="360">
        <v>4</v>
      </c>
      <c r="G243" s="360" t="str">
        <f>CONCATENATE(A243," ",B243," ",C243," ","inf+"," ",FanUpsizes!D243," ",FanUpsizes!F243)</f>
        <v>5ACH Infiltration 1 inf+ New 4</v>
      </c>
      <c r="H243" s="360">
        <v>2.7443253143274629E-2</v>
      </c>
      <c r="I243" s="360">
        <v>0.26499512713362572</v>
      </c>
      <c r="J243" s="360">
        <v>1.2505290520200585</v>
      </c>
      <c r="K243" s="360">
        <v>0</v>
      </c>
      <c r="L243" s="360">
        <v>0.26499512713362572</v>
      </c>
      <c r="M243" s="360">
        <v>1.2505290520200585</v>
      </c>
      <c r="N243" s="360">
        <v>1</v>
      </c>
      <c r="O243" s="360">
        <v>0.26499512713362572</v>
      </c>
      <c r="P243" s="360">
        <v>1.2505290520200585</v>
      </c>
      <c r="Q243" s="360">
        <v>0</v>
      </c>
      <c r="R243" s="360">
        <v>402.46844507945593</v>
      </c>
      <c r="S243" s="360">
        <v>0.25888497949473827</v>
      </c>
      <c r="T243" s="360">
        <v>1.2715493564238034</v>
      </c>
      <c r="U243" s="360">
        <v>1.0324664201593683</v>
      </c>
      <c r="V243" s="360">
        <v>0.26275638566560672</v>
      </c>
      <c r="W243" s="360">
        <v>1.2505299898862157</v>
      </c>
      <c r="X243" s="360">
        <v>350.46548823958346</v>
      </c>
      <c r="Y243" s="360">
        <v>0.26246725953431777</v>
      </c>
      <c r="Z243" s="360">
        <v>1.2411870652857013</v>
      </c>
      <c r="AA243" s="360">
        <v>0</v>
      </c>
      <c r="AB243" s="360">
        <v>0.26246725953431777</v>
      </c>
      <c r="AC243" s="360">
        <v>1.2411870652857013</v>
      </c>
      <c r="AD243" s="360">
        <v>1</v>
      </c>
      <c r="AE243" s="360">
        <v>0.26246725953431777</v>
      </c>
      <c r="AF243" s="360">
        <v>1.2411870652857013</v>
      </c>
      <c r="AG243" s="360">
        <v>0</v>
      </c>
      <c r="AH243" s="360">
        <v>429.7092265948753</v>
      </c>
      <c r="AI243" s="360">
        <v>0.25586751198648017</v>
      </c>
      <c r="AJ243" s="360">
        <v>1.2687545988312228</v>
      </c>
      <c r="AK243" s="360">
        <v>1.035831752528132</v>
      </c>
      <c r="AL243" s="360">
        <v>0.26125604938971636</v>
      </c>
      <c r="AM243" s="360">
        <v>1.2411913687331442</v>
      </c>
      <c r="AN243" s="360">
        <v>356.2026220951779</v>
      </c>
      <c r="AO243" s="360">
        <f t="shared" si="12"/>
        <v>1</v>
      </c>
      <c r="AP243" s="360">
        <f t="shared" si="13"/>
        <v>0</v>
      </c>
      <c r="AQ243" s="360">
        <f t="shared" si="14"/>
        <v>0</v>
      </c>
    </row>
    <row r="244" spans="1:43">
      <c r="A244" s="360" t="s">
        <v>1082</v>
      </c>
      <c r="B244" t="s">
        <v>1076</v>
      </c>
      <c r="C244">
        <v>1</v>
      </c>
      <c r="D244" t="s">
        <v>1078</v>
      </c>
      <c r="E244" t="s">
        <v>1079</v>
      </c>
      <c r="F244" s="360">
        <v>4</v>
      </c>
      <c r="G244" s="360" t="str">
        <f>CONCATENATE(A244," ",B244," ",C244," ","inf+"," ",FanUpsizes!D244," ",FanUpsizes!F244)</f>
        <v>5ACH 5C 1 inf+ New 4</v>
      </c>
      <c r="H244" s="360">
        <v>2.7443253143274629E-2</v>
      </c>
      <c r="I244" s="360">
        <v>0.26499512713362572</v>
      </c>
      <c r="J244" s="360">
        <v>1.2505290520200585</v>
      </c>
      <c r="K244" s="360">
        <v>863.48767230197075</v>
      </c>
      <c r="L244" s="360">
        <v>0.25163026304553893</v>
      </c>
      <c r="M244" s="360">
        <v>1.3056049861544612</v>
      </c>
      <c r="N244" s="360">
        <v>1.0898506073621375</v>
      </c>
      <c r="O244" s="360">
        <v>0.26184389629989413</v>
      </c>
      <c r="P244" s="360">
        <v>1.2505290557671822</v>
      </c>
      <c r="Q244" s="360">
        <v>760.19607879922933</v>
      </c>
      <c r="R244" s="360">
        <v>863.48767230197075</v>
      </c>
      <c r="S244" s="360">
        <v>0.25163026304553893</v>
      </c>
      <c r="T244" s="360">
        <v>1.3056049861544612</v>
      </c>
      <c r="U244" s="360">
        <v>1.0898506073621375</v>
      </c>
      <c r="V244" s="360">
        <v>0.26184389629989413</v>
      </c>
      <c r="W244" s="360">
        <v>1.2505290557671822</v>
      </c>
      <c r="X244" s="360">
        <v>760.19607879922933</v>
      </c>
      <c r="Y244" s="360">
        <v>0.26246725953431777</v>
      </c>
      <c r="Z244" s="360">
        <v>1.2411870652857013</v>
      </c>
      <c r="AA244" s="360">
        <v>649.87140157002409</v>
      </c>
      <c r="AB244" s="360">
        <v>0.25233616060577202</v>
      </c>
      <c r="AC244" s="360">
        <v>1.2877095816172348</v>
      </c>
      <c r="AD244" s="360">
        <v>1.063612255326704</v>
      </c>
      <c r="AE244" s="360">
        <v>0.2615180243603582</v>
      </c>
      <c r="AF244" s="360">
        <v>1.2411871768828451</v>
      </c>
      <c r="AG244" s="360">
        <v>544.83381231676344</v>
      </c>
      <c r="AH244" s="360">
        <v>649.87140157002409</v>
      </c>
      <c r="AI244" s="360">
        <v>0.25233616060577202</v>
      </c>
      <c r="AJ244" s="360">
        <v>1.2877095816172348</v>
      </c>
      <c r="AK244" s="360">
        <v>1.063612255326704</v>
      </c>
      <c r="AL244" s="360">
        <v>0.2615180243603582</v>
      </c>
      <c r="AM244" s="360">
        <v>1.2411871768828451</v>
      </c>
      <c r="AN244" s="360">
        <v>544.83381231676344</v>
      </c>
      <c r="AO244" s="360">
        <f t="shared" si="12"/>
        <v>1</v>
      </c>
      <c r="AP244" s="360">
        <f t="shared" si="13"/>
        <v>1</v>
      </c>
      <c r="AQ244" s="360">
        <f t="shared" si="14"/>
        <v>1</v>
      </c>
    </row>
    <row r="245" spans="1:43">
      <c r="A245" s="360" t="s">
        <v>1082</v>
      </c>
      <c r="B245" t="s">
        <v>1075</v>
      </c>
      <c r="C245">
        <v>2</v>
      </c>
      <c r="D245" t="s">
        <v>1078</v>
      </c>
      <c r="E245" t="s">
        <v>1079</v>
      </c>
      <c r="F245" s="360">
        <v>4</v>
      </c>
      <c r="G245" s="360" t="str">
        <f>CONCATENATE(A245," ",B245," ",C245," ","inf+"," ",FanUpsizes!D245," ",FanUpsizes!F245)</f>
        <v>5ACH Percentile 2 inf+ New 4</v>
      </c>
      <c r="H245" s="360">
        <v>2.2388079860304697E-2</v>
      </c>
      <c r="I245" s="360">
        <v>0.29566239430625957</v>
      </c>
      <c r="J245" s="360">
        <v>1.1584139006271268</v>
      </c>
      <c r="K245" s="360">
        <v>1086.2840537638867</v>
      </c>
      <c r="L245" s="360">
        <v>0.2758087577001167</v>
      </c>
      <c r="M245" s="360">
        <v>1.2264031028923894</v>
      </c>
      <c r="N245" s="360">
        <v>1.2023772761767295</v>
      </c>
      <c r="O245" s="360">
        <v>0.28971423083772824</v>
      </c>
      <c r="P245" s="360">
        <v>1.1584157421211496</v>
      </c>
      <c r="Q245" s="360">
        <v>981.36444960840151</v>
      </c>
      <c r="R245" s="360">
        <v>1241.4229673160339</v>
      </c>
      <c r="S245" s="360">
        <v>0.25662391886096775</v>
      </c>
      <c r="T245" s="360">
        <v>1.3505612757567589</v>
      </c>
      <c r="U245" s="360">
        <v>1.7930049864185542</v>
      </c>
      <c r="V245" s="360">
        <v>0.29486818079510435</v>
      </c>
      <c r="W245" s="360">
        <v>1.1584139433167386</v>
      </c>
      <c r="X245" s="360">
        <v>950.70224244636711</v>
      </c>
      <c r="Y245" s="360">
        <v>0.27514958655759986</v>
      </c>
      <c r="Z245" s="360">
        <v>1.2205768359017219</v>
      </c>
      <c r="AA245" s="360">
        <v>606.41057563296249</v>
      </c>
      <c r="AB245" s="360">
        <v>0.26386414749633769</v>
      </c>
      <c r="AC245" s="360">
        <v>1.2669504892480923</v>
      </c>
      <c r="AD245" s="360">
        <v>1.0976998681770753</v>
      </c>
      <c r="AE245" s="360">
        <v>0.27241086008184379</v>
      </c>
      <c r="AF245" s="360">
        <v>1.2205796302807361</v>
      </c>
      <c r="AG245" s="360">
        <v>543.57039027061728</v>
      </c>
      <c r="AH245" s="360">
        <v>766.92972344703128</v>
      </c>
      <c r="AI245" s="360">
        <v>0.24184826835918491</v>
      </c>
      <c r="AJ245" s="360">
        <v>1.4331941177286935</v>
      </c>
      <c r="AK245" s="360">
        <v>1.6276475037861866</v>
      </c>
      <c r="AL245" s="360">
        <v>0.27909458071831222</v>
      </c>
      <c r="AM245" s="360">
        <v>1.2205777027348699</v>
      </c>
      <c r="AN245" s="360">
        <v>497.5467481622332</v>
      </c>
      <c r="AO245" s="360">
        <f t="shared" si="12"/>
        <v>1</v>
      </c>
      <c r="AP245" s="360">
        <f t="shared" si="13"/>
        <v>1</v>
      </c>
      <c r="AQ245" s="360">
        <f t="shared" si="14"/>
        <v>1</v>
      </c>
    </row>
    <row r="246" spans="1:43">
      <c r="A246" s="360" t="s">
        <v>1082</v>
      </c>
      <c r="B246" t="s">
        <v>1074</v>
      </c>
      <c r="C246">
        <v>2</v>
      </c>
      <c r="D246" t="s">
        <v>1078</v>
      </c>
      <c r="E246" t="s">
        <v>1079</v>
      </c>
      <c r="F246" s="360">
        <v>4</v>
      </c>
      <c r="G246" s="360" t="str">
        <f>CONCATENATE(A246," ",B246," ",C246," ","inf+"," ",FanUpsizes!D246," ",FanUpsizes!F246)</f>
        <v>5ACH Infiltration 2 inf+ New 4</v>
      </c>
      <c r="H246" s="360">
        <v>2.2388079860304697E-2</v>
      </c>
      <c r="I246" s="360">
        <v>0.29566239430625957</v>
      </c>
      <c r="J246" s="360">
        <v>1.1584139006271268</v>
      </c>
      <c r="K246" s="360">
        <v>7.7197540217866667</v>
      </c>
      <c r="L246" s="360">
        <v>0.29557750939915484</v>
      </c>
      <c r="M246" s="360">
        <v>1.1585284948168113</v>
      </c>
      <c r="N246" s="360">
        <v>1.0002880591479726</v>
      </c>
      <c r="O246" s="360">
        <v>0.29560254540127306</v>
      </c>
      <c r="P246" s="360">
        <v>1.1584139718988771</v>
      </c>
      <c r="Q246" s="360">
        <v>7.2598010934087434</v>
      </c>
      <c r="R246" s="360">
        <v>547.00190389283819</v>
      </c>
      <c r="S246" s="360">
        <v>0.28569313354963721</v>
      </c>
      <c r="T246" s="360">
        <v>1.1885813253892088</v>
      </c>
      <c r="U246" s="360">
        <v>1.0810196954294178</v>
      </c>
      <c r="V246" s="360">
        <v>0.29196701412812315</v>
      </c>
      <c r="W246" s="360">
        <v>1.1584139934691655</v>
      </c>
      <c r="X246" s="360">
        <v>461.32773221779587</v>
      </c>
      <c r="Y246" s="360">
        <v>0.27514958655759986</v>
      </c>
      <c r="Z246" s="360">
        <v>1.2205768359017219</v>
      </c>
      <c r="AA246" s="360">
        <v>2.9195848976997798</v>
      </c>
      <c r="AB246" s="360">
        <v>0.27511807145745482</v>
      </c>
      <c r="AC246" s="360">
        <v>1.2206285778380277</v>
      </c>
      <c r="AD246" s="360">
        <v>1.0000926767207376</v>
      </c>
      <c r="AE246" s="360">
        <v>0.27512791375228851</v>
      </c>
      <c r="AF246" s="360">
        <v>1.2205773884232041</v>
      </c>
      <c r="AG246" s="360">
        <v>2.7600724338572427</v>
      </c>
      <c r="AH246" s="360">
        <v>440.28958051544225</v>
      </c>
      <c r="AI246" s="360">
        <v>0.26688672649747974</v>
      </c>
      <c r="AJ246" s="360">
        <v>1.2529581879687435</v>
      </c>
      <c r="AK246" s="360">
        <v>1.0643677323474923</v>
      </c>
      <c r="AL246" s="360">
        <v>0.2728668289824176</v>
      </c>
      <c r="AM246" s="360">
        <v>1.2205772906934607</v>
      </c>
      <c r="AN246" s="360">
        <v>378.43072075679748</v>
      </c>
      <c r="AO246" s="360">
        <f t="shared" si="12"/>
        <v>1</v>
      </c>
      <c r="AP246" s="360">
        <f t="shared" si="13"/>
        <v>1</v>
      </c>
      <c r="AQ246" s="360">
        <f t="shared" si="14"/>
        <v>1</v>
      </c>
    </row>
    <row r="247" spans="1:43">
      <c r="A247" s="360" t="s">
        <v>1082</v>
      </c>
      <c r="B247" t="s">
        <v>1076</v>
      </c>
      <c r="C247">
        <v>2</v>
      </c>
      <c r="D247" t="s">
        <v>1078</v>
      </c>
      <c r="E247" t="s">
        <v>1079</v>
      </c>
      <c r="F247" s="360">
        <v>4</v>
      </c>
      <c r="G247" s="360" t="str">
        <f>CONCATENATE(A247," ",B247," ",C247," ","inf+"," ",FanUpsizes!D247," ",FanUpsizes!F247)</f>
        <v>5ACH 5C 2 inf+ New 4</v>
      </c>
      <c r="H247" s="360">
        <v>2.2388079860304697E-2</v>
      </c>
      <c r="I247" s="360">
        <v>0.29566239430625957</v>
      </c>
      <c r="J247" s="360">
        <v>1.1584139006271268</v>
      </c>
      <c r="K247" s="360">
        <v>704.42927684114113</v>
      </c>
      <c r="L247" s="360">
        <v>0.28475939957148555</v>
      </c>
      <c r="M247" s="360">
        <v>1.1890614180912098</v>
      </c>
      <c r="N247" s="360">
        <v>1.0835091600510922</v>
      </c>
      <c r="O247" s="360">
        <v>0.29115014644248816</v>
      </c>
      <c r="P247" s="360">
        <v>1.1584140504182572</v>
      </c>
      <c r="Q247" s="360">
        <v>629.2692517200685</v>
      </c>
      <c r="R247" s="360">
        <v>895.3566653025149</v>
      </c>
      <c r="S247" s="360">
        <v>0.28028407863580151</v>
      </c>
      <c r="T247" s="360">
        <v>1.2060044497970199</v>
      </c>
      <c r="U247" s="360">
        <v>1.1343457133253791</v>
      </c>
      <c r="V247" s="360">
        <v>0.29002251561193665</v>
      </c>
      <c r="W247" s="360">
        <v>1.1584169245646276</v>
      </c>
      <c r="X247" s="360">
        <v>800.09293419379753</v>
      </c>
      <c r="Y247" s="360">
        <v>0.27514958655759986</v>
      </c>
      <c r="Z247" s="360">
        <v>1.2205768359017219</v>
      </c>
      <c r="AA247" s="360">
        <v>364.12449417369589</v>
      </c>
      <c r="AB247" s="360">
        <v>0.26951837997359268</v>
      </c>
      <c r="AC247" s="360">
        <v>1.2396001130618304</v>
      </c>
      <c r="AD247" s="360">
        <v>1.0366895270109679</v>
      </c>
      <c r="AE247" s="360">
        <v>0.27306342764240454</v>
      </c>
      <c r="AF247" s="360">
        <v>1.2205786881527758</v>
      </c>
      <c r="AG247" s="360">
        <v>324.92292489530615</v>
      </c>
      <c r="AH247" s="360">
        <v>538.43079936581626</v>
      </c>
      <c r="AI247" s="360">
        <v>0.26540423020857368</v>
      </c>
      <c r="AJ247" s="360">
        <v>1.2587012321445621</v>
      </c>
      <c r="AK247" s="360">
        <v>1.0777069515242348</v>
      </c>
      <c r="AL247" s="360">
        <v>0.27241231579395531</v>
      </c>
      <c r="AM247" s="360">
        <v>1.2205789257177313</v>
      </c>
      <c r="AN247" s="360">
        <v>478.47575203803655</v>
      </c>
      <c r="AO247" s="360">
        <f t="shared" si="12"/>
        <v>1</v>
      </c>
      <c r="AP247" s="360">
        <f t="shared" si="13"/>
        <v>1</v>
      </c>
      <c r="AQ247" s="360">
        <f t="shared" si="14"/>
        <v>1</v>
      </c>
    </row>
    <row r="248" spans="1:43">
      <c r="A248" s="360" t="s">
        <v>1082</v>
      </c>
      <c r="B248" t="s">
        <v>1075</v>
      </c>
      <c r="C248">
        <v>1</v>
      </c>
      <c r="D248" t="s">
        <v>1080</v>
      </c>
      <c r="E248" t="s">
        <v>1079</v>
      </c>
      <c r="F248" s="360">
        <v>4</v>
      </c>
      <c r="G248" s="360" t="str">
        <f>CONCATENATE(A248," ",B248," ",C248," ","inf+"," ",FanUpsizes!D248," ",FanUpsizes!F248)</f>
        <v>5ACH Percentile 1 inf+ Existing 4</v>
      </c>
      <c r="H248" s="360">
        <v>4.369325314327463E-2</v>
      </c>
      <c r="I248" s="360">
        <v>0.34909598514366069</v>
      </c>
      <c r="J248" s="360">
        <v>1.2725703556930115</v>
      </c>
      <c r="K248" s="360">
        <v>2146.8578867680121</v>
      </c>
      <c r="L248" s="360">
        <v>0.30961082355952085</v>
      </c>
      <c r="M248" s="360">
        <v>1.4802218661298527</v>
      </c>
      <c r="N248" s="360">
        <v>1.283401434531104</v>
      </c>
      <c r="O248" s="360">
        <v>0.3715357046324152</v>
      </c>
      <c r="P248" s="360">
        <v>1.2725703962660562</v>
      </c>
      <c r="Q248" s="360">
        <v>1682.4059811479619</v>
      </c>
      <c r="R248" s="360">
        <v>2523.1025635684891</v>
      </c>
      <c r="S248" s="360">
        <v>0.25587407081935826</v>
      </c>
      <c r="T248" s="360">
        <v>1.8298751799197568</v>
      </c>
      <c r="U248" s="360">
        <v>1.9928420526342678</v>
      </c>
      <c r="V248" s="360">
        <v>0.40570727839910348</v>
      </c>
      <c r="W248" s="360">
        <v>1.2725706258778022</v>
      </c>
      <c r="X248" s="360">
        <v>1442.0741518552434</v>
      </c>
      <c r="Y248" s="360">
        <v>0.36442875833297922</v>
      </c>
      <c r="Z248" s="360">
        <v>1.2133827056609441</v>
      </c>
      <c r="AA248" s="360">
        <v>2258.3127860725372</v>
      </c>
      <c r="AB248" s="360">
        <v>0.32221576358229653</v>
      </c>
      <c r="AC248" s="360">
        <v>1.4289554732544283</v>
      </c>
      <c r="AD248" s="360">
        <v>1.320160109583268</v>
      </c>
      <c r="AE248" s="360">
        <v>0.39516695927260675</v>
      </c>
      <c r="AF248" s="360">
        <v>1.2133866125828607</v>
      </c>
      <c r="AG248" s="360">
        <v>1700.9176737773846</v>
      </c>
      <c r="AH248" s="360">
        <v>2733.6724407850029</v>
      </c>
      <c r="AI248" s="360">
        <v>0.26056543722125647</v>
      </c>
      <c r="AJ248" s="360">
        <v>1.8040012486056345</v>
      </c>
      <c r="AK248" s="360">
        <v>2.0697318930227615</v>
      </c>
      <c r="AL248" s="360">
        <v>0.43077754238920701</v>
      </c>
      <c r="AM248" s="360">
        <v>1.2133827754288569</v>
      </c>
      <c r="AN248" s="360">
        <v>1456.8621277299198</v>
      </c>
      <c r="AO248" s="360">
        <f t="shared" si="12"/>
        <v>1</v>
      </c>
      <c r="AP248" s="360">
        <f t="shared" si="13"/>
        <v>1</v>
      </c>
      <c r="AQ248" s="360">
        <f t="shared" si="14"/>
        <v>1</v>
      </c>
    </row>
    <row r="249" spans="1:43">
      <c r="A249" s="360" t="s">
        <v>1082</v>
      </c>
      <c r="B249" t="s">
        <v>1074</v>
      </c>
      <c r="C249">
        <v>1</v>
      </c>
      <c r="D249" t="s">
        <v>1080</v>
      </c>
      <c r="E249" t="s">
        <v>1079</v>
      </c>
      <c r="F249" s="360">
        <v>4</v>
      </c>
      <c r="G249" s="360" t="str">
        <f>CONCATENATE(A249," ",B249," ",C249," ","inf+"," ",FanUpsizes!D249," ",FanUpsizes!F249)</f>
        <v>5ACH Infiltration 1 inf+ Existing 4</v>
      </c>
      <c r="H249" s="360">
        <v>4.369325314327463E-2</v>
      </c>
      <c r="I249" s="360">
        <v>0.34909598514366069</v>
      </c>
      <c r="J249" s="360">
        <v>1.2725703556930115</v>
      </c>
      <c r="K249" s="360">
        <v>0</v>
      </c>
      <c r="L249" s="360">
        <v>0.34909598514366069</v>
      </c>
      <c r="M249" s="360">
        <v>1.2725703556930115</v>
      </c>
      <c r="N249" s="360">
        <v>1</v>
      </c>
      <c r="O249" s="360">
        <v>0.34909598514366069</v>
      </c>
      <c r="P249" s="360">
        <v>1.2725703556930115</v>
      </c>
      <c r="Q249" s="360">
        <v>0</v>
      </c>
      <c r="R249" s="360">
        <v>82.11501107882772</v>
      </c>
      <c r="S249" s="360">
        <v>0.34811120499867093</v>
      </c>
      <c r="T249" s="360">
        <v>1.2747239004848747</v>
      </c>
      <c r="U249" s="360">
        <v>1.0022060629338756</v>
      </c>
      <c r="V249" s="360">
        <v>0.34866939140524422</v>
      </c>
      <c r="W249" s="360">
        <v>1.2725714936521728</v>
      </c>
      <c r="X249" s="360">
        <v>73.591645267335977</v>
      </c>
      <c r="Y249" s="360">
        <v>0.36442875833297922</v>
      </c>
      <c r="Z249" s="360">
        <v>1.2133827056609441</v>
      </c>
      <c r="AA249" s="360">
        <v>0</v>
      </c>
      <c r="AB249" s="360">
        <v>0.36442875833297922</v>
      </c>
      <c r="AC249" s="360">
        <v>1.2133827056609441</v>
      </c>
      <c r="AD249" s="360">
        <v>1</v>
      </c>
      <c r="AE249" s="360">
        <v>0.36442875833297922</v>
      </c>
      <c r="AF249" s="360">
        <v>1.2133827056609441</v>
      </c>
      <c r="AG249" s="360">
        <v>0</v>
      </c>
      <c r="AH249" s="360">
        <v>95.392056930576373</v>
      </c>
      <c r="AI249" s="360">
        <v>0.36328319089836864</v>
      </c>
      <c r="AJ249" s="360">
        <v>1.2163458586985565</v>
      </c>
      <c r="AK249" s="360">
        <v>1.0030373325124198</v>
      </c>
      <c r="AL249" s="360">
        <v>0.3641519358682595</v>
      </c>
      <c r="AM249" s="360">
        <v>1.2133841812233375</v>
      </c>
      <c r="AN249" s="360">
        <v>80.189391291279065</v>
      </c>
      <c r="AO249" s="360">
        <f t="shared" si="12"/>
        <v>1</v>
      </c>
      <c r="AP249" s="360">
        <f t="shared" si="13"/>
        <v>0</v>
      </c>
      <c r="AQ249" s="360">
        <f t="shared" si="14"/>
        <v>0</v>
      </c>
    </row>
    <row r="250" spans="1:43">
      <c r="A250" s="360" t="s">
        <v>1082</v>
      </c>
      <c r="B250" t="s">
        <v>1076</v>
      </c>
      <c r="C250">
        <v>1</v>
      </c>
      <c r="D250" t="s">
        <v>1080</v>
      </c>
      <c r="E250" t="s">
        <v>1079</v>
      </c>
      <c r="F250" s="360">
        <v>4</v>
      </c>
      <c r="G250" s="360" t="str">
        <f>CONCATENATE(A250," ",B250," ",C250," ","inf+"," ",FanUpsizes!D250," ",FanUpsizes!F250)</f>
        <v>5ACH 5C 1 inf+ Existing 4</v>
      </c>
      <c r="H250" s="360">
        <v>4.369325314327463E-2</v>
      </c>
      <c r="I250" s="360">
        <v>0.34909598514366069</v>
      </c>
      <c r="J250" s="360">
        <v>1.2725703556930115</v>
      </c>
      <c r="K250" s="360">
        <v>1374.9757993849857</v>
      </c>
      <c r="L250" s="360">
        <v>0.32781299655683277</v>
      </c>
      <c r="M250" s="360">
        <v>1.369987603775624</v>
      </c>
      <c r="N250" s="360">
        <v>1.1113668873518174</v>
      </c>
      <c r="O250" s="360">
        <v>0.3544227517055823</v>
      </c>
      <c r="P250" s="360">
        <v>1.2725704519334691</v>
      </c>
      <c r="Q250" s="360">
        <v>1077.7483276406838</v>
      </c>
      <c r="R250" s="360">
        <v>1374.9757993849857</v>
      </c>
      <c r="S250" s="360">
        <v>0.32781299655683277</v>
      </c>
      <c r="T250" s="360">
        <v>1.369987603775624</v>
      </c>
      <c r="U250" s="360">
        <v>1.1113668873518174</v>
      </c>
      <c r="V250" s="360">
        <v>0.3544227517055823</v>
      </c>
      <c r="W250" s="360">
        <v>1.2725704519334691</v>
      </c>
      <c r="X250" s="360">
        <v>1077.7483276406838</v>
      </c>
      <c r="Y250" s="360">
        <v>0.36442875833297922</v>
      </c>
      <c r="Z250" s="360">
        <v>1.2133827056609441</v>
      </c>
      <c r="AA250" s="360">
        <v>1396.8334500247236</v>
      </c>
      <c r="AB250" s="360">
        <v>0.3425857365073679</v>
      </c>
      <c r="AC250" s="360">
        <v>1.312434177097852</v>
      </c>
      <c r="AD250" s="360">
        <v>1.1193144053562132</v>
      </c>
      <c r="AE250" s="360">
        <v>0.37311277206277416</v>
      </c>
      <c r="AF250" s="360">
        <v>1.2133828093640162</v>
      </c>
      <c r="AG250" s="360">
        <v>1038.243995788552</v>
      </c>
      <c r="AH250" s="360">
        <v>1396.8334500247236</v>
      </c>
      <c r="AI250" s="360">
        <v>0.3425857365073679</v>
      </c>
      <c r="AJ250" s="360">
        <v>1.312434177097852</v>
      </c>
      <c r="AK250" s="360">
        <v>1.1193144053562132</v>
      </c>
      <c r="AL250" s="360">
        <v>0.37311277206277416</v>
      </c>
      <c r="AM250" s="360">
        <v>1.2133828093640162</v>
      </c>
      <c r="AN250" s="360">
        <v>1038.243995788552</v>
      </c>
      <c r="AO250" s="360">
        <f t="shared" si="12"/>
        <v>1</v>
      </c>
      <c r="AP250" s="360">
        <f t="shared" si="13"/>
        <v>1</v>
      </c>
      <c r="AQ250" s="360">
        <f t="shared" si="14"/>
        <v>1</v>
      </c>
    </row>
    <row r="251" spans="1:43">
      <c r="A251" s="360" t="s">
        <v>1082</v>
      </c>
      <c r="B251" t="s">
        <v>1075</v>
      </c>
      <c r="C251">
        <v>2</v>
      </c>
      <c r="D251" t="s">
        <v>1080</v>
      </c>
      <c r="E251" t="s">
        <v>1079</v>
      </c>
      <c r="F251" s="360">
        <v>4</v>
      </c>
      <c r="G251" s="360" t="str">
        <f>CONCATENATE(A251," ",B251," ",C251," ","inf+"," ",FanUpsizes!D251," ",FanUpsizes!F251)</f>
        <v>5ACH Percentile 2 inf+ Existing 4</v>
      </c>
      <c r="H251" s="360">
        <v>3.8638079860304694E-2</v>
      </c>
      <c r="I251" s="360">
        <v>0.36432455577777179</v>
      </c>
      <c r="J251" s="360">
        <v>1.2513427549366813</v>
      </c>
      <c r="K251" s="360">
        <v>1874.7445195031391</v>
      </c>
      <c r="L251" s="360">
        <v>0.33006050091053268</v>
      </c>
      <c r="M251" s="360">
        <v>1.382247378155067</v>
      </c>
      <c r="N251" s="360">
        <v>1.2243010693679872</v>
      </c>
      <c r="O251" s="360">
        <v>0.36479636781941954</v>
      </c>
      <c r="P251" s="360">
        <v>1.2513428980088777</v>
      </c>
      <c r="Q251" s="360">
        <v>1635.9766933302278</v>
      </c>
      <c r="R251" s="360">
        <v>2149.0889310653515</v>
      </c>
      <c r="S251" s="360">
        <v>0.29133979974305196</v>
      </c>
      <c r="T251" s="360">
        <v>1.613585239983373</v>
      </c>
      <c r="U251" s="360">
        <v>1.8473565206213738</v>
      </c>
      <c r="V251" s="360">
        <v>0.38356981407973106</v>
      </c>
      <c r="W251" s="360">
        <v>1.2513458026797044</v>
      </c>
      <c r="X251" s="360">
        <v>1500.0790505365314</v>
      </c>
      <c r="Y251" s="360">
        <v>0.36330020431237459</v>
      </c>
      <c r="Z251" s="360">
        <v>1.2333370208507313</v>
      </c>
      <c r="AA251" s="360">
        <v>1570.6197637377666</v>
      </c>
      <c r="AB251" s="360">
        <v>0.33392156116618543</v>
      </c>
      <c r="AC251" s="360">
        <v>1.3542161102210388</v>
      </c>
      <c r="AD251" s="360">
        <v>1.1883636262985222</v>
      </c>
      <c r="AE251" s="360">
        <v>0.36871847139279529</v>
      </c>
      <c r="AF251" s="360">
        <v>1.2333378547861449</v>
      </c>
      <c r="AG251" s="360">
        <v>1307.9474584641539</v>
      </c>
      <c r="AH251" s="360">
        <v>1935.8001033189123</v>
      </c>
      <c r="AI251" s="360">
        <v>0.28559493122925234</v>
      </c>
      <c r="AJ251" s="360">
        <v>1.6395997536150755</v>
      </c>
      <c r="AK251" s="360">
        <v>1.8200352828091517</v>
      </c>
      <c r="AL251" s="360">
        <v>0.39024684450253577</v>
      </c>
      <c r="AM251" s="360">
        <v>1.2333418201729878</v>
      </c>
      <c r="AN251" s="360">
        <v>1161.5637053506696</v>
      </c>
      <c r="AO251" s="360">
        <f t="shared" si="12"/>
        <v>1</v>
      </c>
      <c r="AP251" s="360">
        <f t="shared" si="13"/>
        <v>1</v>
      </c>
      <c r="AQ251" s="360">
        <f t="shared" si="14"/>
        <v>1</v>
      </c>
    </row>
    <row r="252" spans="1:43">
      <c r="A252" s="360" t="s">
        <v>1082</v>
      </c>
      <c r="B252" t="s">
        <v>1074</v>
      </c>
      <c r="C252">
        <v>2</v>
      </c>
      <c r="D252" t="s">
        <v>1080</v>
      </c>
      <c r="E252" t="s">
        <v>1079</v>
      </c>
      <c r="F252" s="360">
        <v>4</v>
      </c>
      <c r="G252" s="360" t="str">
        <f>CONCATENATE(A252," ",B252," ",C252," ","inf+"," ",FanUpsizes!D252," ",FanUpsizes!F252)</f>
        <v>5ACH Infiltration 2 inf+ Existing 4</v>
      </c>
      <c r="H252" s="360">
        <v>3.8638079860304694E-2</v>
      </c>
      <c r="I252" s="360">
        <v>0.36432455577777179</v>
      </c>
      <c r="J252" s="360">
        <v>1.2513427549366813</v>
      </c>
      <c r="K252" s="360">
        <v>0</v>
      </c>
      <c r="L252" s="360">
        <v>0.36432455577777179</v>
      </c>
      <c r="M252" s="360">
        <v>1.2513427549366813</v>
      </c>
      <c r="N252" s="360">
        <v>1</v>
      </c>
      <c r="O252" s="360">
        <v>0.36432455577777179</v>
      </c>
      <c r="P252" s="360">
        <v>1.2513427549366813</v>
      </c>
      <c r="Q252" s="360">
        <v>0</v>
      </c>
      <c r="R252" s="360">
        <v>467.25237960366434</v>
      </c>
      <c r="S252" s="360">
        <v>0.35751243845618536</v>
      </c>
      <c r="T252" s="360">
        <v>1.2684948973588559</v>
      </c>
      <c r="U252" s="360">
        <v>1.0249640044788479</v>
      </c>
      <c r="V252" s="360">
        <v>0.36185056833902834</v>
      </c>
      <c r="W252" s="360">
        <v>1.2513427730408002</v>
      </c>
      <c r="X252" s="360">
        <v>407.60546790892704</v>
      </c>
      <c r="Y252" s="360">
        <v>0.36330020431237459</v>
      </c>
      <c r="Z252" s="360">
        <v>1.2333370208507313</v>
      </c>
      <c r="AA252" s="360">
        <v>0</v>
      </c>
      <c r="AB252" s="360">
        <v>0.36330020431237459</v>
      </c>
      <c r="AC252" s="360">
        <v>1.2333370208507313</v>
      </c>
      <c r="AD252" s="360">
        <v>1</v>
      </c>
      <c r="AE252" s="360">
        <v>0.36330020431237459</v>
      </c>
      <c r="AF252" s="360">
        <v>1.2333370208507313</v>
      </c>
      <c r="AG252" s="360">
        <v>0</v>
      </c>
      <c r="AH252" s="360">
        <v>511.53014913346607</v>
      </c>
      <c r="AI252" s="360">
        <v>0.35576183396394134</v>
      </c>
      <c r="AJ252" s="360">
        <v>1.256401774826684</v>
      </c>
      <c r="AK252" s="360">
        <v>1.028930155840478</v>
      </c>
      <c r="AL252" s="360">
        <v>0.36206998406058927</v>
      </c>
      <c r="AM252" s="360">
        <v>1.2333378901296181</v>
      </c>
      <c r="AN252" s="360">
        <v>420.42575992996149</v>
      </c>
      <c r="AO252" s="360">
        <f t="shared" si="12"/>
        <v>1</v>
      </c>
      <c r="AP252" s="360">
        <f t="shared" si="13"/>
        <v>0</v>
      </c>
      <c r="AQ252" s="360">
        <f t="shared" si="14"/>
        <v>0</v>
      </c>
    </row>
    <row r="253" spans="1:43">
      <c r="A253" s="360" t="s">
        <v>1082</v>
      </c>
      <c r="B253" t="s">
        <v>1076</v>
      </c>
      <c r="C253">
        <v>2</v>
      </c>
      <c r="D253" t="s">
        <v>1080</v>
      </c>
      <c r="E253" t="s">
        <v>1079</v>
      </c>
      <c r="F253" s="360">
        <v>4</v>
      </c>
      <c r="G253" s="360" t="str">
        <f>CONCATENATE(A253," ",B253," ",C253," ","inf+"," ",FanUpsizes!D253," ",FanUpsizes!F253)</f>
        <v>5ACH 5C 2 inf+ Existing 4</v>
      </c>
      <c r="H253" s="360">
        <v>3.8638079860304694E-2</v>
      </c>
      <c r="I253" s="360">
        <v>0.36432455577777179</v>
      </c>
      <c r="J253" s="360">
        <v>1.2513427549366813</v>
      </c>
      <c r="K253" s="360">
        <v>1215.7270665620354</v>
      </c>
      <c r="L253" s="360">
        <v>0.34550781115709411</v>
      </c>
      <c r="M253" s="360">
        <v>1.3119296961902032</v>
      </c>
      <c r="N253" s="360">
        <v>1.0942217489603079</v>
      </c>
      <c r="O253" s="360">
        <v>0.36103804282067758</v>
      </c>
      <c r="P253" s="360">
        <v>1.2513427580493792</v>
      </c>
      <c r="Q253" s="360">
        <v>1058.5282528124376</v>
      </c>
      <c r="R253" s="360">
        <v>1215.7270665620354</v>
      </c>
      <c r="S253" s="360">
        <v>0.34550781115709411</v>
      </c>
      <c r="T253" s="360">
        <v>1.3119296961902032</v>
      </c>
      <c r="U253" s="360">
        <v>1.0942217489603079</v>
      </c>
      <c r="V253" s="360">
        <v>0.36103804282067758</v>
      </c>
      <c r="W253" s="360">
        <v>1.2513427580493792</v>
      </c>
      <c r="X253" s="360">
        <v>1058.5282528124376</v>
      </c>
      <c r="Y253" s="360">
        <v>0.36330020431237459</v>
      </c>
      <c r="Z253" s="360">
        <v>1.2333370208507313</v>
      </c>
      <c r="AA253" s="360">
        <v>958.89566298772729</v>
      </c>
      <c r="AB253" s="360">
        <v>0.34834106231415168</v>
      </c>
      <c r="AC253" s="360">
        <v>1.2865109251515989</v>
      </c>
      <c r="AD253" s="360">
        <v>1.0716788127324672</v>
      </c>
      <c r="AE253" s="360">
        <v>0.363107776723255</v>
      </c>
      <c r="AF253" s="360">
        <v>1.2333378057658384</v>
      </c>
      <c r="AG253" s="360">
        <v>788.81876018375897</v>
      </c>
      <c r="AH253" s="360">
        <v>958.89566298772729</v>
      </c>
      <c r="AI253" s="360">
        <v>0.34834106231415168</v>
      </c>
      <c r="AJ253" s="360">
        <v>1.2865109251515989</v>
      </c>
      <c r="AK253" s="360">
        <v>1.0716788127324672</v>
      </c>
      <c r="AL253" s="360">
        <v>0.363107776723255</v>
      </c>
      <c r="AM253" s="360">
        <v>1.2333378057658384</v>
      </c>
      <c r="AN253" s="360">
        <v>788.81876018375897</v>
      </c>
      <c r="AO253" s="360">
        <f t="shared" si="12"/>
        <v>1</v>
      </c>
      <c r="AP253" s="360">
        <f t="shared" si="13"/>
        <v>1</v>
      </c>
      <c r="AQ253" s="360">
        <f t="shared" si="14"/>
        <v>1</v>
      </c>
    </row>
    <row r="254" spans="1:43">
      <c r="A254" s="360" t="s">
        <v>1083</v>
      </c>
      <c r="B254" t="s">
        <v>1075</v>
      </c>
      <c r="C254">
        <v>1</v>
      </c>
      <c r="D254" t="s">
        <v>1078</v>
      </c>
      <c r="E254" t="s">
        <v>1079</v>
      </c>
      <c r="F254" s="360">
        <v>4</v>
      </c>
      <c r="G254" s="360" t="str">
        <f>CONCATENATE(A254," ",B254," ",C254," ","inf+"," ",FanUpsizes!D254," ",FanUpsizes!F254)</f>
        <v>3ACH Percentile 1 inf+ New 4</v>
      </c>
      <c r="H254" s="360">
        <v>3.3771951885964775E-2</v>
      </c>
      <c r="I254" s="360">
        <v>0.25643713601369739</v>
      </c>
      <c r="J254" s="360">
        <v>1.24942760310005</v>
      </c>
      <c r="K254" s="360">
        <v>1765.3507392426566</v>
      </c>
      <c r="L254" s="360">
        <v>0.22357848218280024</v>
      </c>
      <c r="M254" s="360">
        <v>1.5226292492049736</v>
      </c>
      <c r="N254" s="360">
        <v>1.363280525314744</v>
      </c>
      <c r="O254" s="360">
        <v>0.28989759764452033</v>
      </c>
      <c r="P254" s="360">
        <v>1.2494336593181348</v>
      </c>
      <c r="Q254" s="360">
        <v>1254.3640203990929</v>
      </c>
      <c r="R254" s="360">
        <v>2107.7026506633829</v>
      </c>
      <c r="S254" s="360">
        <v>0.17733959435923688</v>
      </c>
      <c r="T254" s="360">
        <v>1.9428244067919271</v>
      </c>
      <c r="U254" s="360">
        <v>2.1636592820390543</v>
      </c>
      <c r="V254" s="360">
        <v>0.3229793869336991</v>
      </c>
      <c r="W254" s="360">
        <v>1.2494276449183159</v>
      </c>
      <c r="X254" s="360">
        <v>1025.4856517936387</v>
      </c>
      <c r="Y254" s="360">
        <v>0.26953206798415791</v>
      </c>
      <c r="Z254" s="360">
        <v>1.1882174306166517</v>
      </c>
      <c r="AA254" s="360">
        <v>1974.8102615623084</v>
      </c>
      <c r="AB254" s="360">
        <v>0.23267069079733521</v>
      </c>
      <c r="AC254" s="360">
        <v>1.4746009291867734</v>
      </c>
      <c r="AD254" s="360">
        <v>1.4326103910673946</v>
      </c>
      <c r="AE254" s="360">
        <v>0.31115794055587942</v>
      </c>
      <c r="AF254" s="360">
        <v>1.1882180164767515</v>
      </c>
      <c r="AG254" s="360">
        <v>1371.9868814304941</v>
      </c>
      <c r="AH254" s="360">
        <v>2364.4139085747615</v>
      </c>
      <c r="AI254" s="360">
        <v>0.18270135424611647</v>
      </c>
      <c r="AJ254" s="360">
        <v>1.8969448550817114</v>
      </c>
      <c r="AK254" s="360">
        <v>2.2764664135536203</v>
      </c>
      <c r="AL254" s="360">
        <v>0.34525406121272134</v>
      </c>
      <c r="AM254" s="360">
        <v>1.1882179410884002</v>
      </c>
      <c r="AN254" s="360">
        <v>1136.598273863978</v>
      </c>
      <c r="AO254" s="360">
        <f t="shared" si="12"/>
        <v>1</v>
      </c>
      <c r="AP254" s="360">
        <f t="shared" si="13"/>
        <v>1</v>
      </c>
      <c r="AQ254" s="360">
        <f t="shared" si="14"/>
        <v>1</v>
      </c>
    </row>
    <row r="255" spans="1:43">
      <c r="A255" s="360" t="s">
        <v>1083</v>
      </c>
      <c r="B255" t="s">
        <v>1074</v>
      </c>
      <c r="C255">
        <v>1</v>
      </c>
      <c r="D255" t="s">
        <v>1078</v>
      </c>
      <c r="E255" t="s">
        <v>1079</v>
      </c>
      <c r="F255" s="360">
        <v>4</v>
      </c>
      <c r="G255" s="360" t="str">
        <f>CONCATENATE(A255," ",B255," ",C255," ","inf+"," ",FanUpsizes!D255," ",FanUpsizes!F255)</f>
        <v>3ACH Infiltration 1 inf+ New 4</v>
      </c>
      <c r="H255" s="360">
        <v>3.3771951885964775E-2</v>
      </c>
      <c r="I255" s="360">
        <v>0.25643713601369739</v>
      </c>
      <c r="J255" s="360">
        <v>1.24942760310005</v>
      </c>
      <c r="K255" s="360">
        <v>0</v>
      </c>
      <c r="L255" s="360">
        <v>0.25643713601369739</v>
      </c>
      <c r="M255" s="360">
        <v>1.24942760310005</v>
      </c>
      <c r="N255" s="360">
        <v>1</v>
      </c>
      <c r="O255" s="360">
        <v>0.25643713601369739</v>
      </c>
      <c r="P255" s="360">
        <v>1.24942760310005</v>
      </c>
      <c r="Q255" s="360">
        <v>0</v>
      </c>
      <c r="R255" s="360">
        <v>0</v>
      </c>
      <c r="S255" s="360">
        <v>0.25643713601369739</v>
      </c>
      <c r="T255" s="360">
        <v>1.24942760310005</v>
      </c>
      <c r="U255" s="360">
        <v>1</v>
      </c>
      <c r="V255" s="360">
        <v>0.25643713601369739</v>
      </c>
      <c r="W255" s="360">
        <v>1.24942760310005</v>
      </c>
      <c r="X255" s="360">
        <v>0</v>
      </c>
      <c r="Y255" s="360">
        <v>0.26953206798415791</v>
      </c>
      <c r="Z255" s="360">
        <v>1.1882174306166517</v>
      </c>
      <c r="AA255" s="360">
        <v>0</v>
      </c>
      <c r="AB255" s="360">
        <v>0.26953206798415791</v>
      </c>
      <c r="AC255" s="360">
        <v>1.1882174306166517</v>
      </c>
      <c r="AD255" s="360">
        <v>1</v>
      </c>
      <c r="AE255" s="360">
        <v>0.26953206798415791</v>
      </c>
      <c r="AF255" s="360">
        <v>1.1882174306166517</v>
      </c>
      <c r="AG255" s="360">
        <v>0</v>
      </c>
      <c r="AH255" s="360">
        <v>0</v>
      </c>
      <c r="AI255" s="360">
        <v>0.26953206798415791</v>
      </c>
      <c r="AJ255" s="360">
        <v>1.1882174306166517</v>
      </c>
      <c r="AK255" s="360">
        <v>1</v>
      </c>
      <c r="AL255" s="360">
        <v>0.26953206798415791</v>
      </c>
      <c r="AM255" s="360">
        <v>1.1882174306166517</v>
      </c>
      <c r="AN255" s="360">
        <v>0</v>
      </c>
      <c r="AO255" s="360">
        <f t="shared" si="12"/>
        <v>1</v>
      </c>
      <c r="AP255" s="360">
        <f t="shared" si="13"/>
        <v>0</v>
      </c>
      <c r="AQ255" s="360">
        <f t="shared" si="14"/>
        <v>0</v>
      </c>
    </row>
    <row r="256" spans="1:43">
      <c r="A256" s="360" t="s">
        <v>1083</v>
      </c>
      <c r="B256" t="s">
        <v>1076</v>
      </c>
      <c r="C256">
        <v>1</v>
      </c>
      <c r="D256" t="s">
        <v>1078</v>
      </c>
      <c r="E256" t="s">
        <v>1079</v>
      </c>
      <c r="F256" s="360">
        <v>4</v>
      </c>
      <c r="G256" s="360" t="str">
        <f>CONCATENATE(A256," ",B256," ",C256," ","inf+"," ",FanUpsizes!D256," ",FanUpsizes!F256)</f>
        <v>3ACH 5C 1 inf+ New 4</v>
      </c>
      <c r="H256" s="360">
        <v>3.3771951885964775E-2</v>
      </c>
      <c r="I256" s="360">
        <v>0.25643713601369739</v>
      </c>
      <c r="J256" s="360">
        <v>1.24942760310005</v>
      </c>
      <c r="K256" s="360">
        <v>1100.4904872972731</v>
      </c>
      <c r="L256" s="360">
        <v>0.23932000188885139</v>
      </c>
      <c r="M256" s="360">
        <v>1.3773320059692045</v>
      </c>
      <c r="N256" s="360">
        <v>1.1365884951898493</v>
      </c>
      <c r="O256" s="360">
        <v>0.26700943642043473</v>
      </c>
      <c r="P256" s="360">
        <v>1.2494279952017573</v>
      </c>
      <c r="Q256" s="360">
        <v>776.10241347134547</v>
      </c>
      <c r="R256" s="360">
        <v>1100.4904872972731</v>
      </c>
      <c r="S256" s="360">
        <v>0.23932000188885139</v>
      </c>
      <c r="T256" s="360">
        <v>1.3773320059692045</v>
      </c>
      <c r="U256" s="360">
        <v>1.1365884951898493</v>
      </c>
      <c r="V256" s="360">
        <v>0.26700943642043473</v>
      </c>
      <c r="W256" s="360">
        <v>1.2494279952017573</v>
      </c>
      <c r="X256" s="360">
        <v>776.10241347134547</v>
      </c>
      <c r="Y256" s="360">
        <v>0.26953206798415791</v>
      </c>
      <c r="Z256" s="360">
        <v>1.1882174306166517</v>
      </c>
      <c r="AA256" s="360">
        <v>1231.823795794319</v>
      </c>
      <c r="AB256" s="360">
        <v>0.25025984892866537</v>
      </c>
      <c r="AC256" s="360">
        <v>1.3229590323968363</v>
      </c>
      <c r="AD256" s="360">
        <v>1.1590925889324297</v>
      </c>
      <c r="AE256" s="360">
        <v>0.28280943745935866</v>
      </c>
      <c r="AF256" s="360">
        <v>1.188217523976794</v>
      </c>
      <c r="AG256" s="360">
        <v>846.05157250833577</v>
      </c>
      <c r="AH256" s="360">
        <v>1231.823795794319</v>
      </c>
      <c r="AI256" s="360">
        <v>0.25025984892866537</v>
      </c>
      <c r="AJ256" s="360">
        <v>1.3229590323968363</v>
      </c>
      <c r="AK256" s="360">
        <v>1.1590925889324297</v>
      </c>
      <c r="AL256" s="360">
        <v>0.28280943745935866</v>
      </c>
      <c r="AM256" s="360">
        <v>1.188217523976794</v>
      </c>
      <c r="AN256" s="360">
        <v>846.05157250833577</v>
      </c>
      <c r="AO256" s="360">
        <f t="shared" si="12"/>
        <v>1</v>
      </c>
      <c r="AP256" s="360">
        <f t="shared" si="13"/>
        <v>1</v>
      </c>
      <c r="AQ256" s="360">
        <f t="shared" si="14"/>
        <v>1</v>
      </c>
    </row>
    <row r="257" spans="1:43">
      <c r="A257" s="360" t="s">
        <v>1083</v>
      </c>
      <c r="B257" t="s">
        <v>1075</v>
      </c>
      <c r="C257">
        <v>2</v>
      </c>
      <c r="D257" t="s">
        <v>1078</v>
      </c>
      <c r="E257" t="s">
        <v>1079</v>
      </c>
      <c r="F257" s="360">
        <v>4</v>
      </c>
      <c r="G257" s="360" t="str">
        <f>CONCATENATE(A257," ",B257," ",C257," ","inf+"," ",FanUpsizes!D257," ",FanUpsizes!F257)</f>
        <v>3ACH Percentile 2 inf+ New 4</v>
      </c>
      <c r="H257" s="360">
        <v>3.073884791618282E-2</v>
      </c>
      <c r="I257" s="360">
        <v>0.25653797028130543</v>
      </c>
      <c r="J257" s="360">
        <v>1.2667629071258464</v>
      </c>
      <c r="K257" s="360">
        <v>1496.6892058000421</v>
      </c>
      <c r="L257" s="360">
        <v>0.22912268255906995</v>
      </c>
      <c r="M257" s="360">
        <v>1.4427985232423142</v>
      </c>
      <c r="N257" s="360">
        <v>1.2505391901134975</v>
      </c>
      <c r="O257" s="360">
        <v>0.26532264474968509</v>
      </c>
      <c r="P257" s="360">
        <v>1.2667701083103211</v>
      </c>
      <c r="Q257" s="360">
        <v>1231.7647187126302</v>
      </c>
      <c r="R257" s="360">
        <v>1743.2824770199184</v>
      </c>
      <c r="S257" s="360">
        <v>0.19376587414544197</v>
      </c>
      <c r="T257" s="360">
        <v>1.7456864225938744</v>
      </c>
      <c r="U257" s="360">
        <v>1.915180426702346</v>
      </c>
      <c r="V257" s="360">
        <v>0.28545881218629154</v>
      </c>
      <c r="W257" s="360">
        <v>1.2667631085479218</v>
      </c>
      <c r="X257" s="360">
        <v>1088.5506518720547</v>
      </c>
      <c r="Y257" s="360">
        <v>0.26478416585101272</v>
      </c>
      <c r="Z257" s="360">
        <v>1.217388041229083</v>
      </c>
      <c r="AA257" s="360">
        <v>1487.5905901105452</v>
      </c>
      <c r="AB257" s="360">
        <v>0.23696703221627652</v>
      </c>
      <c r="AC257" s="360">
        <v>1.3959208507817502</v>
      </c>
      <c r="AD257" s="360">
        <v>1.2630069613462227</v>
      </c>
      <c r="AE257" s="360">
        <v>0.27813465600057924</v>
      </c>
      <c r="AF257" s="360">
        <v>1.2173880584963845</v>
      </c>
      <c r="AG257" s="360">
        <v>1173.7866437473133</v>
      </c>
      <c r="AH257" s="360">
        <v>1809.2475770421788</v>
      </c>
      <c r="AI257" s="360">
        <v>0.19510121638436684</v>
      </c>
      <c r="AJ257" s="360">
        <v>1.7366330790163698</v>
      </c>
      <c r="AK257" s="360">
        <v>1.960211633363014</v>
      </c>
      <c r="AL257" s="360">
        <v>0.29967913928425305</v>
      </c>
      <c r="AM257" s="360">
        <v>1.2173884909060348</v>
      </c>
      <c r="AN257" s="360">
        <v>1027.1065551863423</v>
      </c>
      <c r="AO257" s="360">
        <f t="shared" si="12"/>
        <v>1</v>
      </c>
      <c r="AP257" s="360">
        <f t="shared" si="13"/>
        <v>1</v>
      </c>
      <c r="AQ257" s="360">
        <f t="shared" si="14"/>
        <v>1</v>
      </c>
    </row>
    <row r="258" spans="1:43">
      <c r="A258" s="360" t="s">
        <v>1083</v>
      </c>
      <c r="B258" t="s">
        <v>1074</v>
      </c>
      <c r="C258">
        <v>2</v>
      </c>
      <c r="D258" t="s">
        <v>1078</v>
      </c>
      <c r="E258" t="s">
        <v>1079</v>
      </c>
      <c r="F258" s="360">
        <v>4</v>
      </c>
      <c r="G258" s="360" t="str">
        <f>CONCATENATE(A258," ",B258," ",C258," ","inf+"," ",FanUpsizes!D258," ",FanUpsizes!F258)</f>
        <v>3ACH Infiltration 2 inf+ New 4</v>
      </c>
      <c r="H258" s="360">
        <v>3.073884791618282E-2</v>
      </c>
      <c r="I258" s="360">
        <v>0.25653797028130543</v>
      </c>
      <c r="J258" s="360">
        <v>1.2667629071258464</v>
      </c>
      <c r="K258" s="360">
        <v>0</v>
      </c>
      <c r="L258" s="360">
        <v>0.25653797028130543</v>
      </c>
      <c r="M258" s="360">
        <v>1.2667629071258464</v>
      </c>
      <c r="N258" s="360">
        <v>1</v>
      </c>
      <c r="O258" s="360">
        <v>0.25653797028130543</v>
      </c>
      <c r="P258" s="360">
        <v>1.2667629071258464</v>
      </c>
      <c r="Q258" s="360">
        <v>0</v>
      </c>
      <c r="R258" s="360">
        <v>103.98699233924631</v>
      </c>
      <c r="S258" s="360">
        <v>0.25523652842897382</v>
      </c>
      <c r="T258" s="360">
        <v>1.2708498040117209</v>
      </c>
      <c r="U258" s="360">
        <v>1.004633497987681</v>
      </c>
      <c r="V258" s="360">
        <v>0.25600253048854948</v>
      </c>
      <c r="W258" s="360">
        <v>1.2667631790855973</v>
      </c>
      <c r="X258" s="360">
        <v>92.560468584676741</v>
      </c>
      <c r="Y258" s="360">
        <v>0.26478416585101272</v>
      </c>
      <c r="Z258" s="360">
        <v>1.217388041229083</v>
      </c>
      <c r="AA258" s="360">
        <v>0</v>
      </c>
      <c r="AB258" s="360">
        <v>0.26478416585101272</v>
      </c>
      <c r="AC258" s="360">
        <v>1.217388041229083</v>
      </c>
      <c r="AD258" s="360">
        <v>1</v>
      </c>
      <c r="AE258" s="360">
        <v>0.26478416585101272</v>
      </c>
      <c r="AF258" s="360">
        <v>1.217388041229083</v>
      </c>
      <c r="AG258" s="360">
        <v>0</v>
      </c>
      <c r="AH258" s="360">
        <v>119.20166913279446</v>
      </c>
      <c r="AI258" s="360">
        <v>0.26328571809775786</v>
      </c>
      <c r="AJ258" s="360">
        <v>1.2229679552527384</v>
      </c>
      <c r="AK258" s="360">
        <v>1.0060296883820261</v>
      </c>
      <c r="AL258" s="360">
        <v>0.26445905969422362</v>
      </c>
      <c r="AM258" s="360">
        <v>1.2173892336478063</v>
      </c>
      <c r="AN258" s="360">
        <v>99.237911295247415</v>
      </c>
      <c r="AO258" s="360">
        <f t="shared" si="12"/>
        <v>1</v>
      </c>
      <c r="AP258" s="360">
        <f t="shared" si="13"/>
        <v>0</v>
      </c>
      <c r="AQ258" s="360">
        <f t="shared" si="14"/>
        <v>0</v>
      </c>
    </row>
    <row r="259" spans="1:43">
      <c r="A259" s="360" t="s">
        <v>1083</v>
      </c>
      <c r="B259" t="s">
        <v>1076</v>
      </c>
      <c r="C259">
        <v>2</v>
      </c>
      <c r="D259" t="s">
        <v>1078</v>
      </c>
      <c r="E259" t="s">
        <v>1079</v>
      </c>
      <c r="F259" s="360">
        <v>4</v>
      </c>
      <c r="G259" s="360" t="str">
        <f>CONCATENATE(A259," ",B259," ",C259," ","inf+"," ",FanUpsizes!D259," ",FanUpsizes!F259)</f>
        <v>3ACH 5C 2 inf+ New 4</v>
      </c>
      <c r="H259" s="360">
        <v>3.073884791618282E-2</v>
      </c>
      <c r="I259" s="360">
        <v>0.25653797028130543</v>
      </c>
      <c r="J259" s="360">
        <v>1.2667629071258464</v>
      </c>
      <c r="K259" s="360">
        <v>967.18184603761313</v>
      </c>
      <c r="L259" s="360">
        <v>0.24156815156194855</v>
      </c>
      <c r="M259" s="360">
        <v>1.3499994932934603</v>
      </c>
      <c r="N259" s="360">
        <v>1.1032579258887836</v>
      </c>
      <c r="O259" s="360">
        <v>0.25770501741404123</v>
      </c>
      <c r="P259" s="360">
        <v>1.2667635501181751</v>
      </c>
      <c r="Q259" s="360">
        <v>794.26972778668596</v>
      </c>
      <c r="R259" s="360">
        <v>967.18184603761313</v>
      </c>
      <c r="S259" s="360">
        <v>0.24156815156194855</v>
      </c>
      <c r="T259" s="360">
        <v>1.3499994932934603</v>
      </c>
      <c r="U259" s="360">
        <v>1.1032579258887836</v>
      </c>
      <c r="V259" s="360">
        <v>0.25770501741404123</v>
      </c>
      <c r="W259" s="360">
        <v>1.2667635501181751</v>
      </c>
      <c r="X259" s="360">
        <v>794.26972778668596</v>
      </c>
      <c r="Y259" s="360">
        <v>0.26478416585101272</v>
      </c>
      <c r="Z259" s="360">
        <v>1.217388041229083</v>
      </c>
      <c r="AA259" s="360">
        <v>917.10076644737649</v>
      </c>
      <c r="AB259" s="360">
        <v>0.25044912341761011</v>
      </c>
      <c r="AC259" s="360">
        <v>1.2989614489934627</v>
      </c>
      <c r="AD259" s="360">
        <v>1.1007897567121876</v>
      </c>
      <c r="AE259" s="360">
        <v>0.26813494258957493</v>
      </c>
      <c r="AF259" s="360">
        <v>1.21739038984537</v>
      </c>
      <c r="AG259" s="360">
        <v>710.20700424700635</v>
      </c>
      <c r="AH259" s="360">
        <v>917.10076644737649</v>
      </c>
      <c r="AI259" s="360">
        <v>0.25044912341761011</v>
      </c>
      <c r="AJ259" s="360">
        <v>1.2989614489934627</v>
      </c>
      <c r="AK259" s="360">
        <v>1.1007897567121876</v>
      </c>
      <c r="AL259" s="360">
        <v>0.26813494258957493</v>
      </c>
      <c r="AM259" s="360">
        <v>1.21739038984537</v>
      </c>
      <c r="AN259" s="360">
        <v>710.20700424700635</v>
      </c>
      <c r="AO259" s="360">
        <f t="shared" si="12"/>
        <v>1</v>
      </c>
      <c r="AP259" s="360">
        <f t="shared" si="13"/>
        <v>1</v>
      </c>
      <c r="AQ259" s="360">
        <f t="shared" si="14"/>
        <v>1</v>
      </c>
    </row>
    <row r="260" spans="1:43">
      <c r="A260" s="360" t="s">
        <v>1083</v>
      </c>
      <c r="B260" t="s">
        <v>1075</v>
      </c>
      <c r="C260">
        <v>1</v>
      </c>
      <c r="D260" t="s">
        <v>1080</v>
      </c>
      <c r="E260" t="s">
        <v>1079</v>
      </c>
      <c r="F260" s="360">
        <v>4</v>
      </c>
      <c r="G260" s="360" t="str">
        <f>CONCATENATE(A260," ",B260," ",C260," ","inf+"," ",FanUpsizes!D260," ",FanUpsizes!F260)</f>
        <v>3ACH Percentile 1 inf+ Existing 4</v>
      </c>
      <c r="H260" s="360">
        <v>5.0021951885964776E-2</v>
      </c>
      <c r="I260" s="360">
        <v>0.37039653424767788</v>
      </c>
      <c r="J260" s="360">
        <v>1.186292544603105</v>
      </c>
      <c r="K260" s="360">
        <v>3125.2104390942791</v>
      </c>
      <c r="L260" s="360">
        <v>0.31200671209173447</v>
      </c>
      <c r="M260" s="360">
        <v>1.6316432323713344</v>
      </c>
      <c r="N260" s="360">
        <v>1.7602062585668079</v>
      </c>
      <c r="O260" s="360">
        <v>0.5248769632115351</v>
      </c>
      <c r="P260" s="360">
        <v>1.1862930397316973</v>
      </c>
      <c r="Q260" s="360">
        <v>1478.0422368110433</v>
      </c>
      <c r="R260" s="360">
        <v>3729.960228536479</v>
      </c>
      <c r="S260" s="360">
        <v>0.23515394830210634</v>
      </c>
      <c r="T260" s="360">
        <v>2.1484577099945921</v>
      </c>
      <c r="U260" s="360">
        <v>2.8557447173274562</v>
      </c>
      <c r="V260" s="360">
        <v>0.59915679607400352</v>
      </c>
      <c r="W260" s="360">
        <v>1.1862928689447727</v>
      </c>
      <c r="X260" s="360">
        <v>959.39004756360384</v>
      </c>
      <c r="Y260" s="360">
        <v>0.38338277318178393</v>
      </c>
      <c r="Z260" s="360">
        <v>1.1467195006720552</v>
      </c>
      <c r="AA260" s="360">
        <v>3400.0608118851305</v>
      </c>
      <c r="AB260" s="360">
        <v>0.32008261715411662</v>
      </c>
      <c r="AC260" s="360">
        <v>1.6027231103060109</v>
      </c>
      <c r="AD260" s="360">
        <v>1.8683419395826319</v>
      </c>
      <c r="AE260" s="360">
        <v>0.55980312752316164</v>
      </c>
      <c r="AF260" s="360">
        <v>1.1467195384742113</v>
      </c>
      <c r="AG260" s="360">
        <v>1550.221916362593</v>
      </c>
      <c r="AH260" s="360">
        <v>4012.0041061424108</v>
      </c>
      <c r="AI260" s="360">
        <v>0.24247601899281934</v>
      </c>
      <c r="AJ260" s="360">
        <v>2.0910969614424442</v>
      </c>
      <c r="AK260" s="360">
        <v>3.0289411284484653</v>
      </c>
      <c r="AL260" s="360">
        <v>0.63796331828367903</v>
      </c>
      <c r="AM260" s="360">
        <v>1.1467210400750956</v>
      </c>
      <c r="AN260" s="360">
        <v>1004.1007403907472</v>
      </c>
      <c r="AO260" s="360">
        <f t="shared" si="12"/>
        <v>1</v>
      </c>
      <c r="AP260" s="360">
        <f t="shared" si="13"/>
        <v>1</v>
      </c>
      <c r="AQ260" s="360">
        <f t="shared" si="14"/>
        <v>1</v>
      </c>
    </row>
    <row r="261" spans="1:43">
      <c r="A261" s="360" t="s">
        <v>1083</v>
      </c>
      <c r="B261" t="s">
        <v>1074</v>
      </c>
      <c r="C261">
        <v>1</v>
      </c>
      <c r="D261" t="s">
        <v>1080</v>
      </c>
      <c r="E261" t="s">
        <v>1079</v>
      </c>
      <c r="F261" s="360">
        <v>4</v>
      </c>
      <c r="G261" s="360" t="str">
        <f>CONCATENATE(A261," ",B261," ",C261," ","inf+"," ",FanUpsizes!D261," ",FanUpsizes!F261)</f>
        <v>3ACH Infiltration 1 inf+ Existing 4</v>
      </c>
      <c r="H261" s="360">
        <v>5.0021951885964776E-2</v>
      </c>
      <c r="I261" s="360">
        <v>0.37039653424767788</v>
      </c>
      <c r="J261" s="360">
        <v>1.186292544603105</v>
      </c>
      <c r="K261" s="360">
        <v>0</v>
      </c>
      <c r="L261" s="360">
        <v>0.37039653424767788</v>
      </c>
      <c r="M261" s="360">
        <v>1.186292544603105</v>
      </c>
      <c r="N261" s="360">
        <v>1</v>
      </c>
      <c r="O261" s="360">
        <v>0.37039653424767788</v>
      </c>
      <c r="P261" s="360">
        <v>1.186292544603105</v>
      </c>
      <c r="Q261" s="360">
        <v>0</v>
      </c>
      <c r="R261" s="360">
        <v>0</v>
      </c>
      <c r="S261" s="360">
        <v>0.37039653424767788</v>
      </c>
      <c r="T261" s="360">
        <v>1.186292544603105</v>
      </c>
      <c r="U261" s="360">
        <v>1</v>
      </c>
      <c r="V261" s="360">
        <v>0.37039653424767788</v>
      </c>
      <c r="W261" s="360">
        <v>1.186292544603105</v>
      </c>
      <c r="X261" s="360">
        <v>0</v>
      </c>
      <c r="Y261" s="360">
        <v>0.38338277318178393</v>
      </c>
      <c r="Z261" s="360">
        <v>1.1467195006720552</v>
      </c>
      <c r="AA261" s="360">
        <v>0</v>
      </c>
      <c r="AB261" s="360">
        <v>0.38338277318178393</v>
      </c>
      <c r="AC261" s="360">
        <v>1.1467195006720552</v>
      </c>
      <c r="AD261" s="360">
        <v>1</v>
      </c>
      <c r="AE261" s="360">
        <v>0.38338277318178393</v>
      </c>
      <c r="AF261" s="360">
        <v>1.1467195006720552</v>
      </c>
      <c r="AG261" s="360">
        <v>0</v>
      </c>
      <c r="AH261" s="360">
        <v>0</v>
      </c>
      <c r="AI261" s="360">
        <v>0.38338277318178393</v>
      </c>
      <c r="AJ261" s="360">
        <v>1.1467195006720552</v>
      </c>
      <c r="AK261" s="360">
        <v>1</v>
      </c>
      <c r="AL261" s="360">
        <v>0.38338277318178393</v>
      </c>
      <c r="AM261" s="360">
        <v>1.1467195006720552</v>
      </c>
      <c r="AN261" s="360">
        <v>0</v>
      </c>
      <c r="AO261" s="360">
        <f t="shared" si="12"/>
        <v>1</v>
      </c>
      <c r="AP261" s="360">
        <f t="shared" si="13"/>
        <v>0</v>
      </c>
      <c r="AQ261" s="360">
        <f t="shared" si="14"/>
        <v>0</v>
      </c>
    </row>
    <row r="262" spans="1:43">
      <c r="A262" s="360" t="s">
        <v>1083</v>
      </c>
      <c r="B262" t="s">
        <v>1076</v>
      </c>
      <c r="C262">
        <v>1</v>
      </c>
      <c r="D262" t="s">
        <v>1080</v>
      </c>
      <c r="E262" t="s">
        <v>1079</v>
      </c>
      <c r="F262" s="360">
        <v>4</v>
      </c>
      <c r="G262" s="360" t="str">
        <f>CONCATENATE(A262," ",B262," ",C262," ","inf+"," ",FanUpsizes!D262," ",FanUpsizes!F262)</f>
        <v>3ACH 5C 1 inf+ Existing 4</v>
      </c>
      <c r="H262" s="360">
        <v>5.0021951885964776E-2</v>
      </c>
      <c r="I262" s="360">
        <v>0.37039653424767788</v>
      </c>
      <c r="J262" s="360">
        <v>1.186292544603105</v>
      </c>
      <c r="K262" s="360">
        <v>1948.7724228591144</v>
      </c>
      <c r="L262" s="360">
        <v>0.33989302385861864</v>
      </c>
      <c r="M262" s="360">
        <v>1.3997154417714008</v>
      </c>
      <c r="N262" s="360">
        <v>1.2442987956995255</v>
      </c>
      <c r="O262" s="360">
        <v>0.41782913505154934</v>
      </c>
      <c r="P262" s="360">
        <v>1.1862939928411478</v>
      </c>
      <c r="Q262" s="360">
        <v>1011.9022743882493</v>
      </c>
      <c r="R262" s="360">
        <v>1948.7724228591144</v>
      </c>
      <c r="S262" s="360">
        <v>0.33989302385861864</v>
      </c>
      <c r="T262" s="360">
        <v>1.3997154417714008</v>
      </c>
      <c r="U262" s="360">
        <v>1.2442987956995255</v>
      </c>
      <c r="V262" s="360">
        <v>0.41782913505154934</v>
      </c>
      <c r="W262" s="360">
        <v>1.1862939928411478</v>
      </c>
      <c r="X262" s="360">
        <v>1011.9022743882493</v>
      </c>
      <c r="Y262" s="360">
        <v>0.38338277318178393</v>
      </c>
      <c r="Z262" s="360">
        <v>1.1467195006720552</v>
      </c>
      <c r="AA262" s="360">
        <v>2144.9628094311802</v>
      </c>
      <c r="AB262" s="360">
        <v>0.34982660269978683</v>
      </c>
      <c r="AC262" s="360">
        <v>1.3665384545622521</v>
      </c>
      <c r="AD262" s="360">
        <v>1.2768489823232612</v>
      </c>
      <c r="AE262" s="360">
        <v>0.4363866271913886</v>
      </c>
      <c r="AF262" s="360">
        <v>1.1467198685313094</v>
      </c>
      <c r="AG262" s="360">
        <v>1110.4436528914321</v>
      </c>
      <c r="AH262" s="360">
        <v>2144.9628094311802</v>
      </c>
      <c r="AI262" s="360">
        <v>0.34982660269978683</v>
      </c>
      <c r="AJ262" s="360">
        <v>1.3665384545622521</v>
      </c>
      <c r="AK262" s="360">
        <v>1.2768489823232612</v>
      </c>
      <c r="AL262" s="360">
        <v>0.4363866271913886</v>
      </c>
      <c r="AM262" s="360">
        <v>1.1467198685313094</v>
      </c>
      <c r="AN262" s="360">
        <v>1110.4436528914321</v>
      </c>
      <c r="AO262" s="360">
        <f t="shared" si="12"/>
        <v>1</v>
      </c>
      <c r="AP262" s="360">
        <f t="shared" si="13"/>
        <v>1</v>
      </c>
      <c r="AQ262" s="360">
        <f t="shared" si="14"/>
        <v>1</v>
      </c>
    </row>
    <row r="263" spans="1:43">
      <c r="A263" s="360" t="s">
        <v>1083</v>
      </c>
      <c r="B263" t="s">
        <v>1075</v>
      </c>
      <c r="C263">
        <v>2</v>
      </c>
      <c r="D263" t="s">
        <v>1080</v>
      </c>
      <c r="E263" t="s">
        <v>1079</v>
      </c>
      <c r="F263" s="360">
        <v>4</v>
      </c>
      <c r="G263" s="360" t="str">
        <f>CONCATENATE(A263," ",B263," ",C263," ","inf+"," ",FanUpsizes!D263," ",FanUpsizes!F263)</f>
        <v>3ACH Percentile 2 inf+ Existing 4</v>
      </c>
      <c r="H263" s="360">
        <v>4.6988847916182824E-2</v>
      </c>
      <c r="I263" s="360">
        <v>0.35575306047819455</v>
      </c>
      <c r="J263" s="360">
        <v>1.2387166664888118</v>
      </c>
      <c r="K263" s="360">
        <v>2519.5540131738207</v>
      </c>
      <c r="L263" s="360">
        <v>0.30880113422140515</v>
      </c>
      <c r="M263" s="360">
        <v>1.5402059419232814</v>
      </c>
      <c r="N263" s="360">
        <v>1.4240991028694709</v>
      </c>
      <c r="O263" s="360">
        <v>0.4171806880885684</v>
      </c>
      <c r="P263" s="360">
        <v>1.2387170635281186</v>
      </c>
      <c r="Q263" s="360">
        <v>1682.2844188819538</v>
      </c>
      <c r="R263" s="360">
        <v>3007.6992133384515</v>
      </c>
      <c r="S263" s="360">
        <v>0.24388037910752589</v>
      </c>
      <c r="T263" s="360">
        <v>1.9692452823999</v>
      </c>
      <c r="U263" s="360">
        <v>2.2698212455008688</v>
      </c>
      <c r="V263" s="360">
        <v>0.46675407030760396</v>
      </c>
      <c r="W263" s="360">
        <v>1.2387169351492202</v>
      </c>
      <c r="X263" s="360">
        <v>1339.6859473225527</v>
      </c>
      <c r="Y263" s="360">
        <v>0.37335919212542229</v>
      </c>
      <c r="Z263" s="360">
        <v>1.1799740444251412</v>
      </c>
      <c r="AA263" s="360">
        <v>2808.895388384703</v>
      </c>
      <c r="AB263" s="360">
        <v>0.32095003088325708</v>
      </c>
      <c r="AC263" s="360">
        <v>1.4949547182465379</v>
      </c>
      <c r="AD263" s="360">
        <v>1.5054697265113905</v>
      </c>
      <c r="AE263" s="360">
        <v>0.44903646810236669</v>
      </c>
      <c r="AF263" s="360">
        <v>1.1799783355376119</v>
      </c>
      <c r="AG263" s="360">
        <v>1823.7012788565949</v>
      </c>
      <c r="AH263" s="360">
        <v>3354.6013880300247</v>
      </c>
      <c r="AI263" s="360">
        <v>0.25119173958570878</v>
      </c>
      <c r="AJ263" s="360">
        <v>1.921805643788054</v>
      </c>
      <c r="AK263" s="360">
        <v>2.3988096602471409</v>
      </c>
      <c r="AL263" s="360">
        <v>0.50019575093527835</v>
      </c>
      <c r="AM263" s="360">
        <v>1.1799740455873777</v>
      </c>
      <c r="AN263" s="360">
        <v>1470.0245513286466</v>
      </c>
      <c r="AO263" s="360">
        <f t="shared" si="12"/>
        <v>1</v>
      </c>
      <c r="AP263" s="360">
        <f t="shared" si="13"/>
        <v>1</v>
      </c>
      <c r="AQ263" s="360">
        <f t="shared" si="14"/>
        <v>1</v>
      </c>
    </row>
    <row r="264" spans="1:43">
      <c r="A264" s="360" t="s">
        <v>1083</v>
      </c>
      <c r="B264" t="s">
        <v>1074</v>
      </c>
      <c r="C264">
        <v>2</v>
      </c>
      <c r="D264" t="s">
        <v>1080</v>
      </c>
      <c r="E264" t="s">
        <v>1079</v>
      </c>
      <c r="F264" s="360">
        <v>4</v>
      </c>
      <c r="G264" s="360" t="str">
        <f>CONCATENATE(A264," ",B264," ",C264," ","inf+"," ",FanUpsizes!D264," ",FanUpsizes!F264)</f>
        <v>3ACH Infiltration 2 inf+ Existing 4</v>
      </c>
      <c r="H264" s="360">
        <v>4.6988847916182824E-2</v>
      </c>
      <c r="I264" s="360">
        <v>0.35575306047819455</v>
      </c>
      <c r="J264" s="360">
        <v>1.2387166664888118</v>
      </c>
      <c r="K264" s="360">
        <v>0</v>
      </c>
      <c r="L264" s="360">
        <v>0.35575306047819455</v>
      </c>
      <c r="M264" s="360">
        <v>1.2387166664888118</v>
      </c>
      <c r="N264" s="360">
        <v>1</v>
      </c>
      <c r="O264" s="360">
        <v>0.35575306047819455</v>
      </c>
      <c r="P264" s="360">
        <v>1.2387166664888118</v>
      </c>
      <c r="Q264" s="360">
        <v>0</v>
      </c>
      <c r="R264" s="360">
        <v>0</v>
      </c>
      <c r="S264" s="360">
        <v>0.35575306047819455</v>
      </c>
      <c r="T264" s="360">
        <v>1.2387166664888118</v>
      </c>
      <c r="U264" s="360">
        <v>1</v>
      </c>
      <c r="V264" s="360">
        <v>0.35575306047819455</v>
      </c>
      <c r="W264" s="360">
        <v>1.2387166664888118</v>
      </c>
      <c r="X264" s="360">
        <v>0</v>
      </c>
      <c r="Y264" s="360">
        <v>0.37335919212542229</v>
      </c>
      <c r="Z264" s="360">
        <v>1.1799740444251412</v>
      </c>
      <c r="AA264" s="360">
        <v>0</v>
      </c>
      <c r="AB264" s="360">
        <v>0.37335919212542229</v>
      </c>
      <c r="AC264" s="360">
        <v>1.1799740444251412</v>
      </c>
      <c r="AD264" s="360">
        <v>1</v>
      </c>
      <c r="AE264" s="360">
        <v>0.37335919212542229</v>
      </c>
      <c r="AF264" s="360">
        <v>1.1799740444251412</v>
      </c>
      <c r="AG264" s="360">
        <v>0</v>
      </c>
      <c r="AH264" s="360">
        <v>0</v>
      </c>
      <c r="AI264" s="360">
        <v>0.37335919212542229</v>
      </c>
      <c r="AJ264" s="360">
        <v>1.1799740444251412</v>
      </c>
      <c r="AK264" s="360">
        <v>1</v>
      </c>
      <c r="AL264" s="360">
        <v>0.37335919212542229</v>
      </c>
      <c r="AM264" s="360">
        <v>1.1799740444251412</v>
      </c>
      <c r="AN264" s="360">
        <v>0</v>
      </c>
      <c r="AO264" s="360">
        <f t="shared" si="12"/>
        <v>1</v>
      </c>
      <c r="AP264" s="360">
        <f t="shared" si="13"/>
        <v>0</v>
      </c>
      <c r="AQ264" s="360">
        <f t="shared" si="14"/>
        <v>0</v>
      </c>
    </row>
    <row r="265" spans="1:43">
      <c r="A265" s="360" t="s">
        <v>1083</v>
      </c>
      <c r="B265" t="s">
        <v>1076</v>
      </c>
      <c r="C265">
        <v>2</v>
      </c>
      <c r="D265" t="s">
        <v>1080</v>
      </c>
      <c r="E265" t="s">
        <v>1079</v>
      </c>
      <c r="F265" s="360">
        <v>4</v>
      </c>
      <c r="G265" s="360" t="str">
        <f>CONCATENATE(A265," ",B265," ",C265," ","inf+"," ",FanUpsizes!D265," ",FanUpsizes!F265)</f>
        <v>3ACH 5C 2 inf+ Existing 4</v>
      </c>
      <c r="H265" s="360">
        <v>4.6988847916182824E-2</v>
      </c>
      <c r="I265" s="360">
        <v>0.35575306047819455</v>
      </c>
      <c r="J265" s="360">
        <v>1.2387166664888118</v>
      </c>
      <c r="K265" s="360">
        <v>1569.9588486405883</v>
      </c>
      <c r="L265" s="360">
        <v>0.33129591062882474</v>
      </c>
      <c r="M265" s="360">
        <v>1.3805978734926749</v>
      </c>
      <c r="N265" s="360">
        <v>1.1546388650488155</v>
      </c>
      <c r="O265" s="360">
        <v>0.37524262252671448</v>
      </c>
      <c r="P265" s="360">
        <v>1.2387175193050726</v>
      </c>
      <c r="Q265" s="360">
        <v>1052.3802424615301</v>
      </c>
      <c r="R265" s="360">
        <v>1569.9588486405883</v>
      </c>
      <c r="S265" s="360">
        <v>0.33129591062882474</v>
      </c>
      <c r="T265" s="360">
        <v>1.3805978734926749</v>
      </c>
      <c r="U265" s="360">
        <v>1.1546388650488155</v>
      </c>
      <c r="V265" s="360">
        <v>0.37524262252671448</v>
      </c>
      <c r="W265" s="360">
        <v>1.2387175193050726</v>
      </c>
      <c r="X265" s="360">
        <v>1052.3802424615301</v>
      </c>
      <c r="Y265" s="360">
        <v>0.37335919212542229</v>
      </c>
      <c r="Z265" s="360">
        <v>1.1799740444251412</v>
      </c>
      <c r="AA265" s="360">
        <v>1756.0200293569562</v>
      </c>
      <c r="AB265" s="360">
        <v>0.34588377924732316</v>
      </c>
      <c r="AC265" s="360">
        <v>1.3292016608004245</v>
      </c>
      <c r="AD265" s="360">
        <v>1.1801752791379618</v>
      </c>
      <c r="AE265" s="360">
        <v>0.39736443013573325</v>
      </c>
      <c r="AF265" s="360">
        <v>1.1799805661127796</v>
      </c>
      <c r="AG265" s="360">
        <v>1144.5685710661621</v>
      </c>
      <c r="AH265" s="360">
        <v>1756.0200293569562</v>
      </c>
      <c r="AI265" s="360">
        <v>0.34588377924732316</v>
      </c>
      <c r="AJ265" s="360">
        <v>1.3292016608004245</v>
      </c>
      <c r="AK265" s="360">
        <v>1.1801752791379618</v>
      </c>
      <c r="AL265" s="360">
        <v>0.39736443013573325</v>
      </c>
      <c r="AM265" s="360">
        <v>1.1799805661127796</v>
      </c>
      <c r="AN265" s="360">
        <v>1144.5685710661621</v>
      </c>
      <c r="AO265" s="360">
        <f t="shared" si="12"/>
        <v>1</v>
      </c>
      <c r="AP265" s="360">
        <f t="shared" si="13"/>
        <v>1</v>
      </c>
      <c r="AQ265" s="360">
        <f t="shared" si="14"/>
        <v>1</v>
      </c>
    </row>
    <row r="266" spans="1:43">
      <c r="A266" s="360" t="s">
        <v>1084</v>
      </c>
      <c r="B266" t="s">
        <v>1075</v>
      </c>
      <c r="C266">
        <v>1</v>
      </c>
      <c r="D266" t="s">
        <v>1078</v>
      </c>
      <c r="E266" t="s">
        <v>1079</v>
      </c>
      <c r="F266" s="360">
        <v>4</v>
      </c>
      <c r="G266" s="360" t="str">
        <f>CONCATENATE(A266," ",B266," ",C266," ","inf+"," ",FanUpsizes!D266," ",FanUpsizes!F266)</f>
        <v>1.5ACH Percentile 1 inf+ New 4</v>
      </c>
      <c r="H266" s="360">
        <v>3.8518475942982383E-2</v>
      </c>
      <c r="I266" s="360">
        <v>0.28434457484718251</v>
      </c>
      <c r="J266" s="360">
        <v>1.1229958314123429</v>
      </c>
      <c r="K266" s="360">
        <v>2834.5743498537704</v>
      </c>
      <c r="L266" s="360">
        <v>0.23157033329847268</v>
      </c>
      <c r="M266" s="360">
        <v>1.7633766463718077</v>
      </c>
      <c r="N266" s="360">
        <v>2.4741344510062162</v>
      </c>
      <c r="O266" s="360">
        <v>0.54994384749370662</v>
      </c>
      <c r="P266" s="360">
        <v>1.1229966412185133</v>
      </c>
      <c r="Q266" s="360">
        <v>371.15765917031587</v>
      </c>
      <c r="R266" s="360">
        <v>3331.813947875592</v>
      </c>
      <c r="S266" s="360">
        <v>0.1692168862569699</v>
      </c>
      <c r="T266" s="360">
        <v>2.3647142854508263</v>
      </c>
      <c r="U266" s="360">
        <v>4.1117039849717543</v>
      </c>
      <c r="V266" s="360">
        <v>0.64528655072127872</v>
      </c>
      <c r="W266" s="360">
        <v>1.1229968539340811</v>
      </c>
      <c r="X266" s="360">
        <v>-304.33133913884222</v>
      </c>
      <c r="Y266" s="360">
        <v>0.28899365719093145</v>
      </c>
      <c r="Z266" s="360">
        <v>1.105121579483094</v>
      </c>
      <c r="AA266" s="360">
        <v>2943.1454972254646</v>
      </c>
      <c r="AB266" s="360">
        <v>0.23434350690311478</v>
      </c>
      <c r="AC266" s="360">
        <v>1.7492875453177734</v>
      </c>
      <c r="AD266" s="360">
        <v>2.5722570806756924</v>
      </c>
      <c r="AE266" s="360">
        <v>0.57223148404443924</v>
      </c>
      <c r="AF266" s="360">
        <v>1.1051217625289123</v>
      </c>
      <c r="AG266" s="360">
        <v>330.89633588636082</v>
      </c>
      <c r="AH266" s="360">
        <v>3430.541060531873</v>
      </c>
      <c r="AI266" s="360">
        <v>0.17292965503734881</v>
      </c>
      <c r="AJ266" s="360">
        <v>2.3137953973511243</v>
      </c>
      <c r="AK266" s="360">
        <v>4.2747597654746503</v>
      </c>
      <c r="AL266" s="360">
        <v>0.67127699988388378</v>
      </c>
      <c r="AM266" s="360">
        <v>1.105122518778658</v>
      </c>
      <c r="AN266" s="360">
        <v>-370.95286935105969</v>
      </c>
      <c r="AO266" s="360">
        <f t="shared" si="12"/>
        <v>1</v>
      </c>
      <c r="AP266" s="360">
        <f t="shared" si="13"/>
        <v>1</v>
      </c>
      <c r="AQ266" s="360">
        <f t="shared" si="14"/>
        <v>1</v>
      </c>
    </row>
    <row r="267" spans="1:43">
      <c r="A267" s="360" t="s">
        <v>1084</v>
      </c>
      <c r="B267" t="s">
        <v>1074</v>
      </c>
      <c r="C267">
        <v>1</v>
      </c>
      <c r="D267" t="s">
        <v>1078</v>
      </c>
      <c r="E267" t="s">
        <v>1079</v>
      </c>
      <c r="F267" s="360">
        <v>4</v>
      </c>
      <c r="G267" s="360" t="str">
        <f>CONCATENATE(A267," ",B267," ",C267," ","inf+"," ",FanUpsizes!D267," ",FanUpsizes!F267)</f>
        <v>1.5ACH Infiltration 1 inf+ New 4</v>
      </c>
      <c r="H267" s="360">
        <v>3.8518475942982383E-2</v>
      </c>
      <c r="I267" s="360">
        <v>0.28434457484718251</v>
      </c>
      <c r="J267" s="360">
        <v>1.1229958314123429</v>
      </c>
      <c r="K267" s="360">
        <v>0</v>
      </c>
      <c r="L267" s="360">
        <v>0.28434457484718251</v>
      </c>
      <c r="M267" s="360">
        <v>1.1229958314123429</v>
      </c>
      <c r="N267" s="360">
        <v>1</v>
      </c>
      <c r="O267" s="360">
        <v>0.28434457484718251</v>
      </c>
      <c r="P267" s="360">
        <v>1.1229958314123429</v>
      </c>
      <c r="Q267" s="360">
        <v>0</v>
      </c>
      <c r="R267" s="360">
        <v>0</v>
      </c>
      <c r="S267" s="360">
        <v>0.28434457484718251</v>
      </c>
      <c r="T267" s="360">
        <v>1.1229958314123429</v>
      </c>
      <c r="U267" s="360">
        <v>1</v>
      </c>
      <c r="V267" s="360">
        <v>0.28434457484718251</v>
      </c>
      <c r="W267" s="360">
        <v>1.1229958314123429</v>
      </c>
      <c r="X267" s="360">
        <v>0</v>
      </c>
      <c r="Y267" s="360">
        <v>0.28899365719093145</v>
      </c>
      <c r="Z267" s="360">
        <v>1.105121579483094</v>
      </c>
      <c r="AA267" s="360">
        <v>0</v>
      </c>
      <c r="AB267" s="360">
        <v>0.28899365719093145</v>
      </c>
      <c r="AC267" s="360">
        <v>1.105121579483094</v>
      </c>
      <c r="AD267" s="360">
        <v>1</v>
      </c>
      <c r="AE267" s="360">
        <v>0.28899365719093145</v>
      </c>
      <c r="AF267" s="360">
        <v>1.105121579483094</v>
      </c>
      <c r="AG267" s="360">
        <v>0</v>
      </c>
      <c r="AH267" s="360">
        <v>0</v>
      </c>
      <c r="AI267" s="360">
        <v>0.28899365719093145</v>
      </c>
      <c r="AJ267" s="360">
        <v>1.105121579483094</v>
      </c>
      <c r="AK267" s="360">
        <v>1</v>
      </c>
      <c r="AL267" s="360">
        <v>0.28899365719093145</v>
      </c>
      <c r="AM267" s="360">
        <v>1.105121579483094</v>
      </c>
      <c r="AN267" s="360">
        <v>0</v>
      </c>
      <c r="AO267" s="360">
        <f t="shared" si="12"/>
        <v>1</v>
      </c>
      <c r="AP267" s="360">
        <f t="shared" si="13"/>
        <v>0</v>
      </c>
      <c r="AQ267" s="360">
        <f t="shared" si="14"/>
        <v>0</v>
      </c>
    </row>
    <row r="268" spans="1:43">
      <c r="A268" s="360" t="s">
        <v>1084</v>
      </c>
      <c r="B268" t="s">
        <v>1076</v>
      </c>
      <c r="C268">
        <v>1</v>
      </c>
      <c r="D268" t="s">
        <v>1078</v>
      </c>
      <c r="E268" t="s">
        <v>1079</v>
      </c>
      <c r="F268" s="360">
        <v>4</v>
      </c>
      <c r="G268" s="360" t="str">
        <f>CONCATENATE(A268," ",B268," ",C268," ","inf+"," ",FanUpsizes!D268," ",FanUpsizes!F268)</f>
        <v>1.5ACH 5C 1 inf+ New 4</v>
      </c>
      <c r="H268" s="360">
        <v>3.8518475942982383E-2</v>
      </c>
      <c r="I268" s="360">
        <v>0.28434457484718251</v>
      </c>
      <c r="J268" s="360">
        <v>1.1229958314123429</v>
      </c>
      <c r="K268" s="360">
        <v>1792.973916381173</v>
      </c>
      <c r="L268" s="360">
        <v>0.25627176216238745</v>
      </c>
      <c r="M268" s="360">
        <v>1.4327221092613895</v>
      </c>
      <c r="N268" s="360">
        <v>1.4030830000609154</v>
      </c>
      <c r="O268" s="360">
        <v>0.35573326410040396</v>
      </c>
      <c r="P268" s="360">
        <v>1.1229980675053968</v>
      </c>
      <c r="Q268" s="360">
        <v>596.2680778436976</v>
      </c>
      <c r="R268" s="360">
        <v>1792.973916381173</v>
      </c>
      <c r="S268" s="360">
        <v>0.25627176216238745</v>
      </c>
      <c r="T268" s="360">
        <v>1.4327221092613895</v>
      </c>
      <c r="U268" s="360">
        <v>1.4030830000609154</v>
      </c>
      <c r="V268" s="360">
        <v>0.35573326410040396</v>
      </c>
      <c r="W268" s="360">
        <v>1.1229980675053968</v>
      </c>
      <c r="X268" s="360">
        <v>596.2680778436976</v>
      </c>
      <c r="Y268" s="360">
        <v>0.28899365719093145</v>
      </c>
      <c r="Z268" s="360">
        <v>1.105121579483094</v>
      </c>
      <c r="AA268" s="360">
        <v>1874.3420692343784</v>
      </c>
      <c r="AB268" s="360">
        <v>0.25968706630698413</v>
      </c>
      <c r="AC268" s="360">
        <v>1.4173963260609819</v>
      </c>
      <c r="AD268" s="360">
        <v>1.4259456351017634</v>
      </c>
      <c r="AE268" s="360">
        <v>0.36379374796931718</v>
      </c>
      <c r="AF268" s="360">
        <v>1.1051235798847296</v>
      </c>
      <c r="AG268" s="360">
        <v>625.03003081696318</v>
      </c>
      <c r="AH268" s="360">
        <v>1874.3420692343784</v>
      </c>
      <c r="AI268" s="360">
        <v>0.25968706630698413</v>
      </c>
      <c r="AJ268" s="360">
        <v>1.4173963260609819</v>
      </c>
      <c r="AK268" s="360">
        <v>1.4259456351017634</v>
      </c>
      <c r="AL268" s="360">
        <v>0.36379374796931718</v>
      </c>
      <c r="AM268" s="360">
        <v>1.1051235798847296</v>
      </c>
      <c r="AN268" s="360">
        <v>625.03003081696318</v>
      </c>
      <c r="AO268" s="360">
        <f t="shared" si="12"/>
        <v>1</v>
      </c>
      <c r="AP268" s="360">
        <f t="shared" si="13"/>
        <v>1</v>
      </c>
      <c r="AQ268" s="360">
        <f t="shared" si="14"/>
        <v>1</v>
      </c>
    </row>
    <row r="269" spans="1:43">
      <c r="A269" s="360" t="s">
        <v>1084</v>
      </c>
      <c r="B269" t="s">
        <v>1075</v>
      </c>
      <c r="C269">
        <v>2</v>
      </c>
      <c r="D269" t="s">
        <v>1078</v>
      </c>
      <c r="E269" t="s">
        <v>1079</v>
      </c>
      <c r="F269" s="360">
        <v>4</v>
      </c>
      <c r="G269" s="360" t="str">
        <f>CONCATENATE(A269," ",B269," ",C269," ","inf+"," ",FanUpsizes!D269," ",FanUpsizes!F269)</f>
        <v>1.5ACH Percentile 2 inf+ New 4</v>
      </c>
      <c r="H269" s="360">
        <v>3.7001923958091411E-2</v>
      </c>
      <c r="I269" s="360">
        <v>0.27365343760529232</v>
      </c>
      <c r="J269" s="360">
        <v>1.1670583751726928</v>
      </c>
      <c r="K269" s="360">
        <v>2428.28303213553</v>
      </c>
      <c r="L269" s="360">
        <v>0.22832563366618921</v>
      </c>
      <c r="M269" s="360">
        <v>1.6444615874132715</v>
      </c>
      <c r="N269" s="360">
        <v>1.8227284193949445</v>
      </c>
      <c r="O269" s="360">
        <v>0.39885594996939339</v>
      </c>
      <c r="P269" s="360">
        <v>1.1670586685180031</v>
      </c>
      <c r="Q269" s="360">
        <v>1108.8934551442321</v>
      </c>
      <c r="R269" s="360">
        <v>2885.1458005769532</v>
      </c>
      <c r="S269" s="360">
        <v>0.17067224481287821</v>
      </c>
      <c r="T269" s="360">
        <v>2.1833103667903031</v>
      </c>
      <c r="U269" s="360">
        <v>2.9812372644440726</v>
      </c>
      <c r="V269" s="360">
        <v>0.45929235879601937</v>
      </c>
      <c r="W269" s="360">
        <v>1.1670585334844605</v>
      </c>
      <c r="X269" s="360">
        <v>684.57963233358885</v>
      </c>
      <c r="Y269" s="360">
        <v>0.28185968098931624</v>
      </c>
      <c r="Z269" s="360">
        <v>1.1335816496701647</v>
      </c>
      <c r="AA269" s="360">
        <v>2602.9867292673307</v>
      </c>
      <c r="AB269" s="360">
        <v>0.23343624298535556</v>
      </c>
      <c r="AC269" s="360">
        <v>1.6188143252226719</v>
      </c>
      <c r="AD269" s="360">
        <v>1.9173523022842685</v>
      </c>
      <c r="AE269" s="360">
        <v>0.42128820268362327</v>
      </c>
      <c r="AF269" s="360">
        <v>1.1335816576497677</v>
      </c>
      <c r="AG269" s="360">
        <v>1152.3184911255835</v>
      </c>
      <c r="AH269" s="360">
        <v>3059.9956081844198</v>
      </c>
      <c r="AI269" s="360">
        <v>0.17564162696075164</v>
      </c>
      <c r="AJ269" s="360">
        <v>2.1272604892465705</v>
      </c>
      <c r="AK269" s="360">
        <v>3.1346475761515</v>
      </c>
      <c r="AL269" s="360">
        <v>0.48450679855346818</v>
      </c>
      <c r="AM269" s="360">
        <v>1.1335816832491696</v>
      </c>
      <c r="AN269" s="360">
        <v>708.24782043040545</v>
      </c>
      <c r="AO269" s="360">
        <f t="shared" si="12"/>
        <v>1</v>
      </c>
      <c r="AP269" s="360">
        <f t="shared" si="13"/>
        <v>1</v>
      </c>
      <c r="AQ269" s="360">
        <f t="shared" si="14"/>
        <v>1</v>
      </c>
    </row>
    <row r="270" spans="1:43">
      <c r="A270" s="360" t="s">
        <v>1084</v>
      </c>
      <c r="B270" t="s">
        <v>1074</v>
      </c>
      <c r="C270">
        <v>2</v>
      </c>
      <c r="D270" t="s">
        <v>1078</v>
      </c>
      <c r="E270" t="s">
        <v>1079</v>
      </c>
      <c r="F270" s="360">
        <v>4</v>
      </c>
      <c r="G270" s="360" t="str">
        <f>CONCATENATE(A270," ",B270," ",C270," ","inf+"," ",FanUpsizes!D270," ",FanUpsizes!F270)</f>
        <v>1.5ACH Infiltration 2 inf+ New 4</v>
      </c>
      <c r="H270" s="360">
        <v>3.7001923958091411E-2</v>
      </c>
      <c r="I270" s="360">
        <v>0.27365343760529232</v>
      </c>
      <c r="J270" s="360">
        <v>1.1670583751726928</v>
      </c>
      <c r="K270" s="360">
        <v>0</v>
      </c>
      <c r="L270" s="360">
        <v>0.27365343760529232</v>
      </c>
      <c r="M270" s="360">
        <v>1.1670583751726928</v>
      </c>
      <c r="N270" s="360">
        <v>1</v>
      </c>
      <c r="O270" s="360">
        <v>0.27365343760529232</v>
      </c>
      <c r="P270" s="360">
        <v>1.1670583751726928</v>
      </c>
      <c r="Q270" s="360">
        <v>0</v>
      </c>
      <c r="R270" s="360">
        <v>0</v>
      </c>
      <c r="S270" s="360">
        <v>0.27365343760529232</v>
      </c>
      <c r="T270" s="360">
        <v>1.1670583751726928</v>
      </c>
      <c r="U270" s="360">
        <v>1</v>
      </c>
      <c r="V270" s="360">
        <v>0.27365343760529232</v>
      </c>
      <c r="W270" s="360">
        <v>1.1670583751726928</v>
      </c>
      <c r="X270" s="360">
        <v>0</v>
      </c>
      <c r="Y270" s="360">
        <v>0.28185968098931624</v>
      </c>
      <c r="Z270" s="360">
        <v>1.1335816496701647</v>
      </c>
      <c r="AA270" s="360">
        <v>0</v>
      </c>
      <c r="AB270" s="360">
        <v>0.28185968098931624</v>
      </c>
      <c r="AC270" s="360">
        <v>1.1335816496701647</v>
      </c>
      <c r="AD270" s="360">
        <v>1</v>
      </c>
      <c r="AE270" s="360">
        <v>0.28185968098931624</v>
      </c>
      <c r="AF270" s="360">
        <v>1.1335816496701647</v>
      </c>
      <c r="AG270" s="360">
        <v>0</v>
      </c>
      <c r="AH270" s="360">
        <v>0</v>
      </c>
      <c r="AI270" s="360">
        <v>0.28185968098931624</v>
      </c>
      <c r="AJ270" s="360">
        <v>1.1335816496701647</v>
      </c>
      <c r="AK270" s="360">
        <v>1</v>
      </c>
      <c r="AL270" s="360">
        <v>0.28185968098931624</v>
      </c>
      <c r="AM270" s="360">
        <v>1.1335816496701647</v>
      </c>
      <c r="AN270" s="360">
        <v>0</v>
      </c>
      <c r="AO270" s="360">
        <f t="shared" si="12"/>
        <v>1</v>
      </c>
      <c r="AP270" s="360">
        <f t="shared" si="13"/>
        <v>0</v>
      </c>
      <c r="AQ270" s="360">
        <f t="shared" si="14"/>
        <v>0</v>
      </c>
    </row>
    <row r="271" spans="1:43">
      <c r="A271" s="360" t="s">
        <v>1084</v>
      </c>
      <c r="B271" t="s">
        <v>1076</v>
      </c>
      <c r="C271">
        <v>2</v>
      </c>
      <c r="D271" t="s">
        <v>1078</v>
      </c>
      <c r="E271" t="s">
        <v>1079</v>
      </c>
      <c r="F271" s="360">
        <v>4</v>
      </c>
      <c r="G271" s="360" t="str">
        <f>CONCATENATE(A271," ",B271," ",C271," ","inf+"," ",FanUpsizes!D271," ",FanUpsizes!F271)</f>
        <v>1.5ACH 5C 2 inf+ New 4</v>
      </c>
      <c r="H271" s="360">
        <v>3.7001923958091411E-2</v>
      </c>
      <c r="I271" s="360">
        <v>0.27365343760529232</v>
      </c>
      <c r="J271" s="360">
        <v>1.1670583751726928</v>
      </c>
      <c r="K271" s="360">
        <v>1521.2606600583777</v>
      </c>
      <c r="L271" s="360">
        <v>0.24983059976957048</v>
      </c>
      <c r="M271" s="360">
        <v>1.3967664162842366</v>
      </c>
      <c r="N271" s="360">
        <v>1.2663481422595668</v>
      </c>
      <c r="O271" s="360">
        <v>0.31280470417221384</v>
      </c>
      <c r="P271" s="360">
        <v>1.1670583981898031</v>
      </c>
      <c r="Q271" s="360">
        <v>764.0267092947056</v>
      </c>
      <c r="R271" s="360">
        <v>1521.2606600583777</v>
      </c>
      <c r="S271" s="360">
        <v>0.24983059976957048</v>
      </c>
      <c r="T271" s="360">
        <v>1.3967664162842366</v>
      </c>
      <c r="U271" s="360">
        <v>1.2663481422595668</v>
      </c>
      <c r="V271" s="360">
        <v>0.31280470417221384</v>
      </c>
      <c r="W271" s="360">
        <v>1.1670583981898031</v>
      </c>
      <c r="X271" s="360">
        <v>764.0267092947056</v>
      </c>
      <c r="Y271" s="360">
        <v>0.28185968098931624</v>
      </c>
      <c r="Z271" s="360">
        <v>1.1335816496701647</v>
      </c>
      <c r="AA271" s="360">
        <v>1647.2920347809647</v>
      </c>
      <c r="AB271" s="360">
        <v>0.25609130521979712</v>
      </c>
      <c r="AC271" s="360">
        <v>1.3680318043730155</v>
      </c>
      <c r="AD271" s="360">
        <v>1.2952394202968314</v>
      </c>
      <c r="AE271" s="360">
        <v>0.32465817511680584</v>
      </c>
      <c r="AF271" s="360">
        <v>1.1335819544232271</v>
      </c>
      <c r="AG271" s="360">
        <v>826.51140419907722</v>
      </c>
      <c r="AH271" s="360">
        <v>1647.2920347809647</v>
      </c>
      <c r="AI271" s="360">
        <v>0.25609130521979712</v>
      </c>
      <c r="AJ271" s="360">
        <v>1.3680318043730155</v>
      </c>
      <c r="AK271" s="360">
        <v>1.2952394202968314</v>
      </c>
      <c r="AL271" s="360">
        <v>0.32465817511680584</v>
      </c>
      <c r="AM271" s="360">
        <v>1.1335819544232271</v>
      </c>
      <c r="AN271" s="360">
        <v>826.51140419907722</v>
      </c>
      <c r="AO271" s="360">
        <f t="shared" si="12"/>
        <v>1</v>
      </c>
      <c r="AP271" s="360">
        <f t="shared" si="13"/>
        <v>1</v>
      </c>
      <c r="AQ271" s="360">
        <f t="shared" si="14"/>
        <v>1</v>
      </c>
    </row>
    <row r="272" spans="1:43">
      <c r="A272" s="360" t="s">
        <v>1084</v>
      </c>
      <c r="B272" t="s">
        <v>1075</v>
      </c>
      <c r="C272">
        <v>1</v>
      </c>
      <c r="D272" t="s">
        <v>1080</v>
      </c>
      <c r="E272" t="s">
        <v>1079</v>
      </c>
      <c r="F272" s="360">
        <v>4</v>
      </c>
      <c r="G272" s="360" t="str">
        <f>CONCATENATE(A272," ",B272," ",C272," ","inf+"," ",FanUpsizes!D272," ",FanUpsizes!F272)</f>
        <v>1.5ACH Percentile 1 inf+ Existing 4</v>
      </c>
      <c r="H272" s="360">
        <v>5.4768475942982384E-2</v>
      </c>
      <c r="I272" s="360">
        <v>0.40424001752513777</v>
      </c>
      <c r="J272" s="360">
        <v>1.0866270285100954</v>
      </c>
      <c r="K272" s="360">
        <v>4394.3656337801194</v>
      </c>
      <c r="L272" s="360">
        <v>0.32267582356087449</v>
      </c>
      <c r="M272" s="360">
        <v>1.9923569026614785</v>
      </c>
      <c r="N272" s="360">
        <v>7.1170186496055301</v>
      </c>
      <c r="O272" s="360">
        <v>2.201210969839039</v>
      </c>
      <c r="P272" s="360">
        <v>1.0866270425093565</v>
      </c>
      <c r="Q272" s="360">
        <v>-10141.19591661191</v>
      </c>
      <c r="R272" s="360">
        <v>5106.230981020788</v>
      </c>
      <c r="S272" s="360">
        <v>0.23340872969902746</v>
      </c>
      <c r="T272" s="360">
        <v>2.6229873393786765</v>
      </c>
      <c r="U272" s="360">
        <v>7.3034714425215439</v>
      </c>
      <c r="V272" s="360">
        <v>1.605991741296277</v>
      </c>
      <c r="W272" s="360">
        <v>1.1770368779929383</v>
      </c>
      <c r="X272" s="360">
        <v>-5378.3454322038797</v>
      </c>
      <c r="Y272" s="360">
        <v>0.40756508425147586</v>
      </c>
      <c r="Z272" s="360">
        <v>1.077816872588617</v>
      </c>
      <c r="AA272" s="360">
        <v>4473.1161241513055</v>
      </c>
      <c r="AB272" s="360">
        <v>0.32464655250701951</v>
      </c>
      <c r="AC272" s="360">
        <v>1.9851917317554277</v>
      </c>
      <c r="AD272" s="360">
        <v>7.3034714425215439</v>
      </c>
      <c r="AE272" s="360">
        <v>2.2587423243059113</v>
      </c>
      <c r="AF272" s="360">
        <v>1.0829986067212376</v>
      </c>
      <c r="AG272" s="360">
        <v>-10490.128665549271</v>
      </c>
      <c r="AH272" s="360">
        <v>5175.7271097970897</v>
      </c>
      <c r="AI272" s="360">
        <v>0.23634534707126004</v>
      </c>
      <c r="AJ272" s="360">
        <v>2.5910740449253309</v>
      </c>
      <c r="AK272" s="360">
        <v>7.3034714425215439</v>
      </c>
      <c r="AL272" s="360">
        <v>1.6064117149524337</v>
      </c>
      <c r="AM272" s="360">
        <v>1.1769251846555708</v>
      </c>
      <c r="AN272" s="360">
        <v>-5285.6778015438749</v>
      </c>
      <c r="AO272" s="360">
        <f t="shared" si="12"/>
        <v>1</v>
      </c>
      <c r="AP272" s="360">
        <f t="shared" si="13"/>
        <v>1</v>
      </c>
      <c r="AQ272" s="360">
        <f t="shared" si="14"/>
        <v>1</v>
      </c>
    </row>
    <row r="273" spans="1:43">
      <c r="A273" s="360" t="s">
        <v>1084</v>
      </c>
      <c r="B273" t="s">
        <v>1074</v>
      </c>
      <c r="C273">
        <v>1</v>
      </c>
      <c r="D273" t="s">
        <v>1080</v>
      </c>
      <c r="E273" t="s">
        <v>1079</v>
      </c>
      <c r="F273" s="360">
        <v>4</v>
      </c>
      <c r="G273" s="360" t="str">
        <f>CONCATENATE(A273," ",B273," ",C273," ","inf+"," ",FanUpsizes!D273," ",FanUpsizes!F273)</f>
        <v>1.5ACH Infiltration 1 inf+ Existing 4</v>
      </c>
      <c r="H273" s="360">
        <v>5.4768475942982384E-2</v>
      </c>
      <c r="I273" s="360">
        <v>0.40424001752513777</v>
      </c>
      <c r="J273" s="360">
        <v>1.0866270285100954</v>
      </c>
      <c r="K273" s="360">
        <v>0</v>
      </c>
      <c r="L273" s="360">
        <v>0.40424001752513777</v>
      </c>
      <c r="M273" s="360">
        <v>1.0866270285100954</v>
      </c>
      <c r="N273" s="360">
        <v>1</v>
      </c>
      <c r="O273" s="360">
        <v>0.40424001752513777</v>
      </c>
      <c r="P273" s="360">
        <v>1.0866270285100954</v>
      </c>
      <c r="Q273" s="360">
        <v>0</v>
      </c>
      <c r="R273" s="360">
        <v>0</v>
      </c>
      <c r="S273" s="360">
        <v>0.40424001752513777</v>
      </c>
      <c r="T273" s="360">
        <v>1.0866270285100954</v>
      </c>
      <c r="U273" s="360">
        <v>1</v>
      </c>
      <c r="V273" s="360">
        <v>0.40424001752513777</v>
      </c>
      <c r="W273" s="360">
        <v>1.0866270285100954</v>
      </c>
      <c r="X273" s="360">
        <v>0</v>
      </c>
      <c r="Y273" s="360">
        <v>0.40756508425147586</v>
      </c>
      <c r="Z273" s="360">
        <v>1.077816872588617</v>
      </c>
      <c r="AA273" s="360">
        <v>0</v>
      </c>
      <c r="AB273" s="360">
        <v>0.40756508425147586</v>
      </c>
      <c r="AC273" s="360">
        <v>1.077816872588617</v>
      </c>
      <c r="AD273" s="360">
        <v>1</v>
      </c>
      <c r="AE273" s="360">
        <v>0.40756508425147586</v>
      </c>
      <c r="AF273" s="360">
        <v>1.077816872588617</v>
      </c>
      <c r="AG273" s="360">
        <v>0</v>
      </c>
      <c r="AH273" s="360">
        <v>0</v>
      </c>
      <c r="AI273" s="360">
        <v>0.40756508425147586</v>
      </c>
      <c r="AJ273" s="360">
        <v>1.077816872588617</v>
      </c>
      <c r="AK273" s="360">
        <v>1</v>
      </c>
      <c r="AL273" s="360">
        <v>0.40756508425147586</v>
      </c>
      <c r="AM273" s="360">
        <v>1.077816872588617</v>
      </c>
      <c r="AN273" s="360">
        <v>0</v>
      </c>
      <c r="AO273" s="360">
        <f t="shared" si="12"/>
        <v>1</v>
      </c>
      <c r="AP273" s="360">
        <f t="shared" si="13"/>
        <v>0</v>
      </c>
      <c r="AQ273" s="360">
        <f t="shared" si="14"/>
        <v>0</v>
      </c>
    </row>
    <row r="274" spans="1:43">
      <c r="A274" s="360" t="s">
        <v>1084</v>
      </c>
      <c r="B274" t="s">
        <v>1076</v>
      </c>
      <c r="C274">
        <v>1</v>
      </c>
      <c r="D274" t="s">
        <v>1080</v>
      </c>
      <c r="E274" t="s">
        <v>1079</v>
      </c>
      <c r="F274" s="360">
        <v>4</v>
      </c>
      <c r="G274" s="360" t="str">
        <f>CONCATENATE(A274," ",B274," ",C274," ","inf+"," ",FanUpsizes!D274," ",FanUpsizes!F274)</f>
        <v>1.5ACH 5C 1 inf+ Existing 4</v>
      </c>
      <c r="H274" s="360">
        <v>5.4768475942982384E-2</v>
      </c>
      <c r="I274" s="360">
        <v>0.40424001752513777</v>
      </c>
      <c r="J274" s="360">
        <v>1.0866270285100954</v>
      </c>
      <c r="K274" s="360">
        <v>2805.1650554011849</v>
      </c>
      <c r="L274" s="360">
        <v>0.36037058917518194</v>
      </c>
      <c r="M274" s="360">
        <v>1.5306214524157953</v>
      </c>
      <c r="N274" s="360">
        <v>1.7306544771375714</v>
      </c>
      <c r="O274" s="360">
        <v>0.61675029500446144</v>
      </c>
      <c r="P274" s="360">
        <v>1.0866287910997836</v>
      </c>
      <c r="Q274" s="360">
        <v>-279.53313105867494</v>
      </c>
      <c r="R274" s="360">
        <v>2805.1650554011849</v>
      </c>
      <c r="S274" s="360">
        <v>0.36037058917518194</v>
      </c>
      <c r="T274" s="360">
        <v>1.5306214524157953</v>
      </c>
      <c r="U274" s="360">
        <v>1.7306544771375714</v>
      </c>
      <c r="V274" s="360">
        <v>0.61675029500446144</v>
      </c>
      <c r="W274" s="360">
        <v>1.0866287910997836</v>
      </c>
      <c r="X274" s="360">
        <v>-279.53313105867494</v>
      </c>
      <c r="Y274" s="360">
        <v>0.40756508425147586</v>
      </c>
      <c r="Z274" s="360">
        <v>1.077816872588617</v>
      </c>
      <c r="AA274" s="360">
        <v>2864.6463682937383</v>
      </c>
      <c r="AB274" s="360">
        <v>0.36279614580299252</v>
      </c>
      <c r="AC274" s="360">
        <v>1.5230000329703501</v>
      </c>
      <c r="AD274" s="360">
        <v>1.7518106708248857</v>
      </c>
      <c r="AE274" s="360">
        <v>0.62556524062746044</v>
      </c>
      <c r="AF274" s="360">
        <v>1.0778183451091956</v>
      </c>
      <c r="AG274" s="360">
        <v>-293.55927854771403</v>
      </c>
      <c r="AH274" s="360">
        <v>2864.6463682937383</v>
      </c>
      <c r="AI274" s="360">
        <v>0.36279614580299252</v>
      </c>
      <c r="AJ274" s="360">
        <v>1.5230000329703501</v>
      </c>
      <c r="AK274" s="360">
        <v>1.7518106708248857</v>
      </c>
      <c r="AL274" s="360">
        <v>0.62556524062746044</v>
      </c>
      <c r="AM274" s="360">
        <v>1.0778183451091956</v>
      </c>
      <c r="AN274" s="360">
        <v>-293.55927854771403</v>
      </c>
      <c r="AO274" s="360">
        <f t="shared" si="12"/>
        <v>1</v>
      </c>
      <c r="AP274" s="360">
        <f t="shared" si="13"/>
        <v>1</v>
      </c>
      <c r="AQ274" s="360">
        <f t="shared" si="14"/>
        <v>1</v>
      </c>
    </row>
    <row r="275" spans="1:43">
      <c r="A275" s="360" t="s">
        <v>1084</v>
      </c>
      <c r="B275" t="s">
        <v>1075</v>
      </c>
      <c r="C275">
        <v>2</v>
      </c>
      <c r="D275" t="s">
        <v>1080</v>
      </c>
      <c r="E275" t="s">
        <v>1079</v>
      </c>
      <c r="F275" s="360">
        <v>4</v>
      </c>
      <c r="G275" s="360" t="str">
        <f>CONCATENATE(A275," ",B275," ",C275," ","inf+"," ",FanUpsizes!D275," ",FanUpsizes!F275)</f>
        <v>1.5ACH Percentile 2 inf+ Existing 4</v>
      </c>
      <c r="H275" s="360">
        <v>5.3251923958091411E-2</v>
      </c>
      <c r="I275" s="360">
        <v>0.39310389245541771</v>
      </c>
      <c r="J275" s="360">
        <v>1.1174081415986654</v>
      </c>
      <c r="K275" s="360">
        <v>3966.6684721556944</v>
      </c>
      <c r="L275" s="360">
        <v>0.31928790572731613</v>
      </c>
      <c r="M275" s="360">
        <v>1.8211942874931826</v>
      </c>
      <c r="N275" s="360">
        <v>3.1037868244963258</v>
      </c>
      <c r="O275" s="360">
        <v>0.9474521365528622</v>
      </c>
      <c r="P275" s="360">
        <v>1.117408288336575</v>
      </c>
      <c r="Q275" s="360">
        <v>-893.79618245628092</v>
      </c>
      <c r="R275" s="360">
        <v>4654.3585301036937</v>
      </c>
      <c r="S275" s="360">
        <v>0.23307843757657098</v>
      </c>
      <c r="T275" s="360">
        <v>2.4138980441079334</v>
      </c>
      <c r="U275" s="360">
        <v>5.1343538483502291</v>
      </c>
      <c r="V275" s="360">
        <v>1.1077795036308151</v>
      </c>
      <c r="W275" s="360">
        <v>1.1174087623881315</v>
      </c>
      <c r="X275" s="360">
        <v>-2026.9055011988169</v>
      </c>
      <c r="Y275" s="360">
        <v>0.39922032281338243</v>
      </c>
      <c r="Z275" s="360">
        <v>1.1004772548062405</v>
      </c>
      <c r="AA275" s="360">
        <v>4106.5529977315409</v>
      </c>
      <c r="AB275" s="360">
        <v>0.32298715605397721</v>
      </c>
      <c r="AC275" s="360">
        <v>1.8081262567654823</v>
      </c>
      <c r="AD275" s="360">
        <v>3.2635665102799121</v>
      </c>
      <c r="AE275" s="360">
        <v>0.99631396589904575</v>
      </c>
      <c r="AF275" s="360">
        <v>1.1004772760352617</v>
      </c>
      <c r="AG275" s="360">
        <v>-1100.4823660127079</v>
      </c>
      <c r="AH275" s="360">
        <v>4781.2570164501776</v>
      </c>
      <c r="AI275" s="360">
        <v>0.23803673182716675</v>
      </c>
      <c r="AJ275" s="360">
        <v>2.3652758848375401</v>
      </c>
      <c r="AK275" s="360">
        <v>5.3980116146364505</v>
      </c>
      <c r="AL275" s="360">
        <v>1.1646857772529449</v>
      </c>
      <c r="AM275" s="360">
        <v>1.1004772646937868</v>
      </c>
      <c r="AN275" s="360">
        <v>-2290.5083029704638</v>
      </c>
      <c r="AO275" s="360">
        <f t="shared" si="12"/>
        <v>1</v>
      </c>
      <c r="AP275" s="360">
        <f t="shared" si="13"/>
        <v>1</v>
      </c>
      <c r="AQ275" s="360">
        <f t="shared" si="14"/>
        <v>1</v>
      </c>
    </row>
    <row r="276" spans="1:43">
      <c r="A276" s="360" t="s">
        <v>1084</v>
      </c>
      <c r="B276" t="s">
        <v>1074</v>
      </c>
      <c r="C276">
        <v>2</v>
      </c>
      <c r="D276" t="s">
        <v>1080</v>
      </c>
      <c r="E276" t="s">
        <v>1079</v>
      </c>
      <c r="F276" s="360">
        <v>4</v>
      </c>
      <c r="G276" s="360" t="str">
        <f>CONCATENATE(A276," ",B276," ",C276," ","inf+"," ",FanUpsizes!D276," ",FanUpsizes!F276)</f>
        <v>1.5ACH Infiltration 2 inf+ Existing 4</v>
      </c>
      <c r="H276" s="360">
        <v>5.3251923958091411E-2</v>
      </c>
      <c r="I276" s="360">
        <v>0.39310389245541771</v>
      </c>
      <c r="J276" s="360">
        <v>1.1174081415986654</v>
      </c>
      <c r="K276" s="360">
        <v>0</v>
      </c>
      <c r="L276" s="360">
        <v>0.39310389245541771</v>
      </c>
      <c r="M276" s="360">
        <v>1.1174081415986654</v>
      </c>
      <c r="N276" s="360">
        <v>1</v>
      </c>
      <c r="O276" s="360">
        <v>0.39310389245541771</v>
      </c>
      <c r="P276" s="360">
        <v>1.1174081415986654</v>
      </c>
      <c r="Q276" s="360">
        <v>0</v>
      </c>
      <c r="R276" s="360">
        <v>0</v>
      </c>
      <c r="S276" s="360">
        <v>0.39310389245541771</v>
      </c>
      <c r="T276" s="360">
        <v>1.1174081415986654</v>
      </c>
      <c r="U276" s="360">
        <v>1</v>
      </c>
      <c r="V276" s="360">
        <v>0.39310389245541771</v>
      </c>
      <c r="W276" s="360">
        <v>1.1174081415986654</v>
      </c>
      <c r="X276" s="360">
        <v>0</v>
      </c>
      <c r="Y276" s="360">
        <v>0.39922032281338243</v>
      </c>
      <c r="Z276" s="360">
        <v>1.1004772548062405</v>
      </c>
      <c r="AA276" s="360">
        <v>0</v>
      </c>
      <c r="AB276" s="360">
        <v>0.39922032281338243</v>
      </c>
      <c r="AC276" s="360">
        <v>1.1004772548062405</v>
      </c>
      <c r="AD276" s="360">
        <v>1</v>
      </c>
      <c r="AE276" s="360">
        <v>0.39922032281338243</v>
      </c>
      <c r="AF276" s="360">
        <v>1.1004772548062405</v>
      </c>
      <c r="AG276" s="360">
        <v>0</v>
      </c>
      <c r="AH276" s="360">
        <v>0</v>
      </c>
      <c r="AI276" s="360">
        <v>0.39922032281338243</v>
      </c>
      <c r="AJ276" s="360">
        <v>1.1004772548062405</v>
      </c>
      <c r="AK276" s="360">
        <v>1</v>
      </c>
      <c r="AL276" s="360">
        <v>0.39922032281338243</v>
      </c>
      <c r="AM276" s="360">
        <v>1.1004772548062405</v>
      </c>
      <c r="AN276" s="360">
        <v>0</v>
      </c>
      <c r="AO276" s="360">
        <f t="shared" si="12"/>
        <v>1</v>
      </c>
      <c r="AP276" s="360">
        <f t="shared" si="13"/>
        <v>0</v>
      </c>
      <c r="AQ276" s="360">
        <f t="shared" si="14"/>
        <v>0</v>
      </c>
    </row>
    <row r="277" spans="1:43">
      <c r="A277" s="360" t="s">
        <v>1084</v>
      </c>
      <c r="B277" t="s">
        <v>1076</v>
      </c>
      <c r="C277">
        <v>2</v>
      </c>
      <c r="D277" t="s">
        <v>1080</v>
      </c>
      <c r="E277" t="s">
        <v>1079</v>
      </c>
      <c r="F277" s="360">
        <v>4</v>
      </c>
      <c r="G277" s="360" t="str">
        <f>CONCATENATE(A277," ",B277," ",C277," ","inf+"," ",FanUpsizes!D277," ",FanUpsizes!F277)</f>
        <v>1.5ACH 5C 2 inf+ Existing 4</v>
      </c>
      <c r="H277" s="360">
        <v>5.3251923958091411E-2</v>
      </c>
      <c r="I277" s="360">
        <v>0.39310389245541771</v>
      </c>
      <c r="J277" s="360">
        <v>1.1174081415986654</v>
      </c>
      <c r="K277" s="360">
        <v>2513.3587339668657</v>
      </c>
      <c r="L277" s="360">
        <v>0.35375660462467051</v>
      </c>
      <c r="M277" s="360">
        <v>1.4615355231043123</v>
      </c>
      <c r="N277" s="360">
        <v>1.4812349271346297</v>
      </c>
      <c r="O277" s="360">
        <v>0.51792419344028473</v>
      </c>
      <c r="P277" s="360">
        <v>1.1174082101212743</v>
      </c>
      <c r="Q277" s="360">
        <v>538.13492438040259</v>
      </c>
      <c r="R277" s="360">
        <v>2513.3587339668657</v>
      </c>
      <c r="S277" s="360">
        <v>0.35375660462467051</v>
      </c>
      <c r="T277" s="360">
        <v>1.4615355231043123</v>
      </c>
      <c r="U277" s="360">
        <v>1.4812349271346297</v>
      </c>
      <c r="V277" s="360">
        <v>0.51792419344028473</v>
      </c>
      <c r="W277" s="360">
        <v>1.1174082101212743</v>
      </c>
      <c r="X277" s="360">
        <v>538.13492438040259</v>
      </c>
      <c r="Y277" s="360">
        <v>0.39922032281338243</v>
      </c>
      <c r="Z277" s="360">
        <v>1.1004772548062405</v>
      </c>
      <c r="AA277" s="360">
        <v>2618.0175403077565</v>
      </c>
      <c r="AB277" s="360">
        <v>0.35828714322980837</v>
      </c>
      <c r="AC277" s="360">
        <v>1.4471961397107032</v>
      </c>
      <c r="AD277" s="360">
        <v>1.5076801809897793</v>
      </c>
      <c r="AE277" s="360">
        <v>0.52998484367263177</v>
      </c>
      <c r="AF277" s="360">
        <v>1.1004788439858961</v>
      </c>
      <c r="AG277" s="360">
        <v>556.67827109264579</v>
      </c>
      <c r="AH277" s="360">
        <v>2618.0175403077565</v>
      </c>
      <c r="AI277" s="360">
        <v>0.35828714322980837</v>
      </c>
      <c r="AJ277" s="360">
        <v>1.4471961397107032</v>
      </c>
      <c r="AK277" s="360">
        <v>1.5076801809897793</v>
      </c>
      <c r="AL277" s="360">
        <v>0.52998484367263177</v>
      </c>
      <c r="AM277" s="360">
        <v>1.1004788439858961</v>
      </c>
      <c r="AN277" s="360">
        <v>556.67827109264579</v>
      </c>
      <c r="AO277" s="360">
        <f t="shared" si="12"/>
        <v>1</v>
      </c>
      <c r="AP277" s="360">
        <f t="shared" si="13"/>
        <v>1</v>
      </c>
      <c r="AQ277" s="360">
        <f t="shared" si="14"/>
        <v>1</v>
      </c>
    </row>
    <row r="278" spans="1:43">
      <c r="A278" s="360" t="s">
        <v>1085</v>
      </c>
      <c r="B278" t="s">
        <v>1075</v>
      </c>
      <c r="C278">
        <v>1</v>
      </c>
      <c r="D278" t="s">
        <v>1078</v>
      </c>
      <c r="E278" t="s">
        <v>1079</v>
      </c>
      <c r="F278" s="360">
        <v>4</v>
      </c>
      <c r="G278" s="360" t="str">
        <f>CONCATENATE(A278," ",B278," ",C278," ","inf+"," ",FanUpsizes!D278," ",FanUpsizes!F278)</f>
        <v>0.6ACH Percentile 1 inf+ New 4</v>
      </c>
      <c r="H278" s="360">
        <v>4.1366390377192953E-2</v>
      </c>
      <c r="I278" s="360">
        <v>0.30531830929343312</v>
      </c>
      <c r="J278" s="360">
        <v>1.0458774831844131</v>
      </c>
      <c r="K278" s="360">
        <v>3628.1679480540861</v>
      </c>
      <c r="L278" s="360">
        <v>0.23818108074868657</v>
      </c>
      <c r="M278" s="360">
        <v>2.3202036888787987</v>
      </c>
      <c r="N278" s="360">
        <v>9.6696858573509239</v>
      </c>
      <c r="O278" s="360">
        <v>2.2491259467099574</v>
      </c>
      <c r="P278" s="360">
        <v>1.2479569458728064</v>
      </c>
      <c r="Q278" s="360">
        <v>-11931.96101377878</v>
      </c>
      <c r="R278" s="360">
        <v>4166.5199060931154</v>
      </c>
      <c r="S278" s="360">
        <v>0.17070539566561399</v>
      </c>
      <c r="T278" s="360">
        <v>3.0777488659572709</v>
      </c>
      <c r="U278" s="360">
        <v>9.6696858573509239</v>
      </c>
      <c r="V278" s="360">
        <v>1.5966470633834888</v>
      </c>
      <c r="W278" s="360">
        <v>1.3299260443691774</v>
      </c>
      <c r="X278" s="360">
        <v>-6726.0513347488422</v>
      </c>
      <c r="Y278" s="360">
        <v>0.30602743746980593</v>
      </c>
      <c r="Z278" s="360">
        <v>1.0434589610564557</v>
      </c>
      <c r="AA278" s="360">
        <v>3645.0096409839839</v>
      </c>
      <c r="AB278" s="360">
        <v>0.23860073536888615</v>
      </c>
      <c r="AC278" s="360">
        <v>2.3177029622697649</v>
      </c>
      <c r="AD278" s="360">
        <v>9.6696858573509239</v>
      </c>
      <c r="AE278" s="360">
        <v>2.249169423098778</v>
      </c>
      <c r="AF278" s="360">
        <v>1.2479543215790718</v>
      </c>
      <c r="AG278" s="360">
        <v>-11911.711087287462</v>
      </c>
      <c r="AH278" s="360">
        <v>4181.1554606741211</v>
      </c>
      <c r="AI278" s="360">
        <v>0.17135060076912112</v>
      </c>
      <c r="AJ278" s="360">
        <v>3.0653643862109092</v>
      </c>
      <c r="AK278" s="360">
        <v>9.6696858573509239</v>
      </c>
      <c r="AL278" s="360">
        <v>1.59671428163719</v>
      </c>
      <c r="AM278" s="360">
        <v>1.3299080661549332</v>
      </c>
      <c r="AN278" s="360">
        <v>-6706.0350038361894</v>
      </c>
      <c r="AO278" s="360">
        <f t="shared" si="12"/>
        <v>0</v>
      </c>
      <c r="AP278" s="360">
        <f t="shared" si="13"/>
        <v>1</v>
      </c>
      <c r="AQ278" s="360">
        <f t="shared" si="14"/>
        <v>1</v>
      </c>
    </row>
    <row r="279" spans="1:43">
      <c r="A279" s="360" t="s">
        <v>1085</v>
      </c>
      <c r="B279" t="s">
        <v>1074</v>
      </c>
      <c r="C279">
        <v>1</v>
      </c>
      <c r="D279" t="s">
        <v>1078</v>
      </c>
      <c r="E279" t="s">
        <v>1079</v>
      </c>
      <c r="F279" s="360">
        <v>4</v>
      </c>
      <c r="G279" s="360" t="str">
        <f>CONCATENATE(A279," ",B279," ",C279," ","inf+"," ",FanUpsizes!D279," ",FanUpsizes!F279)</f>
        <v>0.6ACH Infiltration 1 inf+ New 4</v>
      </c>
      <c r="H279" s="360">
        <v>4.1366390377192953E-2</v>
      </c>
      <c r="I279" s="360">
        <v>0.30531830929343312</v>
      </c>
      <c r="J279" s="360">
        <v>1.0458774831844131</v>
      </c>
      <c r="K279" s="360">
        <v>0</v>
      </c>
      <c r="L279" s="360">
        <v>0.30531830929343312</v>
      </c>
      <c r="M279" s="360">
        <v>1.0458774831844131</v>
      </c>
      <c r="N279" s="360">
        <v>1</v>
      </c>
      <c r="O279" s="360">
        <v>0.30531830929343312</v>
      </c>
      <c r="P279" s="360">
        <v>1.0458774831844131</v>
      </c>
      <c r="Q279" s="360">
        <v>0</v>
      </c>
      <c r="R279" s="360">
        <v>0</v>
      </c>
      <c r="S279" s="360">
        <v>0.30531830929343312</v>
      </c>
      <c r="T279" s="360">
        <v>1.0458774831844131</v>
      </c>
      <c r="U279" s="360">
        <v>1</v>
      </c>
      <c r="V279" s="360">
        <v>0.30531830929343312</v>
      </c>
      <c r="W279" s="360">
        <v>1.0458774831844131</v>
      </c>
      <c r="X279" s="360">
        <v>0</v>
      </c>
      <c r="Y279" s="360">
        <v>0.30602743746980593</v>
      </c>
      <c r="Z279" s="360">
        <v>1.0434589610564557</v>
      </c>
      <c r="AA279" s="360">
        <v>0</v>
      </c>
      <c r="AB279" s="360">
        <v>0.30602743746980593</v>
      </c>
      <c r="AC279" s="360">
        <v>1.0434589610564557</v>
      </c>
      <c r="AD279" s="360">
        <v>1</v>
      </c>
      <c r="AE279" s="360">
        <v>0.30602743746980593</v>
      </c>
      <c r="AF279" s="360">
        <v>1.0434589610564557</v>
      </c>
      <c r="AG279" s="360">
        <v>0</v>
      </c>
      <c r="AH279" s="360">
        <v>0</v>
      </c>
      <c r="AI279" s="360">
        <v>0.30602743746980593</v>
      </c>
      <c r="AJ279" s="360">
        <v>1.0434589610564557</v>
      </c>
      <c r="AK279" s="360">
        <v>1</v>
      </c>
      <c r="AL279" s="360">
        <v>0.30602743746980593</v>
      </c>
      <c r="AM279" s="360">
        <v>1.0434589610564557</v>
      </c>
      <c r="AN279" s="360">
        <v>0</v>
      </c>
      <c r="AO279" s="360">
        <f t="shared" si="12"/>
        <v>1</v>
      </c>
      <c r="AP279" s="360">
        <f t="shared" si="13"/>
        <v>0</v>
      </c>
      <c r="AQ279" s="360">
        <f t="shared" si="14"/>
        <v>0</v>
      </c>
    </row>
    <row r="280" spans="1:43">
      <c r="A280" s="360" t="s">
        <v>1085</v>
      </c>
      <c r="B280" t="s">
        <v>1076</v>
      </c>
      <c r="C280">
        <v>1</v>
      </c>
      <c r="D280" t="s">
        <v>1078</v>
      </c>
      <c r="E280" t="s">
        <v>1079</v>
      </c>
      <c r="F280" s="360">
        <v>4</v>
      </c>
      <c r="G280" s="360" t="str">
        <f>CONCATENATE(A280," ",B280," ",C280," ","inf+"," ",FanUpsizes!D280," ",FanUpsizes!F280)</f>
        <v>0.6ACH 5C 1 inf+ New 4</v>
      </c>
      <c r="H280" s="360">
        <v>4.1366390377192953E-2</v>
      </c>
      <c r="I280" s="360">
        <v>0.30531830929343312</v>
      </c>
      <c r="J280" s="360">
        <v>1.0458774831844131</v>
      </c>
      <c r="K280" s="360">
        <v>2336.7491801036172</v>
      </c>
      <c r="L280" s="360">
        <v>0.26881820790675282</v>
      </c>
      <c r="M280" s="360">
        <v>1.6569535626647378</v>
      </c>
      <c r="N280" s="360">
        <v>2.2936968560021391</v>
      </c>
      <c r="O280" s="360">
        <v>0.6116833810945328</v>
      </c>
      <c r="P280" s="360">
        <v>1.0458774928753265</v>
      </c>
      <c r="Q280" s="360">
        <v>-1788.5374555246692</v>
      </c>
      <c r="R280" s="360">
        <v>2336.7491801036172</v>
      </c>
      <c r="S280" s="360">
        <v>0.26881820790675282</v>
      </c>
      <c r="T280" s="360">
        <v>1.6569535626647378</v>
      </c>
      <c r="U280" s="360">
        <v>2.2936968560021391</v>
      </c>
      <c r="V280" s="360">
        <v>0.6116833810945328</v>
      </c>
      <c r="W280" s="360">
        <v>1.0458774928753265</v>
      </c>
      <c r="X280" s="360">
        <v>-1788.5374555246692</v>
      </c>
      <c r="Y280" s="360">
        <v>0.30602743746980593</v>
      </c>
      <c r="Z280" s="360">
        <v>1.0434589610564557</v>
      </c>
      <c r="AA280" s="360">
        <v>2349.487743646509</v>
      </c>
      <c r="AB280" s="360">
        <v>0.26933470864977554</v>
      </c>
      <c r="AC280" s="360">
        <v>1.6546194970174111</v>
      </c>
      <c r="AD280" s="360">
        <v>2.3045790412876022</v>
      </c>
      <c r="AE280" s="360">
        <v>0.61479191377750142</v>
      </c>
      <c r="AF280" s="360">
        <v>1.0434599608382304</v>
      </c>
      <c r="AG280" s="360">
        <v>-1806.0299381030411</v>
      </c>
      <c r="AH280" s="360">
        <v>2349.487743646509</v>
      </c>
      <c r="AI280" s="360">
        <v>0.26933470864977554</v>
      </c>
      <c r="AJ280" s="360">
        <v>1.6546194970174111</v>
      </c>
      <c r="AK280" s="360">
        <v>2.3045790412876022</v>
      </c>
      <c r="AL280" s="360">
        <v>0.61479191377750142</v>
      </c>
      <c r="AM280" s="360">
        <v>1.0434599608382304</v>
      </c>
      <c r="AN280" s="360">
        <v>-1806.0299381030411</v>
      </c>
      <c r="AO280" s="360">
        <f t="shared" si="12"/>
        <v>1</v>
      </c>
      <c r="AP280" s="360">
        <f t="shared" si="13"/>
        <v>1</v>
      </c>
      <c r="AQ280" s="360">
        <f t="shared" si="14"/>
        <v>1</v>
      </c>
    </row>
    <row r="281" spans="1:43">
      <c r="A281" s="360" t="s">
        <v>1085</v>
      </c>
      <c r="B281" t="s">
        <v>1075</v>
      </c>
      <c r="C281">
        <v>2</v>
      </c>
      <c r="D281" t="s">
        <v>1078</v>
      </c>
      <c r="E281" t="s">
        <v>1079</v>
      </c>
      <c r="F281" s="360">
        <v>4</v>
      </c>
      <c r="G281" s="360" t="str">
        <f>CONCATENATE(A281," ",B281," ",C281," ","inf+"," ",FanUpsizes!D281," ",FanUpsizes!F281)</f>
        <v>0.6ACH Percentile 2 inf+ New 4</v>
      </c>
      <c r="H281" s="360">
        <v>4.0759769583236564E-2</v>
      </c>
      <c r="I281" s="360">
        <v>0.30084094413045526</v>
      </c>
      <c r="J281" s="360">
        <v>1.0614363052486058</v>
      </c>
      <c r="K281" s="360">
        <v>3455.9568740379673</v>
      </c>
      <c r="L281" s="360">
        <v>0.23681892760854423</v>
      </c>
      <c r="M281" s="360">
        <v>2.1271498186974016</v>
      </c>
      <c r="N281" s="360">
        <v>9.8135981652975204</v>
      </c>
      <c r="O281" s="360">
        <v>2.2511652621953466</v>
      </c>
      <c r="P281" s="360">
        <v>1.0974239804830301</v>
      </c>
      <c r="Q281" s="360">
        <v>-12130.491700713514</v>
      </c>
      <c r="R281" s="360">
        <v>3986.3319026436507</v>
      </c>
      <c r="S281" s="360">
        <v>0.17033962681926848</v>
      </c>
      <c r="T281" s="360">
        <v>2.8290486846204357</v>
      </c>
      <c r="U281" s="360">
        <v>9.8135981652975204</v>
      </c>
      <c r="V281" s="360">
        <v>1.5986863788688677</v>
      </c>
      <c r="W281" s="360">
        <v>1.1749445126078204</v>
      </c>
      <c r="X281" s="360">
        <v>-6924.5820216836091</v>
      </c>
      <c r="Y281" s="360">
        <v>0.3021466867528444</v>
      </c>
      <c r="Z281" s="360">
        <v>1.0568655816170462</v>
      </c>
      <c r="AA281" s="360">
        <v>3486.2828887736173</v>
      </c>
      <c r="AB281" s="360">
        <v>0.2376031605502113</v>
      </c>
      <c r="AC281" s="360">
        <v>2.1227887233559044</v>
      </c>
      <c r="AD281" s="360">
        <v>9.8135981652975204</v>
      </c>
      <c r="AE281" s="360">
        <v>2.2512454539048101</v>
      </c>
      <c r="AF281" s="360">
        <v>1.0974194499712313</v>
      </c>
      <c r="AG281" s="360">
        <v>-12093.900234655875</v>
      </c>
      <c r="AH281" s="360">
        <v>4012.6897405567206</v>
      </c>
      <c r="AI281" s="360">
        <v>0.17154017107727573</v>
      </c>
      <c r="AJ281" s="360">
        <v>2.8082968719338024</v>
      </c>
      <c r="AK281" s="360">
        <v>9.8135981652975204</v>
      </c>
      <c r="AL281" s="360">
        <v>1.5988109004088997</v>
      </c>
      <c r="AM281" s="360">
        <v>1.1749145717234126</v>
      </c>
      <c r="AN281" s="360">
        <v>-6888.4163995604231</v>
      </c>
      <c r="AO281" s="360">
        <f t="shared" si="12"/>
        <v>0</v>
      </c>
      <c r="AP281" s="360">
        <f t="shared" si="13"/>
        <v>1</v>
      </c>
      <c r="AQ281" s="360">
        <f t="shared" si="14"/>
        <v>1</v>
      </c>
    </row>
    <row r="282" spans="1:43">
      <c r="A282" s="360" t="s">
        <v>1085</v>
      </c>
      <c r="B282" t="s">
        <v>1074</v>
      </c>
      <c r="C282">
        <v>2</v>
      </c>
      <c r="D282" t="s">
        <v>1078</v>
      </c>
      <c r="E282" t="s">
        <v>1079</v>
      </c>
      <c r="F282" s="360">
        <v>4</v>
      </c>
      <c r="G282" s="360" t="str">
        <f>CONCATENATE(A282," ",B282," ",C282," ","inf+"," ",FanUpsizes!D282," ",FanUpsizes!F282)</f>
        <v>0.6ACH Infiltration 2 inf+ New 4</v>
      </c>
      <c r="H282" s="360">
        <v>4.0759769583236564E-2</v>
      </c>
      <c r="I282" s="360">
        <v>0.30084094413045526</v>
      </c>
      <c r="J282" s="360">
        <v>1.0614363052486058</v>
      </c>
      <c r="K282" s="360">
        <v>0</v>
      </c>
      <c r="L282" s="360">
        <v>0.30084094413045526</v>
      </c>
      <c r="M282" s="360">
        <v>1.0614363052486058</v>
      </c>
      <c r="N282" s="360">
        <v>1</v>
      </c>
      <c r="O282" s="360">
        <v>0.30084094413045526</v>
      </c>
      <c r="P282" s="360">
        <v>1.0614363052486058</v>
      </c>
      <c r="Q282" s="360">
        <v>0</v>
      </c>
      <c r="R282" s="360">
        <v>0</v>
      </c>
      <c r="S282" s="360">
        <v>0.30084094413045526</v>
      </c>
      <c r="T282" s="360">
        <v>1.0614363052486058</v>
      </c>
      <c r="U282" s="360">
        <v>1</v>
      </c>
      <c r="V282" s="360">
        <v>0.30084094413045526</v>
      </c>
      <c r="W282" s="360">
        <v>1.0614363052486058</v>
      </c>
      <c r="X282" s="360">
        <v>0</v>
      </c>
      <c r="Y282" s="360">
        <v>0.3021466867528444</v>
      </c>
      <c r="Z282" s="360">
        <v>1.0568655816170462</v>
      </c>
      <c r="AA282" s="360">
        <v>0</v>
      </c>
      <c r="AB282" s="360">
        <v>0.3021466867528444</v>
      </c>
      <c r="AC282" s="360">
        <v>1.0568655816170462</v>
      </c>
      <c r="AD282" s="360">
        <v>1</v>
      </c>
      <c r="AE282" s="360">
        <v>0.3021466867528444</v>
      </c>
      <c r="AF282" s="360">
        <v>1.0568655816170462</v>
      </c>
      <c r="AG282" s="360">
        <v>0</v>
      </c>
      <c r="AH282" s="360">
        <v>0</v>
      </c>
      <c r="AI282" s="360">
        <v>0.3021466867528444</v>
      </c>
      <c r="AJ282" s="360">
        <v>1.0568655816170462</v>
      </c>
      <c r="AK282" s="360">
        <v>1</v>
      </c>
      <c r="AL282" s="360">
        <v>0.3021466867528444</v>
      </c>
      <c r="AM282" s="360">
        <v>1.0568655816170462</v>
      </c>
      <c r="AN282" s="360">
        <v>0</v>
      </c>
      <c r="AO282" s="360">
        <f t="shared" si="12"/>
        <v>1</v>
      </c>
      <c r="AP282" s="360">
        <f t="shared" si="13"/>
        <v>0</v>
      </c>
      <c r="AQ282" s="360">
        <f t="shared" si="14"/>
        <v>0</v>
      </c>
    </row>
    <row r="283" spans="1:43">
      <c r="A283" s="360" t="s">
        <v>1085</v>
      </c>
      <c r="B283" t="s">
        <v>1076</v>
      </c>
      <c r="C283">
        <v>2</v>
      </c>
      <c r="D283" t="s">
        <v>1078</v>
      </c>
      <c r="E283" t="s">
        <v>1079</v>
      </c>
      <c r="F283" s="360">
        <v>4</v>
      </c>
      <c r="G283" s="360" t="str">
        <f>CONCATENATE(A283," ",B283," ",C283," ","inf+"," ",FanUpsizes!D283," ",FanUpsizes!F283)</f>
        <v>0.6ACH 5C 2 inf+ New 4</v>
      </c>
      <c r="H283" s="360">
        <v>4.0759769583236564E-2</v>
      </c>
      <c r="I283" s="360">
        <v>0.30084094413045526</v>
      </c>
      <c r="J283" s="360">
        <v>1.0614363052486058</v>
      </c>
      <c r="K283" s="360">
        <v>2218.894442163547</v>
      </c>
      <c r="L283" s="360">
        <v>0.26616562807983901</v>
      </c>
      <c r="M283" s="360">
        <v>1.5764208401813138</v>
      </c>
      <c r="N283" s="360">
        <v>1.9185255784675666</v>
      </c>
      <c r="O283" s="360">
        <v>0.50603025106946531</v>
      </c>
      <c r="P283" s="360">
        <v>1.061436532958306</v>
      </c>
      <c r="Q283" s="360">
        <v>-667.1097395357009</v>
      </c>
      <c r="R283" s="360">
        <v>2218.894442163547</v>
      </c>
      <c r="S283" s="360">
        <v>0.26616562807983901</v>
      </c>
      <c r="T283" s="360">
        <v>1.5764208401813138</v>
      </c>
      <c r="U283" s="360">
        <v>1.9185255784675666</v>
      </c>
      <c r="V283" s="360">
        <v>0.50603025106946531</v>
      </c>
      <c r="W283" s="360">
        <v>1.061436532958306</v>
      </c>
      <c r="X283" s="360">
        <v>-667.1097395357009</v>
      </c>
      <c r="Y283" s="360">
        <v>0.3021466867528444</v>
      </c>
      <c r="Z283" s="360">
        <v>1.0568655816170462</v>
      </c>
      <c r="AA283" s="360">
        <v>2241.7821988912847</v>
      </c>
      <c r="AB283" s="360">
        <v>0.2671253842818081</v>
      </c>
      <c r="AC283" s="360">
        <v>1.5721549468934652</v>
      </c>
      <c r="AD283" s="360">
        <v>1.9321713618687475</v>
      </c>
      <c r="AE283" s="360">
        <v>0.5100917504095297</v>
      </c>
      <c r="AF283" s="360">
        <v>1.0568661852637373</v>
      </c>
      <c r="AG283" s="360">
        <v>-680.16174758916611</v>
      </c>
      <c r="AH283" s="360">
        <v>2241.7821988912847</v>
      </c>
      <c r="AI283" s="360">
        <v>0.2671253842818081</v>
      </c>
      <c r="AJ283" s="360">
        <v>1.5721549468934652</v>
      </c>
      <c r="AK283" s="360">
        <v>1.9321713618687475</v>
      </c>
      <c r="AL283" s="360">
        <v>0.5100917504095297</v>
      </c>
      <c r="AM283" s="360">
        <v>1.0568661852637373</v>
      </c>
      <c r="AN283" s="360">
        <v>-680.16174758916611</v>
      </c>
      <c r="AO283" s="360">
        <f t="shared" si="12"/>
        <v>1</v>
      </c>
      <c r="AP283" s="360">
        <f t="shared" si="13"/>
        <v>1</v>
      </c>
      <c r="AQ283" s="360">
        <f t="shared" si="14"/>
        <v>1</v>
      </c>
    </row>
    <row r="284" spans="1:43">
      <c r="A284" s="360" t="s">
        <v>1085</v>
      </c>
      <c r="B284" t="s">
        <v>1075</v>
      </c>
      <c r="C284">
        <v>1</v>
      </c>
      <c r="D284" t="s">
        <v>1080</v>
      </c>
      <c r="E284" t="s">
        <v>1079</v>
      </c>
      <c r="F284" s="360">
        <v>4</v>
      </c>
      <c r="G284" s="360" t="str">
        <f>CONCATENATE(A284," ",B284," ",C284," ","inf+"," ",FanUpsizes!D284," ",FanUpsizes!F284)</f>
        <v>0.6ACH Percentile 1 inf+ Existing 4</v>
      </c>
      <c r="H284" s="360">
        <v>5.7616390377192954E-2</v>
      </c>
      <c r="I284" s="360">
        <v>0.4252568023739513</v>
      </c>
      <c r="J284" s="360">
        <v>1.0329417362815603</v>
      </c>
      <c r="K284" s="360">
        <v>5190.1715338956592</v>
      </c>
      <c r="L284" s="360">
        <v>0.32929873730699483</v>
      </c>
      <c r="M284" s="360">
        <v>2.7284116417091697</v>
      </c>
      <c r="N284" s="360">
        <v>6.9424689290903094</v>
      </c>
      <c r="O284" s="360">
        <v>2.2491259467099574</v>
      </c>
      <c r="P284" s="360">
        <v>1.7166346737304701</v>
      </c>
      <c r="Q284" s="360">
        <v>-9664.9144848183951</v>
      </c>
      <c r="R284" s="360">
        <v>5940.0358447341396</v>
      </c>
      <c r="S284" s="360">
        <v>0.23531504217046911</v>
      </c>
      <c r="T284" s="360">
        <v>3.5246488703492367</v>
      </c>
      <c r="U284" s="360">
        <v>6.9424689290903094</v>
      </c>
      <c r="V284" s="360">
        <v>1.5966470633834888</v>
      </c>
      <c r="W284" s="360">
        <v>1.8293780059359399</v>
      </c>
      <c r="X284" s="360">
        <v>-4459.0048057884615</v>
      </c>
      <c r="Y284" s="360">
        <v>0.42576649694514407</v>
      </c>
      <c r="Z284" s="360">
        <v>1.0317066693329477</v>
      </c>
      <c r="AA284" s="360">
        <v>5202.2824558893171</v>
      </c>
      <c r="AB284" s="360">
        <v>0.32960029568088323</v>
      </c>
      <c r="AC284" s="360">
        <v>2.7270789661221277</v>
      </c>
      <c r="AD284" s="360">
        <v>6.9424689290903103</v>
      </c>
      <c r="AE284" s="360">
        <v>2.249169423098778</v>
      </c>
      <c r="AF284" s="360">
        <v>1.7166310638921372</v>
      </c>
      <c r="AG284" s="360">
        <v>-9650.4652628104031</v>
      </c>
      <c r="AH284" s="360">
        <v>5950.5363788269715</v>
      </c>
      <c r="AI284" s="360">
        <v>0.2357803215477611</v>
      </c>
      <c r="AJ284" s="360">
        <v>3.5176471483106755</v>
      </c>
      <c r="AK284" s="360">
        <v>6.9424689290903103</v>
      </c>
      <c r="AL284" s="360">
        <v>1.59671428163719</v>
      </c>
      <c r="AM284" s="360">
        <v>1.8293532775673422</v>
      </c>
      <c r="AN284" s="360">
        <v>-4444.7891793591316</v>
      </c>
      <c r="AO284" s="360">
        <f t="shared" si="12"/>
        <v>0</v>
      </c>
      <c r="AP284" s="360">
        <f t="shared" si="13"/>
        <v>1</v>
      </c>
      <c r="AQ284" s="360">
        <f t="shared" si="14"/>
        <v>1</v>
      </c>
    </row>
    <row r="285" spans="1:43">
      <c r="A285" s="360" t="s">
        <v>1085</v>
      </c>
      <c r="B285" t="s">
        <v>1074</v>
      </c>
      <c r="C285">
        <v>1</v>
      </c>
      <c r="D285" t="s">
        <v>1080</v>
      </c>
      <c r="E285" t="s">
        <v>1079</v>
      </c>
      <c r="F285" s="360">
        <v>4</v>
      </c>
      <c r="G285" s="360" t="str">
        <f>CONCATENATE(A285," ",B285," ",C285," ","inf+"," ",FanUpsizes!D285," ",FanUpsizes!F285)</f>
        <v>0.6ACH Infiltration 1 inf+ Existing 4</v>
      </c>
      <c r="H285" s="360">
        <v>5.7616390377192954E-2</v>
      </c>
      <c r="I285" s="360">
        <v>0.4252568023739513</v>
      </c>
      <c r="J285" s="360">
        <v>1.0329417362815603</v>
      </c>
      <c r="K285" s="360">
        <v>0</v>
      </c>
      <c r="L285" s="360">
        <v>0.4252568023739513</v>
      </c>
      <c r="M285" s="360">
        <v>1.0329417362815603</v>
      </c>
      <c r="N285" s="360">
        <v>1</v>
      </c>
      <c r="O285" s="360">
        <v>0.4252568023739513</v>
      </c>
      <c r="P285" s="360">
        <v>1.0329417362815603</v>
      </c>
      <c r="Q285" s="360">
        <v>0</v>
      </c>
      <c r="R285" s="360">
        <v>0</v>
      </c>
      <c r="S285" s="360">
        <v>0.4252568023739513</v>
      </c>
      <c r="T285" s="360">
        <v>1.0329417362815603</v>
      </c>
      <c r="U285" s="360">
        <v>1</v>
      </c>
      <c r="V285" s="360">
        <v>0.4252568023739513</v>
      </c>
      <c r="W285" s="360">
        <v>1.0329417362815603</v>
      </c>
      <c r="X285" s="360">
        <v>0</v>
      </c>
      <c r="Y285" s="360">
        <v>0.42576649694514407</v>
      </c>
      <c r="Z285" s="360">
        <v>1.0317066693329477</v>
      </c>
      <c r="AA285" s="360">
        <v>0</v>
      </c>
      <c r="AB285" s="360">
        <v>0.42576649694514407</v>
      </c>
      <c r="AC285" s="360">
        <v>1.0317066693329477</v>
      </c>
      <c r="AD285" s="360">
        <v>1</v>
      </c>
      <c r="AE285" s="360">
        <v>0.42576649694514407</v>
      </c>
      <c r="AF285" s="360">
        <v>1.0317066693329477</v>
      </c>
      <c r="AG285" s="360">
        <v>0</v>
      </c>
      <c r="AH285" s="360">
        <v>0</v>
      </c>
      <c r="AI285" s="360">
        <v>0.42576649694514407</v>
      </c>
      <c r="AJ285" s="360">
        <v>1.0317066693329477</v>
      </c>
      <c r="AK285" s="360">
        <v>1</v>
      </c>
      <c r="AL285" s="360">
        <v>0.42576649694514407</v>
      </c>
      <c r="AM285" s="360">
        <v>1.0317066693329477</v>
      </c>
      <c r="AN285" s="360">
        <v>0</v>
      </c>
      <c r="AO285" s="360">
        <f t="shared" si="12"/>
        <v>1</v>
      </c>
      <c r="AP285" s="360">
        <f t="shared" si="13"/>
        <v>0</v>
      </c>
      <c r="AQ285" s="360">
        <f t="shared" si="14"/>
        <v>0</v>
      </c>
    </row>
    <row r="286" spans="1:43">
      <c r="A286" s="360" t="s">
        <v>1085</v>
      </c>
      <c r="B286" t="s">
        <v>1076</v>
      </c>
      <c r="C286">
        <v>1</v>
      </c>
      <c r="D286" t="s">
        <v>1080</v>
      </c>
      <c r="E286" t="s">
        <v>1079</v>
      </c>
      <c r="F286" s="360">
        <v>4</v>
      </c>
      <c r="G286" s="360" t="str">
        <f>CONCATENATE(A286," ",B286," ",C286," ","inf+"," ",FanUpsizes!D286," ",FanUpsizes!F286)</f>
        <v>0.6ACH 5C 1 inf+ Existing 4</v>
      </c>
      <c r="H286" s="360">
        <v>5.7616390377192954E-2</v>
      </c>
      <c r="I286" s="360">
        <v>0.4252568023739513</v>
      </c>
      <c r="J286" s="360">
        <v>1.0329417362815603</v>
      </c>
      <c r="K286" s="360">
        <v>3351.1526210388511</v>
      </c>
      <c r="L286" s="360">
        <v>0.37292920121545453</v>
      </c>
      <c r="M286" s="360">
        <v>1.8587408305959836</v>
      </c>
      <c r="N286" s="360">
        <v>4.467657932658315</v>
      </c>
      <c r="O286" s="360">
        <v>1.6529750373091783</v>
      </c>
      <c r="P286" s="360">
        <v>1.0329418699756252</v>
      </c>
      <c r="Q286" s="360">
        <v>-12050.108263911628</v>
      </c>
      <c r="R286" s="360">
        <v>3351.1526210388511</v>
      </c>
      <c r="S286" s="360">
        <v>0.37292920121545453</v>
      </c>
      <c r="T286" s="360">
        <v>1.8587408305959836</v>
      </c>
      <c r="U286" s="360">
        <v>4.467657932658315</v>
      </c>
      <c r="V286" s="360">
        <v>1.6529750373091783</v>
      </c>
      <c r="W286" s="360">
        <v>1.0329418699756252</v>
      </c>
      <c r="X286" s="360">
        <v>-12050.108263911628</v>
      </c>
      <c r="Y286" s="360">
        <v>0.42576649694514407</v>
      </c>
      <c r="Z286" s="360">
        <v>1.0317066693329477</v>
      </c>
      <c r="AA286" s="360">
        <v>3360.3147283692451</v>
      </c>
      <c r="AB286" s="360">
        <v>0.37330035991891214</v>
      </c>
      <c r="AC286" s="360">
        <v>1.8575374059646033</v>
      </c>
      <c r="AD286" s="360">
        <v>4.4911407448515268</v>
      </c>
      <c r="AE286" s="360">
        <v>1.6617261633027667</v>
      </c>
      <c r="AF286" s="360">
        <v>1.0317071256210679</v>
      </c>
      <c r="AG286" s="360">
        <v>-12140.82787245494</v>
      </c>
      <c r="AH286" s="360">
        <v>3360.3147283692451</v>
      </c>
      <c r="AI286" s="360">
        <v>0.37330035991891214</v>
      </c>
      <c r="AJ286" s="360">
        <v>1.8575374059646033</v>
      </c>
      <c r="AK286" s="360">
        <v>4.4911407448515268</v>
      </c>
      <c r="AL286" s="360">
        <v>1.6617261633027667</v>
      </c>
      <c r="AM286" s="360">
        <v>1.0317071256210679</v>
      </c>
      <c r="AN286" s="360">
        <v>-12140.82787245494</v>
      </c>
      <c r="AO286" s="360">
        <f t="shared" si="12"/>
        <v>1</v>
      </c>
      <c r="AP286" s="360">
        <f t="shared" si="13"/>
        <v>1</v>
      </c>
      <c r="AQ286" s="360">
        <f t="shared" si="14"/>
        <v>1</v>
      </c>
    </row>
    <row r="287" spans="1:43">
      <c r="A287" s="360" t="s">
        <v>1085</v>
      </c>
      <c r="B287" t="s">
        <v>1075</v>
      </c>
      <c r="C287">
        <v>2</v>
      </c>
      <c r="D287" t="s">
        <v>1080</v>
      </c>
      <c r="E287" t="s">
        <v>1079</v>
      </c>
      <c r="F287" s="360">
        <v>4</v>
      </c>
      <c r="G287" s="360" t="str">
        <f>CONCATENATE(A287," ",B287," ",C287," ","inf+"," ",FanUpsizes!D287," ",FanUpsizes!F287)</f>
        <v>0.6ACH Percentile 2 inf+ Existing 4</v>
      </c>
      <c r="H287" s="360">
        <v>5.7009769583236565E-2</v>
      </c>
      <c r="I287" s="360">
        <v>0.42077943721096756</v>
      </c>
      <c r="J287" s="360">
        <v>1.0439292736669514</v>
      </c>
      <c r="K287" s="360">
        <v>5017.9604598795795</v>
      </c>
      <c r="L287" s="360">
        <v>0.32793658416684762</v>
      </c>
      <c r="M287" s="360">
        <v>2.4797483914499248</v>
      </c>
      <c r="N287" s="360">
        <v>7.016341285435014</v>
      </c>
      <c r="O287" s="360">
        <v>2.2511652621953466</v>
      </c>
      <c r="P287" s="360">
        <v>1.5095626891339511</v>
      </c>
      <c r="Q287" s="360">
        <v>-9863.4451717530937</v>
      </c>
      <c r="R287" s="360">
        <v>5759.8978013921978</v>
      </c>
      <c r="S287" s="360">
        <v>0.23494392057438795</v>
      </c>
      <c r="T287" s="360">
        <v>3.2149519227134498</v>
      </c>
      <c r="U287" s="360">
        <v>7.016341285435014</v>
      </c>
      <c r="V287" s="360">
        <v>1.5986863788688677</v>
      </c>
      <c r="W287" s="360">
        <v>1.6161866544344874</v>
      </c>
      <c r="X287" s="360">
        <v>-4657.5354927231901</v>
      </c>
      <c r="Y287" s="360">
        <v>0.42171499747053987</v>
      </c>
      <c r="Z287" s="360">
        <v>1.0416180714028178</v>
      </c>
      <c r="AA287" s="360">
        <v>5039.708150228942</v>
      </c>
      <c r="AB287" s="360">
        <v>0.32849823981934073</v>
      </c>
      <c r="AC287" s="360">
        <v>2.4774528636638586</v>
      </c>
      <c r="AD287" s="360">
        <v>7.016341285435014</v>
      </c>
      <c r="AE287" s="360">
        <v>2.2512454539048101</v>
      </c>
      <c r="AF287" s="360">
        <v>1.5095564572032425</v>
      </c>
      <c r="AG287" s="360">
        <v>-9837.4127554112965</v>
      </c>
      <c r="AH287" s="360">
        <v>5778.729528662775</v>
      </c>
      <c r="AI287" s="360">
        <v>0.23581106715450209</v>
      </c>
      <c r="AJ287" s="360">
        <v>3.2032725268620581</v>
      </c>
      <c r="AK287" s="360">
        <v>7.016341285435014</v>
      </c>
      <c r="AL287" s="360">
        <v>1.5988109004088997</v>
      </c>
      <c r="AM287" s="360">
        <v>1.6161454719744044</v>
      </c>
      <c r="AN287" s="360">
        <v>-4631.9289203158432</v>
      </c>
      <c r="AO287" s="360">
        <f t="shared" si="12"/>
        <v>0</v>
      </c>
      <c r="AP287" s="360">
        <f t="shared" si="13"/>
        <v>1</v>
      </c>
      <c r="AQ287" s="360">
        <f t="shared" si="14"/>
        <v>1</v>
      </c>
    </row>
    <row r="288" spans="1:43">
      <c r="A288" s="360" t="s">
        <v>1085</v>
      </c>
      <c r="B288" t="s">
        <v>1074</v>
      </c>
      <c r="C288">
        <v>2</v>
      </c>
      <c r="D288" t="s">
        <v>1080</v>
      </c>
      <c r="E288" t="s">
        <v>1079</v>
      </c>
      <c r="F288" s="360">
        <v>4</v>
      </c>
      <c r="G288" s="360" t="str">
        <f>CONCATENATE(A288," ",B288," ",C288," ","inf+"," ",FanUpsizes!D288," ",FanUpsizes!F288)</f>
        <v>0.6ACH Infiltration 2 inf+ Existing 4</v>
      </c>
      <c r="H288" s="360">
        <v>5.7009769583236565E-2</v>
      </c>
      <c r="I288" s="360">
        <v>0.42077943721096756</v>
      </c>
      <c r="J288" s="360">
        <v>1.0439292736669514</v>
      </c>
      <c r="K288" s="360">
        <v>0</v>
      </c>
      <c r="L288" s="360">
        <v>0.42077943721096756</v>
      </c>
      <c r="M288" s="360">
        <v>1.0439292736669514</v>
      </c>
      <c r="N288" s="360">
        <v>1</v>
      </c>
      <c r="O288" s="360">
        <v>0.42077943721096756</v>
      </c>
      <c r="P288" s="360">
        <v>1.0439292736669514</v>
      </c>
      <c r="Q288" s="360">
        <v>0</v>
      </c>
      <c r="R288" s="360">
        <v>0</v>
      </c>
      <c r="S288" s="360">
        <v>0.42077943721096756</v>
      </c>
      <c r="T288" s="360">
        <v>1.0439292736669514</v>
      </c>
      <c r="U288" s="360">
        <v>1</v>
      </c>
      <c r="V288" s="360">
        <v>0.42077943721096756</v>
      </c>
      <c r="W288" s="360">
        <v>1.0439292736669514</v>
      </c>
      <c r="X288" s="360">
        <v>0</v>
      </c>
      <c r="Y288" s="360">
        <v>0.42171499747053987</v>
      </c>
      <c r="Z288" s="360">
        <v>1.0416180714028178</v>
      </c>
      <c r="AA288" s="360">
        <v>0</v>
      </c>
      <c r="AB288" s="360">
        <v>0.42171499747053987</v>
      </c>
      <c r="AC288" s="360">
        <v>1.0416180714028178</v>
      </c>
      <c r="AD288" s="360">
        <v>1</v>
      </c>
      <c r="AE288" s="360">
        <v>0.42171499747053987</v>
      </c>
      <c r="AF288" s="360">
        <v>1.0416180714028178</v>
      </c>
      <c r="AG288" s="360">
        <v>0</v>
      </c>
      <c r="AH288" s="360">
        <v>0</v>
      </c>
      <c r="AI288" s="360">
        <v>0.42171499747053987</v>
      </c>
      <c r="AJ288" s="360">
        <v>1.0416180714028178</v>
      </c>
      <c r="AK288" s="360">
        <v>1</v>
      </c>
      <c r="AL288" s="360">
        <v>0.42171499747053987</v>
      </c>
      <c r="AM288" s="360">
        <v>1.0416180714028178</v>
      </c>
      <c r="AN288" s="360">
        <v>0</v>
      </c>
      <c r="AO288" s="360">
        <f t="shared" si="12"/>
        <v>1</v>
      </c>
      <c r="AP288" s="360">
        <f t="shared" si="13"/>
        <v>0</v>
      </c>
      <c r="AQ288" s="360">
        <f t="shared" si="14"/>
        <v>0</v>
      </c>
    </row>
    <row r="289" spans="1:43">
      <c r="A289" s="360" t="s">
        <v>1085</v>
      </c>
      <c r="B289" t="s">
        <v>1076</v>
      </c>
      <c r="C289">
        <v>2</v>
      </c>
      <c r="D289" t="s">
        <v>1080</v>
      </c>
      <c r="E289" t="s">
        <v>1079</v>
      </c>
      <c r="F289" s="360">
        <v>4</v>
      </c>
      <c r="G289" s="360" t="str">
        <f>CONCATENATE(A289," ",B289," ",C289," ","inf+"," ",FanUpsizes!D289," ",FanUpsizes!F289)</f>
        <v>0.6ACH 5C 2 inf+ Existing 4</v>
      </c>
      <c r="H289" s="360">
        <v>5.7009769583236565E-2</v>
      </c>
      <c r="I289" s="360">
        <v>0.42077943721096756</v>
      </c>
      <c r="J289" s="360">
        <v>1.0439292736669514</v>
      </c>
      <c r="K289" s="360">
        <v>3233.2978830988027</v>
      </c>
      <c r="L289" s="360">
        <v>0.37027662138853495</v>
      </c>
      <c r="M289" s="360">
        <v>1.7470455374311928</v>
      </c>
      <c r="N289" s="360">
        <v>2.9880610517984785</v>
      </c>
      <c r="O289" s="360">
        <v>1.0964197424811151</v>
      </c>
      <c r="P289" s="360">
        <v>1.0439294540496511</v>
      </c>
      <c r="Q289" s="360">
        <v>-5503.513981299644</v>
      </c>
      <c r="R289" s="360">
        <v>3233.2978830988027</v>
      </c>
      <c r="S289" s="360">
        <v>0.37027662138853495</v>
      </c>
      <c r="T289" s="360">
        <v>1.7470455374311928</v>
      </c>
      <c r="U289" s="360">
        <v>2.9880610517984785</v>
      </c>
      <c r="V289" s="360">
        <v>1.0964197424811151</v>
      </c>
      <c r="W289" s="360">
        <v>1.0439294540496511</v>
      </c>
      <c r="X289" s="360">
        <v>-5503.513981299644</v>
      </c>
      <c r="Y289" s="360">
        <v>0.42171499747053987</v>
      </c>
      <c r="Z289" s="360">
        <v>1.0416180714028178</v>
      </c>
      <c r="AA289" s="360">
        <v>3249.71735651276</v>
      </c>
      <c r="AB289" s="360">
        <v>0.37096400734073864</v>
      </c>
      <c r="AC289" s="360">
        <v>1.7448649813867017</v>
      </c>
      <c r="AD289" s="360">
        <v>3.0071749827373639</v>
      </c>
      <c r="AE289" s="360">
        <v>1.1036300995530237</v>
      </c>
      <c r="AF289" s="360">
        <v>1.0416188993862672</v>
      </c>
      <c r="AG289" s="360">
        <v>-5564.2065957946825</v>
      </c>
      <c r="AH289" s="360">
        <v>3249.71735651276</v>
      </c>
      <c r="AI289" s="360">
        <v>0.37096400734073864</v>
      </c>
      <c r="AJ289" s="360">
        <v>1.7448649813867017</v>
      </c>
      <c r="AK289" s="360">
        <v>3.0071749827373639</v>
      </c>
      <c r="AL289" s="360">
        <v>1.1036300995530237</v>
      </c>
      <c r="AM289" s="360">
        <v>1.0416188993862672</v>
      </c>
      <c r="AN289" s="360">
        <v>-5564.2065957946825</v>
      </c>
      <c r="AO289" s="360">
        <f t="shared" si="12"/>
        <v>1</v>
      </c>
      <c r="AP289" s="360">
        <f t="shared" si="13"/>
        <v>1</v>
      </c>
      <c r="AQ289" s="360">
        <f t="shared" si="14"/>
        <v>1</v>
      </c>
    </row>
    <row r="290" spans="1:43">
      <c r="A290" s="360" t="s">
        <v>1077</v>
      </c>
      <c r="B290" t="s">
        <v>1075</v>
      </c>
      <c r="C290">
        <v>1</v>
      </c>
      <c r="D290" t="s">
        <v>1078</v>
      </c>
      <c r="E290" t="s">
        <v>1079</v>
      </c>
      <c r="F290">
        <v>5</v>
      </c>
      <c r="G290" s="360" t="str">
        <f>CONCATENATE(A290," ",B290," ",C290," ","inf+"," ",FanUpsizes!D290," ",FanUpsizes!F290)</f>
        <v>10ACH Percentile 1 inf+ New 5</v>
      </c>
      <c r="H290" s="360">
        <v>1.4421666666666666E-2</v>
      </c>
      <c r="I290" s="360">
        <v>0.38381096209718896</v>
      </c>
      <c r="J290" s="360">
        <v>0.9517609009109228</v>
      </c>
      <c r="K290" s="360">
        <v>639.3040310138548</v>
      </c>
      <c r="L290" s="360">
        <v>0.37127707431220786</v>
      </c>
      <c r="M290" s="360">
        <v>0.9810871833141237</v>
      </c>
      <c r="N290" s="360">
        <v>1.2149766961195938</v>
      </c>
      <c r="O290" s="360">
        <v>0.38016369259839394</v>
      </c>
      <c r="P290" s="360">
        <v>0.951761216602796</v>
      </c>
      <c r="Q290" s="360">
        <v>572.39643560110414</v>
      </c>
      <c r="R290" s="360">
        <v>766.97589115107371</v>
      </c>
      <c r="S290" s="360">
        <v>0.35897161194225591</v>
      </c>
      <c r="T290" s="360">
        <v>1.0322135111835458</v>
      </c>
      <c r="U290" s="360">
        <v>1.8722298258763364</v>
      </c>
      <c r="V290" s="360">
        <v>0.38396015039501252</v>
      </c>
      <c r="W290" s="360">
        <v>0.95176118185565317</v>
      </c>
      <c r="X290" s="360">
        <v>606.8693908321444</v>
      </c>
      <c r="Y290" s="360">
        <v>0.35188070629331841</v>
      </c>
      <c r="Z290" s="360">
        <v>1.0401382381440669</v>
      </c>
      <c r="AA290" s="360">
        <v>196.68978295308611</v>
      </c>
      <c r="AB290" s="360">
        <v>0.34813729021605139</v>
      </c>
      <c r="AC290" s="360">
        <v>1.0506290642254479</v>
      </c>
      <c r="AD290" s="360">
        <v>1.0672615301198982</v>
      </c>
      <c r="AE290" s="360">
        <v>0.35037042475139363</v>
      </c>
      <c r="AF290" s="360">
        <v>1.0401390578758998</v>
      </c>
      <c r="AG290" s="360">
        <v>181.01185016070821</v>
      </c>
      <c r="AH290" s="360">
        <v>271.85400322329741</v>
      </c>
      <c r="AI290" s="360">
        <v>0.33934974543290469</v>
      </c>
      <c r="AJ290" s="360">
        <v>1.1014107796404113</v>
      </c>
      <c r="AK290" s="360">
        <v>1.6394909416289272</v>
      </c>
      <c r="AL290" s="360">
        <v>0.3529664041151645</v>
      </c>
      <c r="AM290" s="360">
        <v>1.0401387132524327</v>
      </c>
      <c r="AN290" s="360">
        <v>197.954332824001</v>
      </c>
      <c r="AO290" s="360"/>
      <c r="AP290" s="360"/>
      <c r="AQ290" s="360"/>
    </row>
    <row r="291" spans="1:43">
      <c r="A291" s="360" t="s">
        <v>1077</v>
      </c>
      <c r="B291" t="s">
        <v>1074</v>
      </c>
      <c r="C291">
        <v>1</v>
      </c>
      <c r="D291" t="s">
        <v>1078</v>
      </c>
      <c r="E291" t="s">
        <v>1079</v>
      </c>
      <c r="F291" s="360">
        <v>5</v>
      </c>
      <c r="G291" s="360" t="str">
        <f>CONCATENATE(A291," ",B291," ",C291," ","inf+"," ",FanUpsizes!D291," ",FanUpsizes!F291)</f>
        <v>10ACH Infiltration 1 inf+ New 5</v>
      </c>
      <c r="H291" s="360">
        <v>1.4421666666666666E-2</v>
      </c>
      <c r="I291" s="360">
        <v>0.38381096209718896</v>
      </c>
      <c r="J291" s="360">
        <v>0.9517609009109228</v>
      </c>
      <c r="K291" s="360">
        <v>250.93289010027601</v>
      </c>
      <c r="L291" s="360">
        <v>0.37983754347800502</v>
      </c>
      <c r="M291" s="360">
        <v>0.95950250227240563</v>
      </c>
      <c r="N291" s="360">
        <v>1.0491212649256074</v>
      </c>
      <c r="O291" s="360">
        <v>0.38228531947046096</v>
      </c>
      <c r="P291" s="360">
        <v>0.95176107688087241</v>
      </c>
      <c r="Q291" s="360">
        <v>216.56750611001732</v>
      </c>
      <c r="R291" s="360">
        <v>543.87986545036165</v>
      </c>
      <c r="S291" s="360">
        <v>0.37214891769424502</v>
      </c>
      <c r="T291" s="360">
        <v>0.98016737104984641</v>
      </c>
      <c r="U291" s="360">
        <v>1.2045070785094212</v>
      </c>
      <c r="V291" s="360">
        <v>0.38077983108959756</v>
      </c>
      <c r="W291" s="360">
        <v>0.95176092142355873</v>
      </c>
      <c r="X291" s="360">
        <v>460.71583120450651</v>
      </c>
      <c r="Y291" s="360">
        <v>0.35188070629331841</v>
      </c>
      <c r="Z291" s="360">
        <v>1.0401382381440669</v>
      </c>
      <c r="AA291" s="360">
        <v>69.75957682513291</v>
      </c>
      <c r="AB291" s="360">
        <v>0.35081850817028287</v>
      </c>
      <c r="AC291" s="360">
        <v>1.042561511994863</v>
      </c>
      <c r="AD291" s="360">
        <v>1.0142958722398432</v>
      </c>
      <c r="AE291" s="360">
        <v>0.35135934702509014</v>
      </c>
      <c r="AF291" s="360">
        <v>1.0401383895453138</v>
      </c>
      <c r="AG291" s="360">
        <v>63.052912172933652</v>
      </c>
      <c r="AH291" s="360">
        <v>217.09444516361009</v>
      </c>
      <c r="AI291" s="360">
        <v>0.34693472538302494</v>
      </c>
      <c r="AJ291" s="360">
        <v>1.0559317995060682</v>
      </c>
      <c r="AK291" s="360">
        <v>1.1065496970780879</v>
      </c>
      <c r="AL291" s="360">
        <v>0.35027501934195787</v>
      </c>
      <c r="AM291" s="360">
        <v>1.0401387831044311</v>
      </c>
      <c r="AN291" s="360">
        <v>196.00227847757665</v>
      </c>
      <c r="AO291" s="360"/>
      <c r="AP291" s="360"/>
      <c r="AQ291" s="360"/>
    </row>
    <row r="292" spans="1:43">
      <c r="A292" s="360" t="s">
        <v>1077</v>
      </c>
      <c r="B292" t="s">
        <v>1076</v>
      </c>
      <c r="C292">
        <v>1</v>
      </c>
      <c r="D292" t="s">
        <v>1078</v>
      </c>
      <c r="E292" t="s">
        <v>1079</v>
      </c>
      <c r="F292" s="360">
        <v>5</v>
      </c>
      <c r="G292" s="360" t="str">
        <f>CONCATENATE(A292," ",B292," ",C292," ","inf+"," ",FanUpsizes!D292," ",FanUpsizes!F292)</f>
        <v>10ACH 5C 1 inf+ New 5</v>
      </c>
      <c r="H292" s="360">
        <v>1.4421666666666666E-2</v>
      </c>
      <c r="I292" s="360">
        <v>0.38381096209718896</v>
      </c>
      <c r="J292" s="360">
        <v>0.9517609009109228</v>
      </c>
      <c r="K292" s="360">
        <v>285.37794515909002</v>
      </c>
      <c r="L292" s="360">
        <v>0.37921783598694003</v>
      </c>
      <c r="M292" s="360">
        <v>0.96087184474559617</v>
      </c>
      <c r="N292" s="360">
        <v>1.058298446260169</v>
      </c>
      <c r="O292" s="360">
        <v>0.38208713375148751</v>
      </c>
      <c r="P292" s="360">
        <v>0.95176090515910361</v>
      </c>
      <c r="Q292" s="360">
        <v>246.6002708258813</v>
      </c>
      <c r="R292" s="360">
        <v>561.102392979765</v>
      </c>
      <c r="S292" s="360">
        <v>0.3718390639487123</v>
      </c>
      <c r="T292" s="360">
        <v>0.98091537378171234</v>
      </c>
      <c r="U292" s="360">
        <v>1.2110661902479127</v>
      </c>
      <c r="V292" s="360">
        <v>0.38068219481480792</v>
      </c>
      <c r="W292" s="360">
        <v>0.95176109846441537</v>
      </c>
      <c r="X292" s="360">
        <v>478.90614974330128</v>
      </c>
      <c r="Y292" s="360">
        <v>0.35188070629331841</v>
      </c>
      <c r="Z292" s="360">
        <v>1.0401382381440669</v>
      </c>
      <c r="AA292" s="360">
        <v>79.992246472940607</v>
      </c>
      <c r="AB292" s="360">
        <v>0.35064224655590298</v>
      </c>
      <c r="AC292" s="360">
        <v>1.0430206889261666</v>
      </c>
      <c r="AD292" s="360">
        <v>1.0170831107481677</v>
      </c>
      <c r="AE292" s="360">
        <v>0.35128326510072566</v>
      </c>
      <c r="AF292" s="360">
        <v>1.0401382591546995</v>
      </c>
      <c r="AG292" s="360">
        <v>72.30355642126608</v>
      </c>
      <c r="AH292" s="360">
        <v>219.8525768831752</v>
      </c>
      <c r="AI292" s="360">
        <v>0.34688993011305841</v>
      </c>
      <c r="AJ292" s="360">
        <v>1.0560544256099009</v>
      </c>
      <c r="AK292" s="360">
        <v>1.1075489483759491</v>
      </c>
      <c r="AL292" s="360">
        <v>0.35025261078827707</v>
      </c>
      <c r="AM292" s="360">
        <v>1.0401383030354427</v>
      </c>
      <c r="AN292" s="360">
        <v>199.13856196619864</v>
      </c>
      <c r="AO292" s="360"/>
      <c r="AP292" s="360"/>
      <c r="AQ292" s="360"/>
    </row>
    <row r="293" spans="1:43">
      <c r="A293" s="360" t="s">
        <v>1077</v>
      </c>
      <c r="B293" t="s">
        <v>1075</v>
      </c>
      <c r="C293">
        <v>2</v>
      </c>
      <c r="D293" t="s">
        <v>1078</v>
      </c>
      <c r="E293" t="s">
        <v>1079</v>
      </c>
      <c r="F293" s="360">
        <v>5</v>
      </c>
      <c r="G293" s="360" t="str">
        <f>CONCATENATE(A293," ",B293," ",C293," ","inf+"," ",FanUpsizes!D293," ",FanUpsizes!F293)</f>
        <v>10ACH Percentile 2 inf+ New 5</v>
      </c>
      <c r="H293" s="360">
        <v>1.4421666666666666E-2</v>
      </c>
      <c r="I293" s="360">
        <v>0.49821548220801948</v>
      </c>
      <c r="J293" s="360">
        <v>0.75380317012287135</v>
      </c>
      <c r="K293" s="360">
        <v>639.30403101386514</v>
      </c>
      <c r="L293" s="360">
        <v>0.48568159442304132</v>
      </c>
      <c r="M293" s="360">
        <v>0.77156175257952464</v>
      </c>
      <c r="N293" s="360">
        <v>1.2040743956085891</v>
      </c>
      <c r="O293" s="360">
        <v>0.49405565598830609</v>
      </c>
      <c r="P293" s="360">
        <v>0.75380317443866107</v>
      </c>
      <c r="Q293" s="360">
        <v>575.78957878745416</v>
      </c>
      <c r="R293" s="360">
        <v>766.97589115108929</v>
      </c>
      <c r="S293" s="360">
        <v>0.473418959313683</v>
      </c>
      <c r="T293" s="360">
        <v>0.80442452782148244</v>
      </c>
      <c r="U293" s="360">
        <v>1.8675858623074904</v>
      </c>
      <c r="V293" s="360">
        <v>0.49823172969140955</v>
      </c>
      <c r="W293" s="360">
        <v>0.75380317184972412</v>
      </c>
      <c r="X293" s="360">
        <v>607.72183675016288</v>
      </c>
      <c r="Y293" s="360">
        <v>0.46158418092902992</v>
      </c>
      <c r="Z293" s="360">
        <v>0.82000712466512649</v>
      </c>
      <c r="AA293" s="360">
        <v>154.7136085556977</v>
      </c>
      <c r="AB293" s="360">
        <v>0.45869687230556783</v>
      </c>
      <c r="AC293" s="360">
        <v>0.8248843802988618</v>
      </c>
      <c r="AD293" s="360">
        <v>1.057663095926801</v>
      </c>
      <c r="AE293" s="360">
        <v>0.46022353577607999</v>
      </c>
      <c r="AF293" s="360">
        <v>0.82000728447910221</v>
      </c>
      <c r="AG293" s="360">
        <v>143.72054246924972</v>
      </c>
      <c r="AH293" s="360">
        <v>215.56228257675647</v>
      </c>
      <c r="AI293" s="360">
        <v>0.45171332278108228</v>
      </c>
      <c r="AJ293" s="360">
        <v>0.85220838538462151</v>
      </c>
      <c r="AK293" s="360">
        <v>1.6483357425277969</v>
      </c>
      <c r="AL293" s="360">
        <v>0.46265663880282082</v>
      </c>
      <c r="AM293" s="360">
        <v>0.82000808604402875</v>
      </c>
      <c r="AN293" s="360">
        <v>153.10367035523731</v>
      </c>
      <c r="AO293" s="360"/>
      <c r="AP293" s="360"/>
      <c r="AQ293" s="360"/>
    </row>
    <row r="294" spans="1:43">
      <c r="A294" s="360" t="s">
        <v>1077</v>
      </c>
      <c r="B294" t="s">
        <v>1074</v>
      </c>
      <c r="C294">
        <v>2</v>
      </c>
      <c r="D294" t="s">
        <v>1078</v>
      </c>
      <c r="E294" t="s">
        <v>1079</v>
      </c>
      <c r="F294" s="360">
        <v>5</v>
      </c>
      <c r="G294" s="360" t="str">
        <f>CONCATENATE(A294," ",B294," ",C294," ","inf+"," ",FanUpsizes!D294," ",FanUpsizes!F294)</f>
        <v>10ACH Infiltration 2 inf+ New 5</v>
      </c>
      <c r="H294" s="360">
        <v>1.4421666666666666E-2</v>
      </c>
      <c r="I294" s="360">
        <v>0.49821548220801948</v>
      </c>
      <c r="J294" s="360">
        <v>0.75380317012287135</v>
      </c>
      <c r="K294" s="360">
        <v>574.22669730742587</v>
      </c>
      <c r="L294" s="360">
        <v>0.48746173456894454</v>
      </c>
      <c r="M294" s="360">
        <v>0.7685972190548499</v>
      </c>
      <c r="N294" s="360">
        <v>1.1643552791706908</v>
      </c>
      <c r="O294" s="360">
        <v>0.49449852316874737</v>
      </c>
      <c r="P294" s="360">
        <v>0.75380339538590913</v>
      </c>
      <c r="Q294" s="360">
        <v>512.37829592712183</v>
      </c>
      <c r="R294" s="360">
        <v>727.27057966655582</v>
      </c>
      <c r="S294" s="360">
        <v>0.48132541529467221</v>
      </c>
      <c r="T294" s="360">
        <v>0.78098054377229986</v>
      </c>
      <c r="U294" s="360">
        <v>1.3452180831031433</v>
      </c>
      <c r="V294" s="360">
        <v>0.49400028798444051</v>
      </c>
      <c r="W294" s="360">
        <v>0.75380354389309101</v>
      </c>
      <c r="X294" s="360">
        <v>650.19535939255638</v>
      </c>
      <c r="Y294" s="360">
        <v>0.46158418092902992</v>
      </c>
      <c r="Z294" s="360">
        <v>0.82000712466512649</v>
      </c>
      <c r="AA294" s="360">
        <v>136.92468345866916</v>
      </c>
      <c r="AB294" s="360">
        <v>0.45915150093136148</v>
      </c>
      <c r="AC294" s="360">
        <v>0.82396677988626388</v>
      </c>
      <c r="AD294" s="360">
        <v>1.0459826192703314</v>
      </c>
      <c r="AE294" s="360">
        <v>0.46040531227843751</v>
      </c>
      <c r="AF294" s="360">
        <v>0.82000720521751902</v>
      </c>
      <c r="AG294" s="360">
        <v>126.63970448859077</v>
      </c>
      <c r="AH294" s="360">
        <v>203.42833411422168</v>
      </c>
      <c r="AI294" s="360">
        <v>0.45645572098280829</v>
      </c>
      <c r="AJ294" s="360">
        <v>0.83125323482171898</v>
      </c>
      <c r="AK294" s="360">
        <v>1.1505435155923032</v>
      </c>
      <c r="AL294" s="360">
        <v>0.45989417879046296</v>
      </c>
      <c r="AM294" s="360">
        <v>0.82000920140761502</v>
      </c>
      <c r="AN294" s="360">
        <v>188.17916583670737</v>
      </c>
      <c r="AO294" s="360"/>
      <c r="AP294" s="360"/>
      <c r="AQ294" s="360"/>
    </row>
    <row r="295" spans="1:43">
      <c r="A295" s="360" t="s">
        <v>1077</v>
      </c>
      <c r="B295" t="s">
        <v>1076</v>
      </c>
      <c r="C295">
        <v>2</v>
      </c>
      <c r="D295" t="s">
        <v>1078</v>
      </c>
      <c r="E295" t="s">
        <v>1079</v>
      </c>
      <c r="F295" s="360">
        <v>5</v>
      </c>
      <c r="G295" s="360" t="str">
        <f>CONCATENATE(A295," ",B295," ",C295," ","inf+"," ",FanUpsizes!D295," ",FanUpsizes!F295)</f>
        <v>10ACH 5C 2 inf+ New 5</v>
      </c>
      <c r="H295" s="360">
        <v>1.4421666666666666E-2</v>
      </c>
      <c r="I295" s="360">
        <v>0.49821548220801948</v>
      </c>
      <c r="J295" s="360">
        <v>0.75380317012287135</v>
      </c>
      <c r="K295" s="360">
        <v>285.37794515909002</v>
      </c>
      <c r="L295" s="360">
        <v>0.49362235609777139</v>
      </c>
      <c r="M295" s="360">
        <v>0.7592757529594103</v>
      </c>
      <c r="N295" s="360">
        <v>1.0550450918489302</v>
      </c>
      <c r="O295" s="360">
        <v>0.49631819599309612</v>
      </c>
      <c r="P295" s="360">
        <v>0.75380329998446327</v>
      </c>
      <c r="Q295" s="360">
        <v>248.76426533932815</v>
      </c>
      <c r="R295" s="360">
        <v>582.84620359238011</v>
      </c>
      <c r="S295" s="360">
        <v>0.48440572605908672</v>
      </c>
      <c r="T295" s="360">
        <v>0.77599936160516902</v>
      </c>
      <c r="U295" s="360">
        <v>1.2644939854807777</v>
      </c>
      <c r="V295" s="360">
        <v>0.49492160712497124</v>
      </c>
      <c r="W295" s="360">
        <v>0.75380317541502406</v>
      </c>
      <c r="X295" s="360">
        <v>485.59449468658329</v>
      </c>
      <c r="Y295" s="360">
        <v>0.46158418092902992</v>
      </c>
      <c r="Z295" s="360">
        <v>0.82000712466512649</v>
      </c>
      <c r="AA295" s="360">
        <v>62.876271843522446</v>
      </c>
      <c r="AB295" s="360">
        <v>0.46062744942772371</v>
      </c>
      <c r="AC295" s="360">
        <v>0.82132183456341379</v>
      </c>
      <c r="AD295" s="360">
        <v>1.014487847924997</v>
      </c>
      <c r="AE295" s="360">
        <v>0.461059985319073</v>
      </c>
      <c r="AF295" s="360">
        <v>0.82001024509693243</v>
      </c>
      <c r="AG295" s="360">
        <v>57.637089965155027</v>
      </c>
      <c r="AH295" s="360">
        <v>183.11358146239903</v>
      </c>
      <c r="AI295" s="360">
        <v>0.45682928355281643</v>
      </c>
      <c r="AJ295" s="360">
        <v>0.83056171265110013</v>
      </c>
      <c r="AK295" s="360">
        <v>1.1388849276417423</v>
      </c>
      <c r="AL295" s="360">
        <v>0.46009859394195535</v>
      </c>
      <c r="AM295" s="360">
        <v>0.82000882081491666</v>
      </c>
      <c r="AN295" s="360">
        <v>163.58807103008544</v>
      </c>
      <c r="AO295" s="360"/>
      <c r="AP295" s="360"/>
      <c r="AQ295" s="360"/>
    </row>
    <row r="296" spans="1:43">
      <c r="A296" s="360" t="s">
        <v>1077</v>
      </c>
      <c r="B296" t="s">
        <v>1075</v>
      </c>
      <c r="C296">
        <v>1</v>
      </c>
      <c r="D296" t="s">
        <v>1080</v>
      </c>
      <c r="E296" t="s">
        <v>1079</v>
      </c>
      <c r="F296" s="360">
        <v>5</v>
      </c>
      <c r="G296" s="360" t="str">
        <f>CONCATENATE(A296," ",B296," ",C296," ","inf+"," ",FanUpsizes!D296," ",FanUpsizes!F296)</f>
        <v>10ACH Percentile 1 inf+ Existing 5</v>
      </c>
      <c r="H296" s="360">
        <v>2.64957022120514E-2</v>
      </c>
      <c r="I296" s="360">
        <v>0.42942672294669187</v>
      </c>
      <c r="J296" s="360">
        <v>1.140076836236235</v>
      </c>
      <c r="K296" s="360">
        <v>1174.5389503322087</v>
      </c>
      <c r="L296" s="360">
        <v>0.40639927639797518</v>
      </c>
      <c r="M296" s="360">
        <v>1.2043671972077652</v>
      </c>
      <c r="N296" s="360">
        <v>1.2357709736194817</v>
      </c>
      <c r="O296" s="360">
        <v>0.4253041051589605</v>
      </c>
      <c r="P296" s="360">
        <v>1.1400796813687128</v>
      </c>
      <c r="Q296" s="360">
        <v>1039.7251486988887</v>
      </c>
      <c r="R296" s="360">
        <v>1409.0996058543021</v>
      </c>
      <c r="S296" s="360">
        <v>0.38295551006369793</v>
      </c>
      <c r="T296" s="360">
        <v>1.3130980151529583</v>
      </c>
      <c r="U296" s="360">
        <v>1.940721266887236</v>
      </c>
      <c r="V296" s="360">
        <v>0.43398078766744852</v>
      </c>
      <c r="W296" s="360">
        <v>1.1400768779056132</v>
      </c>
      <c r="X296" s="360">
        <v>1091.8322765096184</v>
      </c>
      <c r="Y296" s="360">
        <v>0.39430792491027916</v>
      </c>
      <c r="Z296" s="360">
        <v>1.223780038619882</v>
      </c>
      <c r="AA296" s="360">
        <v>612.81957493004404</v>
      </c>
      <c r="AB296" s="360">
        <v>0.38233123715771483</v>
      </c>
      <c r="AC296" s="360">
        <v>1.2633413024438738</v>
      </c>
      <c r="AD296" s="360">
        <v>1.1052143740688851</v>
      </c>
      <c r="AE296" s="360">
        <v>0.3918554623848694</v>
      </c>
      <c r="AF296" s="360">
        <v>1.2237805837049842</v>
      </c>
      <c r="AG296" s="360">
        <v>545.90700150275859</v>
      </c>
      <c r="AH296" s="360">
        <v>826.04408767423467</v>
      </c>
      <c r="AI296" s="360">
        <v>0.35814773514584125</v>
      </c>
      <c r="AJ296" s="360">
        <v>1.4024659009405984</v>
      </c>
      <c r="AK296" s="360">
        <v>1.7037914756154691</v>
      </c>
      <c r="AL296" s="360">
        <v>0.40035119924815454</v>
      </c>
      <c r="AM296" s="360">
        <v>1.2237830333230297</v>
      </c>
      <c r="AN296" s="360">
        <v>602.75738368509246</v>
      </c>
      <c r="AO296" s="360"/>
      <c r="AP296" s="360"/>
      <c r="AQ296" s="360"/>
    </row>
    <row r="297" spans="1:43">
      <c r="A297" s="360" t="s">
        <v>1077</v>
      </c>
      <c r="B297" t="s">
        <v>1074</v>
      </c>
      <c r="C297">
        <v>1</v>
      </c>
      <c r="D297" t="s">
        <v>1080</v>
      </c>
      <c r="E297" t="s">
        <v>1079</v>
      </c>
      <c r="F297" s="360">
        <v>5</v>
      </c>
      <c r="G297" s="360" t="str">
        <f>CONCATENATE(A297," ",B297," ",C297," ","inf+"," ",FanUpsizes!D297," ",FanUpsizes!F297)</f>
        <v>10ACH Infiltration 1 inf+ Existing 5</v>
      </c>
      <c r="H297" s="360">
        <v>2.64957022120514E-2</v>
      </c>
      <c r="I297" s="360">
        <v>0.42942672294669187</v>
      </c>
      <c r="J297" s="360">
        <v>1.140076836236235</v>
      </c>
      <c r="K297" s="360">
        <v>0.89023694891610583</v>
      </c>
      <c r="L297" s="360">
        <v>0.42941556083009047</v>
      </c>
      <c r="M297" s="360">
        <v>1.140098369317976</v>
      </c>
      <c r="N297" s="360">
        <v>1.0000575896760175</v>
      </c>
      <c r="O297" s="360">
        <v>0.42942142530137711</v>
      </c>
      <c r="P297" s="360">
        <v>1.1400792867148413</v>
      </c>
      <c r="Q297" s="360">
        <v>0.78971713305298408</v>
      </c>
      <c r="R297" s="360">
        <v>624.26987967290745</v>
      </c>
      <c r="S297" s="360">
        <v>0.41683585542029633</v>
      </c>
      <c r="T297" s="360">
        <v>1.1723717171298969</v>
      </c>
      <c r="U297" s="360">
        <v>1.1058497946762988</v>
      </c>
      <c r="V297" s="360">
        <v>0.42634327979308112</v>
      </c>
      <c r="W297" s="360">
        <v>1.1400772522968872</v>
      </c>
      <c r="X297" s="360">
        <v>505.49911737495762</v>
      </c>
      <c r="Y297" s="360">
        <v>0.39430792491027916</v>
      </c>
      <c r="Z297" s="360">
        <v>1.223780038619882</v>
      </c>
      <c r="AA297" s="360">
        <v>0.38015876210284161</v>
      </c>
      <c r="AB297" s="360">
        <v>0.39430324244282833</v>
      </c>
      <c r="AC297" s="360">
        <v>1.2237911794431777</v>
      </c>
      <c r="AD297" s="360">
        <v>1.0000250532191444</v>
      </c>
      <c r="AE297" s="360">
        <v>0.39430600734205495</v>
      </c>
      <c r="AF297" s="360">
        <v>1.2237801000654132</v>
      </c>
      <c r="AG297" s="360">
        <v>0.33656825238859372</v>
      </c>
      <c r="AH297" s="360">
        <v>477.85395433508279</v>
      </c>
      <c r="AI297" s="360">
        <v>0.38454596650032097</v>
      </c>
      <c r="AJ297" s="360">
        <v>1.2556561993995672</v>
      </c>
      <c r="AK297" s="360">
        <v>1.081054138809183</v>
      </c>
      <c r="AL297" s="360">
        <v>0.3922210692184756</v>
      </c>
      <c r="AM297" s="360">
        <v>1.2237802371368809</v>
      </c>
      <c r="AN297" s="360">
        <v>404.72510550555523</v>
      </c>
      <c r="AO297" s="360"/>
      <c r="AP297" s="360"/>
      <c r="AQ297" s="360"/>
    </row>
    <row r="298" spans="1:43">
      <c r="A298" s="360" t="s">
        <v>1077</v>
      </c>
      <c r="B298" t="s">
        <v>1076</v>
      </c>
      <c r="C298">
        <v>1</v>
      </c>
      <c r="D298" t="s">
        <v>1080</v>
      </c>
      <c r="E298" t="s">
        <v>1079</v>
      </c>
      <c r="F298" s="360">
        <v>5</v>
      </c>
      <c r="G298" s="360" t="str">
        <f>CONCATENATE(A298," ",B298," ",C298," ","inf+"," ",FanUpsizes!D298," ",FanUpsizes!F298)</f>
        <v>10ACH 5C 1 inf+ Existing 5</v>
      </c>
      <c r="H298" s="360">
        <v>2.64957022120514E-2</v>
      </c>
      <c r="I298" s="360">
        <v>0.42942672294669187</v>
      </c>
      <c r="J298" s="360">
        <v>1.140076836236235</v>
      </c>
      <c r="K298" s="360">
        <v>524.30063928043955</v>
      </c>
      <c r="L298" s="360">
        <v>0.4209881627960233</v>
      </c>
      <c r="M298" s="360">
        <v>1.1599811700569358</v>
      </c>
      <c r="N298" s="360">
        <v>1.0636764414771038</v>
      </c>
      <c r="O298" s="360">
        <v>0.42695201732163562</v>
      </c>
      <c r="P298" s="360">
        <v>1.1400770910061289</v>
      </c>
      <c r="Q298" s="360">
        <v>446.48559937941673</v>
      </c>
      <c r="R298" s="360">
        <v>885.97508083865569</v>
      </c>
      <c r="S298" s="360">
        <v>0.41262215640326266</v>
      </c>
      <c r="T298" s="360">
        <v>1.1837735371115221</v>
      </c>
      <c r="U298" s="360">
        <v>1.1488658162247014</v>
      </c>
      <c r="V298" s="360">
        <v>0.42540378315173294</v>
      </c>
      <c r="W298" s="360">
        <v>1.1400782371582954</v>
      </c>
      <c r="X298" s="360">
        <v>757.8963370956285</v>
      </c>
      <c r="Y298" s="360">
        <v>0.39430792491027916</v>
      </c>
      <c r="Z298" s="360">
        <v>1.223780038619882</v>
      </c>
      <c r="AA298" s="360">
        <v>252.3909553542712</v>
      </c>
      <c r="AB298" s="360">
        <v>0.39029903370650537</v>
      </c>
      <c r="AC298" s="360">
        <v>1.2349136317408724</v>
      </c>
      <c r="AD298" s="360">
        <v>1.0262944833465111</v>
      </c>
      <c r="AE298" s="360">
        <v>0.39302216140654939</v>
      </c>
      <c r="AF298" s="360">
        <v>1.2237818297932812</v>
      </c>
      <c r="AG298" s="360">
        <v>218.67946320326561</v>
      </c>
      <c r="AH298" s="360">
        <v>545.79458948028844</v>
      </c>
      <c r="AI298" s="360">
        <v>0.38349902481345616</v>
      </c>
      <c r="AJ298" s="360">
        <v>1.2589365212842116</v>
      </c>
      <c r="AK298" s="360">
        <v>1.0909515986367015</v>
      </c>
      <c r="AL298" s="360">
        <v>0.39193845459740123</v>
      </c>
      <c r="AM298" s="360">
        <v>1.2237840052437485</v>
      </c>
      <c r="AN298" s="360">
        <v>475.73693549971244</v>
      </c>
      <c r="AO298" s="360"/>
      <c r="AP298" s="360"/>
      <c r="AQ298" s="360"/>
    </row>
    <row r="299" spans="1:43">
      <c r="A299" s="360" t="s">
        <v>1077</v>
      </c>
      <c r="B299" t="s">
        <v>1075</v>
      </c>
      <c r="C299">
        <v>2</v>
      </c>
      <c r="D299" t="s">
        <v>1080</v>
      </c>
      <c r="E299" t="s">
        <v>1079</v>
      </c>
      <c r="F299" s="360">
        <v>5</v>
      </c>
      <c r="G299" s="360" t="str">
        <f>CONCATENATE(A299," ",B299," ",C299," ","inf+"," ",FanUpsizes!D299," ",FanUpsizes!F299)</f>
        <v>10ACH Percentile 2 inf+ Existing 5</v>
      </c>
      <c r="H299" s="360">
        <v>1.5945775360635898E-2</v>
      </c>
      <c r="I299" s="360">
        <v>0.50387667444020323</v>
      </c>
      <c r="J299" s="360">
        <v>1.0217867677085741</v>
      </c>
      <c r="K299" s="360">
        <v>706.86687616058896</v>
      </c>
      <c r="L299" s="360">
        <v>0.4900181819625864</v>
      </c>
      <c r="M299" s="360">
        <v>1.0483948573529478</v>
      </c>
      <c r="N299" s="360">
        <v>1.2075795425597542</v>
      </c>
      <c r="O299" s="360">
        <v>0.4994464250609485</v>
      </c>
      <c r="P299" s="360">
        <v>1.0217880697304029</v>
      </c>
      <c r="Q299" s="360">
        <v>635.43389474074786</v>
      </c>
      <c r="R299" s="360">
        <v>848.03133715372735</v>
      </c>
      <c r="S299" s="360">
        <v>0.47643961019904607</v>
      </c>
      <c r="T299" s="360">
        <v>1.0972982433589515</v>
      </c>
      <c r="U299" s="360">
        <v>1.8754043605230919</v>
      </c>
      <c r="V299" s="360">
        <v>0.50414267347535302</v>
      </c>
      <c r="W299" s="360">
        <v>1.0217892648950784</v>
      </c>
      <c r="X299" s="360">
        <v>670.3601823326992</v>
      </c>
      <c r="Y299" s="360">
        <v>0.46506420146525973</v>
      </c>
      <c r="Z299" s="360">
        <v>1.1140812479281854</v>
      </c>
      <c r="AA299" s="360">
        <v>187.07436196722307</v>
      </c>
      <c r="AB299" s="360">
        <v>0.4615461106658923</v>
      </c>
      <c r="AC299" s="360">
        <v>1.1221679459171705</v>
      </c>
      <c r="AD299" s="360">
        <v>1.0605207221598456</v>
      </c>
      <c r="AE299" s="360">
        <v>0.46346481767018599</v>
      </c>
      <c r="AF299" s="360">
        <v>1.1140814871648175</v>
      </c>
      <c r="AG299" s="360">
        <v>173.37377389788134</v>
      </c>
      <c r="AH299" s="360">
        <v>259.57606341308053</v>
      </c>
      <c r="AI299" s="360">
        <v>0.45318079388819138</v>
      </c>
      <c r="AJ299" s="360">
        <v>1.1658334018764287</v>
      </c>
      <c r="AK299" s="360">
        <v>1.650802927437798</v>
      </c>
      <c r="AL299" s="360">
        <v>0.46639200650731633</v>
      </c>
      <c r="AM299" s="360">
        <v>1.1140812786478513</v>
      </c>
      <c r="AN299" s="360">
        <v>185.56470864809427</v>
      </c>
      <c r="AO299" s="360"/>
      <c r="AP299" s="360"/>
      <c r="AQ299" s="360"/>
    </row>
    <row r="300" spans="1:43">
      <c r="A300" s="360" t="s">
        <v>1077</v>
      </c>
      <c r="B300" t="s">
        <v>1074</v>
      </c>
      <c r="C300">
        <v>2</v>
      </c>
      <c r="D300" t="s">
        <v>1080</v>
      </c>
      <c r="E300" t="s">
        <v>1079</v>
      </c>
      <c r="F300" s="360">
        <v>5</v>
      </c>
      <c r="G300" s="360" t="str">
        <f>CONCATENATE(A300," ",B300," ",C300," ","inf+"," ",FanUpsizes!D300," ",FanUpsizes!F300)</f>
        <v>10ACH Infiltration 2 inf+ Existing 5</v>
      </c>
      <c r="H300" s="360">
        <v>1.5945775360635898E-2</v>
      </c>
      <c r="I300" s="360">
        <v>0.50387667444020323</v>
      </c>
      <c r="J300" s="360">
        <v>1.0217867677085741</v>
      </c>
      <c r="K300" s="360">
        <v>177.79167683403699</v>
      </c>
      <c r="L300" s="360">
        <v>0.50119633585631107</v>
      </c>
      <c r="M300" s="360">
        <v>1.0258016110900894</v>
      </c>
      <c r="N300" s="360">
        <v>1.0266431764198867</v>
      </c>
      <c r="O300" s="360">
        <v>0.50270298345719644</v>
      </c>
      <c r="P300" s="360">
        <v>1.0217867683217676</v>
      </c>
      <c r="Q300" s="360">
        <v>154.5268920579737</v>
      </c>
      <c r="R300" s="360">
        <v>539.37140202483965</v>
      </c>
      <c r="S300" s="360">
        <v>0.49236935615898308</v>
      </c>
      <c r="T300" s="360">
        <v>1.0446791783380811</v>
      </c>
      <c r="U300" s="360">
        <v>1.1721634978143476</v>
      </c>
      <c r="V300" s="360">
        <v>0.50058550708678085</v>
      </c>
      <c r="W300" s="360">
        <v>1.0217870981814101</v>
      </c>
      <c r="X300" s="360">
        <v>451.28930423302063</v>
      </c>
      <c r="Y300" s="360">
        <v>0.46506420146525973</v>
      </c>
      <c r="Z300" s="360">
        <v>1.1140812479281854</v>
      </c>
      <c r="AA300" s="360">
        <v>41.280530666409611</v>
      </c>
      <c r="AB300" s="360">
        <v>0.4644730155820857</v>
      </c>
      <c r="AC300" s="360">
        <v>1.115098002857591</v>
      </c>
      <c r="AD300" s="360">
        <v>1.0069878203851022</v>
      </c>
      <c r="AE300" s="360">
        <v>0.46473033810555492</v>
      </c>
      <c r="AF300" s="360">
        <v>1.114081264734605</v>
      </c>
      <c r="AG300" s="360">
        <v>37.800188292072569</v>
      </c>
      <c r="AH300" s="360">
        <v>193.10060241770302</v>
      </c>
      <c r="AI300" s="360">
        <v>0.46078752884021201</v>
      </c>
      <c r="AJ300" s="360">
        <v>1.1252124042231741</v>
      </c>
      <c r="AK300" s="360">
        <v>1.0862143939459938</v>
      </c>
      <c r="AL300" s="360">
        <v>0.46342111732550317</v>
      </c>
      <c r="AM300" s="360">
        <v>1.1140815107026802</v>
      </c>
      <c r="AN300" s="360">
        <v>174.44788683081629</v>
      </c>
      <c r="AO300" s="360"/>
      <c r="AP300" s="360"/>
      <c r="AQ300" s="360"/>
    </row>
    <row r="301" spans="1:43">
      <c r="A301" s="360" t="s">
        <v>1077</v>
      </c>
      <c r="B301" t="s">
        <v>1076</v>
      </c>
      <c r="C301">
        <v>2</v>
      </c>
      <c r="D301" t="s">
        <v>1080</v>
      </c>
      <c r="E301" t="s">
        <v>1079</v>
      </c>
      <c r="F301" s="360">
        <v>5</v>
      </c>
      <c r="G301" s="360" t="str">
        <f>CONCATENATE(A301," ",B301," ",C301," ","inf+"," ",FanUpsizes!D301," ",FanUpsizes!F301)</f>
        <v>10ACH 5C 2 inf+ Existing 5</v>
      </c>
      <c r="H301" s="360">
        <v>1.5945775360635898E-2</v>
      </c>
      <c r="I301" s="360">
        <v>0.50387667444020323</v>
      </c>
      <c r="J301" s="360">
        <v>1.0217867677085741</v>
      </c>
      <c r="K301" s="360">
        <v>315.53721990431137</v>
      </c>
      <c r="L301" s="360">
        <v>0.49879813817598662</v>
      </c>
      <c r="M301" s="360">
        <v>1.029989498798892</v>
      </c>
      <c r="N301" s="360">
        <v>1.055998684322863</v>
      </c>
      <c r="O301" s="360">
        <v>0.50183051736243112</v>
      </c>
      <c r="P301" s="360">
        <v>1.0217867788212025</v>
      </c>
      <c r="Q301" s="360">
        <v>274.35281543830774</v>
      </c>
      <c r="R301" s="360">
        <v>608.24417355998935</v>
      </c>
      <c r="S301" s="360">
        <v>0.49117025731882158</v>
      </c>
      <c r="T301" s="360">
        <v>1.046933035696632</v>
      </c>
      <c r="U301" s="360">
        <v>1.1923857817400803</v>
      </c>
      <c r="V301" s="360">
        <v>0.50012619507852818</v>
      </c>
      <c r="W301" s="360">
        <v>1.021786770885847</v>
      </c>
      <c r="X301" s="360">
        <v>523.06611528857331</v>
      </c>
      <c r="Y301" s="360">
        <v>0.46506420146525973</v>
      </c>
      <c r="Z301" s="360">
        <v>1.1140812479281854</v>
      </c>
      <c r="AA301" s="360">
        <v>76.135424561119578</v>
      </c>
      <c r="AB301" s="360">
        <v>0.46389751908362969</v>
      </c>
      <c r="AC301" s="360">
        <v>1.1162672172777195</v>
      </c>
      <c r="AD301" s="360">
        <v>1.0152276619513103</v>
      </c>
      <c r="AE301" s="360">
        <v>0.46444272427168715</v>
      </c>
      <c r="AF301" s="360">
        <v>1.1140815199932819</v>
      </c>
      <c r="AG301" s="360">
        <v>69.541903603385762</v>
      </c>
      <c r="AH301" s="360">
        <v>202.52905329617053</v>
      </c>
      <c r="AI301" s="360">
        <v>0.46064197596361411</v>
      </c>
      <c r="AJ301" s="360">
        <v>1.1255183420530974</v>
      </c>
      <c r="AK301" s="360">
        <v>1.088974456999912</v>
      </c>
      <c r="AL301" s="360">
        <v>0.46333570191384532</v>
      </c>
      <c r="AM301" s="360">
        <v>1.1140815859375661</v>
      </c>
      <c r="AN301" s="360">
        <v>184.88594093996224</v>
      </c>
      <c r="AO301" s="360"/>
      <c r="AP301" s="360"/>
      <c r="AQ301" s="360"/>
    </row>
    <row r="302" spans="1:43">
      <c r="A302" s="360" t="s">
        <v>1081</v>
      </c>
      <c r="B302" t="s">
        <v>1075</v>
      </c>
      <c r="C302">
        <v>1</v>
      </c>
      <c r="D302" t="s">
        <v>1078</v>
      </c>
      <c r="E302" t="s">
        <v>1079</v>
      </c>
      <c r="F302" s="360">
        <v>5</v>
      </c>
      <c r="G302" s="360" t="str">
        <f>CONCATENATE(A302," ",B302," ",C302," ","inf+"," ",FanUpsizes!D302," ",FanUpsizes!F302)</f>
        <v>7ACH Percentile 1 inf+ New 5</v>
      </c>
      <c r="H302" s="360">
        <v>2.0151491548435985E-2</v>
      </c>
      <c r="I302" s="360">
        <v>0.30679221621623554</v>
      </c>
      <c r="J302" s="360">
        <v>1.1433095068063235</v>
      </c>
      <c r="K302" s="360">
        <v>893.30380985950512</v>
      </c>
      <c r="L302" s="360">
        <v>0.28927853075907284</v>
      </c>
      <c r="M302" s="360">
        <v>1.213413394856802</v>
      </c>
      <c r="N302" s="360">
        <v>1.2456546910028974</v>
      </c>
      <c r="O302" s="360">
        <v>0.3044941607590832</v>
      </c>
      <c r="P302" s="360">
        <v>1.1433101200304552</v>
      </c>
      <c r="Q302" s="360">
        <v>786.47193672006404</v>
      </c>
      <c r="R302" s="360">
        <v>1071.7005562269085</v>
      </c>
      <c r="S302" s="360">
        <v>0.27126120774288959</v>
      </c>
      <c r="T302" s="360">
        <v>1.3243060307669308</v>
      </c>
      <c r="U302" s="360">
        <v>1.9336098320456141</v>
      </c>
      <c r="V302" s="360">
        <v>0.31027839350441222</v>
      </c>
      <c r="W302" s="360">
        <v>1.143312158692958</v>
      </c>
      <c r="X302" s="360">
        <v>832.08499167723994</v>
      </c>
      <c r="Y302" s="360">
        <v>0.28286364709990042</v>
      </c>
      <c r="Z302" s="360">
        <v>1.2220805020386389</v>
      </c>
      <c r="AA302" s="360">
        <v>499.06517234491008</v>
      </c>
      <c r="AB302" s="360">
        <v>0.27308821058884625</v>
      </c>
      <c r="AC302" s="360">
        <v>1.2678984857650324</v>
      </c>
      <c r="AD302" s="360">
        <v>1.1160260639001531</v>
      </c>
      <c r="AE302" s="360">
        <v>0.28144453293514443</v>
      </c>
      <c r="AF302" s="360">
        <v>1.2220808197074746</v>
      </c>
      <c r="AG302" s="360">
        <v>440.23721528683041</v>
      </c>
      <c r="AH302" s="360">
        <v>670.20316524681743</v>
      </c>
      <c r="AI302" s="360">
        <v>0.25381936310805481</v>
      </c>
      <c r="AJ302" s="360">
        <v>1.4111974434529926</v>
      </c>
      <c r="AK302" s="360">
        <v>1.7009396927380291</v>
      </c>
      <c r="AL302" s="360">
        <v>0.28727167205665655</v>
      </c>
      <c r="AM302" s="360">
        <v>1.2220811656913129</v>
      </c>
      <c r="AN302" s="360">
        <v>492.79934393208856</v>
      </c>
      <c r="AO302" s="360"/>
      <c r="AP302" s="360"/>
      <c r="AQ302" s="360"/>
    </row>
    <row r="303" spans="1:43">
      <c r="A303" s="360" t="s">
        <v>1081</v>
      </c>
      <c r="B303" t="s">
        <v>1074</v>
      </c>
      <c r="C303">
        <v>1</v>
      </c>
      <c r="D303" t="s">
        <v>1078</v>
      </c>
      <c r="E303" t="s">
        <v>1079</v>
      </c>
      <c r="F303" s="360">
        <v>5</v>
      </c>
      <c r="G303" s="360" t="str">
        <f>CONCATENATE(A303," ",B303," ",C303," ","inf+"," ",FanUpsizes!D303," ",FanUpsizes!F303)</f>
        <v>7ACH Infiltration 1 inf+ New 5</v>
      </c>
      <c r="H303" s="360">
        <v>2.0151491548435985E-2</v>
      </c>
      <c r="I303" s="360">
        <v>0.30679221621623554</v>
      </c>
      <c r="J303" s="360">
        <v>1.1433095068063235</v>
      </c>
      <c r="K303" s="360">
        <v>0</v>
      </c>
      <c r="L303" s="360">
        <v>0.30679221621623554</v>
      </c>
      <c r="M303" s="360">
        <v>1.1433095068063235</v>
      </c>
      <c r="N303" s="360">
        <v>1</v>
      </c>
      <c r="O303" s="360">
        <v>0.30679221621623554</v>
      </c>
      <c r="P303" s="360">
        <v>1.1433095068063235</v>
      </c>
      <c r="Q303" s="360">
        <v>0</v>
      </c>
      <c r="R303" s="360">
        <v>446.65190492975415</v>
      </c>
      <c r="S303" s="360">
        <v>0.29803537348765341</v>
      </c>
      <c r="T303" s="360">
        <v>1.1747772328464292</v>
      </c>
      <c r="U303" s="360">
        <v>1.097433477296867</v>
      </c>
      <c r="V303" s="360">
        <v>0.30485337607566337</v>
      </c>
      <c r="W303" s="360">
        <v>1.1433130900234174</v>
      </c>
      <c r="X303" s="360">
        <v>360.76056690230843</v>
      </c>
      <c r="Y303" s="360">
        <v>0.28286364709990042</v>
      </c>
      <c r="Z303" s="360">
        <v>1.2220805020386389</v>
      </c>
      <c r="AA303" s="360">
        <v>0</v>
      </c>
      <c r="AB303" s="360">
        <v>0.28286364709990042</v>
      </c>
      <c r="AC303" s="360">
        <v>1.2220805020386389</v>
      </c>
      <c r="AD303" s="360">
        <v>1</v>
      </c>
      <c r="AE303" s="360">
        <v>0.28286364709990042</v>
      </c>
      <c r="AF303" s="360">
        <v>1.2220805020386389</v>
      </c>
      <c r="AG303" s="360">
        <v>0</v>
      </c>
      <c r="AH303" s="360">
        <v>361.88247251268706</v>
      </c>
      <c r="AI303" s="360">
        <v>0.27569877702787582</v>
      </c>
      <c r="AJ303" s="360">
        <v>1.254456536619901</v>
      </c>
      <c r="AK303" s="360">
        <v>1.0768928095287313</v>
      </c>
      <c r="AL303" s="360">
        <v>0.28159124501111166</v>
      </c>
      <c r="AM303" s="360">
        <v>1.222082837661316</v>
      </c>
      <c r="AN303" s="360">
        <v>302.66645277767401</v>
      </c>
      <c r="AO303" s="360"/>
      <c r="AP303" s="360"/>
      <c r="AQ303" s="360"/>
    </row>
    <row r="304" spans="1:43">
      <c r="A304" s="360" t="s">
        <v>1081</v>
      </c>
      <c r="B304" t="s">
        <v>1076</v>
      </c>
      <c r="C304">
        <v>1</v>
      </c>
      <c r="D304" t="s">
        <v>1078</v>
      </c>
      <c r="E304" t="s">
        <v>1079</v>
      </c>
      <c r="F304" s="360">
        <v>5</v>
      </c>
      <c r="G304" s="360" t="str">
        <f>CONCATENATE(A304," ",B304," ",C304," ","inf+"," ",FanUpsizes!D304," ",FanUpsizes!F304)</f>
        <v>7ACH 5C 1 inf+ New 5</v>
      </c>
      <c r="H304" s="360">
        <v>2.0151491548435985E-2</v>
      </c>
      <c r="I304" s="360">
        <v>0.30679221621623554</v>
      </c>
      <c r="J304" s="360">
        <v>1.1433095068063235</v>
      </c>
      <c r="K304" s="360">
        <v>398.76051658271018</v>
      </c>
      <c r="L304" s="360">
        <v>0.30037421029979677</v>
      </c>
      <c r="M304" s="360">
        <v>1.1654344674925721</v>
      </c>
      <c r="N304" s="360">
        <v>1.0674052921954049</v>
      </c>
      <c r="O304" s="360">
        <v>0.30523821606709722</v>
      </c>
      <c r="P304" s="360">
        <v>1.1433097681142157</v>
      </c>
      <c r="Q304" s="360">
        <v>336.11203957089862</v>
      </c>
      <c r="R304" s="360">
        <v>646.03216322109893</v>
      </c>
      <c r="S304" s="360">
        <v>0.29482637052943428</v>
      </c>
      <c r="T304" s="360">
        <v>1.1875319331944896</v>
      </c>
      <c r="U304" s="360">
        <v>1.1425237331271154</v>
      </c>
      <c r="V304" s="360">
        <v>0.30437149055375801</v>
      </c>
      <c r="W304" s="360">
        <v>1.1433101012350857</v>
      </c>
      <c r="X304" s="360">
        <v>548.80845825634856</v>
      </c>
      <c r="Y304" s="360">
        <v>0.28286364709990042</v>
      </c>
      <c r="Z304" s="360">
        <v>1.2220805020386389</v>
      </c>
      <c r="AA304" s="360">
        <v>206.02130071047367</v>
      </c>
      <c r="AB304" s="360">
        <v>0.27958359843298314</v>
      </c>
      <c r="AC304" s="360">
        <v>1.2353589727198075</v>
      </c>
      <c r="AD304" s="360">
        <v>1.0296696697500975</v>
      </c>
      <c r="AE304" s="360">
        <v>0.28203207168649264</v>
      </c>
      <c r="AF304" s="360">
        <v>1.2220805999604394</v>
      </c>
      <c r="AG304" s="360">
        <v>175.53425489785303</v>
      </c>
      <c r="AH304" s="360">
        <v>417.67195191444284</v>
      </c>
      <c r="AI304" s="360">
        <v>0.27483512505663921</v>
      </c>
      <c r="AJ304" s="360">
        <v>1.2584447009172819</v>
      </c>
      <c r="AK304" s="360">
        <v>1.0880412343480659</v>
      </c>
      <c r="AL304" s="360">
        <v>0.28144554215920187</v>
      </c>
      <c r="AM304" s="360">
        <v>1.2220807566133634</v>
      </c>
      <c r="AN304" s="360">
        <v>359.36525548165156</v>
      </c>
      <c r="AO304" s="360"/>
      <c r="AP304" s="360"/>
      <c r="AQ304" s="360"/>
    </row>
    <row r="305" spans="1:43">
      <c r="A305" s="360" t="s">
        <v>1081</v>
      </c>
      <c r="B305" t="s">
        <v>1075</v>
      </c>
      <c r="C305">
        <v>2</v>
      </c>
      <c r="D305" t="s">
        <v>1078</v>
      </c>
      <c r="E305" t="s">
        <v>1079</v>
      </c>
      <c r="F305" s="360">
        <v>5</v>
      </c>
      <c r="G305" s="360" t="str">
        <f>CONCATENATE(A305," ",B305," ",C305," ","inf+"," ",FanUpsizes!D305," ",FanUpsizes!F305)</f>
        <v>7ACH Percentile 2 inf+ New 5</v>
      </c>
      <c r="H305" s="360">
        <v>1.4421666666666666E-2</v>
      </c>
      <c r="I305" s="360">
        <v>0.36484629504532162</v>
      </c>
      <c r="J305" s="360">
        <v>1.0018675727514657</v>
      </c>
      <c r="K305" s="360">
        <v>639.3040310138507</v>
      </c>
      <c r="L305" s="360">
        <v>0.35231240726034069</v>
      </c>
      <c r="M305" s="360">
        <v>1.0359273520379979</v>
      </c>
      <c r="N305" s="360">
        <v>1.2276707076960149</v>
      </c>
      <c r="O305" s="360">
        <v>0.36173512789501866</v>
      </c>
      <c r="P305" s="360">
        <v>1.0018689594410768</v>
      </c>
      <c r="Q305" s="360">
        <v>568.44565486044826</v>
      </c>
      <c r="R305" s="360">
        <v>766.97589115106757</v>
      </c>
      <c r="S305" s="360">
        <v>0.33996801844747171</v>
      </c>
      <c r="T305" s="360">
        <v>1.0922031031085655</v>
      </c>
      <c r="U305" s="360">
        <v>1.888885469390412</v>
      </c>
      <c r="V305" s="360">
        <v>0.36545847826831795</v>
      </c>
      <c r="W305" s="360">
        <v>1.0018680041556669</v>
      </c>
      <c r="X305" s="360">
        <v>603.81208103318761</v>
      </c>
      <c r="Y305" s="360">
        <v>0.3341626131004955</v>
      </c>
      <c r="Z305" s="360">
        <v>1.0950147797647918</v>
      </c>
      <c r="AA305" s="360">
        <v>212.51852155781643</v>
      </c>
      <c r="AB305" s="360">
        <v>0.3301003474896137</v>
      </c>
      <c r="AC305" s="360">
        <v>1.1082946544405523</v>
      </c>
      <c r="AD305" s="360">
        <v>1.0747112427788519</v>
      </c>
      <c r="AE305" s="360">
        <v>0.33270196091868925</v>
      </c>
      <c r="AF305" s="360">
        <v>1.0950162292774326</v>
      </c>
      <c r="AG305" s="360">
        <v>194.17399307907016</v>
      </c>
      <c r="AH305" s="360">
        <v>291.88588775196348</v>
      </c>
      <c r="AI305" s="360">
        <v>0.32091089351596186</v>
      </c>
      <c r="AJ305" s="360">
        <v>1.1661245376508782</v>
      </c>
      <c r="AK305" s="360">
        <v>1.6427566141441889</v>
      </c>
      <c r="AL305" s="360">
        <v>0.33531382080174615</v>
      </c>
      <c r="AM305" s="360">
        <v>1.095014807834894</v>
      </c>
      <c r="AN305" s="360">
        <v>213.87010710867401</v>
      </c>
      <c r="AO305" s="360"/>
      <c r="AP305" s="360"/>
      <c r="AQ305" s="360"/>
    </row>
    <row r="306" spans="1:43">
      <c r="A306" s="360" t="s">
        <v>1081</v>
      </c>
      <c r="B306" t="s">
        <v>1074</v>
      </c>
      <c r="C306">
        <v>2</v>
      </c>
      <c r="D306" t="s">
        <v>1078</v>
      </c>
      <c r="E306" t="s">
        <v>1079</v>
      </c>
      <c r="F306" s="360">
        <v>5</v>
      </c>
      <c r="G306" s="360" t="str">
        <f>CONCATENATE(A306," ",B306," ",C306," ","inf+"," ",FanUpsizes!D306," ",FanUpsizes!F306)</f>
        <v>7ACH Infiltration 2 inf+ New 5</v>
      </c>
      <c r="H306" s="360">
        <v>1.4421666666666666E-2</v>
      </c>
      <c r="I306" s="360">
        <v>0.36484629504532162</v>
      </c>
      <c r="J306" s="360">
        <v>1.0018675727514657</v>
      </c>
      <c r="K306" s="360">
        <v>110.94030692457044</v>
      </c>
      <c r="L306" s="360">
        <v>0.36322411955400352</v>
      </c>
      <c r="M306" s="360">
        <v>1.0052499113807056</v>
      </c>
      <c r="N306" s="360">
        <v>1.0188371771611517</v>
      </c>
      <c r="O306" s="360">
        <v>0.36420778695162942</v>
      </c>
      <c r="P306" s="360">
        <v>1.0018676493515999</v>
      </c>
      <c r="Q306" s="360">
        <v>95.124696301555403</v>
      </c>
      <c r="R306" s="360">
        <v>462.88893824392068</v>
      </c>
      <c r="S306" s="360">
        <v>0.35483984173370536</v>
      </c>
      <c r="T306" s="360">
        <v>1.0295352822568613</v>
      </c>
      <c r="U306" s="360">
        <v>1.1755649135760871</v>
      </c>
      <c r="V306" s="360">
        <v>0.3625432358844467</v>
      </c>
      <c r="W306" s="360">
        <v>1.0018680117654666</v>
      </c>
      <c r="X306" s="360">
        <v>377.2752444132513</v>
      </c>
      <c r="Y306" s="360">
        <v>0.3341626131004955</v>
      </c>
      <c r="Z306" s="360">
        <v>1.0950147797647918</v>
      </c>
      <c r="AA306" s="360">
        <v>31.720201109803693</v>
      </c>
      <c r="AB306" s="360">
        <v>0.3337163144855384</v>
      </c>
      <c r="AC306" s="360">
        <v>1.0961109274300136</v>
      </c>
      <c r="AD306" s="360">
        <v>1.0055165358088651</v>
      </c>
      <c r="AE306" s="360">
        <v>0.33394264763180104</v>
      </c>
      <c r="AF306" s="360">
        <v>1.095018021140624</v>
      </c>
      <c r="AG306" s="360">
        <v>28.51478744188594</v>
      </c>
      <c r="AH306" s="360">
        <v>215.08833268623852</v>
      </c>
      <c r="AI306" s="360">
        <v>0.3293127527461574</v>
      </c>
      <c r="AJ306" s="360">
        <v>1.1125000981048887</v>
      </c>
      <c r="AK306" s="360">
        <v>1.1015937518076586</v>
      </c>
      <c r="AL306" s="360">
        <v>0.33273694217566152</v>
      </c>
      <c r="AM306" s="360">
        <v>1.0950148852842057</v>
      </c>
      <c r="AN306" s="360">
        <v>190.1787753198038</v>
      </c>
      <c r="AO306" s="360"/>
      <c r="AP306" s="360"/>
      <c r="AQ306" s="360"/>
    </row>
    <row r="307" spans="1:43">
      <c r="A307" s="360" t="s">
        <v>1081</v>
      </c>
      <c r="B307" t="s">
        <v>1076</v>
      </c>
      <c r="C307">
        <v>2</v>
      </c>
      <c r="D307" t="s">
        <v>1078</v>
      </c>
      <c r="E307" t="s">
        <v>1079</v>
      </c>
      <c r="F307" s="360">
        <v>5</v>
      </c>
      <c r="G307" s="360" t="str">
        <f>CONCATENATE(A307," ",B307," ",C307," ","inf+"," ",FanUpsizes!D307," ",FanUpsizes!F307)</f>
        <v>7ACH 5C 2 inf+ New 5</v>
      </c>
      <c r="H307" s="360">
        <v>1.4421666666666666E-2</v>
      </c>
      <c r="I307" s="360">
        <v>0.36484629504532162</v>
      </c>
      <c r="J307" s="360">
        <v>1.0018675727514657</v>
      </c>
      <c r="K307" s="360">
        <v>285.37794515909525</v>
      </c>
      <c r="L307" s="360">
        <v>0.36025316893507053</v>
      </c>
      <c r="M307" s="360">
        <v>1.0126068742992078</v>
      </c>
      <c r="N307" s="360">
        <v>1.0623208034141836</v>
      </c>
      <c r="O307" s="360">
        <v>0.36332237619668967</v>
      </c>
      <c r="P307" s="360">
        <v>1.0018685780333108</v>
      </c>
      <c r="Q307" s="360">
        <v>243.92476803333994</v>
      </c>
      <c r="R307" s="360">
        <v>550.10775736117523</v>
      </c>
      <c r="S307" s="360">
        <v>0.35335436642423945</v>
      </c>
      <c r="T307" s="360">
        <v>1.0335783850651605</v>
      </c>
      <c r="U307" s="360">
        <v>1.2067390068648371</v>
      </c>
      <c r="V307" s="360">
        <v>0.36212172284302907</v>
      </c>
      <c r="W307" s="360">
        <v>1.0018677455427152</v>
      </c>
      <c r="X307" s="360">
        <v>467.32364420584412</v>
      </c>
      <c r="Y307" s="360">
        <v>0.3341626131004955</v>
      </c>
      <c r="Z307" s="360">
        <v>1.0950147797647918</v>
      </c>
      <c r="AA307" s="360">
        <v>86.834836146715091</v>
      </c>
      <c r="AB307" s="360">
        <v>0.3328116867738628</v>
      </c>
      <c r="AC307" s="360">
        <v>1.0987470142466178</v>
      </c>
      <c r="AD307" s="360">
        <v>1.0192661556353371</v>
      </c>
      <c r="AE307" s="360">
        <v>0.33357183272674379</v>
      </c>
      <c r="AF307" s="360">
        <v>1.0950150214338978</v>
      </c>
      <c r="AG307" s="360">
        <v>77.613700888294204</v>
      </c>
      <c r="AH307" s="360">
        <v>229.87787658487053</v>
      </c>
      <c r="AI307" s="360">
        <v>0.32908236873388902</v>
      </c>
      <c r="AJ307" s="360">
        <v>1.1132099252303798</v>
      </c>
      <c r="AK307" s="360">
        <v>1.1065580453876662</v>
      </c>
      <c r="AL307" s="360">
        <v>0.33262851126114445</v>
      </c>
      <c r="AM307" s="360">
        <v>1.0950148198441456</v>
      </c>
      <c r="AN307" s="360">
        <v>206.82137989596501</v>
      </c>
      <c r="AO307" s="360"/>
      <c r="AP307" s="360"/>
      <c r="AQ307" s="360"/>
    </row>
    <row r="308" spans="1:43">
      <c r="A308" s="360" t="s">
        <v>1081</v>
      </c>
      <c r="B308" t="s">
        <v>1075</v>
      </c>
      <c r="C308">
        <v>1</v>
      </c>
      <c r="D308" t="s">
        <v>1080</v>
      </c>
      <c r="E308" t="s">
        <v>1079</v>
      </c>
      <c r="F308" s="360">
        <v>5</v>
      </c>
      <c r="G308" s="360" t="str">
        <f>CONCATENATE(A308," ",B308," ",C308," ","inf+"," ",FanUpsizes!D308," ",FanUpsizes!F308)</f>
        <v>7ACH Percentile 1 inf+ Existing 5</v>
      </c>
      <c r="H308" s="360">
        <v>3.6401491548435985E-2</v>
      </c>
      <c r="I308" s="360">
        <v>0.37397270348726613</v>
      </c>
      <c r="J308" s="360">
        <v>1.2447945075723386</v>
      </c>
      <c r="K308" s="360">
        <v>1613.6567859816773</v>
      </c>
      <c r="L308" s="360">
        <v>0.342336123553792</v>
      </c>
      <c r="M308" s="360">
        <v>1.3822449213864909</v>
      </c>
      <c r="N308" s="360">
        <v>1.2673996943006109</v>
      </c>
      <c r="O308" s="360">
        <v>0.3794543104426189</v>
      </c>
      <c r="P308" s="360">
        <v>1.2447955073582886</v>
      </c>
      <c r="Q308" s="360">
        <v>1370.6014215505909</v>
      </c>
      <c r="R308" s="360">
        <v>1940.2019118517726</v>
      </c>
      <c r="S308" s="360">
        <v>0.30466769588982512</v>
      </c>
      <c r="T308" s="360">
        <v>1.6032290309309949</v>
      </c>
      <c r="U308" s="360">
        <v>1.9736964357442968</v>
      </c>
      <c r="V308" s="360">
        <v>0.39723314859777598</v>
      </c>
      <c r="W308" s="360">
        <v>1.2447958555003056</v>
      </c>
      <c r="X308" s="360">
        <v>1453.8483204292954</v>
      </c>
      <c r="Y308" s="360">
        <v>0.36610481836677228</v>
      </c>
      <c r="Z308" s="360">
        <v>1.2463303943974613</v>
      </c>
      <c r="AA308" s="360">
        <v>1397.9388272127439</v>
      </c>
      <c r="AB308" s="360">
        <v>0.33846669968534299</v>
      </c>
      <c r="AC308" s="360">
        <v>1.3729615489124878</v>
      </c>
      <c r="AD308" s="360">
        <v>1.2121279693146736</v>
      </c>
      <c r="AE308" s="360">
        <v>0.37375710899221698</v>
      </c>
      <c r="AF308" s="360">
        <v>1.2463304125829757</v>
      </c>
      <c r="AG308" s="360">
        <v>1146.4268262335645</v>
      </c>
      <c r="AH308" s="360">
        <v>1823.8943592291103</v>
      </c>
      <c r="AI308" s="360">
        <v>0.29303205726549975</v>
      </c>
      <c r="AJ308" s="360">
        <v>1.6458146657719521</v>
      </c>
      <c r="AK308" s="360">
        <v>1.8954014655745046</v>
      </c>
      <c r="AL308" s="360">
        <v>0.3946067850637423</v>
      </c>
      <c r="AM308" s="360">
        <v>1.2463306522649222</v>
      </c>
      <c r="AN308" s="360">
        <v>1263.5364039008095</v>
      </c>
      <c r="AO308" s="360"/>
      <c r="AP308" s="360"/>
      <c r="AQ308" s="360"/>
    </row>
    <row r="309" spans="1:43">
      <c r="A309" s="360" t="s">
        <v>1081</v>
      </c>
      <c r="B309" t="s">
        <v>1074</v>
      </c>
      <c r="C309">
        <v>1</v>
      </c>
      <c r="D309" t="s">
        <v>1080</v>
      </c>
      <c r="E309" t="s">
        <v>1079</v>
      </c>
      <c r="F309" s="360">
        <v>5</v>
      </c>
      <c r="G309" s="360" t="str">
        <f>CONCATENATE(A309," ",B309," ",C309," ","inf+"," ",FanUpsizes!D309," ",FanUpsizes!F309)</f>
        <v>7ACH Infiltration 1 inf+ Existing 5</v>
      </c>
      <c r="H309" s="360">
        <v>3.6401491548435985E-2</v>
      </c>
      <c r="I309" s="360">
        <v>0.37397270348726613</v>
      </c>
      <c r="J309" s="360">
        <v>1.2447945075723386</v>
      </c>
      <c r="K309" s="360">
        <v>0</v>
      </c>
      <c r="L309" s="360">
        <v>0.37397270348726613</v>
      </c>
      <c r="M309" s="360">
        <v>1.2447945075723386</v>
      </c>
      <c r="N309" s="360">
        <v>1</v>
      </c>
      <c r="O309" s="360">
        <v>0.37397270348726613</v>
      </c>
      <c r="P309" s="360">
        <v>1.2447945075723386</v>
      </c>
      <c r="Q309" s="360">
        <v>0</v>
      </c>
      <c r="R309" s="360">
        <v>360.15888797478203</v>
      </c>
      <c r="S309" s="360">
        <v>0.36817598646601052</v>
      </c>
      <c r="T309" s="360">
        <v>1.2633858835080296</v>
      </c>
      <c r="U309" s="360">
        <v>1.0303360033170568</v>
      </c>
      <c r="V309" s="360">
        <v>0.3729357195145061</v>
      </c>
      <c r="W309" s="360">
        <v>1.2448029223256598</v>
      </c>
      <c r="X309" s="360">
        <v>296.72585038677272</v>
      </c>
      <c r="Y309" s="360">
        <v>0.36610481836677228</v>
      </c>
      <c r="Z309" s="360">
        <v>1.2463303943974613</v>
      </c>
      <c r="AA309" s="360">
        <v>0</v>
      </c>
      <c r="AB309" s="360">
        <v>0.36610481836677228</v>
      </c>
      <c r="AC309" s="360">
        <v>1.2463303943974613</v>
      </c>
      <c r="AD309" s="360">
        <v>1</v>
      </c>
      <c r="AE309" s="360">
        <v>0.36610481836677228</v>
      </c>
      <c r="AF309" s="360">
        <v>1.2463303943974613</v>
      </c>
      <c r="AG309" s="360">
        <v>0</v>
      </c>
      <c r="AH309" s="360">
        <v>418.65551915591692</v>
      </c>
      <c r="AI309" s="360">
        <v>0.35932621447898605</v>
      </c>
      <c r="AJ309" s="360">
        <v>1.2711916235509682</v>
      </c>
      <c r="AK309" s="360">
        <v>1.0331349384762265</v>
      </c>
      <c r="AL309" s="360">
        <v>0.36587100487047375</v>
      </c>
      <c r="AM309" s="360">
        <v>1.2463346886328446</v>
      </c>
      <c r="AN309" s="360">
        <v>325.84491293077537</v>
      </c>
      <c r="AO309" s="360"/>
      <c r="AP309" s="360"/>
      <c r="AQ309" s="360"/>
    </row>
    <row r="310" spans="1:43">
      <c r="A310" s="360" t="s">
        <v>1081</v>
      </c>
      <c r="B310" t="s">
        <v>1076</v>
      </c>
      <c r="C310">
        <v>1</v>
      </c>
      <c r="D310" t="s">
        <v>1080</v>
      </c>
      <c r="E310" t="s">
        <v>1079</v>
      </c>
      <c r="F310" s="360">
        <v>5</v>
      </c>
      <c r="G310" s="360" t="str">
        <f>CONCATENATE(A310," ",B310," ",C310," ","inf+"," ",FanUpsizes!D310," ",FanUpsizes!F310)</f>
        <v>7ACH 5C 1 inf+ Existing 5</v>
      </c>
      <c r="H310" s="360">
        <v>3.6401491548435985E-2</v>
      </c>
      <c r="I310" s="360">
        <v>0.37397270348726613</v>
      </c>
      <c r="J310" s="360">
        <v>1.2447945075723386</v>
      </c>
      <c r="K310" s="360">
        <v>720.31777594955156</v>
      </c>
      <c r="L310" s="360">
        <v>0.36237926944475363</v>
      </c>
      <c r="M310" s="360">
        <v>1.2876985765888074</v>
      </c>
      <c r="N310" s="360">
        <v>1.0726471498048218</v>
      </c>
      <c r="O310" s="360">
        <v>0.37345879304713264</v>
      </c>
      <c r="P310" s="360">
        <v>1.2447949663724858</v>
      </c>
      <c r="Q310" s="360">
        <v>593.88658311021118</v>
      </c>
      <c r="R310" s="360">
        <v>720.31777594955156</v>
      </c>
      <c r="S310" s="360">
        <v>0.36237926944475363</v>
      </c>
      <c r="T310" s="360">
        <v>1.2876985765888074</v>
      </c>
      <c r="U310" s="360">
        <v>1.0726471498048218</v>
      </c>
      <c r="V310" s="360">
        <v>0.37345879304713264</v>
      </c>
      <c r="W310" s="360">
        <v>1.2447949663724858</v>
      </c>
      <c r="X310" s="360">
        <v>593.88658311021118</v>
      </c>
      <c r="Y310" s="360">
        <v>0.36610481836677228</v>
      </c>
      <c r="Z310" s="360">
        <v>1.2463303943974613</v>
      </c>
      <c r="AA310" s="360">
        <v>589.24324483730879</v>
      </c>
      <c r="AB310" s="360">
        <v>0.35661818706459708</v>
      </c>
      <c r="AC310" s="360">
        <v>1.2836746193168125</v>
      </c>
      <c r="AD310" s="360">
        <v>1.0513915572224666</v>
      </c>
      <c r="AE310" s="360">
        <v>0.3665306393473175</v>
      </c>
      <c r="AF310" s="360">
        <v>1.2463337370622631</v>
      </c>
      <c r="AG310" s="360">
        <v>461.41190692002345</v>
      </c>
      <c r="AH310" s="360">
        <v>589.24324483730879</v>
      </c>
      <c r="AI310" s="360">
        <v>0.35661818706459708</v>
      </c>
      <c r="AJ310" s="360">
        <v>1.2836746193168125</v>
      </c>
      <c r="AK310" s="360">
        <v>1.0513915572224666</v>
      </c>
      <c r="AL310" s="360">
        <v>0.3665306393473175</v>
      </c>
      <c r="AM310" s="360">
        <v>1.2463337370622631</v>
      </c>
      <c r="AN310" s="360">
        <v>461.41190692002345</v>
      </c>
      <c r="AO310" s="360"/>
      <c r="AP310" s="360"/>
      <c r="AQ310" s="360"/>
    </row>
    <row r="311" spans="1:43">
      <c r="A311" s="360" t="s">
        <v>1081</v>
      </c>
      <c r="B311" t="s">
        <v>1075</v>
      </c>
      <c r="C311">
        <v>2</v>
      </c>
      <c r="D311" t="s">
        <v>1080</v>
      </c>
      <c r="E311" t="s">
        <v>1079</v>
      </c>
      <c r="F311" s="360">
        <v>5</v>
      </c>
      <c r="G311" s="360" t="str">
        <f>CONCATENATE(A311," ",B311," ",C311," ","inf+"," ",FanUpsizes!D311," ",FanUpsizes!F311)</f>
        <v>7ACH Percentile 2 inf+ Existing 5</v>
      </c>
      <c r="H311" s="360">
        <v>2.9016542752445126E-2</v>
      </c>
      <c r="I311" s="360">
        <v>0.42047695746186969</v>
      </c>
      <c r="J311" s="360">
        <v>1.1573140636493493</v>
      </c>
      <c r="K311" s="360">
        <v>1286.2863340615183</v>
      </c>
      <c r="L311" s="360">
        <v>0.39525864537816008</v>
      </c>
      <c r="M311" s="360">
        <v>1.2359353704964169</v>
      </c>
      <c r="N311" s="360">
        <v>1.2517754521762996</v>
      </c>
      <c r="O311" s="360">
        <v>0.41808564009999599</v>
      </c>
      <c r="P311" s="360">
        <v>1.1573143366483154</v>
      </c>
      <c r="Q311" s="360">
        <v>1128.6027542125746</v>
      </c>
      <c r="R311" s="360">
        <v>1543.1634394323241</v>
      </c>
      <c r="S311" s="360">
        <v>0.36900799028851361</v>
      </c>
      <c r="T311" s="360">
        <v>1.362704206453355</v>
      </c>
      <c r="U311" s="360">
        <v>1.9583620674027409</v>
      </c>
      <c r="V311" s="360">
        <v>0.42791763571927277</v>
      </c>
      <c r="W311" s="360">
        <v>1.1573144754247475</v>
      </c>
      <c r="X311" s="360">
        <v>1188.0490006008058</v>
      </c>
      <c r="Y311" s="360">
        <v>0.38970033925059488</v>
      </c>
      <c r="Z311" s="360">
        <v>1.2263267278031151</v>
      </c>
      <c r="AA311" s="360">
        <v>775.43215658341012</v>
      </c>
      <c r="AB311" s="360">
        <v>0.37448816928536088</v>
      </c>
      <c r="AC311" s="360">
        <v>1.2815653062756955</v>
      </c>
      <c r="AD311" s="360">
        <v>1.1289146187709487</v>
      </c>
      <c r="AE311" s="360">
        <v>0.38833949494690828</v>
      </c>
      <c r="AF311" s="360">
        <v>1.2263267281202532</v>
      </c>
      <c r="AG311" s="360">
        <v>677.32804216632962</v>
      </c>
      <c r="AH311" s="360">
        <v>1034.1913128203134</v>
      </c>
      <c r="AI311" s="360">
        <v>0.34575700838050155</v>
      </c>
      <c r="AJ311" s="360">
        <v>1.4463985034581799</v>
      </c>
      <c r="AK311" s="360">
        <v>1.7418177473172436</v>
      </c>
      <c r="AL311" s="360">
        <v>0.39898908451802034</v>
      </c>
      <c r="AM311" s="360">
        <v>1.2263277049483359</v>
      </c>
      <c r="AN311" s="360">
        <v>749.43677575089157</v>
      </c>
      <c r="AO311" s="360"/>
      <c r="AP311" s="360"/>
      <c r="AQ311" s="360"/>
    </row>
    <row r="312" spans="1:43">
      <c r="A312" s="360" t="s">
        <v>1081</v>
      </c>
      <c r="B312" t="s">
        <v>1074</v>
      </c>
      <c r="C312">
        <v>2</v>
      </c>
      <c r="D312" t="s">
        <v>1080</v>
      </c>
      <c r="E312" t="s">
        <v>1079</v>
      </c>
      <c r="F312" s="360">
        <v>5</v>
      </c>
      <c r="G312" s="360" t="str">
        <f>CONCATENATE(A312," ",B312," ",C312," ","inf+"," ",FanUpsizes!D312," ",FanUpsizes!F312)</f>
        <v>7ACH Infiltration 2 inf+ Existing 5</v>
      </c>
      <c r="H312" s="360">
        <v>2.9016542752445126E-2</v>
      </c>
      <c r="I312" s="360">
        <v>0.42047695746186969</v>
      </c>
      <c r="J312" s="360">
        <v>1.1573140636493493</v>
      </c>
      <c r="K312" s="360">
        <v>0</v>
      </c>
      <c r="L312" s="360">
        <v>0.42047695746186969</v>
      </c>
      <c r="M312" s="360">
        <v>1.1573140636493493</v>
      </c>
      <c r="N312" s="360">
        <v>1</v>
      </c>
      <c r="O312" s="360">
        <v>0.42047695746186969</v>
      </c>
      <c r="P312" s="360">
        <v>1.1573140636493493</v>
      </c>
      <c r="Q312" s="360">
        <v>0</v>
      </c>
      <c r="R312" s="360">
        <v>608.95932475117741</v>
      </c>
      <c r="S312" s="360">
        <v>0.40879683279101098</v>
      </c>
      <c r="T312" s="360">
        <v>1.1891544060105586</v>
      </c>
      <c r="U312" s="360">
        <v>1.0888684570526899</v>
      </c>
      <c r="V312" s="360">
        <v>0.41793721415364926</v>
      </c>
      <c r="W312" s="360">
        <v>1.1573144263215831</v>
      </c>
      <c r="X312" s="360">
        <v>493.11673855110337</v>
      </c>
      <c r="Y312" s="360">
        <v>0.38970033925059488</v>
      </c>
      <c r="Z312" s="360">
        <v>1.2263267278031151</v>
      </c>
      <c r="AA312" s="360">
        <v>0</v>
      </c>
      <c r="AB312" s="360">
        <v>0.38970033925059488</v>
      </c>
      <c r="AC312" s="360">
        <v>1.2263267278031151</v>
      </c>
      <c r="AD312" s="360">
        <v>1</v>
      </c>
      <c r="AE312" s="360">
        <v>0.38970033925059488</v>
      </c>
      <c r="AF312" s="360">
        <v>1.2263267278031151</v>
      </c>
      <c r="AG312" s="360">
        <v>0</v>
      </c>
      <c r="AH312" s="360">
        <v>528.71177073447132</v>
      </c>
      <c r="AI312" s="360">
        <v>0.3794697113511305</v>
      </c>
      <c r="AJ312" s="360">
        <v>1.2613786243365011</v>
      </c>
      <c r="AK312" s="360">
        <v>1.0750882799224204</v>
      </c>
      <c r="AL312" s="360">
        <v>0.38817643341383928</v>
      </c>
      <c r="AM312" s="360">
        <v>1.226327765669152</v>
      </c>
      <c r="AN312" s="360">
        <v>436.70248039873223</v>
      </c>
      <c r="AO312" s="360"/>
      <c r="AP312" s="360"/>
      <c r="AQ312" s="360"/>
    </row>
    <row r="313" spans="1:43">
      <c r="A313" s="360" t="s">
        <v>1081</v>
      </c>
      <c r="B313" t="s">
        <v>1076</v>
      </c>
      <c r="C313">
        <v>2</v>
      </c>
      <c r="D313" t="s">
        <v>1080</v>
      </c>
      <c r="E313" t="s">
        <v>1079</v>
      </c>
      <c r="F313" s="360">
        <v>5</v>
      </c>
      <c r="G313" s="360" t="str">
        <f>CONCATENATE(A313," ",B313," ",C313," ","inf+"," ",FanUpsizes!D313," ",FanUpsizes!F313)</f>
        <v>7ACH 5C 2 inf+ Existing 5</v>
      </c>
      <c r="H313" s="360">
        <v>2.9016542752445126E-2</v>
      </c>
      <c r="I313" s="360">
        <v>0.42047695746186969</v>
      </c>
      <c r="J313" s="360">
        <v>1.1573140636493493</v>
      </c>
      <c r="K313" s="360">
        <v>574.18338238625552</v>
      </c>
      <c r="L313" s="360">
        <v>0.41123554013986985</v>
      </c>
      <c r="M313" s="360">
        <v>1.1819328809361738</v>
      </c>
      <c r="N313" s="360">
        <v>1.0681748281234751</v>
      </c>
      <c r="O313" s="360">
        <v>0.41840023330715853</v>
      </c>
      <c r="P313" s="360">
        <v>1.1573143100291485</v>
      </c>
      <c r="Q313" s="360">
        <v>482.94469195308437</v>
      </c>
      <c r="R313" s="360">
        <v>896.05101594430778</v>
      </c>
      <c r="S313" s="360">
        <v>0.40417612413001114</v>
      </c>
      <c r="T313" s="360">
        <v>1.2034610529269021</v>
      </c>
      <c r="U313" s="360">
        <v>1.1343030250449526</v>
      </c>
      <c r="V313" s="360">
        <v>0.41741422629104846</v>
      </c>
      <c r="W313" s="360">
        <v>1.1573144040529018</v>
      </c>
      <c r="X313" s="360">
        <v>759.54044801163923</v>
      </c>
      <c r="Y313" s="360">
        <v>0.38970033925059488</v>
      </c>
      <c r="Z313" s="360">
        <v>1.2263267278031151</v>
      </c>
      <c r="AA313" s="360">
        <v>322.06734314215095</v>
      </c>
      <c r="AB313" s="360">
        <v>0.38456035615328049</v>
      </c>
      <c r="AC313" s="360">
        <v>1.2422666619564973</v>
      </c>
      <c r="AD313" s="360">
        <v>1.0323882979415961</v>
      </c>
      <c r="AE313" s="360">
        <v>0.38855875132290896</v>
      </c>
      <c r="AF313" s="360">
        <v>1.2263269673612462</v>
      </c>
      <c r="AG313" s="360">
        <v>271.67531381918485</v>
      </c>
      <c r="AH313" s="360">
        <v>616.54175655048937</v>
      </c>
      <c r="AI313" s="360">
        <v>0.37810288040521961</v>
      </c>
      <c r="AJ313" s="360">
        <v>1.2663028728439967</v>
      </c>
      <c r="AK313" s="360">
        <v>1.0875383207281062</v>
      </c>
      <c r="AL313" s="360">
        <v>0.38804034043621716</v>
      </c>
      <c r="AM313" s="360">
        <v>1.2263285285792471</v>
      </c>
      <c r="AN313" s="360">
        <v>524.07875960405522</v>
      </c>
      <c r="AO313" s="360"/>
      <c r="AP313" s="360"/>
      <c r="AQ313" s="360"/>
    </row>
    <row r="314" spans="1:43">
      <c r="A314" s="360" t="s">
        <v>1082</v>
      </c>
      <c r="B314" t="s">
        <v>1075</v>
      </c>
      <c r="C314">
        <v>1</v>
      </c>
      <c r="D314" t="s">
        <v>1078</v>
      </c>
      <c r="E314" t="s">
        <v>1079</v>
      </c>
      <c r="F314" s="360">
        <v>5</v>
      </c>
      <c r="G314" s="360" t="str">
        <f>CONCATENATE(A314," ",B314," ",C314," ","inf+"," ",FanUpsizes!D314," ",FanUpsizes!F314)</f>
        <v>5ACH Percentile 1 inf+ New 5</v>
      </c>
      <c r="H314" s="360">
        <v>2.6755351106025699E-2</v>
      </c>
      <c r="I314" s="360">
        <v>0.27049409343649083</v>
      </c>
      <c r="J314" s="360">
        <v>1.2426651277127774</v>
      </c>
      <c r="K314" s="360">
        <v>1186.0490336257965</v>
      </c>
      <c r="L314" s="360">
        <v>0.24724098572282197</v>
      </c>
      <c r="M314" s="360">
        <v>1.3814105653621429</v>
      </c>
      <c r="N314" s="360">
        <v>1.2644987180631333</v>
      </c>
      <c r="O314" s="360">
        <v>0.27463031836532026</v>
      </c>
      <c r="P314" s="360">
        <v>1.2426651277180798</v>
      </c>
      <c r="Q314" s="360">
        <v>1005.0835721564526</v>
      </c>
      <c r="R314" s="360">
        <v>1427.019616889467</v>
      </c>
      <c r="S314" s="360">
        <v>0.21926071054424953</v>
      </c>
      <c r="T314" s="360">
        <v>1.599474979082016</v>
      </c>
      <c r="U314" s="360">
        <v>1.9565559562363353</v>
      </c>
      <c r="V314" s="360">
        <v>0.28689136069822146</v>
      </c>
      <c r="W314" s="360">
        <v>1.2426656067722428</v>
      </c>
      <c r="X314" s="360">
        <v>1073.5305486725933</v>
      </c>
      <c r="Y314" s="360">
        <v>0.26582382275386301</v>
      </c>
      <c r="Z314" s="360">
        <v>1.2420144214602877</v>
      </c>
      <c r="AA314" s="360">
        <v>1046.7484417354772</v>
      </c>
      <c r="AB314" s="360">
        <v>0.24512439598801286</v>
      </c>
      <c r="AC314" s="360">
        <v>1.3709137800553279</v>
      </c>
      <c r="AD314" s="360">
        <v>1.2130050017059177</v>
      </c>
      <c r="AE314" s="360">
        <v>0.27138250841301381</v>
      </c>
      <c r="AF314" s="360">
        <v>1.2420181060341655</v>
      </c>
      <c r="AG314" s="360">
        <v>859.55062950940442</v>
      </c>
      <c r="AH314" s="360">
        <v>1363.7237183311572</v>
      </c>
      <c r="AI314" s="360">
        <v>0.21139282187327033</v>
      </c>
      <c r="AJ314" s="360">
        <v>1.6399681778744026</v>
      </c>
      <c r="AK314" s="360">
        <v>1.8858856661537526</v>
      </c>
      <c r="AL314" s="360">
        <v>0.28583743773491443</v>
      </c>
      <c r="AM314" s="360">
        <v>1.242015416360537</v>
      </c>
      <c r="AN314" s="360">
        <v>952.32339623154394</v>
      </c>
      <c r="AO314" s="360"/>
      <c r="AP314" s="360"/>
      <c r="AQ314" s="360"/>
    </row>
    <row r="315" spans="1:43">
      <c r="A315" s="360" t="s">
        <v>1082</v>
      </c>
      <c r="B315" t="s">
        <v>1074</v>
      </c>
      <c r="C315">
        <v>1</v>
      </c>
      <c r="D315" t="s">
        <v>1078</v>
      </c>
      <c r="E315" t="s">
        <v>1079</v>
      </c>
      <c r="F315" s="360">
        <v>5</v>
      </c>
      <c r="G315" s="360" t="str">
        <f>CONCATENATE(A315," ",B315," ",C315," ","inf+"," ",FanUpsizes!D315," ",FanUpsizes!F315)</f>
        <v>5ACH Infiltration 1 inf+ New 5</v>
      </c>
      <c r="H315" s="360">
        <v>2.6755351106025699E-2</v>
      </c>
      <c r="I315" s="360">
        <v>0.27049409343649083</v>
      </c>
      <c r="J315" s="360">
        <v>1.2426651277127774</v>
      </c>
      <c r="K315" s="360">
        <v>0</v>
      </c>
      <c r="L315" s="360">
        <v>0.27049409343649083</v>
      </c>
      <c r="M315" s="360">
        <v>1.2426651277127774</v>
      </c>
      <c r="N315" s="360">
        <v>1</v>
      </c>
      <c r="O315" s="360">
        <v>0.27049409343649083</v>
      </c>
      <c r="P315" s="360">
        <v>1.2426651277127774</v>
      </c>
      <c r="Q315" s="360">
        <v>0</v>
      </c>
      <c r="R315" s="360">
        <v>232.7677422402482</v>
      </c>
      <c r="S315" s="360">
        <v>0.26680831242710229</v>
      </c>
      <c r="T315" s="360">
        <v>1.259142395271742</v>
      </c>
      <c r="U315" s="360">
        <v>1.0265697235519471</v>
      </c>
      <c r="V315" s="360">
        <v>0.26992656305550938</v>
      </c>
      <c r="W315" s="360">
        <v>1.242665519041579</v>
      </c>
      <c r="X315" s="360">
        <v>190.82354773193654</v>
      </c>
      <c r="Y315" s="360">
        <v>0.26582382275386301</v>
      </c>
      <c r="Z315" s="360">
        <v>1.2420144214602877</v>
      </c>
      <c r="AA315" s="360">
        <v>0</v>
      </c>
      <c r="AB315" s="360">
        <v>0.26582382275386301</v>
      </c>
      <c r="AC315" s="360">
        <v>1.2420144214602877</v>
      </c>
      <c r="AD315" s="360">
        <v>1</v>
      </c>
      <c r="AE315" s="360">
        <v>0.26582382275386301</v>
      </c>
      <c r="AF315" s="360">
        <v>1.2420144214602877</v>
      </c>
      <c r="AG315" s="360">
        <v>0</v>
      </c>
      <c r="AH315" s="360">
        <v>274.21096026889188</v>
      </c>
      <c r="AI315" s="360">
        <v>0.26145689403870953</v>
      </c>
      <c r="AJ315" s="360">
        <v>1.2639021567400093</v>
      </c>
      <c r="AK315" s="360">
        <v>1.0288318009023674</v>
      </c>
      <c r="AL315" s="360">
        <v>0.26571229529032131</v>
      </c>
      <c r="AM315" s="360">
        <v>1.2420168306803523</v>
      </c>
      <c r="AN315" s="360">
        <v>212.41603928618608</v>
      </c>
      <c r="AO315" s="360"/>
      <c r="AP315" s="360"/>
      <c r="AQ315" s="360"/>
    </row>
    <row r="316" spans="1:43">
      <c r="A316" s="360" t="s">
        <v>1082</v>
      </c>
      <c r="B316" t="s">
        <v>1076</v>
      </c>
      <c r="C316">
        <v>1</v>
      </c>
      <c r="D316" t="s">
        <v>1078</v>
      </c>
      <c r="E316" t="s">
        <v>1079</v>
      </c>
      <c r="F316" s="360">
        <v>5</v>
      </c>
      <c r="G316" s="360" t="str">
        <f>CONCATENATE(A316," ",B316," ",C316," ","inf+"," ",FanUpsizes!D316," ",FanUpsizes!F316)</f>
        <v>5ACH 5C 1 inf+ New 5</v>
      </c>
      <c r="H316" s="360">
        <v>2.6755351106025699E-2</v>
      </c>
      <c r="I316" s="360">
        <v>0.27049409343649083</v>
      </c>
      <c r="J316" s="360">
        <v>1.2426651277127774</v>
      </c>
      <c r="K316" s="360">
        <v>529.4386076954471</v>
      </c>
      <c r="L316" s="360">
        <v>0.26197283825882056</v>
      </c>
      <c r="M316" s="360">
        <v>1.2864942191521129</v>
      </c>
      <c r="N316" s="360">
        <v>1.073404052652672</v>
      </c>
      <c r="O316" s="360">
        <v>0.27031142144181303</v>
      </c>
      <c r="P316" s="360">
        <v>1.2426654050185539</v>
      </c>
      <c r="Q316" s="360">
        <v>434.77653048877772</v>
      </c>
      <c r="R316" s="360">
        <v>529.4386076954471</v>
      </c>
      <c r="S316" s="360">
        <v>0.26197283825882056</v>
      </c>
      <c r="T316" s="360">
        <v>1.2864942191521129</v>
      </c>
      <c r="U316" s="360">
        <v>1.073404052652672</v>
      </c>
      <c r="V316" s="360">
        <v>0.27031142144181303</v>
      </c>
      <c r="W316" s="360">
        <v>1.2426654050185539</v>
      </c>
      <c r="X316" s="360">
        <v>434.77653048877772</v>
      </c>
      <c r="Y316" s="360">
        <v>0.26582382275386301</v>
      </c>
      <c r="Z316" s="360">
        <v>1.2420144214602877</v>
      </c>
      <c r="AA316" s="360">
        <v>441.71144076522177</v>
      </c>
      <c r="AB316" s="360">
        <v>0.25870996577678168</v>
      </c>
      <c r="AC316" s="360">
        <v>1.2804436953381162</v>
      </c>
      <c r="AD316" s="360">
        <v>1.0525021526652414</v>
      </c>
      <c r="AE316" s="360">
        <v>0.2662224051029895</v>
      </c>
      <c r="AF316" s="360">
        <v>1.2420144640106943</v>
      </c>
      <c r="AG316" s="360">
        <v>344.7124597392538</v>
      </c>
      <c r="AH316" s="360">
        <v>441.71144076522177</v>
      </c>
      <c r="AI316" s="360">
        <v>0.25870996577678168</v>
      </c>
      <c r="AJ316" s="360">
        <v>1.2804436953381162</v>
      </c>
      <c r="AK316" s="360">
        <v>1.0525021526652414</v>
      </c>
      <c r="AL316" s="360">
        <v>0.2662224051029895</v>
      </c>
      <c r="AM316" s="360">
        <v>1.2420144640106943</v>
      </c>
      <c r="AN316" s="360">
        <v>344.7124597392538</v>
      </c>
      <c r="AO316" s="360"/>
      <c r="AP316" s="360"/>
      <c r="AQ316" s="360"/>
    </row>
    <row r="317" spans="1:43" s="411" customFormat="1">
      <c r="A317" s="411" t="s">
        <v>1082</v>
      </c>
      <c r="B317" s="411" t="s">
        <v>1075</v>
      </c>
      <c r="C317" s="411">
        <v>2</v>
      </c>
      <c r="D317" s="411" t="s">
        <v>1078</v>
      </c>
      <c r="E317" s="411" t="s">
        <v>1079</v>
      </c>
      <c r="F317" s="411">
        <v>5</v>
      </c>
      <c r="G317" s="411" t="str">
        <f>CONCATENATE(A317," ",B317," ",C317," ","inf+"," ",FanUpsizes!D317," ",FanUpsizes!F317)</f>
        <v>5ACH Percentile 2 inf+ New 5</v>
      </c>
      <c r="H317" s="411">
        <v>2.1480387680317948E-2</v>
      </c>
      <c r="I317" s="411">
        <v>0.30330823523906142</v>
      </c>
      <c r="J317" s="411">
        <v>1.1535242561231425</v>
      </c>
      <c r="K317" s="411">
        <v>952.21299653999995</v>
      </c>
      <c r="L317" s="411">
        <v>0.284639604560943</v>
      </c>
      <c r="M317" s="411">
        <v>1.2343777632950026</v>
      </c>
      <c r="N317" s="411">
        <v>1.2575230311276866</v>
      </c>
      <c r="O317" s="411">
        <v>0.30208496222051873</v>
      </c>
      <c r="P317" s="411">
        <v>1.1535309439486392</v>
      </c>
      <c r="Q317" s="411">
        <v>832.6772312710267</v>
      </c>
      <c r="R317" s="411">
        <v>1142.3741696555624</v>
      </c>
      <c r="S317" s="411">
        <v>0.26508493437126335</v>
      </c>
      <c r="T317" s="411">
        <v>1.3580594504118757</v>
      </c>
      <c r="U317" s="411">
        <v>1.946754479647945</v>
      </c>
      <c r="V317" s="411">
        <v>0.30851257435308266</v>
      </c>
      <c r="W317" s="411">
        <v>1.1535243612792605</v>
      </c>
      <c r="X317" s="411">
        <v>882.35779000250784</v>
      </c>
      <c r="Y317" s="411">
        <v>0.2818200990398626</v>
      </c>
      <c r="Z317" s="411">
        <v>1.2208373762355553</v>
      </c>
      <c r="AA317" s="411">
        <v>590.49743670146506</v>
      </c>
      <c r="AB317" s="411">
        <v>0.27022711002986416</v>
      </c>
      <c r="AC317" s="411">
        <v>1.2788693306963297</v>
      </c>
      <c r="AD317" s="411">
        <v>1.1346491707220103</v>
      </c>
      <c r="AE317" s="411">
        <v>0.28112831674851879</v>
      </c>
      <c r="AF317" s="411">
        <v>1.2208381863879276</v>
      </c>
      <c r="AG317" s="411">
        <v>513.22847092303846</v>
      </c>
      <c r="AH317" s="411">
        <v>786.24615748179997</v>
      </c>
      <c r="AI317" s="411">
        <v>0.24856108215677469</v>
      </c>
      <c r="AJ317" s="411">
        <v>1.4398852939577276</v>
      </c>
      <c r="AK317" s="411">
        <v>1.7326230183406002</v>
      </c>
      <c r="AL317" s="411">
        <v>0.28811756786771947</v>
      </c>
      <c r="AM317" s="411">
        <v>1.2208387048730225</v>
      </c>
      <c r="AN317" s="411">
        <v>574.34947950918138</v>
      </c>
    </row>
    <row r="318" spans="1:43" s="411" customFormat="1">
      <c r="A318" s="411" t="s">
        <v>1082</v>
      </c>
      <c r="B318" s="411" t="s">
        <v>1074</v>
      </c>
      <c r="C318" s="411">
        <v>2</v>
      </c>
      <c r="D318" s="411" t="s">
        <v>1078</v>
      </c>
      <c r="E318" s="411" t="s">
        <v>1079</v>
      </c>
      <c r="F318" s="411">
        <v>5</v>
      </c>
      <c r="G318" s="411" t="str">
        <f>CONCATENATE(A318," ",B318," ",C318," ","inf+"," ",FanUpsizes!D318," ",FanUpsizes!F318)</f>
        <v>5ACH Infiltration 2 inf+ New 5</v>
      </c>
      <c r="H318" s="411">
        <v>2.1480387680317948E-2</v>
      </c>
      <c r="I318" s="411">
        <v>0.30330823523906142</v>
      </c>
      <c r="J318" s="411">
        <v>1.1535242561231425</v>
      </c>
      <c r="K318" s="411">
        <v>0</v>
      </c>
      <c r="L318" s="411">
        <v>0.30330823523906142</v>
      </c>
      <c r="M318" s="411">
        <v>1.1535242561231425</v>
      </c>
      <c r="N318" s="411">
        <v>1</v>
      </c>
      <c r="O318" s="411">
        <v>0.30330823523906142</v>
      </c>
      <c r="P318" s="411">
        <v>1.1535242561231425</v>
      </c>
      <c r="Q318" s="411">
        <v>0</v>
      </c>
      <c r="R318" s="411">
        <v>427.64169910616783</v>
      </c>
      <c r="S318" s="411">
        <v>0.29529963700826345</v>
      </c>
      <c r="T318" s="411">
        <v>1.1837219105840942</v>
      </c>
      <c r="U318" s="411">
        <v>1.0836732456290568</v>
      </c>
      <c r="V318" s="411">
        <v>0.30175740711633231</v>
      </c>
      <c r="W318" s="411">
        <v>1.1535248322560032</v>
      </c>
      <c r="X318" s="411">
        <v>344.96112249121632</v>
      </c>
      <c r="Y318" s="411">
        <v>0.2818200990398626</v>
      </c>
      <c r="Z318" s="411">
        <v>1.2208373762355553</v>
      </c>
      <c r="AA318" s="411">
        <v>0</v>
      </c>
      <c r="AB318" s="411">
        <v>0.2818200990398626</v>
      </c>
      <c r="AC318" s="411">
        <v>1.2208373762355553</v>
      </c>
      <c r="AD318" s="411">
        <v>1</v>
      </c>
      <c r="AE318" s="411">
        <v>0.2818200990398626</v>
      </c>
      <c r="AF318" s="411">
        <v>1.2208373762355553</v>
      </c>
      <c r="AG318" s="411">
        <v>0</v>
      </c>
      <c r="AH318" s="411">
        <v>379.59645862937617</v>
      </c>
      <c r="AI318" s="411">
        <v>0.27466336527039975</v>
      </c>
      <c r="AJ318" s="411">
        <v>1.2543555300596887</v>
      </c>
      <c r="AK318" s="411">
        <v>1.0706030832104469</v>
      </c>
      <c r="AL318" s="411">
        <v>0.28090361830253158</v>
      </c>
      <c r="AM318" s="411">
        <v>1.2208375168576546</v>
      </c>
      <c r="AN318" s="411">
        <v>311.47813810461292</v>
      </c>
    </row>
    <row r="319" spans="1:43" s="411" customFormat="1">
      <c r="A319" s="411" t="s">
        <v>1082</v>
      </c>
      <c r="B319" s="411" t="s">
        <v>1076</v>
      </c>
      <c r="C319" s="411">
        <v>2</v>
      </c>
      <c r="D319" s="411" t="s">
        <v>1078</v>
      </c>
      <c r="E319" s="411" t="s">
        <v>1079</v>
      </c>
      <c r="F319" s="411">
        <v>5</v>
      </c>
      <c r="G319" s="411" t="str">
        <f>CONCATENATE(A319," ",B319," ",C319," ","inf+"," ",FanUpsizes!D319," ",FanUpsizes!F319)</f>
        <v>5ACH 5C 2 inf+ New 5</v>
      </c>
      <c r="H319" s="411">
        <v>2.1480387680317948E-2</v>
      </c>
      <c r="I319" s="411">
        <v>0.30330823523906142</v>
      </c>
      <c r="J319" s="411">
        <v>1.1535242561231425</v>
      </c>
      <c r="K319" s="411">
        <v>425.05689800738458</v>
      </c>
      <c r="L319" s="411">
        <v>0.29646699200461846</v>
      </c>
      <c r="M319" s="411">
        <v>1.1792849077028271</v>
      </c>
      <c r="N319" s="411">
        <v>1.0711426950621772</v>
      </c>
      <c r="O319" s="411">
        <v>0.3020359258811674</v>
      </c>
      <c r="P319" s="411">
        <v>1.1535316311542019</v>
      </c>
      <c r="Q319" s="411">
        <v>354.57432433941017</v>
      </c>
      <c r="R319" s="411">
        <v>640.17014810985029</v>
      </c>
      <c r="S319" s="411">
        <v>0.29187901539104244</v>
      </c>
      <c r="T319" s="411">
        <v>1.1986462367422426</v>
      </c>
      <c r="U319" s="411">
        <v>1.1302745380745149</v>
      </c>
      <c r="V319" s="411">
        <v>0.30152607850778507</v>
      </c>
      <c r="W319" s="411">
        <v>1.1535242576527132</v>
      </c>
      <c r="X319" s="411">
        <v>539.12818538916065</v>
      </c>
      <c r="Y319" s="411">
        <v>0.2818200990398626</v>
      </c>
      <c r="Z319" s="411">
        <v>1.2208373762355553</v>
      </c>
      <c r="AA319" s="411">
        <v>245.53309845562111</v>
      </c>
      <c r="AB319" s="411">
        <v>0.27789828362846331</v>
      </c>
      <c r="AC319" s="411">
        <v>1.2379749061006136</v>
      </c>
      <c r="AD319" s="411">
        <v>1.0345820111179438</v>
      </c>
      <c r="AE319" s="411">
        <v>0.28111747022758743</v>
      </c>
      <c r="AF319" s="411">
        <v>1.2208373766365279</v>
      </c>
      <c r="AG319" s="411">
        <v>204.86885157119366</v>
      </c>
      <c r="AH319" s="411">
        <v>446.74716765798581</v>
      </c>
      <c r="AI319" s="411">
        <v>0.27361645931915385</v>
      </c>
      <c r="AJ319" s="411">
        <v>1.2596628211986063</v>
      </c>
      <c r="AK319" s="411">
        <v>1.083634718606433</v>
      </c>
      <c r="AL319" s="411">
        <v>0.28085380876651933</v>
      </c>
      <c r="AM319" s="411">
        <v>1.2208379833611653</v>
      </c>
      <c r="AN319" s="411">
        <v>376.82460646444349</v>
      </c>
    </row>
    <row r="320" spans="1:43" s="411" customFormat="1">
      <c r="A320" s="411" t="s">
        <v>1082</v>
      </c>
      <c r="B320" s="411" t="s">
        <v>1075</v>
      </c>
      <c r="C320" s="411">
        <v>1</v>
      </c>
      <c r="D320" s="411" t="s">
        <v>1080</v>
      </c>
      <c r="E320" s="411" t="s">
        <v>1079</v>
      </c>
      <c r="F320" s="411">
        <v>5</v>
      </c>
      <c r="G320" s="411" t="str">
        <f>CONCATENATE(A320," ",B320," ",C320," ","inf+"," ",FanUpsizes!D320," ",FanUpsizes!F320)</f>
        <v>5ACH Percentile 1 inf+ Existing 5</v>
      </c>
      <c r="H320" s="411">
        <v>4.3005351106025699E-2</v>
      </c>
      <c r="I320" s="411">
        <v>0.35369179820665814</v>
      </c>
      <c r="J320" s="411">
        <v>1.2705180986828175</v>
      </c>
      <c r="K320" s="411">
        <v>1961.8351700981427</v>
      </c>
      <c r="L320" s="411">
        <v>0.31493999771068204</v>
      </c>
      <c r="M320" s="411">
        <v>1.5034677804179182</v>
      </c>
      <c r="N320" s="411">
        <v>1.3301803132076238</v>
      </c>
      <c r="O320" s="411">
        <v>0.38424477119250133</v>
      </c>
      <c r="P320" s="411">
        <v>1.2705186285441099</v>
      </c>
      <c r="Q320" s="411">
        <v>1457.7930202981131</v>
      </c>
      <c r="R320" s="411">
        <v>2454.7442387020133</v>
      </c>
      <c r="S320" s="411">
        <v>0.25944324923847234</v>
      </c>
      <c r="T320" s="411">
        <v>1.8656696063160665</v>
      </c>
      <c r="U320" s="411">
        <v>2.1195455654894508</v>
      </c>
      <c r="V320" s="411">
        <v>0.4203119549101807</v>
      </c>
      <c r="W320" s="411">
        <v>1.2705181560613585</v>
      </c>
      <c r="X320" s="411">
        <v>1595.3094136658356</v>
      </c>
      <c r="Y320" s="411">
        <v>0.36641489101697433</v>
      </c>
      <c r="Z320" s="411">
        <v>1.2152739815041682</v>
      </c>
      <c r="AA320" s="411">
        <v>2196.5637425151613</v>
      </c>
      <c r="AB320" s="411">
        <v>0.32289521675027533</v>
      </c>
      <c r="AC320" s="411">
        <v>1.4617590618628582</v>
      </c>
      <c r="AD320" s="411">
        <v>1.374102532140832</v>
      </c>
      <c r="AE320" s="411">
        <v>0.40570029188394402</v>
      </c>
      <c r="AF320" s="411">
        <v>1.2152741646908238</v>
      </c>
      <c r="AG320" s="411">
        <v>1604.8663783616787</v>
      </c>
      <c r="AH320" s="411">
        <v>2796.27117608976</v>
      </c>
      <c r="AI320" s="411">
        <v>0.2610120442589115</v>
      </c>
      <c r="AJ320" s="411">
        <v>1.8473638417214517</v>
      </c>
      <c r="AK320" s="411">
        <v>2.2004761411545974</v>
      </c>
      <c r="AL320" s="411">
        <v>0.44478027145559984</v>
      </c>
      <c r="AM320" s="411">
        <v>1.2152745816595611</v>
      </c>
      <c r="AN320" s="411">
        <v>1746.2700094141396</v>
      </c>
    </row>
    <row r="321" spans="1:43" s="411" customFormat="1">
      <c r="A321" s="411" t="s">
        <v>1082</v>
      </c>
      <c r="B321" s="411" t="s">
        <v>1074</v>
      </c>
      <c r="C321" s="411">
        <v>1</v>
      </c>
      <c r="D321" s="411" t="s">
        <v>1080</v>
      </c>
      <c r="E321" s="411" t="s">
        <v>1079</v>
      </c>
      <c r="F321" s="411">
        <v>5</v>
      </c>
      <c r="G321" s="411" t="str">
        <f>CONCATENATE(A321," ",B321," ",C321," ","inf+"," ",FanUpsizes!D321," ",FanUpsizes!F321)</f>
        <v>5ACH Infiltration 1 inf+ Existing 5</v>
      </c>
      <c r="H321" s="411">
        <v>4.3005351106025699E-2</v>
      </c>
      <c r="I321" s="411">
        <v>0.35369179820665814</v>
      </c>
      <c r="J321" s="411">
        <v>1.2705180986828175</v>
      </c>
      <c r="K321" s="411">
        <v>0</v>
      </c>
      <c r="L321" s="411">
        <v>0.35369179820665814</v>
      </c>
      <c r="M321" s="411">
        <v>1.2705180986828175</v>
      </c>
      <c r="N321" s="411">
        <v>1</v>
      </c>
      <c r="O321" s="411">
        <v>0.35369179820665814</v>
      </c>
      <c r="P321" s="411">
        <v>1.2705180986828175</v>
      </c>
      <c r="Q321" s="411">
        <v>0</v>
      </c>
      <c r="R321" s="411">
        <v>0.72247476683675094</v>
      </c>
      <c r="S321" s="411">
        <v>0.35368273955367946</v>
      </c>
      <c r="T321" s="411">
        <v>1.2705511345074161</v>
      </c>
      <c r="U321" s="411">
        <v>1.0000342470490577</v>
      </c>
      <c r="V321" s="411">
        <v>0.35369128551825713</v>
      </c>
      <c r="W321" s="411">
        <v>1.2705181790307079</v>
      </c>
      <c r="X321" s="411">
        <v>0.58905025081852991</v>
      </c>
      <c r="Y321" s="411">
        <v>0.36641489101697433</v>
      </c>
      <c r="Z321" s="411">
        <v>1.2152739815041682</v>
      </c>
      <c r="AA321" s="411">
        <v>0</v>
      </c>
      <c r="AB321" s="411">
        <v>0.36641489101697433</v>
      </c>
      <c r="AC321" s="411">
        <v>1.2152739815041682</v>
      </c>
      <c r="AD321" s="411">
        <v>1</v>
      </c>
      <c r="AE321" s="411">
        <v>0.36641489101697433</v>
      </c>
      <c r="AF321" s="411">
        <v>1.2152739815041682</v>
      </c>
      <c r="AG321" s="411">
        <v>0</v>
      </c>
      <c r="AH321" s="411">
        <v>1.0360544868920489</v>
      </c>
      <c r="AI321" s="411">
        <v>0.36640184888338578</v>
      </c>
      <c r="AJ321" s="411">
        <v>1.2153177144832787</v>
      </c>
      <c r="AK321" s="411">
        <v>1.0000354811405325</v>
      </c>
      <c r="AL321" s="411">
        <v>0.36641178514434747</v>
      </c>
      <c r="AM321" s="411">
        <v>1.2152834886198889</v>
      </c>
      <c r="AN321" s="411">
        <v>0.86619414690742225</v>
      </c>
    </row>
    <row r="322" spans="1:43" s="411" customFormat="1">
      <c r="A322" s="411" t="s">
        <v>1082</v>
      </c>
      <c r="B322" s="411" t="s">
        <v>1076</v>
      </c>
      <c r="C322" s="411">
        <v>1</v>
      </c>
      <c r="D322" s="411" t="s">
        <v>1080</v>
      </c>
      <c r="E322" s="411" t="s">
        <v>1079</v>
      </c>
      <c r="F322" s="411">
        <v>5</v>
      </c>
      <c r="G322" s="411" t="str">
        <f>CONCATENATE(A322," ",B322," ",C322," ","inf+"," ",FanUpsizes!D322," ",FanUpsizes!F322)</f>
        <v>5ACH 5C 1 inf+ Existing 5</v>
      </c>
      <c r="H322" s="411">
        <v>4.3005351106025699E-2</v>
      </c>
      <c r="I322" s="411">
        <v>0.35369179820665814</v>
      </c>
      <c r="J322" s="411">
        <v>1.2705180986828175</v>
      </c>
      <c r="K322" s="411">
        <v>851.03032649232944</v>
      </c>
      <c r="L322" s="411">
        <v>0.33999448882376421</v>
      </c>
      <c r="M322" s="411">
        <v>1.3411545657403972</v>
      </c>
      <c r="N322" s="411">
        <v>1.0775925691102524</v>
      </c>
      <c r="O322" s="411">
        <v>0.35862166969266956</v>
      </c>
      <c r="P322" s="411">
        <v>1.2705181739809419</v>
      </c>
      <c r="Q322" s="411">
        <v>607.38671629080352</v>
      </c>
      <c r="R322" s="411">
        <v>851.03032649232944</v>
      </c>
      <c r="S322" s="411">
        <v>0.33999448882376421</v>
      </c>
      <c r="T322" s="411">
        <v>1.3411545657403972</v>
      </c>
      <c r="U322" s="411">
        <v>1.0775925691102524</v>
      </c>
      <c r="V322" s="411">
        <v>0.35862166969266956</v>
      </c>
      <c r="W322" s="411">
        <v>1.2705181739809419</v>
      </c>
      <c r="X322" s="411">
        <v>607.38671629080352</v>
      </c>
      <c r="Y322" s="411">
        <v>0.36641489101697433</v>
      </c>
      <c r="Z322" s="411">
        <v>1.2152739815041682</v>
      </c>
      <c r="AA322" s="411">
        <v>943.95351775351378</v>
      </c>
      <c r="AB322" s="411">
        <v>0.35115206344721678</v>
      </c>
      <c r="AC322" s="411">
        <v>1.2882872316819127</v>
      </c>
      <c r="AD322" s="411">
        <v>1.083379361344865</v>
      </c>
      <c r="AE322" s="411">
        <v>0.37272585710719547</v>
      </c>
      <c r="AF322" s="411">
        <v>1.2152739994532866</v>
      </c>
      <c r="AG322" s="411">
        <v>661.60696722132093</v>
      </c>
      <c r="AH322" s="411">
        <v>943.95351775351378</v>
      </c>
      <c r="AI322" s="411">
        <v>0.35115206344721678</v>
      </c>
      <c r="AJ322" s="411">
        <v>1.2882872316819127</v>
      </c>
      <c r="AK322" s="411">
        <v>1.083379361344865</v>
      </c>
      <c r="AL322" s="411">
        <v>0.37272585710719547</v>
      </c>
      <c r="AM322" s="411">
        <v>1.2152739994532866</v>
      </c>
      <c r="AN322" s="411">
        <v>661.60696722132093</v>
      </c>
    </row>
    <row r="323" spans="1:43" s="411" customFormat="1">
      <c r="A323" s="411" t="s">
        <v>1082</v>
      </c>
      <c r="B323" s="411" t="s">
        <v>1075</v>
      </c>
      <c r="C323" s="411">
        <v>2</v>
      </c>
      <c r="D323" s="411" t="s">
        <v>1080</v>
      </c>
      <c r="E323" s="411" t="s">
        <v>1079</v>
      </c>
      <c r="F323" s="411">
        <v>5</v>
      </c>
      <c r="G323" s="411" t="str">
        <f>CONCATENATE(A323," ",B323," ",C323," ","inf+"," ",FanUpsizes!D323," ",FanUpsizes!F323)</f>
        <v>5ACH Percentile 2 inf+ Existing 5</v>
      </c>
      <c r="H323" s="411">
        <v>3.7730387680317945E-2</v>
      </c>
      <c r="I323" s="411">
        <v>0.37220093414701044</v>
      </c>
      <c r="J323" s="411">
        <v>1.2468444162133454</v>
      </c>
      <c r="K323" s="411">
        <v>1672.5659726621964</v>
      </c>
      <c r="L323" s="411">
        <v>0.3394094089925796</v>
      </c>
      <c r="M323" s="411">
        <v>1.3997555561661756</v>
      </c>
      <c r="N323" s="411">
        <v>1.2782756983475556</v>
      </c>
      <c r="O323" s="411">
        <v>0.38146667332229167</v>
      </c>
      <c r="P323" s="411">
        <v>1.2468459481240266</v>
      </c>
      <c r="Q323" s="411">
        <v>1384.6448960059402</v>
      </c>
      <c r="R323" s="411">
        <v>2017.8642244798857</v>
      </c>
      <c r="S323" s="411">
        <v>0.29914191883271185</v>
      </c>
      <c r="T323" s="411">
        <v>1.6381543873509243</v>
      </c>
      <c r="U323" s="411">
        <v>1.9982048392309129</v>
      </c>
      <c r="V323" s="411">
        <v>0.40222526063272734</v>
      </c>
      <c r="W323" s="411">
        <v>1.2468444231901759</v>
      </c>
      <c r="X323" s="411">
        <v>1482.8787092039959</v>
      </c>
      <c r="Y323" s="411">
        <v>0.36834056562304002</v>
      </c>
      <c r="Z323" s="411">
        <v>1.2355370159427619</v>
      </c>
      <c r="AA323" s="411">
        <v>1545.2267329168531</v>
      </c>
      <c r="AB323" s="411">
        <v>0.33778746027209533</v>
      </c>
      <c r="AC323" s="411">
        <v>1.3824291845396199</v>
      </c>
      <c r="AD323" s="411">
        <v>1.2423272932203941</v>
      </c>
      <c r="AE323" s="411">
        <v>0.3805271041920279</v>
      </c>
      <c r="AF323" s="411">
        <v>1.235537278568251</v>
      </c>
      <c r="AG323" s="411">
        <v>1239.7401105239426</v>
      </c>
      <c r="AH323" s="411">
        <v>2002.1437750907721</v>
      </c>
      <c r="AI323" s="411">
        <v>0.28956665567823681</v>
      </c>
      <c r="AJ323" s="411">
        <v>1.6705552271088577</v>
      </c>
      <c r="AK323" s="411">
        <v>1.950467625480178</v>
      </c>
      <c r="AL323" s="411">
        <v>0.40424269067984708</v>
      </c>
      <c r="AM323" s="411">
        <v>1.235539756334709</v>
      </c>
      <c r="AN323" s="411">
        <v>1363.5059443483631</v>
      </c>
    </row>
    <row r="324" spans="1:43" s="411" customFormat="1">
      <c r="A324" s="411" t="s">
        <v>1082</v>
      </c>
      <c r="B324" s="411" t="s">
        <v>1074</v>
      </c>
      <c r="C324" s="411">
        <v>2</v>
      </c>
      <c r="D324" s="411" t="s">
        <v>1080</v>
      </c>
      <c r="E324" s="411" t="s">
        <v>1079</v>
      </c>
      <c r="F324" s="411">
        <v>5</v>
      </c>
      <c r="G324" s="411" t="str">
        <f>CONCATENATE(A324," ",B324," ",C324," ","inf+"," ",FanUpsizes!D324," ",FanUpsizes!F324)</f>
        <v>5ACH Infiltration 2 inf+ Existing 5</v>
      </c>
      <c r="H324" s="411">
        <v>3.7730387680317945E-2</v>
      </c>
      <c r="I324" s="411">
        <v>0.37220093414701044</v>
      </c>
      <c r="J324" s="411">
        <v>1.2468444162133454</v>
      </c>
      <c r="K324" s="411">
        <v>0</v>
      </c>
      <c r="L324" s="411">
        <v>0.37220093414701044</v>
      </c>
      <c r="M324" s="411">
        <v>1.2468444162133454</v>
      </c>
      <c r="N324" s="411">
        <v>1</v>
      </c>
      <c r="O324" s="411">
        <v>0.37220093414701044</v>
      </c>
      <c r="P324" s="411">
        <v>1.2468444162133454</v>
      </c>
      <c r="Q324" s="411">
        <v>0</v>
      </c>
      <c r="R324" s="411">
        <v>210.34251209390098</v>
      </c>
      <c r="S324" s="411">
        <v>0.36902986809354038</v>
      </c>
      <c r="T324" s="411">
        <v>1.2572271030108535</v>
      </c>
      <c r="U324" s="411">
        <v>1.0155968049264441</v>
      </c>
      <c r="V324" s="411">
        <v>0.37170143959936452</v>
      </c>
      <c r="W324" s="411">
        <v>1.2468491284567593</v>
      </c>
      <c r="X324" s="411">
        <v>173.11609281855121</v>
      </c>
      <c r="Y324" s="411">
        <v>0.36834056562304002</v>
      </c>
      <c r="Z324" s="411">
        <v>1.2355370159427619</v>
      </c>
      <c r="AA324" s="411">
        <v>0</v>
      </c>
      <c r="AB324" s="411">
        <v>0.36834056562304002</v>
      </c>
      <c r="AC324" s="411">
        <v>1.2355370159427619</v>
      </c>
      <c r="AD324" s="411">
        <v>1</v>
      </c>
      <c r="AE324" s="411">
        <v>0.36834056562304002</v>
      </c>
      <c r="AF324" s="411">
        <v>1.2355370159427619</v>
      </c>
      <c r="AG324" s="411">
        <v>0</v>
      </c>
      <c r="AH324" s="411">
        <v>255.39680152506023</v>
      </c>
      <c r="AI324" s="411">
        <v>0.36447414307559844</v>
      </c>
      <c r="AJ324" s="411">
        <v>1.2496691193984306</v>
      </c>
      <c r="AK324" s="411">
        <v>1.0177621152986722</v>
      </c>
      <c r="AL324" s="411">
        <v>0.36829511336815707</v>
      </c>
      <c r="AM324" s="411">
        <v>1.2355411629109381</v>
      </c>
      <c r="AN324" s="411">
        <v>196.33169717008647</v>
      </c>
    </row>
    <row r="325" spans="1:43" s="411" customFormat="1">
      <c r="A325" s="411" t="s">
        <v>1082</v>
      </c>
      <c r="B325" s="411" t="s">
        <v>1076</v>
      </c>
      <c r="C325" s="411">
        <v>2</v>
      </c>
      <c r="D325" s="411" t="s">
        <v>1080</v>
      </c>
      <c r="E325" s="411" t="s">
        <v>1079</v>
      </c>
      <c r="F325" s="411">
        <v>5</v>
      </c>
      <c r="G325" s="411" t="str">
        <f>CONCATENATE(A325," ",B325," ",C325," ","inf+"," ",FanUpsizes!D325," ",FanUpsizes!F325)</f>
        <v>5ACH 5C 2 inf+ Existing 5</v>
      </c>
      <c r="H325" s="411">
        <v>3.7730387680317945E-2</v>
      </c>
      <c r="I325" s="411">
        <v>0.37220093414701044</v>
      </c>
      <c r="J325" s="411">
        <v>1.2468444162133454</v>
      </c>
      <c r="K325" s="411">
        <v>746.6141573742342</v>
      </c>
      <c r="L325" s="411">
        <v>0.3601842627864919</v>
      </c>
      <c r="M325" s="411">
        <v>1.2949727300597309</v>
      </c>
      <c r="N325" s="411">
        <v>1.0759134176439933</v>
      </c>
      <c r="O325" s="411">
        <v>0.37269175509065866</v>
      </c>
      <c r="P325" s="411">
        <v>1.2468446617106903</v>
      </c>
      <c r="Q325" s="411">
        <v>604.18501141924389</v>
      </c>
      <c r="R325" s="411">
        <v>746.6141573742342</v>
      </c>
      <c r="S325" s="411">
        <v>0.3601842627864919</v>
      </c>
      <c r="T325" s="411">
        <v>1.2949727300597309</v>
      </c>
      <c r="U325" s="411">
        <v>1.0759134176439933</v>
      </c>
      <c r="V325" s="411">
        <v>0.37269175509065866</v>
      </c>
      <c r="W325" s="411">
        <v>1.2468446617106903</v>
      </c>
      <c r="X325" s="411">
        <v>604.18501141924389</v>
      </c>
      <c r="Y325" s="411">
        <v>0.36834056562304002</v>
      </c>
      <c r="Z325" s="411">
        <v>1.2355370159427619</v>
      </c>
      <c r="AA325" s="411">
        <v>655.82967820476529</v>
      </c>
      <c r="AB325" s="411">
        <v>0.35777010026128753</v>
      </c>
      <c r="AC325" s="411">
        <v>1.2793834236429642</v>
      </c>
      <c r="AD325" s="411">
        <v>1.0583944845121163</v>
      </c>
      <c r="AE325" s="411">
        <v>0.36973199692535386</v>
      </c>
      <c r="AF325" s="411">
        <v>1.2355370240566625</v>
      </c>
      <c r="AG325" s="411">
        <v>500.43956510720136</v>
      </c>
      <c r="AH325" s="411">
        <v>655.82967820476529</v>
      </c>
      <c r="AI325" s="411">
        <v>0.35777010026128753</v>
      </c>
      <c r="AJ325" s="411">
        <v>1.2793834236429642</v>
      </c>
      <c r="AK325" s="411">
        <v>1.0583944845121163</v>
      </c>
      <c r="AL325" s="411">
        <v>0.36973199692535386</v>
      </c>
      <c r="AM325" s="411">
        <v>1.2355370240566625</v>
      </c>
      <c r="AN325" s="411">
        <v>500.43956510720136</v>
      </c>
    </row>
    <row r="326" spans="1:43" s="411" customFormat="1">
      <c r="A326" s="411" t="s">
        <v>1083</v>
      </c>
      <c r="B326" s="411" t="s">
        <v>1075</v>
      </c>
      <c r="C326" s="411">
        <v>1</v>
      </c>
      <c r="D326" s="411" t="s">
        <v>1078</v>
      </c>
      <c r="E326" s="411" t="s">
        <v>1079</v>
      </c>
      <c r="F326" s="411">
        <v>5</v>
      </c>
      <c r="G326" s="411" t="str">
        <f>CONCATENATE(A326," ",B326," ",C326," ","inf+"," ",FanUpsizes!D326," ",FanUpsizes!F326)</f>
        <v>3ACH Percentile 1 inf+ New 5</v>
      </c>
      <c r="H326" s="411">
        <v>3.335921066361542E-2</v>
      </c>
      <c r="I326" s="411">
        <v>0.25937916134424061</v>
      </c>
      <c r="J326" s="411">
        <v>1.2437887312189042</v>
      </c>
      <c r="K326" s="411">
        <v>1692.4547817089135</v>
      </c>
      <c r="L326" s="411">
        <v>0.22567635169047537</v>
      </c>
      <c r="M326" s="411">
        <v>1.5397649424066489</v>
      </c>
      <c r="N326" s="411">
        <v>1.3964104228717926</v>
      </c>
      <c r="O326" s="411">
        <v>0.29476251199511155</v>
      </c>
      <c r="P326" s="411">
        <v>1.243797380984706</v>
      </c>
      <c r="Q326" s="411">
        <v>1191.7476080033007</v>
      </c>
      <c r="R326" s="411">
        <v>2142.4950699731135</v>
      </c>
      <c r="S326" s="411">
        <v>0.17821151562220003</v>
      </c>
      <c r="T326" s="411">
        <v>1.9805995724379775</v>
      </c>
      <c r="U326" s="411">
        <v>2.255484355760895</v>
      </c>
      <c r="V326" s="411">
        <v>0.32938707201463335</v>
      </c>
      <c r="W326" s="411">
        <v>1.2437896654215275</v>
      </c>
      <c r="X326" s="411">
        <v>1292.3761029606119</v>
      </c>
      <c r="Y326" s="411">
        <v>0.27020916438779491</v>
      </c>
      <c r="Z326" s="411">
        <v>1.1895706053068344</v>
      </c>
      <c r="AA326" s="411">
        <v>1905.5941820632718</v>
      </c>
      <c r="AB326" s="411">
        <v>0.23244619200699754</v>
      </c>
      <c r="AC326" s="411">
        <v>1.4987545503860282</v>
      </c>
      <c r="AD326" s="411">
        <v>1.4534865921959848</v>
      </c>
      <c r="AE326" s="411">
        <v>0.31300195002592585</v>
      </c>
      <c r="AF326" s="411">
        <v>1.1895711864000695</v>
      </c>
      <c r="AG326" s="411">
        <v>1330.1122397035417</v>
      </c>
      <c r="AH326" s="411">
        <v>2398.8919102845339</v>
      </c>
      <c r="AI326" s="411">
        <v>0.18207469098377088</v>
      </c>
      <c r="AJ326" s="411">
        <v>1.9405506806621799</v>
      </c>
      <c r="AK326" s="411">
        <v>2.3581465940463344</v>
      </c>
      <c r="AL326" s="411">
        <v>0.34963510695556438</v>
      </c>
      <c r="AM326" s="411">
        <v>1.1895714101964017</v>
      </c>
      <c r="AN326" s="411">
        <v>1430.0012616845622</v>
      </c>
    </row>
    <row r="327" spans="1:43" s="411" customFormat="1">
      <c r="A327" s="411" t="s">
        <v>1083</v>
      </c>
      <c r="B327" s="411" t="s">
        <v>1074</v>
      </c>
      <c r="C327" s="411">
        <v>1</v>
      </c>
      <c r="D327" s="411" t="s">
        <v>1078</v>
      </c>
      <c r="E327" s="411" t="s">
        <v>1079</v>
      </c>
      <c r="F327" s="411">
        <v>5</v>
      </c>
      <c r="G327" s="411" t="str">
        <f>CONCATENATE(A327," ",B327," ",C327," ","inf+"," ",FanUpsizes!D327," ",FanUpsizes!F327)</f>
        <v>3ACH Infiltration 1 inf+ New 5</v>
      </c>
      <c r="H327" s="411">
        <v>3.335921066361542E-2</v>
      </c>
      <c r="I327" s="411">
        <v>0.25937916134424061</v>
      </c>
      <c r="J327" s="411">
        <v>1.2437887312189042</v>
      </c>
      <c r="K327" s="411">
        <v>0</v>
      </c>
      <c r="L327" s="411">
        <v>0.25937916134424061</v>
      </c>
      <c r="M327" s="411">
        <v>1.2437887312189042</v>
      </c>
      <c r="N327" s="411">
        <v>1</v>
      </c>
      <c r="O327" s="411">
        <v>0.25937916134424061</v>
      </c>
      <c r="P327" s="411">
        <v>1.2437887312189042</v>
      </c>
      <c r="Q327" s="411">
        <v>0</v>
      </c>
      <c r="R327" s="411">
        <v>0</v>
      </c>
      <c r="S327" s="411">
        <v>0.25937916134424061</v>
      </c>
      <c r="T327" s="411">
        <v>1.2437887312189042</v>
      </c>
      <c r="U327" s="411">
        <v>1</v>
      </c>
      <c r="V327" s="411">
        <v>0.25937916134424061</v>
      </c>
      <c r="W327" s="411">
        <v>1.2437887312189042</v>
      </c>
      <c r="X327" s="411">
        <v>0</v>
      </c>
      <c r="Y327" s="411">
        <v>0.27020916438779491</v>
      </c>
      <c r="Z327" s="411">
        <v>1.1895706053068344</v>
      </c>
      <c r="AA327" s="411">
        <v>0</v>
      </c>
      <c r="AB327" s="411">
        <v>0.27020916438779491</v>
      </c>
      <c r="AC327" s="411">
        <v>1.1895706053068344</v>
      </c>
      <c r="AD327" s="411">
        <v>1</v>
      </c>
      <c r="AE327" s="411">
        <v>0.27020916438779491</v>
      </c>
      <c r="AF327" s="411">
        <v>1.1895706053068344</v>
      </c>
      <c r="AG327" s="411">
        <v>0</v>
      </c>
      <c r="AH327" s="411">
        <v>0</v>
      </c>
      <c r="AI327" s="411">
        <v>0.27020916438779491</v>
      </c>
      <c r="AJ327" s="411">
        <v>1.1895706053068344</v>
      </c>
      <c r="AK327" s="411">
        <v>1</v>
      </c>
      <c r="AL327" s="411">
        <v>0.27020916438779491</v>
      </c>
      <c r="AM327" s="411">
        <v>1.1895706053068344</v>
      </c>
      <c r="AN327" s="411">
        <v>0</v>
      </c>
    </row>
    <row r="328" spans="1:43" s="411" customFormat="1">
      <c r="A328" s="411" t="s">
        <v>1083</v>
      </c>
      <c r="B328" s="411" t="s">
        <v>1076</v>
      </c>
      <c r="C328" s="411">
        <v>1</v>
      </c>
      <c r="D328" s="411" t="s">
        <v>1078</v>
      </c>
      <c r="E328" s="411" t="s">
        <v>1079</v>
      </c>
      <c r="F328" s="411">
        <v>5</v>
      </c>
      <c r="G328" s="411" t="str">
        <f>CONCATENATE(A328," ",B328," ",C328," ","inf+"," ",FanUpsizes!D328," ",FanUpsizes!F328)</f>
        <v>3ACH 5C 1 inf+ New 5</v>
      </c>
      <c r="H328" s="411">
        <v>3.335921066361542E-2</v>
      </c>
      <c r="I328" s="411">
        <v>0.25937916134424061</v>
      </c>
      <c r="J328" s="411">
        <v>1.2437887312189042</v>
      </c>
      <c r="K328" s="411">
        <v>709.6316754636955</v>
      </c>
      <c r="L328" s="411">
        <v>0.24789745169322</v>
      </c>
      <c r="M328" s="411">
        <v>1.3283855848231434</v>
      </c>
      <c r="N328" s="411">
        <v>1.0848211286316911</v>
      </c>
      <c r="O328" s="411">
        <v>0.26515988752220931</v>
      </c>
      <c r="P328" s="411">
        <v>1.2437887313554559</v>
      </c>
      <c r="Q328" s="411">
        <v>478.27243114716686</v>
      </c>
      <c r="R328" s="411">
        <v>709.6316754636955</v>
      </c>
      <c r="S328" s="411">
        <v>0.24789745169322</v>
      </c>
      <c r="T328" s="411">
        <v>1.3283855848231434</v>
      </c>
      <c r="U328" s="411">
        <v>1.0848211286316911</v>
      </c>
      <c r="V328" s="411">
        <v>0.26515988752220931</v>
      </c>
      <c r="W328" s="411">
        <v>1.2437887313554559</v>
      </c>
      <c r="X328" s="411">
        <v>478.27243114716686</v>
      </c>
      <c r="Y328" s="411">
        <v>0.27020916438779491</v>
      </c>
      <c r="Z328" s="411">
        <v>1.1895706053068344</v>
      </c>
      <c r="AA328" s="411">
        <v>825.88901451006825</v>
      </c>
      <c r="AB328" s="411">
        <v>0.25683965963464178</v>
      </c>
      <c r="AC328" s="411">
        <v>1.2792578223355446</v>
      </c>
      <c r="AD328" s="411">
        <v>1.0970632219872385</v>
      </c>
      <c r="AE328" s="411">
        <v>0.27709656103477398</v>
      </c>
      <c r="AF328" s="411">
        <v>1.1895720100279288</v>
      </c>
      <c r="AG328" s="411">
        <v>559.94598676151793</v>
      </c>
      <c r="AH328" s="411">
        <v>825.88901451006825</v>
      </c>
      <c r="AI328" s="411">
        <v>0.25683965963464178</v>
      </c>
      <c r="AJ328" s="411">
        <v>1.2792578223355446</v>
      </c>
      <c r="AK328" s="411">
        <v>1.0970632219872385</v>
      </c>
      <c r="AL328" s="411">
        <v>0.27709656103477398</v>
      </c>
      <c r="AM328" s="411">
        <v>1.1895720100279288</v>
      </c>
      <c r="AN328" s="411">
        <v>559.94598676151793</v>
      </c>
    </row>
    <row r="329" spans="1:43" s="411" customFormat="1">
      <c r="A329" s="411" t="s">
        <v>1083</v>
      </c>
      <c r="B329" s="411" t="s">
        <v>1075</v>
      </c>
      <c r="C329" s="411">
        <v>2</v>
      </c>
      <c r="D329" s="411" t="s">
        <v>1078</v>
      </c>
      <c r="E329" s="411" t="s">
        <v>1079</v>
      </c>
      <c r="F329" s="411">
        <v>5</v>
      </c>
      <c r="G329" s="411" t="str">
        <f>CONCATENATE(A329," ",B329," ",C329," ","inf+"," ",FanUpsizes!D329," ",FanUpsizes!F329)</f>
        <v>3ACH Percentile 2 inf+ New 5</v>
      </c>
      <c r="H329" s="411">
        <v>3.019423260819077E-2</v>
      </c>
      <c r="I329" s="411">
        <v>0.26086895032325019</v>
      </c>
      <c r="J329" s="411">
        <v>1.2623376645829782</v>
      </c>
      <c r="K329" s="411">
        <v>1351.5077445910463</v>
      </c>
      <c r="L329" s="411">
        <v>0.23428967975885703</v>
      </c>
      <c r="M329" s="411">
        <v>1.4610113075858759</v>
      </c>
      <c r="N329" s="411">
        <v>1.2940969877336619</v>
      </c>
      <c r="O329" s="411">
        <v>0.27529186522235743</v>
      </c>
      <c r="P329" s="411">
        <v>1.2623384553059718</v>
      </c>
      <c r="Q329" s="411">
        <v>1055.1617900139865</v>
      </c>
      <c r="R329" s="411">
        <v>1670.4241099878279</v>
      </c>
      <c r="S329" s="411">
        <v>0.19765057136378175</v>
      </c>
      <c r="T329" s="411">
        <v>1.7712730980795113</v>
      </c>
      <c r="U329" s="411">
        <v>2.0416556637471963</v>
      </c>
      <c r="V329" s="411">
        <v>0.29659614532939893</v>
      </c>
      <c r="W329" s="411">
        <v>1.2623428413148017</v>
      </c>
      <c r="X329" s="411">
        <v>1152.3216677316909</v>
      </c>
      <c r="Y329" s="411">
        <v>0.2671584862881875</v>
      </c>
      <c r="Z329" s="411">
        <v>1.2176203431542931</v>
      </c>
      <c r="AA329" s="411">
        <v>1456.3381881090154</v>
      </c>
      <c r="AB329" s="411">
        <v>0.23832709959392362</v>
      </c>
      <c r="AC329" s="411">
        <v>1.4247960552510857</v>
      </c>
      <c r="AD329" s="411">
        <v>1.3138424646144402</v>
      </c>
      <c r="AE329" s="411">
        <v>0.28577350133028739</v>
      </c>
      <c r="AF329" s="411">
        <v>1.2176210256880153</v>
      </c>
      <c r="AG329" s="411">
        <v>1116.9144050424802</v>
      </c>
      <c r="AH329" s="411">
        <v>1861.2361133243355</v>
      </c>
      <c r="AI329" s="411">
        <v>0.19636922174540483</v>
      </c>
      <c r="AJ329" s="411">
        <v>1.7705477324083971</v>
      </c>
      <c r="AK329" s="411">
        <v>2.0838732792431576</v>
      </c>
      <c r="AL329" s="411">
        <v>0.30930784409135981</v>
      </c>
      <c r="AM329" s="411">
        <v>1.2176234668148223</v>
      </c>
      <c r="AN329" s="411">
        <v>1220.2410942792071</v>
      </c>
    </row>
    <row r="330" spans="1:43" s="411" customFormat="1">
      <c r="A330" s="411" t="s">
        <v>1083</v>
      </c>
      <c r="B330" s="411" t="s">
        <v>1074</v>
      </c>
      <c r="C330" s="411">
        <v>2</v>
      </c>
      <c r="D330" s="411" t="s">
        <v>1078</v>
      </c>
      <c r="E330" s="411" t="s">
        <v>1079</v>
      </c>
      <c r="F330" s="411">
        <v>5</v>
      </c>
      <c r="G330" s="411" t="str">
        <f>CONCATENATE(A330," ",B330," ",C330," ","inf+"," ",FanUpsizes!D330," ",FanUpsizes!F330)</f>
        <v>3ACH Infiltration 2 inf+ New 5</v>
      </c>
      <c r="H330" s="411">
        <v>3.019423260819077E-2</v>
      </c>
      <c r="I330" s="411">
        <v>0.26086895032325019</v>
      </c>
      <c r="J330" s="411">
        <v>1.2623376645829782</v>
      </c>
      <c r="K330" s="411">
        <v>0</v>
      </c>
      <c r="L330" s="411">
        <v>0.26086895032325019</v>
      </c>
      <c r="M330" s="411">
        <v>1.2623376645829782</v>
      </c>
      <c r="N330" s="411">
        <v>1</v>
      </c>
      <c r="O330" s="411">
        <v>0.26086895032325019</v>
      </c>
      <c r="P330" s="411">
        <v>1.2623376645829782</v>
      </c>
      <c r="Q330" s="411">
        <v>0</v>
      </c>
      <c r="R330" s="411">
        <v>11.969909385024017</v>
      </c>
      <c r="S330" s="411">
        <v>0.2607099473921497</v>
      </c>
      <c r="T330" s="411">
        <v>1.263113099317712</v>
      </c>
      <c r="U330" s="411">
        <v>1.0009035890860012</v>
      </c>
      <c r="V330" s="411">
        <v>0.26085662357463379</v>
      </c>
      <c r="W330" s="411">
        <v>1.2623380101134494</v>
      </c>
      <c r="X330" s="411">
        <v>9.7526874740584706</v>
      </c>
      <c r="Y330" s="411">
        <v>0.2671584862881875</v>
      </c>
      <c r="Z330" s="411">
        <v>1.2176203431542931</v>
      </c>
      <c r="AA330" s="411">
        <v>0</v>
      </c>
      <c r="AB330" s="411">
        <v>0.2671584862881875</v>
      </c>
      <c r="AC330" s="411">
        <v>1.2176203431542931</v>
      </c>
      <c r="AD330" s="411">
        <v>1</v>
      </c>
      <c r="AE330" s="411">
        <v>0.2671584862881875</v>
      </c>
      <c r="AF330" s="411">
        <v>1.2176203431542931</v>
      </c>
      <c r="AG330" s="411">
        <v>0</v>
      </c>
      <c r="AH330" s="411">
        <v>16.467431663445375</v>
      </c>
      <c r="AI330" s="411">
        <v>0.2669388259551409</v>
      </c>
      <c r="AJ330" s="411">
        <v>1.2186635538842723</v>
      </c>
      <c r="AK330" s="411">
        <v>1.0011416253145222</v>
      </c>
      <c r="AL330" s="411">
        <v>0.2671564775527866</v>
      </c>
      <c r="AM330" s="411">
        <v>1.2176208793926304</v>
      </c>
      <c r="AN330" s="411">
        <v>12.770829181429569</v>
      </c>
    </row>
    <row r="331" spans="1:43" s="411" customFormat="1">
      <c r="A331" s="411" t="s">
        <v>1083</v>
      </c>
      <c r="B331" s="411" t="s">
        <v>1076</v>
      </c>
      <c r="C331" s="411">
        <v>2</v>
      </c>
      <c r="D331" s="411" t="s">
        <v>1078</v>
      </c>
      <c r="E331" s="411" t="s">
        <v>1079</v>
      </c>
      <c r="F331" s="411">
        <v>5</v>
      </c>
      <c r="G331" s="411" t="str">
        <f>CONCATENATE(A331," ",B331," ",C331," ","inf+"," ",FanUpsizes!D331," ",FanUpsizes!F331)</f>
        <v>3ACH 5C 2 inf+ New 5</v>
      </c>
      <c r="H331" s="411">
        <v>3.019423260819077E-2</v>
      </c>
      <c r="I331" s="411">
        <v>0.26086895032325019</v>
      </c>
      <c r="J331" s="411">
        <v>1.2623376645829782</v>
      </c>
      <c r="K331" s="411">
        <v>597.48767299535587</v>
      </c>
      <c r="L331" s="411">
        <v>0.25125245305028387</v>
      </c>
      <c r="M331" s="411">
        <v>1.3246052691915873</v>
      </c>
      <c r="N331" s="411">
        <v>1.0759429201652315</v>
      </c>
      <c r="O331" s="411">
        <v>0.26312948927049945</v>
      </c>
      <c r="P331" s="411">
        <v>1.2623388156707747</v>
      </c>
      <c r="Q331" s="411">
        <v>449.84874497871158</v>
      </c>
      <c r="R331" s="411">
        <v>597.48767299535587</v>
      </c>
      <c r="S331" s="411">
        <v>0.25125245305028387</v>
      </c>
      <c r="T331" s="411">
        <v>1.3246052691915873</v>
      </c>
      <c r="U331" s="411">
        <v>1.0759429201652315</v>
      </c>
      <c r="V331" s="411">
        <v>0.26312948927049945</v>
      </c>
      <c r="W331" s="411">
        <v>1.2623388156707747</v>
      </c>
      <c r="X331" s="411">
        <v>449.84874497871158</v>
      </c>
      <c r="Y331" s="411">
        <v>0.2671584862881875</v>
      </c>
      <c r="Z331" s="411">
        <v>1.2176203431542931</v>
      </c>
      <c r="AA331" s="411">
        <v>624.85152736862233</v>
      </c>
      <c r="AB331" s="411">
        <v>0.25706276559068242</v>
      </c>
      <c r="AC331" s="411">
        <v>1.2795969380244436</v>
      </c>
      <c r="AD331" s="411">
        <v>1.073738202763393</v>
      </c>
      <c r="AE331" s="411">
        <v>0.27008193749646148</v>
      </c>
      <c r="AF331" s="411">
        <v>1.2176214175820945</v>
      </c>
      <c r="AG331" s="411">
        <v>454.45659060997184</v>
      </c>
      <c r="AH331" s="411">
        <v>624.85152736862233</v>
      </c>
      <c r="AI331" s="411">
        <v>0.25706276559068242</v>
      </c>
      <c r="AJ331" s="411">
        <v>1.2795969380244436</v>
      </c>
      <c r="AK331" s="411">
        <v>1.073738202763393</v>
      </c>
      <c r="AL331" s="411">
        <v>0.27008193749646148</v>
      </c>
      <c r="AM331" s="411">
        <v>1.2176214175820945</v>
      </c>
      <c r="AN331" s="411">
        <v>454.45659060997184</v>
      </c>
    </row>
    <row r="332" spans="1:43">
      <c r="A332" s="360" t="s">
        <v>1083</v>
      </c>
      <c r="B332" t="s">
        <v>1075</v>
      </c>
      <c r="C332">
        <v>1</v>
      </c>
      <c r="D332" t="s">
        <v>1080</v>
      </c>
      <c r="E332" t="s">
        <v>1079</v>
      </c>
      <c r="F332" s="360">
        <v>5</v>
      </c>
      <c r="G332" s="360" t="str">
        <f>CONCATENATE(A332," ",B332," ",C332," ","inf+"," ",FanUpsizes!D332," ",FanUpsizes!F332)</f>
        <v>3ACH Percentile 1 inf+ Existing 5</v>
      </c>
      <c r="H332" s="360">
        <v>4.960921066361542E-2</v>
      </c>
      <c r="I332" s="360">
        <v>0.37163567848956974</v>
      </c>
      <c r="J332" s="360">
        <v>1.1849732576337813</v>
      </c>
      <c r="K332" s="360">
        <v>3052.2920197209141</v>
      </c>
      <c r="L332" s="360">
        <v>0.3110536061150671</v>
      </c>
      <c r="M332" s="360">
        <v>1.6433515741035531</v>
      </c>
      <c r="N332" s="360">
        <v>1.7220486732941198</v>
      </c>
      <c r="O332" s="360">
        <v>0.50926926099492131</v>
      </c>
      <c r="P332" s="360">
        <v>1.1849732689140384</v>
      </c>
      <c r="Q332" s="360">
        <v>1635.622893670364</v>
      </c>
      <c r="R332" s="360">
        <v>3822.2005047161992</v>
      </c>
      <c r="S332" s="360">
        <v>0.23370963473363465</v>
      </c>
      <c r="T332" s="360">
        <v>2.1978716849655249</v>
      </c>
      <c r="U332" s="360">
        <v>2.8469849271266585</v>
      </c>
      <c r="V332" s="360">
        <v>0.5861670370901132</v>
      </c>
      <c r="W332" s="360">
        <v>1.184973290799693</v>
      </c>
      <c r="X332" s="360">
        <v>1762.1627125658536</v>
      </c>
      <c r="Y332" s="360">
        <v>0.38323328063701201</v>
      </c>
      <c r="Z332" s="360">
        <v>1.14882002294309</v>
      </c>
      <c r="AA332" s="360">
        <v>3237.6680982449338</v>
      </c>
      <c r="AB332" s="360">
        <v>0.31907515924351243</v>
      </c>
      <c r="AC332" s="360">
        <v>1.6133066778607126</v>
      </c>
      <c r="AD332" s="360">
        <v>1.7991449104875914</v>
      </c>
      <c r="AE332" s="360">
        <v>0.53747189763802494</v>
      </c>
      <c r="AF332" s="360">
        <v>1.1488205611301425</v>
      </c>
      <c r="AG332" s="360">
        <v>1678.7391658895672</v>
      </c>
      <c r="AH332" s="360">
        <v>4016.5423410192961</v>
      </c>
      <c r="AI332" s="360">
        <v>0.24031009103327255</v>
      </c>
      <c r="AJ332" s="360">
        <v>2.1434090944372222</v>
      </c>
      <c r="AK332" s="360">
        <v>2.9778174163559892</v>
      </c>
      <c r="AL332" s="360">
        <v>0.61751005216640398</v>
      </c>
      <c r="AM332" s="360">
        <v>1.1488200359541094</v>
      </c>
      <c r="AN332" s="360">
        <v>1806.8966168348572</v>
      </c>
      <c r="AO332" s="360"/>
      <c r="AP332" s="360"/>
      <c r="AQ332" s="360"/>
    </row>
    <row r="333" spans="1:43">
      <c r="A333" s="360" t="s">
        <v>1083</v>
      </c>
      <c r="B333" t="s">
        <v>1074</v>
      </c>
      <c r="C333">
        <v>1</v>
      </c>
      <c r="D333" t="s">
        <v>1080</v>
      </c>
      <c r="E333" t="s">
        <v>1079</v>
      </c>
      <c r="F333" s="360">
        <v>5</v>
      </c>
      <c r="G333" s="360" t="str">
        <f>CONCATENATE(A333," ",B333," ",C333," ","inf+"," ",FanUpsizes!D333," ",FanUpsizes!F333)</f>
        <v>3ACH Infiltration 1 inf+ Existing 5</v>
      </c>
      <c r="H333" s="360">
        <v>4.960921066361542E-2</v>
      </c>
      <c r="I333" s="360">
        <v>0.37163567848956974</v>
      </c>
      <c r="J333" s="360">
        <v>1.1849732576337813</v>
      </c>
      <c r="K333" s="360">
        <v>0</v>
      </c>
      <c r="L333" s="360">
        <v>0.37163567848956974</v>
      </c>
      <c r="M333" s="360">
        <v>1.1849732576337813</v>
      </c>
      <c r="N333" s="360">
        <v>1</v>
      </c>
      <c r="O333" s="360">
        <v>0.37163567848956974</v>
      </c>
      <c r="P333" s="360">
        <v>1.1849732576337813</v>
      </c>
      <c r="Q333" s="360">
        <v>0</v>
      </c>
      <c r="R333" s="360">
        <v>0</v>
      </c>
      <c r="S333" s="360">
        <v>0.37163567848956974</v>
      </c>
      <c r="T333" s="360">
        <v>1.1849732576337813</v>
      </c>
      <c r="U333" s="360">
        <v>1</v>
      </c>
      <c r="V333" s="360">
        <v>0.37163567848956974</v>
      </c>
      <c r="W333" s="360">
        <v>1.1849732576337813</v>
      </c>
      <c r="X333" s="360">
        <v>0</v>
      </c>
      <c r="Y333" s="360">
        <v>0.38323328063701201</v>
      </c>
      <c r="Z333" s="360">
        <v>1.14882002294309</v>
      </c>
      <c r="AA333" s="360">
        <v>0</v>
      </c>
      <c r="AB333" s="360">
        <v>0.38323328063701201</v>
      </c>
      <c r="AC333" s="360">
        <v>1.14882002294309</v>
      </c>
      <c r="AD333" s="360">
        <v>1</v>
      </c>
      <c r="AE333" s="360">
        <v>0.38323328063701201</v>
      </c>
      <c r="AF333" s="360">
        <v>1.14882002294309</v>
      </c>
      <c r="AG333" s="360">
        <v>0</v>
      </c>
      <c r="AH333" s="360">
        <v>0</v>
      </c>
      <c r="AI333" s="360">
        <v>0.38323328063701201</v>
      </c>
      <c r="AJ333" s="360">
        <v>1.14882002294309</v>
      </c>
      <c r="AK333" s="360">
        <v>1</v>
      </c>
      <c r="AL333" s="360">
        <v>0.38323328063701201</v>
      </c>
      <c r="AM333" s="360">
        <v>1.14882002294309</v>
      </c>
      <c r="AN333" s="360">
        <v>0</v>
      </c>
      <c r="AO333" s="360"/>
      <c r="AP333" s="360"/>
      <c r="AQ333" s="360"/>
    </row>
    <row r="334" spans="1:43">
      <c r="A334" s="360" t="s">
        <v>1083</v>
      </c>
      <c r="B334" t="s">
        <v>1076</v>
      </c>
      <c r="C334">
        <v>1</v>
      </c>
      <c r="D334" t="s">
        <v>1080</v>
      </c>
      <c r="E334" t="s">
        <v>1079</v>
      </c>
      <c r="F334" s="360">
        <v>5</v>
      </c>
      <c r="G334" s="360" t="str">
        <f>CONCATENATE(A334," ",B334," ",C334," ","inf+"," ",FanUpsizes!D334," ",FanUpsizes!F334)</f>
        <v>3ACH 5C 1 inf+ Existing 5</v>
      </c>
      <c r="H334" s="360">
        <v>4.960921066361542E-2</v>
      </c>
      <c r="I334" s="360">
        <v>0.37163567848956974</v>
      </c>
      <c r="J334" s="360">
        <v>1.1849732576337813</v>
      </c>
      <c r="K334" s="360">
        <v>1321.2113252787019</v>
      </c>
      <c r="L334" s="360">
        <v>0.35022115446902208</v>
      </c>
      <c r="M334" s="360">
        <v>1.3140840009712431</v>
      </c>
      <c r="N334" s="360">
        <v>1.1291424072918943</v>
      </c>
      <c r="O334" s="360">
        <v>0.3919720491053908</v>
      </c>
      <c r="P334" s="360">
        <v>1.184979807979301</v>
      </c>
      <c r="Q334" s="360">
        <v>767.58704416232911</v>
      </c>
      <c r="R334" s="360">
        <v>1321.2113252787019</v>
      </c>
      <c r="S334" s="360">
        <v>0.35022115446902208</v>
      </c>
      <c r="T334" s="360">
        <v>1.3140840009712431</v>
      </c>
      <c r="U334" s="360">
        <v>1.1291424072918943</v>
      </c>
      <c r="V334" s="360">
        <v>0.3919720491053908</v>
      </c>
      <c r="W334" s="360">
        <v>1.184979807979301</v>
      </c>
      <c r="X334" s="360">
        <v>767.58704416232911</v>
      </c>
      <c r="Y334" s="360">
        <v>0.38323328063701201</v>
      </c>
      <c r="Z334" s="360">
        <v>1.14882002294309</v>
      </c>
      <c r="AA334" s="360">
        <v>1417.7330060292159</v>
      </c>
      <c r="AB334" s="360">
        <v>0.36025812368703775</v>
      </c>
      <c r="AC334" s="360">
        <v>1.2800091906462858</v>
      </c>
      <c r="AD334" s="360">
        <v>1.1407915063052398</v>
      </c>
      <c r="AE334" s="360">
        <v>0.40565320879590622</v>
      </c>
      <c r="AF334" s="360">
        <v>1.1488201350481673</v>
      </c>
      <c r="AG334" s="360">
        <v>820.58204609762674</v>
      </c>
      <c r="AH334" s="360">
        <v>1417.7330060292159</v>
      </c>
      <c r="AI334" s="360">
        <v>0.36025812368703775</v>
      </c>
      <c r="AJ334" s="360">
        <v>1.2800091906462858</v>
      </c>
      <c r="AK334" s="360">
        <v>1.1407915063052398</v>
      </c>
      <c r="AL334" s="360">
        <v>0.40565320879590622</v>
      </c>
      <c r="AM334" s="360">
        <v>1.1488201350481673</v>
      </c>
      <c r="AN334" s="360">
        <v>820.58204609762674</v>
      </c>
      <c r="AO334" s="360"/>
      <c r="AP334" s="360"/>
      <c r="AQ334" s="360"/>
    </row>
    <row r="335" spans="1:43">
      <c r="A335" s="360" t="s">
        <v>1083</v>
      </c>
      <c r="B335" t="s">
        <v>1075</v>
      </c>
      <c r="C335">
        <v>2</v>
      </c>
      <c r="D335" t="s">
        <v>1080</v>
      </c>
      <c r="E335" t="s">
        <v>1079</v>
      </c>
      <c r="F335" s="360">
        <v>5</v>
      </c>
      <c r="G335" s="360" t="str">
        <f>CONCATENATE(A335," ",B335," ",C335," ","inf+"," ",FanUpsizes!D335," ",FanUpsizes!F335)</f>
        <v>3ACH Percentile 2 inf+ Existing 5</v>
      </c>
      <c r="H335" s="360">
        <v>4.6444232608190771E-2</v>
      </c>
      <c r="I335" s="360">
        <v>0.36036413717204552</v>
      </c>
      <c r="J335" s="360">
        <v>1.2322431639904079</v>
      </c>
      <c r="K335" s="360">
        <v>2438.5439163793471</v>
      </c>
      <c r="L335" s="360">
        <v>0.31183485656902843</v>
      </c>
      <c r="M335" s="360">
        <v>1.5638252088738021</v>
      </c>
      <c r="N335" s="360">
        <v>1.475817979405766</v>
      </c>
      <c r="O335" s="360">
        <v>0.42816566207132917</v>
      </c>
      <c r="P335" s="360">
        <v>1.2322435779010925</v>
      </c>
      <c r="Q335" s="360">
        <v>1596.5905978783383</v>
      </c>
      <c r="R335" s="360">
        <v>3078.7898318780103</v>
      </c>
      <c r="S335" s="360">
        <v>0.24518272215811618</v>
      </c>
      <c r="T335" s="360">
        <v>2.0178287314085037</v>
      </c>
      <c r="U335" s="360">
        <v>2.3936797356393305</v>
      </c>
      <c r="V335" s="360">
        <v>0.48113691360303129</v>
      </c>
      <c r="W335" s="360">
        <v>1.2322449506098077</v>
      </c>
      <c r="X335" s="360">
        <v>1736.4195788846612</v>
      </c>
      <c r="Y335" s="360">
        <v>0.37457299845526881</v>
      </c>
      <c r="Z335" s="360">
        <v>1.1810754984835494</v>
      </c>
      <c r="AA335" s="360">
        <v>2712.6957487415502</v>
      </c>
      <c r="AB335" s="360">
        <v>0.32083902537471942</v>
      </c>
      <c r="AC335" s="360">
        <v>1.5251617401295694</v>
      </c>
      <c r="AD335" s="360">
        <v>1.5429309410514342</v>
      </c>
      <c r="AE335" s="360">
        <v>0.45578416739746819</v>
      </c>
      <c r="AF335" s="360">
        <v>1.1810775065152508</v>
      </c>
      <c r="AG335" s="360">
        <v>1748.2047937908073</v>
      </c>
      <c r="AH335" s="360">
        <v>3403.808890787087</v>
      </c>
      <c r="AI335" s="360">
        <v>0.25046972633428904</v>
      </c>
      <c r="AJ335" s="360">
        <v>1.9751448132529079</v>
      </c>
      <c r="AK335" s="360">
        <v>2.5117848438100014</v>
      </c>
      <c r="AL335" s="360">
        <v>0.51168089123993044</v>
      </c>
      <c r="AM335" s="360">
        <v>1.1810762842691942</v>
      </c>
      <c r="AN335" s="360">
        <v>1888.7287495838332</v>
      </c>
      <c r="AO335" s="360"/>
      <c r="AP335" s="360"/>
      <c r="AQ335" s="360"/>
    </row>
    <row r="336" spans="1:43">
      <c r="A336" s="360" t="s">
        <v>1083</v>
      </c>
      <c r="B336" t="s">
        <v>1074</v>
      </c>
      <c r="C336">
        <v>2</v>
      </c>
      <c r="D336" t="s">
        <v>1080</v>
      </c>
      <c r="E336" t="s">
        <v>1079</v>
      </c>
      <c r="F336" s="360">
        <v>5</v>
      </c>
      <c r="G336" s="360" t="str">
        <f>CONCATENATE(A336," ",B336," ",C336," ","inf+"," ",FanUpsizes!D336," ",FanUpsizes!F336)</f>
        <v>3ACH Infiltration 2 inf+ Existing 5</v>
      </c>
      <c r="H336" s="360">
        <v>4.6444232608190771E-2</v>
      </c>
      <c r="I336" s="360">
        <v>0.36036413717204552</v>
      </c>
      <c r="J336" s="360">
        <v>1.2322431639904079</v>
      </c>
      <c r="K336" s="360">
        <v>0</v>
      </c>
      <c r="L336" s="360">
        <v>0.36036413717204552</v>
      </c>
      <c r="M336" s="360">
        <v>1.2322431639904079</v>
      </c>
      <c r="N336" s="360">
        <v>1</v>
      </c>
      <c r="O336" s="360">
        <v>0.36036413717204552</v>
      </c>
      <c r="P336" s="360">
        <v>1.2322431639904079</v>
      </c>
      <c r="Q336" s="360">
        <v>0</v>
      </c>
      <c r="R336" s="360">
        <v>0</v>
      </c>
      <c r="S336" s="360">
        <v>0.36036413717204552</v>
      </c>
      <c r="T336" s="360">
        <v>1.2322431639904079</v>
      </c>
      <c r="U336" s="360">
        <v>1</v>
      </c>
      <c r="V336" s="360">
        <v>0.36036413717204552</v>
      </c>
      <c r="W336" s="360">
        <v>1.2322431639904079</v>
      </c>
      <c r="X336" s="360">
        <v>0</v>
      </c>
      <c r="Y336" s="360">
        <v>0.37457299845526881</v>
      </c>
      <c r="Z336" s="360">
        <v>1.1810754984835494</v>
      </c>
      <c r="AA336" s="360">
        <v>0</v>
      </c>
      <c r="AB336" s="360">
        <v>0.37457299845526881</v>
      </c>
      <c r="AC336" s="360">
        <v>1.1810754984835494</v>
      </c>
      <c r="AD336" s="360">
        <v>1</v>
      </c>
      <c r="AE336" s="360">
        <v>0.37457299845526881</v>
      </c>
      <c r="AF336" s="360">
        <v>1.1810754984835494</v>
      </c>
      <c r="AG336" s="360">
        <v>0</v>
      </c>
      <c r="AH336" s="360">
        <v>0</v>
      </c>
      <c r="AI336" s="360">
        <v>0.37457299845526881</v>
      </c>
      <c r="AJ336" s="360">
        <v>1.1810754984835494</v>
      </c>
      <c r="AK336" s="360">
        <v>1</v>
      </c>
      <c r="AL336" s="360">
        <v>0.37457299845526881</v>
      </c>
      <c r="AM336" s="360">
        <v>1.1810754984835494</v>
      </c>
      <c r="AN336" s="360">
        <v>0</v>
      </c>
      <c r="AO336" s="360"/>
      <c r="AP336" s="360"/>
      <c r="AQ336" s="360"/>
    </row>
    <row r="337" spans="1:43">
      <c r="A337" s="360" t="s">
        <v>1083</v>
      </c>
      <c r="B337" t="s">
        <v>1076</v>
      </c>
      <c r="C337">
        <v>2</v>
      </c>
      <c r="D337" t="s">
        <v>1080</v>
      </c>
      <c r="E337" t="s">
        <v>1079</v>
      </c>
      <c r="F337" s="360">
        <v>5</v>
      </c>
      <c r="G337" s="360" t="str">
        <f>CONCATENATE(A337," ",B337," ",C337," ","inf+"," ",FanUpsizes!D337," ",FanUpsizes!F337)</f>
        <v>3ACH 5C 2 inf+ Existing 5</v>
      </c>
      <c r="H337" s="360">
        <v>4.6444232608190771E-2</v>
      </c>
      <c r="I337" s="360">
        <v>0.36036413717204552</v>
      </c>
      <c r="J337" s="360">
        <v>1.2322431639904079</v>
      </c>
      <c r="K337" s="360">
        <v>1029.2054081358415</v>
      </c>
      <c r="L337" s="360">
        <v>0.34369854250958931</v>
      </c>
      <c r="M337" s="360">
        <v>1.3281730038889608</v>
      </c>
      <c r="N337" s="360">
        <v>1.0976665682762052</v>
      </c>
      <c r="O337" s="360">
        <v>0.37153916112934288</v>
      </c>
      <c r="P337" s="360">
        <v>1.2322434040582877</v>
      </c>
      <c r="Q337" s="360">
        <v>655.65747202070315</v>
      </c>
      <c r="R337" s="360">
        <v>1029.2054081358415</v>
      </c>
      <c r="S337" s="360">
        <v>0.34369854250958931</v>
      </c>
      <c r="T337" s="360">
        <v>1.3281730038889608</v>
      </c>
      <c r="U337" s="360">
        <v>1.0976665682762052</v>
      </c>
      <c r="V337" s="360">
        <v>0.37153916112934288</v>
      </c>
      <c r="W337" s="360">
        <v>1.2322434040582877</v>
      </c>
      <c r="X337" s="360">
        <v>655.65747202070315</v>
      </c>
      <c r="Y337" s="360">
        <v>0.37457299845526881</v>
      </c>
      <c r="Z337" s="360">
        <v>1.1810754984835494</v>
      </c>
      <c r="AA337" s="360">
        <v>1180.1471920784345</v>
      </c>
      <c r="AB337" s="360">
        <v>0.35546570494602875</v>
      </c>
      <c r="AC337" s="360">
        <v>1.2819526923606455</v>
      </c>
      <c r="AD337" s="360">
        <v>1.1107664269730455</v>
      </c>
      <c r="AE337" s="360">
        <v>0.38778139618925667</v>
      </c>
      <c r="AF337" s="360">
        <v>1.1810762657759117</v>
      </c>
      <c r="AG337" s="360">
        <v>755.15270091729349</v>
      </c>
      <c r="AH337" s="360">
        <v>1180.1471920784345</v>
      </c>
      <c r="AI337" s="360">
        <v>0.35546570494602875</v>
      </c>
      <c r="AJ337" s="360">
        <v>1.2819526923606455</v>
      </c>
      <c r="AK337" s="360">
        <v>1.1107664269730455</v>
      </c>
      <c r="AL337" s="360">
        <v>0.38778139618925667</v>
      </c>
      <c r="AM337" s="360">
        <v>1.1810762657759117</v>
      </c>
      <c r="AN337" s="360">
        <v>755.15270091729349</v>
      </c>
      <c r="AO337" s="360"/>
      <c r="AP337" s="360"/>
      <c r="AQ337" s="360"/>
    </row>
    <row r="338" spans="1:43">
      <c r="A338" s="360" t="s">
        <v>1084</v>
      </c>
      <c r="B338" t="s">
        <v>1075</v>
      </c>
      <c r="C338">
        <v>1</v>
      </c>
      <c r="D338" t="s">
        <v>1078</v>
      </c>
      <c r="E338" t="s">
        <v>1079</v>
      </c>
      <c r="F338" s="360">
        <v>5</v>
      </c>
      <c r="G338" s="360" t="str">
        <f>CONCATENATE(A338," ",B338," ",C338," ","inf+"," ",FanUpsizes!D338," ",FanUpsizes!F338)</f>
        <v>1.5ACH Percentile 1 inf+ New 5</v>
      </c>
      <c r="H338" s="360">
        <v>3.8312105331807705E-2</v>
      </c>
      <c r="I338" s="360">
        <v>0.28346934124101009</v>
      </c>
      <c r="J338" s="360">
        <v>1.1267106121227675</v>
      </c>
      <c r="K338" s="360">
        <v>2697.4714748961451</v>
      </c>
      <c r="L338" s="360">
        <v>0.23001698749072944</v>
      </c>
      <c r="M338" s="360">
        <v>1.711595028583927</v>
      </c>
      <c r="N338" s="360">
        <v>1.9861828643673844</v>
      </c>
      <c r="O338" s="360">
        <v>0.44259306919340896</v>
      </c>
      <c r="P338" s="360">
        <v>1.1267106147159285</v>
      </c>
      <c r="Q338" s="360">
        <v>1181.4934865459929</v>
      </c>
      <c r="R338" s="360">
        <v>3323.6572266803446</v>
      </c>
      <c r="S338" s="360">
        <v>0.16733574644298918</v>
      </c>
      <c r="T338" s="360">
        <v>2.3772366350055409</v>
      </c>
      <c r="U338" s="360">
        <v>3.3578949211315536</v>
      </c>
      <c r="V338" s="360">
        <v>0.52204273758628128</v>
      </c>
      <c r="W338" s="360">
        <v>1.1267111980496789</v>
      </c>
      <c r="X338" s="360">
        <v>1231.8557539182018</v>
      </c>
      <c r="Y338" s="360">
        <v>0.28850298860772117</v>
      </c>
      <c r="Z338" s="360">
        <v>1.1073663100177902</v>
      </c>
      <c r="AA338" s="360">
        <v>2767.1532684960853</v>
      </c>
      <c r="AB338" s="360">
        <v>0.23367697850882321</v>
      </c>
      <c r="AC338" s="360">
        <v>1.6931945981332475</v>
      </c>
      <c r="AD338" s="360">
        <v>2.0423616855392517</v>
      </c>
      <c r="AE338" s="360">
        <v>0.45688640432540306</v>
      </c>
      <c r="AF338" s="360">
        <v>1.1073663250070553</v>
      </c>
      <c r="AG338" s="360">
        <v>1174.6911603887424</v>
      </c>
      <c r="AH338" s="360">
        <v>3390.8428908999254</v>
      </c>
      <c r="AI338" s="360">
        <v>0.17091875996801364</v>
      </c>
      <c r="AJ338" s="360">
        <v>2.3315699507053207</v>
      </c>
      <c r="AK338" s="360">
        <v>3.453168692337687</v>
      </c>
      <c r="AL338" s="360">
        <v>0.53839747721551479</v>
      </c>
      <c r="AM338" s="360">
        <v>1.1073663317060298</v>
      </c>
      <c r="AN338" s="360">
        <v>1225.1410470692108</v>
      </c>
      <c r="AO338" s="360"/>
      <c r="AP338" s="360"/>
      <c r="AQ338" s="360"/>
    </row>
    <row r="339" spans="1:43">
      <c r="A339" s="360" t="s">
        <v>1084</v>
      </c>
      <c r="B339" t="s">
        <v>1074</v>
      </c>
      <c r="C339">
        <v>1</v>
      </c>
      <c r="D339" t="s">
        <v>1078</v>
      </c>
      <c r="E339" t="s">
        <v>1079</v>
      </c>
      <c r="F339" s="360">
        <v>5</v>
      </c>
      <c r="G339" s="360" t="str">
        <f>CONCATENATE(A339," ",B339," ",C339," ","inf+"," ",FanUpsizes!D339," ",FanUpsizes!F339)</f>
        <v>1.5ACH Infiltration 1 inf+ New 5</v>
      </c>
      <c r="H339" s="360">
        <v>3.8312105331807705E-2</v>
      </c>
      <c r="I339" s="360">
        <v>0.28346934124101009</v>
      </c>
      <c r="J339" s="360">
        <v>1.1267106121227675</v>
      </c>
      <c r="K339" s="360">
        <v>0</v>
      </c>
      <c r="L339" s="360">
        <v>0.28346934124101009</v>
      </c>
      <c r="M339" s="360">
        <v>1.1267106121227675</v>
      </c>
      <c r="N339" s="360">
        <v>1</v>
      </c>
      <c r="O339" s="360">
        <v>0.28346934124101009</v>
      </c>
      <c r="P339" s="360">
        <v>1.1267106121227675</v>
      </c>
      <c r="Q339" s="360">
        <v>0</v>
      </c>
      <c r="R339" s="360">
        <v>0</v>
      </c>
      <c r="S339" s="360">
        <v>0.28346934124101009</v>
      </c>
      <c r="T339" s="360">
        <v>1.1267106121227675</v>
      </c>
      <c r="U339" s="360">
        <v>1</v>
      </c>
      <c r="V339" s="360">
        <v>0.28346934124101009</v>
      </c>
      <c r="W339" s="360">
        <v>1.1267106121227675</v>
      </c>
      <c r="X339" s="360">
        <v>0</v>
      </c>
      <c r="Y339" s="360">
        <v>0.28850298860772117</v>
      </c>
      <c r="Z339" s="360">
        <v>1.1073663100177902</v>
      </c>
      <c r="AA339" s="360">
        <v>0</v>
      </c>
      <c r="AB339" s="360">
        <v>0.28850298860772117</v>
      </c>
      <c r="AC339" s="360">
        <v>1.1073663100177902</v>
      </c>
      <c r="AD339" s="360">
        <v>1</v>
      </c>
      <c r="AE339" s="360">
        <v>0.28850298860772117</v>
      </c>
      <c r="AF339" s="360">
        <v>1.1073663100177902</v>
      </c>
      <c r="AG339" s="360">
        <v>0</v>
      </c>
      <c r="AH339" s="360">
        <v>0</v>
      </c>
      <c r="AI339" s="360">
        <v>0.28850298860772117</v>
      </c>
      <c r="AJ339" s="360">
        <v>1.1073663100177902</v>
      </c>
      <c r="AK339" s="360">
        <v>1</v>
      </c>
      <c r="AL339" s="360">
        <v>0.28850298860772117</v>
      </c>
      <c r="AM339" s="360">
        <v>1.1073663100177902</v>
      </c>
      <c r="AN339" s="360">
        <v>0</v>
      </c>
      <c r="AO339" s="360"/>
      <c r="AP339" s="360"/>
      <c r="AQ339" s="360"/>
    </row>
    <row r="340" spans="1:43">
      <c r="A340" s="360" t="s">
        <v>1084</v>
      </c>
      <c r="B340" t="s">
        <v>1076</v>
      </c>
      <c r="C340">
        <v>1</v>
      </c>
      <c r="D340" t="s">
        <v>1078</v>
      </c>
      <c r="E340" t="s">
        <v>1079</v>
      </c>
      <c r="F340" s="360">
        <v>5</v>
      </c>
      <c r="G340" s="360" t="str">
        <f>CONCATENATE(A340," ",B340," ",C340," ","inf+"," ",FanUpsizes!D340," ",FanUpsizes!F340)</f>
        <v>1.5ACH 5C 1 inf+ New 5</v>
      </c>
      <c r="H340" s="360">
        <v>3.8312105331807705E-2</v>
      </c>
      <c r="I340" s="360">
        <v>0.28346934124101009</v>
      </c>
      <c r="J340" s="360">
        <v>1.1267106121227675</v>
      </c>
      <c r="K340" s="360">
        <v>1186.7071328965396</v>
      </c>
      <c r="L340" s="360">
        <v>0.26422596692152528</v>
      </c>
      <c r="M340" s="360">
        <v>1.2786126785298511</v>
      </c>
      <c r="N340" s="360">
        <v>1.1533547490647691</v>
      </c>
      <c r="O340" s="360">
        <v>0.30353112922413789</v>
      </c>
      <c r="P340" s="360">
        <v>1.1267107480709351</v>
      </c>
      <c r="Q340" s="360">
        <v>668.63573025505707</v>
      </c>
      <c r="R340" s="360">
        <v>1186.7071328965396</v>
      </c>
      <c r="S340" s="360">
        <v>0.26422596692152528</v>
      </c>
      <c r="T340" s="360">
        <v>1.2786126785298511</v>
      </c>
      <c r="U340" s="360">
        <v>1.1533547490647691</v>
      </c>
      <c r="V340" s="360">
        <v>0.30353112922413789</v>
      </c>
      <c r="W340" s="360">
        <v>1.1267107480709351</v>
      </c>
      <c r="X340" s="360">
        <v>668.63573025505707</v>
      </c>
      <c r="Y340" s="360">
        <v>0.28850298860772117</v>
      </c>
      <c r="Z340" s="360">
        <v>1.1073663100177902</v>
      </c>
      <c r="AA340" s="360">
        <v>1221.025079123395</v>
      </c>
      <c r="AB340" s="360">
        <v>0.2687030434193815</v>
      </c>
      <c r="AC340" s="360">
        <v>1.2594900154964148</v>
      </c>
      <c r="AD340" s="360">
        <v>1.160552881401187</v>
      </c>
      <c r="AE340" s="360">
        <v>0.30950732617575755</v>
      </c>
      <c r="AF340" s="360">
        <v>1.107366395831838</v>
      </c>
      <c r="AG340" s="360">
        <v>684.0071470646983</v>
      </c>
      <c r="AH340" s="360">
        <v>1221.025079123395</v>
      </c>
      <c r="AI340" s="360">
        <v>0.2687030434193815</v>
      </c>
      <c r="AJ340" s="360">
        <v>1.2594900154964148</v>
      </c>
      <c r="AK340" s="360">
        <v>1.160552881401187</v>
      </c>
      <c r="AL340" s="360">
        <v>0.30950732617575755</v>
      </c>
      <c r="AM340" s="360">
        <v>1.107366395831838</v>
      </c>
      <c r="AN340" s="360">
        <v>684.0071470646983</v>
      </c>
      <c r="AO340" s="360"/>
      <c r="AP340" s="360"/>
      <c r="AQ340" s="360"/>
    </row>
    <row r="341" spans="1:43">
      <c r="A341" s="360" t="s">
        <v>1084</v>
      </c>
      <c r="B341" t="s">
        <v>1075</v>
      </c>
      <c r="C341">
        <v>2</v>
      </c>
      <c r="D341" t="s">
        <v>1078</v>
      </c>
      <c r="E341" t="s">
        <v>1079</v>
      </c>
      <c r="F341" s="360">
        <v>5</v>
      </c>
      <c r="G341" s="360" t="str">
        <f>CONCATENATE(A341," ",B341," ",C341," ","inf+"," ",FanUpsizes!D341," ",FanUpsizes!F341)</f>
        <v>1.5ACH Percentile 2 inf+ New 5</v>
      </c>
      <c r="H341" s="360">
        <v>3.672961630409538E-2</v>
      </c>
      <c r="I341" s="360">
        <v>0.27426837893497541</v>
      </c>
      <c r="J341" s="360">
        <v>1.1662505121559334</v>
      </c>
      <c r="K341" s="360">
        <v>2361.9557181166597</v>
      </c>
      <c r="L341" s="360">
        <v>0.22743525674532808</v>
      </c>
      <c r="M341" s="360">
        <v>1.6379441760591251</v>
      </c>
      <c r="N341" s="360">
        <v>1.7065338913579244</v>
      </c>
      <c r="O341" s="360">
        <v>0.37154982585618901</v>
      </c>
      <c r="P341" s="360">
        <v>1.1662505217499857</v>
      </c>
      <c r="Q341" s="360">
        <v>1332.658580136814</v>
      </c>
      <c r="R341" s="360">
        <v>2940.1639877525777</v>
      </c>
      <c r="S341" s="360">
        <v>0.16954130566429698</v>
      </c>
      <c r="T341" s="360">
        <v>2.221959027125243</v>
      </c>
      <c r="U341" s="360">
        <v>2.8437891498274519</v>
      </c>
      <c r="V341" s="360">
        <v>0.43119343446458425</v>
      </c>
      <c r="W341" s="360">
        <v>1.1662505121927615</v>
      </c>
      <c r="X341" s="360">
        <v>1406.7285733084168</v>
      </c>
      <c r="Y341" s="360">
        <v>0.28179905562353419</v>
      </c>
      <c r="Z341" s="360">
        <v>1.1350802794421035</v>
      </c>
      <c r="AA341" s="360">
        <v>2474.2132704378851</v>
      </c>
      <c r="AB341" s="360">
        <v>0.23278779919715661</v>
      </c>
      <c r="AC341" s="360">
        <v>1.6101914523439007</v>
      </c>
      <c r="AD341" s="360">
        <v>1.7668466941722116</v>
      </c>
      <c r="AE341" s="360">
        <v>0.38840908109748817</v>
      </c>
      <c r="AF341" s="360">
        <v>1.135081207348088</v>
      </c>
      <c r="AG341" s="360">
        <v>1363.2474270868556</v>
      </c>
      <c r="AH341" s="360">
        <v>3056.4456431400749</v>
      </c>
      <c r="AI341" s="360">
        <v>0.17404419538460597</v>
      </c>
      <c r="AJ341" s="360">
        <v>2.1701368313379468</v>
      </c>
      <c r="AK341" s="360">
        <v>2.9468586983435294</v>
      </c>
      <c r="AL341" s="360">
        <v>0.44990435635130399</v>
      </c>
      <c r="AM341" s="360">
        <v>1.1350802810158254</v>
      </c>
      <c r="AN341" s="360">
        <v>1437.7576020785677</v>
      </c>
      <c r="AO341" s="360"/>
      <c r="AP341" s="360"/>
      <c r="AQ341" s="360"/>
    </row>
    <row r="342" spans="1:43">
      <c r="A342" s="360" t="s">
        <v>1084</v>
      </c>
      <c r="B342" t="s">
        <v>1074</v>
      </c>
      <c r="C342">
        <v>2</v>
      </c>
      <c r="D342" t="s">
        <v>1078</v>
      </c>
      <c r="E342" t="s">
        <v>1079</v>
      </c>
      <c r="F342" s="360">
        <v>5</v>
      </c>
      <c r="G342" s="360" t="str">
        <f>CONCATENATE(A342," ",B342," ",C342," ","inf+"," ",FanUpsizes!D342," ",FanUpsizes!F342)</f>
        <v>1.5ACH Infiltration 2 inf+ New 5</v>
      </c>
      <c r="H342" s="360">
        <v>3.672961630409538E-2</v>
      </c>
      <c r="I342" s="360">
        <v>0.27426837893497541</v>
      </c>
      <c r="J342" s="360">
        <v>1.1662505121559334</v>
      </c>
      <c r="K342" s="360">
        <v>0</v>
      </c>
      <c r="L342" s="360">
        <v>0.27426837893497541</v>
      </c>
      <c r="M342" s="360">
        <v>1.1662505121559334</v>
      </c>
      <c r="N342" s="360">
        <v>1</v>
      </c>
      <c r="O342" s="360">
        <v>0.27426837893497541</v>
      </c>
      <c r="P342" s="360">
        <v>1.1662505121559334</v>
      </c>
      <c r="Q342" s="360">
        <v>0</v>
      </c>
      <c r="R342" s="360">
        <v>0</v>
      </c>
      <c r="S342" s="360">
        <v>0.27426837893497541</v>
      </c>
      <c r="T342" s="360">
        <v>1.1662505121559334</v>
      </c>
      <c r="U342" s="360">
        <v>1</v>
      </c>
      <c r="V342" s="360">
        <v>0.27426837893497541</v>
      </c>
      <c r="W342" s="360">
        <v>1.1662505121559334</v>
      </c>
      <c r="X342" s="360">
        <v>0</v>
      </c>
      <c r="Y342" s="360">
        <v>0.28179905562353419</v>
      </c>
      <c r="Z342" s="360">
        <v>1.1350802794421035</v>
      </c>
      <c r="AA342" s="360">
        <v>0</v>
      </c>
      <c r="AB342" s="360">
        <v>0.28179905562353419</v>
      </c>
      <c r="AC342" s="360">
        <v>1.1350802794421035</v>
      </c>
      <c r="AD342" s="360">
        <v>1</v>
      </c>
      <c r="AE342" s="360">
        <v>0.28179905562353419</v>
      </c>
      <c r="AF342" s="360">
        <v>1.1350802794421035</v>
      </c>
      <c r="AG342" s="360">
        <v>0</v>
      </c>
      <c r="AH342" s="360">
        <v>0</v>
      </c>
      <c r="AI342" s="360">
        <v>0.28179905562353419</v>
      </c>
      <c r="AJ342" s="360">
        <v>1.1350802794421035</v>
      </c>
      <c r="AK342" s="360">
        <v>1</v>
      </c>
      <c r="AL342" s="360">
        <v>0.28179905562353419</v>
      </c>
      <c r="AM342" s="360">
        <v>1.1350802794421035</v>
      </c>
      <c r="AN342" s="360">
        <v>0</v>
      </c>
      <c r="AO342" s="360"/>
      <c r="AP342" s="360"/>
      <c r="AQ342" s="360"/>
    </row>
    <row r="343" spans="1:43">
      <c r="A343" s="360" t="s">
        <v>1084</v>
      </c>
      <c r="B343" t="s">
        <v>1076</v>
      </c>
      <c r="C343">
        <v>2</v>
      </c>
      <c r="D343" t="s">
        <v>1078</v>
      </c>
      <c r="E343" t="s">
        <v>1079</v>
      </c>
      <c r="F343" s="360">
        <v>5</v>
      </c>
      <c r="G343" s="360" t="str">
        <f>CONCATENATE(A343," ",B343," ",C343," ","inf+"," ",FanUpsizes!D343," ",FanUpsizes!F343)</f>
        <v>1.5ACH 5C 2 inf+ New 5</v>
      </c>
      <c r="H343" s="360">
        <v>3.672961630409538E-2</v>
      </c>
      <c r="I343" s="360">
        <v>0.27426837893497541</v>
      </c>
      <c r="J343" s="360">
        <v>1.1662505121559334</v>
      </c>
      <c r="K343" s="360">
        <v>1030.5552700765313</v>
      </c>
      <c r="L343" s="360">
        <v>0.25756321051941644</v>
      </c>
      <c r="M343" s="360">
        <v>1.2953130408956472</v>
      </c>
      <c r="N343" s="360">
        <v>1.1280227623877399</v>
      </c>
      <c r="O343" s="360">
        <v>0.28837977160537542</v>
      </c>
      <c r="P343" s="360">
        <v>1.1662506402837198</v>
      </c>
      <c r="Q343" s="360">
        <v>622.57999443333063</v>
      </c>
      <c r="R343" s="360">
        <v>1030.5552700765313</v>
      </c>
      <c r="S343" s="360">
        <v>0.25756321051941644</v>
      </c>
      <c r="T343" s="360">
        <v>1.2953130408956472</v>
      </c>
      <c r="U343" s="360">
        <v>1.1280227623877399</v>
      </c>
      <c r="V343" s="360">
        <v>0.28837977160537542</v>
      </c>
      <c r="W343" s="360">
        <v>1.1662506402837198</v>
      </c>
      <c r="X343" s="360">
        <v>622.57999443333063</v>
      </c>
      <c r="Y343" s="360">
        <v>0.28179905562353419</v>
      </c>
      <c r="Z343" s="360">
        <v>1.1350802794421035</v>
      </c>
      <c r="AA343" s="360">
        <v>1087.6964302201311</v>
      </c>
      <c r="AB343" s="360">
        <v>0.26416920542906946</v>
      </c>
      <c r="AC343" s="360">
        <v>1.2651991806718719</v>
      </c>
      <c r="AD343" s="360">
        <v>1.1372147835117867</v>
      </c>
      <c r="AE343" s="360">
        <v>0.29709473256897734</v>
      </c>
      <c r="AF343" s="360">
        <v>1.1350915252550839</v>
      </c>
      <c r="AG343" s="360">
        <v>654.21925636761512</v>
      </c>
      <c r="AH343" s="360">
        <v>1087.6964302201311</v>
      </c>
      <c r="AI343" s="360">
        <v>0.26416920542906946</v>
      </c>
      <c r="AJ343" s="360">
        <v>1.2651991806718719</v>
      </c>
      <c r="AK343" s="360">
        <v>1.1372147835117867</v>
      </c>
      <c r="AL343" s="360">
        <v>0.29709473256897734</v>
      </c>
      <c r="AM343" s="360">
        <v>1.1350915252550839</v>
      </c>
      <c r="AN343" s="360">
        <v>654.21925636761512</v>
      </c>
      <c r="AO343" s="360"/>
      <c r="AP343" s="360"/>
      <c r="AQ343" s="360"/>
    </row>
    <row r="344" spans="1:43">
      <c r="A344" s="360" t="s">
        <v>1084</v>
      </c>
      <c r="B344" t="s">
        <v>1075</v>
      </c>
      <c r="C344">
        <v>1</v>
      </c>
      <c r="D344" t="s">
        <v>1080</v>
      </c>
      <c r="E344" t="s">
        <v>1079</v>
      </c>
      <c r="F344" s="360">
        <v>5</v>
      </c>
      <c r="G344" s="360" t="str">
        <f>CONCATENATE(A344," ",B344," ",C344," ","inf+"," ",FanUpsizes!D344," ",FanUpsizes!F344)</f>
        <v>1.5ACH Percentile 1 inf+ Existing 5</v>
      </c>
      <c r="H344" s="360">
        <v>5.4562105331807706E-2</v>
      </c>
      <c r="I344" s="360">
        <v>0.40282546151454651</v>
      </c>
      <c r="J344" s="360">
        <v>1.0904558301497107</v>
      </c>
      <c r="K344" s="360">
        <v>4120.5749600543431</v>
      </c>
      <c r="L344" s="360">
        <v>0.32119186294171392</v>
      </c>
      <c r="M344" s="360">
        <v>1.8761008794957992</v>
      </c>
      <c r="N344" s="360">
        <v>3.0992334045274741</v>
      </c>
      <c r="O344" s="360">
        <v>0.96738483430832234</v>
      </c>
      <c r="P344" s="360">
        <v>1.0904559080513236</v>
      </c>
      <c r="Q344" s="360">
        <v>-487.7856178958736</v>
      </c>
      <c r="R344" s="360">
        <v>5028.415439168074</v>
      </c>
      <c r="S344" s="360">
        <v>0.23019029314094414</v>
      </c>
      <c r="T344" s="360">
        <v>2.5957110520429376</v>
      </c>
      <c r="U344" s="360">
        <v>5.280790296751972</v>
      </c>
      <c r="V344" s="360">
        <v>1.1527647523586522</v>
      </c>
      <c r="W344" s="360">
        <v>1.0904558331421073</v>
      </c>
      <c r="X344" s="360">
        <v>-427.86510724565937</v>
      </c>
      <c r="Y344" s="360">
        <v>0.40679836280447967</v>
      </c>
      <c r="Z344" s="360">
        <v>1.0799639218706603</v>
      </c>
      <c r="AA344" s="360">
        <v>4172.006913452361</v>
      </c>
      <c r="AB344" s="360">
        <v>0.3241462433704469</v>
      </c>
      <c r="AC344" s="360">
        <v>1.8658234847284212</v>
      </c>
      <c r="AD344" s="360">
        <v>3.1854640914256063</v>
      </c>
      <c r="AE344" s="360">
        <v>0.99491030146849979</v>
      </c>
      <c r="AF344" s="360">
        <v>1.0799639333943503</v>
      </c>
      <c r="AG344" s="360">
        <v>-612.25479175096848</v>
      </c>
      <c r="AH344" s="360">
        <v>5074.2687953114328</v>
      </c>
      <c r="AI344" s="360">
        <v>0.23352395066315337</v>
      </c>
      <c r="AJ344" s="360">
        <v>2.5619168975630862</v>
      </c>
      <c r="AK344" s="360">
        <v>5.4276471327523401</v>
      </c>
      <c r="AL344" s="360">
        <v>1.1853339169380201</v>
      </c>
      <c r="AM344" s="360">
        <v>1.0799639552192297</v>
      </c>
      <c r="AN344" s="360">
        <v>-551.14120268371471</v>
      </c>
      <c r="AO344" s="360"/>
      <c r="AP344" s="360"/>
      <c r="AQ344" s="360"/>
    </row>
    <row r="345" spans="1:43">
      <c r="A345" s="360" t="s">
        <v>1084</v>
      </c>
      <c r="B345" t="s">
        <v>1074</v>
      </c>
      <c r="C345">
        <v>1</v>
      </c>
      <c r="D345" t="s">
        <v>1080</v>
      </c>
      <c r="E345" t="s">
        <v>1079</v>
      </c>
      <c r="F345" s="360">
        <v>5</v>
      </c>
      <c r="G345" s="360" t="str">
        <f>CONCATENATE(A345," ",B345," ",C345," ","inf+"," ",FanUpsizes!D345," ",FanUpsizes!F345)</f>
        <v>1.5ACH Infiltration 1 inf+ Existing 5</v>
      </c>
      <c r="H345" s="360">
        <v>5.4562105331807706E-2</v>
      </c>
      <c r="I345" s="360">
        <v>0.40282546151454651</v>
      </c>
      <c r="J345" s="360">
        <v>1.0904558301497107</v>
      </c>
      <c r="K345" s="360">
        <v>0</v>
      </c>
      <c r="L345" s="360">
        <v>0.40282546151454651</v>
      </c>
      <c r="M345" s="360">
        <v>1.0904558301497107</v>
      </c>
      <c r="N345" s="360">
        <v>1</v>
      </c>
      <c r="O345" s="360">
        <v>0.40282546151454651</v>
      </c>
      <c r="P345" s="360">
        <v>1.0904558301497107</v>
      </c>
      <c r="Q345" s="360">
        <v>0</v>
      </c>
      <c r="R345" s="360">
        <v>0</v>
      </c>
      <c r="S345" s="360">
        <v>0.40282546151454651</v>
      </c>
      <c r="T345" s="360">
        <v>1.0904558301497107</v>
      </c>
      <c r="U345" s="360">
        <v>1</v>
      </c>
      <c r="V345" s="360">
        <v>0.40282546151454651</v>
      </c>
      <c r="W345" s="360">
        <v>1.0904558301497107</v>
      </c>
      <c r="X345" s="360">
        <v>0</v>
      </c>
      <c r="Y345" s="360">
        <v>0.40679836280447967</v>
      </c>
      <c r="Z345" s="360">
        <v>1.0799639218706603</v>
      </c>
      <c r="AA345" s="360">
        <v>0</v>
      </c>
      <c r="AB345" s="360">
        <v>0.40679836280447967</v>
      </c>
      <c r="AC345" s="360">
        <v>1.0799639218706603</v>
      </c>
      <c r="AD345" s="360">
        <v>1</v>
      </c>
      <c r="AE345" s="360">
        <v>0.40679836280447967</v>
      </c>
      <c r="AF345" s="360">
        <v>1.0799639218706603</v>
      </c>
      <c r="AG345" s="360">
        <v>0</v>
      </c>
      <c r="AH345" s="360">
        <v>0</v>
      </c>
      <c r="AI345" s="360">
        <v>0.40679836280447967</v>
      </c>
      <c r="AJ345" s="360">
        <v>1.0799639218706603</v>
      </c>
      <c r="AK345" s="360">
        <v>1</v>
      </c>
      <c r="AL345" s="360">
        <v>0.40679836280447967</v>
      </c>
      <c r="AM345" s="360">
        <v>1.0799639218706603</v>
      </c>
      <c r="AN345" s="360">
        <v>0</v>
      </c>
      <c r="AO345" s="360"/>
      <c r="AP345" s="360"/>
      <c r="AQ345" s="360"/>
    </row>
    <row r="346" spans="1:43">
      <c r="A346" s="360" t="s">
        <v>1084</v>
      </c>
      <c r="B346" t="s">
        <v>1076</v>
      </c>
      <c r="C346">
        <v>1</v>
      </c>
      <c r="D346" t="s">
        <v>1080</v>
      </c>
      <c r="E346" t="s">
        <v>1079</v>
      </c>
      <c r="F346" s="360">
        <v>5</v>
      </c>
      <c r="G346" s="360" t="str">
        <f>CONCATENATE(A346," ",B346," ",C346," ","inf+"," ",FanUpsizes!D346," ",FanUpsizes!F346)</f>
        <v>1.5ACH 5C 1 inf+ Existing 5</v>
      </c>
      <c r="H346" s="360">
        <v>5.4562105331807706E-2</v>
      </c>
      <c r="I346" s="360">
        <v>0.40282546151454651</v>
      </c>
      <c r="J346" s="360">
        <v>1.0904558301497107</v>
      </c>
      <c r="K346" s="360">
        <v>1823.8225634592734</v>
      </c>
      <c r="L346" s="360">
        <v>0.37324221629730459</v>
      </c>
      <c r="M346" s="360">
        <v>1.288280123113227</v>
      </c>
      <c r="N346" s="360">
        <v>1.2144495941067919</v>
      </c>
      <c r="O346" s="360">
        <v>0.45206466670568074</v>
      </c>
      <c r="P346" s="360">
        <v>1.0904584745461492</v>
      </c>
      <c r="Q346" s="360">
        <v>786.24614715611688</v>
      </c>
      <c r="R346" s="360">
        <v>1823.8225634592734</v>
      </c>
      <c r="S346" s="360">
        <v>0.37324221629730459</v>
      </c>
      <c r="T346" s="360">
        <v>1.288280123113227</v>
      </c>
      <c r="U346" s="360">
        <v>1.2144495941067919</v>
      </c>
      <c r="V346" s="360">
        <v>0.45206466670568074</v>
      </c>
      <c r="W346" s="360">
        <v>1.0904584745461492</v>
      </c>
      <c r="X346" s="360">
        <v>786.24614715611688</v>
      </c>
      <c r="Y346" s="360">
        <v>0.40679836280447967</v>
      </c>
      <c r="Z346" s="360">
        <v>1.0799639218706603</v>
      </c>
      <c r="AA346" s="360">
        <v>1848.566157940279</v>
      </c>
      <c r="AB346" s="360">
        <v>0.37681339551699972</v>
      </c>
      <c r="AC346" s="360">
        <v>1.2777861221576112</v>
      </c>
      <c r="AD346" s="360">
        <v>1.220392289530378</v>
      </c>
      <c r="AE346" s="360">
        <v>0.45726072059643658</v>
      </c>
      <c r="AF346" s="360">
        <v>1.0799642098208111</v>
      </c>
      <c r="AG346" s="360">
        <v>789.76471614067384</v>
      </c>
      <c r="AH346" s="360">
        <v>1848.566157940279</v>
      </c>
      <c r="AI346" s="360">
        <v>0.37681339551699972</v>
      </c>
      <c r="AJ346" s="360">
        <v>1.2777861221576112</v>
      </c>
      <c r="AK346" s="360">
        <v>1.220392289530378</v>
      </c>
      <c r="AL346" s="360">
        <v>0.45726072059643658</v>
      </c>
      <c r="AM346" s="360">
        <v>1.0799642098208111</v>
      </c>
      <c r="AN346" s="360">
        <v>789.76471614067384</v>
      </c>
      <c r="AO346" s="360"/>
      <c r="AP346" s="360"/>
      <c r="AQ346" s="360"/>
    </row>
    <row r="347" spans="1:43">
      <c r="A347" s="360" t="s">
        <v>1084</v>
      </c>
      <c r="B347" t="s">
        <v>1075</v>
      </c>
      <c r="C347">
        <v>2</v>
      </c>
      <c r="D347" t="s">
        <v>1080</v>
      </c>
      <c r="E347" t="s">
        <v>1079</v>
      </c>
      <c r="F347" s="360">
        <v>5</v>
      </c>
      <c r="G347" s="360" t="str">
        <f>CONCATENATE(A347," ",B347," ",C347," ","inf+"," ",FanUpsizes!D347," ",FanUpsizes!F347)</f>
        <v>1.5ACH Percentile 2 inf+ Existing 5</v>
      </c>
      <c r="H347" s="360">
        <v>5.2979616304095381E-2</v>
      </c>
      <c r="I347" s="360">
        <v>0.39199774749802158</v>
      </c>
      <c r="J347" s="360">
        <v>1.1208469140390767</v>
      </c>
      <c r="K347" s="360">
        <v>3773.0473292846495</v>
      </c>
      <c r="L347" s="360">
        <v>0.31726085760651479</v>
      </c>
      <c r="M347" s="360">
        <v>1.7768748656272206</v>
      </c>
      <c r="N347" s="360">
        <v>2.3702900991401243</v>
      </c>
      <c r="O347" s="360">
        <v>0.72603337857911376</v>
      </c>
      <c r="P347" s="360">
        <v>1.12084691967607</v>
      </c>
      <c r="Q347" s="360">
        <v>857.81056235191124</v>
      </c>
      <c r="R347" s="360">
        <v>4639.1747410324033</v>
      </c>
      <c r="S347" s="360">
        <v>0.23058001025163982</v>
      </c>
      <c r="T347" s="360">
        <v>2.4333748734223328</v>
      </c>
      <c r="U347" s="360">
        <v>4.0002363771478766</v>
      </c>
      <c r="V347" s="360">
        <v>0.85563902991807095</v>
      </c>
      <c r="W347" s="360">
        <v>1.1208469165278709</v>
      </c>
      <c r="X347" s="360">
        <v>950.06373598764606</v>
      </c>
      <c r="Y347" s="360">
        <v>0.39867134991652342</v>
      </c>
      <c r="Z347" s="360">
        <v>1.1024155553907296</v>
      </c>
      <c r="AA347" s="360">
        <v>3861.6187954638858</v>
      </c>
      <c r="AB347" s="360">
        <v>0.32218077307512905</v>
      </c>
      <c r="AC347" s="360">
        <v>1.7597486879014734</v>
      </c>
      <c r="AD347" s="360">
        <v>2.4561902713586976</v>
      </c>
      <c r="AE347" s="360">
        <v>0.75414127900903627</v>
      </c>
      <c r="AF347" s="360">
        <v>1.1024155709442074</v>
      </c>
      <c r="AG347" s="360">
        <v>779.82415297375007</v>
      </c>
      <c r="AH347" s="360">
        <v>4725.0574208525031</v>
      </c>
      <c r="AI347" s="360">
        <v>0.23535274099225251</v>
      </c>
      <c r="AJ347" s="360">
        <v>2.3896812412622315</v>
      </c>
      <c r="AK347" s="360">
        <v>4.145373474304801</v>
      </c>
      <c r="AL347" s="360">
        <v>0.88825115438240709</v>
      </c>
      <c r="AM347" s="360">
        <v>1.1024161293959067</v>
      </c>
      <c r="AN347" s="360">
        <v>873.66146373658489</v>
      </c>
      <c r="AO347" s="360"/>
      <c r="AP347" s="360"/>
      <c r="AQ347" s="360"/>
    </row>
    <row r="348" spans="1:43">
      <c r="A348" s="360" t="s">
        <v>1084</v>
      </c>
      <c r="B348" t="s">
        <v>1074</v>
      </c>
      <c r="C348">
        <v>2</v>
      </c>
      <c r="D348" t="s">
        <v>1080</v>
      </c>
      <c r="E348" t="s">
        <v>1079</v>
      </c>
      <c r="F348" s="360">
        <v>5</v>
      </c>
      <c r="G348" s="360" t="str">
        <f>CONCATENATE(A348," ",B348," ",C348," ","inf+"," ",FanUpsizes!D348," ",FanUpsizes!F348)</f>
        <v>1.5ACH Infiltration 2 inf+ Existing 5</v>
      </c>
      <c r="H348" s="360">
        <v>5.2979616304095381E-2</v>
      </c>
      <c r="I348" s="360">
        <v>0.39199774749802158</v>
      </c>
      <c r="J348" s="360">
        <v>1.1208469140390767</v>
      </c>
      <c r="K348" s="360">
        <v>0</v>
      </c>
      <c r="L348" s="360">
        <v>0.39199774749802158</v>
      </c>
      <c r="M348" s="360">
        <v>1.1208469140390767</v>
      </c>
      <c r="N348" s="360">
        <v>1</v>
      </c>
      <c r="O348" s="360">
        <v>0.39199774749802158</v>
      </c>
      <c r="P348" s="360">
        <v>1.1208469140390767</v>
      </c>
      <c r="Q348" s="360">
        <v>0</v>
      </c>
      <c r="R348" s="360">
        <v>0</v>
      </c>
      <c r="S348" s="360">
        <v>0.39199774749802158</v>
      </c>
      <c r="T348" s="360">
        <v>1.1208469140390767</v>
      </c>
      <c r="U348" s="360">
        <v>1</v>
      </c>
      <c r="V348" s="360">
        <v>0.39199774749802158</v>
      </c>
      <c r="W348" s="360">
        <v>1.1208469140390767</v>
      </c>
      <c r="X348" s="360">
        <v>0</v>
      </c>
      <c r="Y348" s="360">
        <v>0.39867134991652342</v>
      </c>
      <c r="Z348" s="360">
        <v>1.1024155553907296</v>
      </c>
      <c r="AA348" s="360">
        <v>0</v>
      </c>
      <c r="AB348" s="360">
        <v>0.39867134991652342</v>
      </c>
      <c r="AC348" s="360">
        <v>1.1024155553907296</v>
      </c>
      <c r="AD348" s="360">
        <v>1</v>
      </c>
      <c r="AE348" s="360">
        <v>0.39867134991652342</v>
      </c>
      <c r="AF348" s="360">
        <v>1.1024155553907296</v>
      </c>
      <c r="AG348" s="360">
        <v>0</v>
      </c>
      <c r="AH348" s="360">
        <v>0</v>
      </c>
      <c r="AI348" s="360">
        <v>0.39867134991652342</v>
      </c>
      <c r="AJ348" s="360">
        <v>1.1024155553907296</v>
      </c>
      <c r="AK348" s="360">
        <v>1</v>
      </c>
      <c r="AL348" s="360">
        <v>0.39867134991652342</v>
      </c>
      <c r="AM348" s="360">
        <v>1.1024155553907296</v>
      </c>
      <c r="AN348" s="360">
        <v>0</v>
      </c>
      <c r="AO348" s="360"/>
      <c r="AP348" s="360"/>
      <c r="AQ348" s="360"/>
    </row>
    <row r="349" spans="1:43">
      <c r="A349" s="360" t="s">
        <v>1084</v>
      </c>
      <c r="B349" t="s">
        <v>1076</v>
      </c>
      <c r="C349">
        <v>2</v>
      </c>
      <c r="D349" t="s">
        <v>1080</v>
      </c>
      <c r="E349" t="s">
        <v>1079</v>
      </c>
      <c r="F349" s="360">
        <v>5</v>
      </c>
      <c r="G349" s="360" t="str">
        <f>CONCATENATE(A349," ",B349," ",C349," ","inf+"," ",FanUpsizes!D349," ",FanUpsizes!F349)</f>
        <v>1.5ACH 5C 2 inf+ Existing 5</v>
      </c>
      <c r="H349" s="360">
        <v>5.2979616304095381E-2</v>
      </c>
      <c r="I349" s="360">
        <v>0.39199774749802158</v>
      </c>
      <c r="J349" s="360">
        <v>1.1208469140390767</v>
      </c>
      <c r="K349" s="360">
        <v>1664.1122757226956</v>
      </c>
      <c r="L349" s="360">
        <v>0.36501275000003858</v>
      </c>
      <c r="M349" s="360">
        <v>1.2949555977790768</v>
      </c>
      <c r="N349" s="360">
        <v>1.1825867868350914</v>
      </c>
      <c r="O349" s="360">
        <v>0.42974788673379444</v>
      </c>
      <c r="P349" s="360">
        <v>1.1208470930461065</v>
      </c>
      <c r="Q349" s="360">
        <v>810.88384900593348</v>
      </c>
      <c r="R349" s="360">
        <v>1664.1122757226956</v>
      </c>
      <c r="S349" s="360">
        <v>0.36501275000003858</v>
      </c>
      <c r="T349" s="360">
        <v>1.2949555977790768</v>
      </c>
      <c r="U349" s="360">
        <v>1.1825867868350914</v>
      </c>
      <c r="V349" s="360">
        <v>0.42974788673379444</v>
      </c>
      <c r="W349" s="360">
        <v>1.1208470930461065</v>
      </c>
      <c r="X349" s="360">
        <v>810.88384900593348</v>
      </c>
      <c r="Y349" s="360">
        <v>0.39867134991652342</v>
      </c>
      <c r="Z349" s="360">
        <v>1.1024155553907296</v>
      </c>
      <c r="AA349" s="360">
        <v>1707.0352278985597</v>
      </c>
      <c r="AB349" s="360">
        <v>0.37098976970653863</v>
      </c>
      <c r="AC349" s="360">
        <v>1.2768159698835193</v>
      </c>
      <c r="AD349" s="360">
        <v>1.1909442498065868</v>
      </c>
      <c r="AE349" s="360">
        <v>0.43815611806969107</v>
      </c>
      <c r="AF349" s="360">
        <v>1.1024183219779831</v>
      </c>
      <c r="AG349" s="360">
        <v>822.77784851037234</v>
      </c>
      <c r="AH349" s="360">
        <v>1707.0352278985597</v>
      </c>
      <c r="AI349" s="360">
        <v>0.37098976970653863</v>
      </c>
      <c r="AJ349" s="360">
        <v>1.2768159698835193</v>
      </c>
      <c r="AK349" s="360">
        <v>1.1909442498065868</v>
      </c>
      <c r="AL349" s="360">
        <v>0.43815611806969107</v>
      </c>
      <c r="AM349" s="360">
        <v>1.1024183219779831</v>
      </c>
      <c r="AN349" s="360">
        <v>822.77784851037234</v>
      </c>
      <c r="AO349" s="360"/>
      <c r="AP349" s="360"/>
      <c r="AQ349" s="360"/>
    </row>
    <row r="350" spans="1:43">
      <c r="A350" s="360" t="s">
        <v>1085</v>
      </c>
      <c r="B350" t="s">
        <v>1075</v>
      </c>
      <c r="C350">
        <v>1</v>
      </c>
      <c r="D350" t="s">
        <v>1078</v>
      </c>
      <c r="E350" t="s">
        <v>1079</v>
      </c>
      <c r="F350" s="360">
        <v>5</v>
      </c>
      <c r="G350" s="360" t="str">
        <f>CONCATENATE(A350," ",B350," ",C350," ","inf+"," ",FanUpsizes!D350," ",FanUpsizes!F350)</f>
        <v>0.6ACH Percentile 1 inf+ New 5</v>
      </c>
      <c r="H350" s="360">
        <v>4.1283842132723084E-2</v>
      </c>
      <c r="I350" s="360">
        <v>0.30470903470587402</v>
      </c>
      <c r="J350" s="360">
        <v>1.0479678425372496</v>
      </c>
      <c r="K350" s="360">
        <v>3355.8021856362216</v>
      </c>
      <c r="L350" s="360">
        <v>0.23823436205365897</v>
      </c>
      <c r="M350" s="360">
        <v>1.9779340780167722</v>
      </c>
      <c r="N350" s="360">
        <v>3.6038498503498246</v>
      </c>
      <c r="O350" s="360">
        <v>0.84479952174387685</v>
      </c>
      <c r="P350" s="360">
        <v>1.0479681456300076</v>
      </c>
      <c r="Q350" s="360">
        <v>-969.99689766300412</v>
      </c>
      <c r="R350" s="360">
        <v>4050.2690304985408</v>
      </c>
      <c r="S350" s="360">
        <v>0.1686102900860128</v>
      </c>
      <c r="T350" s="360">
        <v>2.8466181838502993</v>
      </c>
      <c r="U350" s="360">
        <v>6.2728634233171725</v>
      </c>
      <c r="V350" s="360">
        <v>1.0294976669463434</v>
      </c>
      <c r="W350" s="360">
        <v>1.0479678561934456</v>
      </c>
      <c r="X350" s="360">
        <v>-1045.09127751907</v>
      </c>
      <c r="Y350" s="360">
        <v>0.30558330886859197</v>
      </c>
      <c r="Z350" s="360">
        <v>1.0449837177138457</v>
      </c>
      <c r="AA350" s="360">
        <v>3366.8299633617139</v>
      </c>
      <c r="AB350" s="360">
        <v>0.23889028047706182</v>
      </c>
      <c r="AC350" s="360">
        <v>1.9744668599249049</v>
      </c>
      <c r="AD350" s="360">
        <v>3.6336412641220148</v>
      </c>
      <c r="AE350" s="360">
        <v>0.85192087561755558</v>
      </c>
      <c r="AF350" s="360">
        <v>1.0449838079175806</v>
      </c>
      <c r="AG350" s="360">
        <v>-1005.2214188323343</v>
      </c>
      <c r="AH350" s="360">
        <v>4058.039293886045</v>
      </c>
      <c r="AI350" s="360">
        <v>0.16955391076720561</v>
      </c>
      <c r="AJ350" s="360">
        <v>2.829839204587274</v>
      </c>
      <c r="AK350" s="360">
        <v>6.3247064705698683</v>
      </c>
      <c r="AL350" s="360">
        <v>1.0381221894682358</v>
      </c>
      <c r="AM350" s="360">
        <v>1.0449837373691151</v>
      </c>
      <c r="AN350" s="360">
        <v>-1081.0025509585582</v>
      </c>
      <c r="AO350" s="360"/>
      <c r="AP350" s="360"/>
      <c r="AQ350" s="360"/>
    </row>
    <row r="351" spans="1:43">
      <c r="A351" s="360" t="s">
        <v>1085</v>
      </c>
      <c r="B351" t="s">
        <v>1074</v>
      </c>
      <c r="C351">
        <v>1</v>
      </c>
      <c r="D351" t="s">
        <v>1078</v>
      </c>
      <c r="E351" t="s">
        <v>1079</v>
      </c>
      <c r="F351" s="360">
        <v>5</v>
      </c>
      <c r="G351" s="360" t="str">
        <f>CONCATENATE(A351," ",B351," ",C351," ","inf+"," ",FanUpsizes!D351," ",FanUpsizes!F351)</f>
        <v>0.6ACH Infiltration 1 inf+ New 5</v>
      </c>
      <c r="H351" s="360">
        <v>4.1283842132723084E-2</v>
      </c>
      <c r="I351" s="360">
        <v>0.30470903470587402</v>
      </c>
      <c r="J351" s="360">
        <v>1.0479678425372496</v>
      </c>
      <c r="K351" s="360">
        <v>0</v>
      </c>
      <c r="L351" s="360">
        <v>0.30470903470587402</v>
      </c>
      <c r="M351" s="360">
        <v>1.0479678425372496</v>
      </c>
      <c r="N351" s="360">
        <v>1</v>
      </c>
      <c r="O351" s="360">
        <v>0.30470903470587402</v>
      </c>
      <c r="P351" s="360">
        <v>1.0479678425372496</v>
      </c>
      <c r="Q351" s="360">
        <v>0</v>
      </c>
      <c r="R351" s="360">
        <v>0</v>
      </c>
      <c r="S351" s="360">
        <v>0.30470903470587402</v>
      </c>
      <c r="T351" s="360">
        <v>1.0479678425372496</v>
      </c>
      <c r="U351" s="360">
        <v>1</v>
      </c>
      <c r="V351" s="360">
        <v>0.30470903470587402</v>
      </c>
      <c r="W351" s="360">
        <v>1.0479678425372496</v>
      </c>
      <c r="X351" s="360">
        <v>0</v>
      </c>
      <c r="Y351" s="360">
        <v>0.30558330886859197</v>
      </c>
      <c r="Z351" s="360">
        <v>1.0449837177138457</v>
      </c>
      <c r="AA351" s="360">
        <v>0</v>
      </c>
      <c r="AB351" s="360">
        <v>0.30558330886859197</v>
      </c>
      <c r="AC351" s="360">
        <v>1.0449837177138457</v>
      </c>
      <c r="AD351" s="360">
        <v>1</v>
      </c>
      <c r="AE351" s="360">
        <v>0.30558330886859197</v>
      </c>
      <c r="AF351" s="360">
        <v>1.0449837177138457</v>
      </c>
      <c r="AG351" s="360">
        <v>0</v>
      </c>
      <c r="AH351" s="360">
        <v>0</v>
      </c>
      <c r="AI351" s="360">
        <v>0.30558330886859197</v>
      </c>
      <c r="AJ351" s="360">
        <v>1.0449837177138457</v>
      </c>
      <c r="AK351" s="360">
        <v>1</v>
      </c>
      <c r="AL351" s="360">
        <v>0.30558330886859197</v>
      </c>
      <c r="AM351" s="360">
        <v>1.0449837177138457</v>
      </c>
      <c r="AN351" s="360">
        <v>0</v>
      </c>
      <c r="AO351" s="360"/>
      <c r="AP351" s="360"/>
      <c r="AQ351" s="360"/>
    </row>
    <row r="352" spans="1:43">
      <c r="A352" s="360" t="s">
        <v>1085</v>
      </c>
      <c r="B352" t="s">
        <v>1076</v>
      </c>
      <c r="C352">
        <v>1</v>
      </c>
      <c r="D352" t="s">
        <v>1078</v>
      </c>
      <c r="E352" t="s">
        <v>1079</v>
      </c>
      <c r="F352" s="360">
        <v>5</v>
      </c>
      <c r="G352" s="360" t="str">
        <f>CONCATENATE(A352," ",B352," ",C352," ","inf+"," ",FanUpsizes!D352," ",FanUpsizes!F352)</f>
        <v>0.6ACH 5C 1 inf+ New 5</v>
      </c>
      <c r="H352" s="360">
        <v>4.1283842132723084E-2</v>
      </c>
      <c r="I352" s="360">
        <v>0.30470903470587402</v>
      </c>
      <c r="J352" s="360">
        <v>1.0479678425372496</v>
      </c>
      <c r="K352" s="360">
        <v>1493.2283516134687</v>
      </c>
      <c r="L352" s="360">
        <v>0.28048082512294031</v>
      </c>
      <c r="M352" s="360">
        <v>1.2525511245585399</v>
      </c>
      <c r="N352" s="360">
        <v>1.2241122391652819</v>
      </c>
      <c r="O352" s="360">
        <v>0.34287641286165343</v>
      </c>
      <c r="P352" s="360">
        <v>1.0479681255049065</v>
      </c>
      <c r="Q352" s="360">
        <v>672.06001424064664</v>
      </c>
      <c r="R352" s="360">
        <v>1493.2283516134687</v>
      </c>
      <c r="S352" s="360">
        <v>0.28048082512294031</v>
      </c>
      <c r="T352" s="360">
        <v>1.2525511245585399</v>
      </c>
      <c r="U352" s="360">
        <v>1.2241122391652819</v>
      </c>
      <c r="V352" s="360">
        <v>0.34287641286165343</v>
      </c>
      <c r="W352" s="360">
        <v>1.0479681255049065</v>
      </c>
      <c r="X352" s="360">
        <v>672.06001424064664</v>
      </c>
      <c r="Y352" s="360">
        <v>0.30558330886859197</v>
      </c>
      <c r="Z352" s="360">
        <v>1.0449837177138457</v>
      </c>
      <c r="AA352" s="360">
        <v>1498.4912054990223</v>
      </c>
      <c r="AB352" s="360">
        <v>0.28126965135081783</v>
      </c>
      <c r="AC352" s="360">
        <v>1.2494440056522633</v>
      </c>
      <c r="AD352" s="360">
        <v>1.2258433293116355</v>
      </c>
      <c r="AE352" s="360">
        <v>0.34400300133053208</v>
      </c>
      <c r="AF352" s="360">
        <v>1.0449844668582351</v>
      </c>
      <c r="AG352" s="360">
        <v>672.85505277642437</v>
      </c>
      <c r="AH352" s="360">
        <v>1498.4912054990223</v>
      </c>
      <c r="AI352" s="360">
        <v>0.28126965135081783</v>
      </c>
      <c r="AJ352" s="360">
        <v>1.2494440056522633</v>
      </c>
      <c r="AK352" s="360">
        <v>1.2258433293116355</v>
      </c>
      <c r="AL352" s="360">
        <v>0.34400300133053208</v>
      </c>
      <c r="AM352" s="360">
        <v>1.0449844668582351</v>
      </c>
      <c r="AN352" s="360">
        <v>672.85505277642437</v>
      </c>
      <c r="AO352" s="360"/>
      <c r="AP352" s="360"/>
      <c r="AQ352" s="360"/>
    </row>
    <row r="353" spans="1:43">
      <c r="A353" s="360" t="s">
        <v>1085</v>
      </c>
      <c r="B353" t="s">
        <v>1075</v>
      </c>
      <c r="C353">
        <v>2</v>
      </c>
      <c r="D353" t="s">
        <v>1078</v>
      </c>
      <c r="E353" t="s">
        <v>1079</v>
      </c>
      <c r="F353" s="360">
        <v>5</v>
      </c>
      <c r="G353" s="360" t="str">
        <f>CONCATENATE(A353," ",B353," ",C353," ","inf+"," ",FanUpsizes!D353," ",FanUpsizes!F353)</f>
        <v>0.6ACH Percentile 2 inf+ New 5</v>
      </c>
      <c r="H353" s="360">
        <v>4.0650846521638154E-2</v>
      </c>
      <c r="I353" s="360">
        <v>0.30004140786217959</v>
      </c>
      <c r="J353" s="360">
        <v>1.0642637428792299</v>
      </c>
      <c r="K353" s="360">
        <v>3215.1138305678687</v>
      </c>
      <c r="L353" s="360">
        <v>0.23636150919785029</v>
      </c>
      <c r="M353" s="360">
        <v>1.8982794232213207</v>
      </c>
      <c r="N353" s="360">
        <v>2.9909482564939762</v>
      </c>
      <c r="O353" s="360">
        <v>0.69303604085281334</v>
      </c>
      <c r="P353" s="360">
        <v>1.064263781422121</v>
      </c>
      <c r="Q353" s="360">
        <v>-41.75198163807103</v>
      </c>
      <c r="R353" s="360">
        <v>3896.6530994945674</v>
      </c>
      <c r="S353" s="360">
        <v>0.16803585979412483</v>
      </c>
      <c r="T353" s="360">
        <v>2.7106532446391749</v>
      </c>
      <c r="U353" s="360">
        <v>5.1708305399294865</v>
      </c>
      <c r="V353" s="360">
        <v>0.83831074016405627</v>
      </c>
      <c r="W353" s="360">
        <v>1.064263942644093</v>
      </c>
      <c r="X353" s="360">
        <v>-69.608094658406245</v>
      </c>
      <c r="Y353" s="360">
        <v>0.30166724688854629</v>
      </c>
      <c r="Z353" s="360">
        <v>1.0585790992123227</v>
      </c>
      <c r="AA353" s="360">
        <v>3234.8093397011048</v>
      </c>
      <c r="AB353" s="360">
        <v>0.23759569117105961</v>
      </c>
      <c r="AC353" s="360">
        <v>1.891973057162919</v>
      </c>
      <c r="AD353" s="360">
        <v>3.0303093960683634</v>
      </c>
      <c r="AE353" s="360">
        <v>0.70247740518929835</v>
      </c>
      <c r="AF353" s="360">
        <v>1.0585791411892977</v>
      </c>
      <c r="AG353" s="360">
        <v>-80.860471599047941</v>
      </c>
      <c r="AH353" s="360">
        <v>3912.333491632915</v>
      </c>
      <c r="AI353" s="360">
        <v>0.16961222509532481</v>
      </c>
      <c r="AJ353" s="360">
        <v>2.6851839955160814</v>
      </c>
      <c r="AK353" s="360">
        <v>5.2389391974672925</v>
      </c>
      <c r="AL353" s="360">
        <v>0.84962779355082019</v>
      </c>
      <c r="AM353" s="360">
        <v>1.0585791780555671</v>
      </c>
      <c r="AN353" s="360">
        <v>-109.33801352262969</v>
      </c>
      <c r="AO353" s="360"/>
      <c r="AP353" s="360"/>
      <c r="AQ353" s="360"/>
    </row>
    <row r="354" spans="1:43">
      <c r="A354" s="360" t="s">
        <v>1085</v>
      </c>
      <c r="B354" t="s">
        <v>1074</v>
      </c>
      <c r="C354">
        <v>2</v>
      </c>
      <c r="D354" t="s">
        <v>1078</v>
      </c>
      <c r="E354" t="s">
        <v>1079</v>
      </c>
      <c r="F354" s="360">
        <v>5</v>
      </c>
      <c r="G354" s="360" t="str">
        <f>CONCATENATE(A354," ",B354," ",C354," ","inf+"," ",FanUpsizes!D354," ",FanUpsizes!F354)</f>
        <v>0.6ACH Infiltration 2 inf+ New 5</v>
      </c>
      <c r="H354" s="360">
        <v>4.0650846521638154E-2</v>
      </c>
      <c r="I354" s="360">
        <v>0.30004140786217959</v>
      </c>
      <c r="J354" s="360">
        <v>1.0642637428792299</v>
      </c>
      <c r="K354" s="360">
        <v>0</v>
      </c>
      <c r="L354" s="360">
        <v>0.30004140786217959</v>
      </c>
      <c r="M354" s="360">
        <v>1.0642637428792299</v>
      </c>
      <c r="N354" s="360">
        <v>1</v>
      </c>
      <c r="O354" s="360">
        <v>0.30004140786217959</v>
      </c>
      <c r="P354" s="360">
        <v>1.0642637428792299</v>
      </c>
      <c r="Q354" s="360">
        <v>0</v>
      </c>
      <c r="R354" s="360">
        <v>0</v>
      </c>
      <c r="S354" s="360">
        <v>0.30004140786217959</v>
      </c>
      <c r="T354" s="360">
        <v>1.0642637428792299</v>
      </c>
      <c r="U354" s="360">
        <v>1</v>
      </c>
      <c r="V354" s="360">
        <v>0.30004140786217959</v>
      </c>
      <c r="W354" s="360">
        <v>1.0642637428792299</v>
      </c>
      <c r="X354" s="360">
        <v>0</v>
      </c>
      <c r="Y354" s="360">
        <v>0.30166724688854629</v>
      </c>
      <c r="Z354" s="360">
        <v>1.0585790992123227</v>
      </c>
      <c r="AA354" s="360">
        <v>0</v>
      </c>
      <c r="AB354" s="360">
        <v>0.30166724688854629</v>
      </c>
      <c r="AC354" s="360">
        <v>1.0585790992123227</v>
      </c>
      <c r="AD354" s="360">
        <v>1</v>
      </c>
      <c r="AE354" s="360">
        <v>0.30166724688854629</v>
      </c>
      <c r="AF354" s="360">
        <v>1.0585790992123227</v>
      </c>
      <c r="AG354" s="360">
        <v>0</v>
      </c>
      <c r="AH354" s="360">
        <v>0</v>
      </c>
      <c r="AI354" s="360">
        <v>0.30166724688854629</v>
      </c>
      <c r="AJ354" s="360">
        <v>1.0585790992123227</v>
      </c>
      <c r="AK354" s="360">
        <v>1</v>
      </c>
      <c r="AL354" s="360">
        <v>0.30166724688854629</v>
      </c>
      <c r="AM354" s="360">
        <v>1.0585790992123227</v>
      </c>
      <c r="AN354" s="360">
        <v>0</v>
      </c>
      <c r="AO354" s="360"/>
      <c r="AP354" s="360"/>
      <c r="AQ354" s="360"/>
    </row>
    <row r="355" spans="1:43">
      <c r="A355" s="360" t="s">
        <v>1085</v>
      </c>
      <c r="B355" t="s">
        <v>1076</v>
      </c>
      <c r="C355">
        <v>2</v>
      </c>
      <c r="D355" t="s">
        <v>1078</v>
      </c>
      <c r="E355" t="s">
        <v>1079</v>
      </c>
      <c r="F355" s="360">
        <v>5</v>
      </c>
      <c r="G355" s="360" t="str">
        <f>CONCATENATE(A355," ",B355," ",C355," ","inf+"," ",FanUpsizes!D355," ",FanUpsizes!F355)</f>
        <v>0.6ACH 5C 2 inf+ New 5</v>
      </c>
      <c r="H355" s="360">
        <v>4.0650846521638154E-2</v>
      </c>
      <c r="I355" s="360">
        <v>0.30004140786217959</v>
      </c>
      <c r="J355" s="360">
        <v>1.0642637428792299</v>
      </c>
      <c r="K355" s="360">
        <v>1429.0012701803901</v>
      </c>
      <c r="L355" s="360">
        <v>0.27685836942837044</v>
      </c>
      <c r="M355" s="360">
        <v>1.2568961248828652</v>
      </c>
      <c r="N355" s="360">
        <v>1.2068760795976035</v>
      </c>
      <c r="O355" s="360">
        <v>0.33356791551397408</v>
      </c>
      <c r="P355" s="360">
        <v>1.0642645204598158</v>
      </c>
      <c r="Q355" s="360">
        <v>682.61028840013103</v>
      </c>
      <c r="R355" s="360">
        <v>1429.0012701803901</v>
      </c>
      <c r="S355" s="360">
        <v>0.27685836942837044</v>
      </c>
      <c r="T355" s="360">
        <v>1.2568961248828652</v>
      </c>
      <c r="U355" s="360">
        <v>1.2068760795976035</v>
      </c>
      <c r="V355" s="360">
        <v>0.33356791551397408</v>
      </c>
      <c r="W355" s="360">
        <v>1.0642645204598158</v>
      </c>
      <c r="X355" s="360">
        <v>682.61028840013103</v>
      </c>
      <c r="Y355" s="360">
        <v>0.30166724688854629</v>
      </c>
      <c r="Z355" s="360">
        <v>1.0585790992123227</v>
      </c>
      <c r="AA355" s="360">
        <v>1438.2326761388426</v>
      </c>
      <c r="AB355" s="360">
        <v>0.27833421931845842</v>
      </c>
      <c r="AC355" s="360">
        <v>1.2510302276030776</v>
      </c>
      <c r="AD355" s="360">
        <v>1.2099107123457036</v>
      </c>
      <c r="AE355" s="360">
        <v>0.33562700838023019</v>
      </c>
      <c r="AF355" s="360">
        <v>1.0585792330567143</v>
      </c>
      <c r="AG355" s="360">
        <v>684.11887291567109</v>
      </c>
      <c r="AH355" s="360">
        <v>1438.2326761388426</v>
      </c>
      <c r="AI355" s="360">
        <v>0.27833421931845842</v>
      </c>
      <c r="AJ355" s="360">
        <v>1.2510302276030776</v>
      </c>
      <c r="AK355" s="360">
        <v>1.2099107123457036</v>
      </c>
      <c r="AL355" s="360">
        <v>0.33562700838023019</v>
      </c>
      <c r="AM355" s="360">
        <v>1.0585792330567143</v>
      </c>
      <c r="AN355" s="360">
        <v>684.11887291567109</v>
      </c>
      <c r="AO355" s="360"/>
      <c r="AP355" s="360"/>
      <c r="AQ355" s="360"/>
    </row>
    <row r="356" spans="1:43">
      <c r="A356" s="360" t="s">
        <v>1085</v>
      </c>
      <c r="B356" t="s">
        <v>1075</v>
      </c>
      <c r="C356">
        <v>1</v>
      </c>
      <c r="D356" t="s">
        <v>1080</v>
      </c>
      <c r="E356" t="s">
        <v>1079</v>
      </c>
      <c r="F356" s="360">
        <v>5</v>
      </c>
      <c r="G356" s="360" t="str">
        <f>CONCATENATE(A356," ",B356," ",C356," ","inf+"," ",FanUpsizes!D356," ",FanUpsizes!F356)</f>
        <v>0.6ACH Percentile 1 inf+ Existing 5</v>
      </c>
      <c r="H356" s="360">
        <v>5.7533842132723084E-2</v>
      </c>
      <c r="I356" s="360">
        <v>0.42464752778641179</v>
      </c>
      <c r="J356" s="360">
        <v>1.0344232916311007</v>
      </c>
      <c r="K356" s="360">
        <v>4781.8884304938374</v>
      </c>
      <c r="L356" s="360">
        <v>0.32992706618155154</v>
      </c>
      <c r="M356" s="360">
        <v>2.2209284877837105</v>
      </c>
      <c r="N356" s="360">
        <v>6.9524298251671093</v>
      </c>
      <c r="O356" s="360">
        <v>2.262336179235477</v>
      </c>
      <c r="P356" s="360">
        <v>1.1424256307005478</v>
      </c>
      <c r="Q356" s="360">
        <v>-8999.3409003792494</v>
      </c>
      <c r="R356" s="360">
        <v>5750.2914984046974</v>
      </c>
      <c r="S356" s="360">
        <v>0.23283400354348741</v>
      </c>
      <c r="T356" s="360">
        <v>3.1169503131484064</v>
      </c>
      <c r="U356" s="360">
        <v>6.9524298251671093</v>
      </c>
      <c r="V356" s="360">
        <v>1.5872766733972083</v>
      </c>
      <c r="W356" s="360">
        <v>1.2704250994345119</v>
      </c>
      <c r="X356" s="360">
        <v>-2266.5192274923247</v>
      </c>
      <c r="Y356" s="360">
        <v>0.42527639258048677</v>
      </c>
      <c r="Z356" s="360">
        <v>1.0328979689546984</v>
      </c>
      <c r="AA356" s="360">
        <v>4789.812999984495</v>
      </c>
      <c r="AB356" s="360">
        <v>0.33039901027207708</v>
      </c>
      <c r="AC356" s="360">
        <v>2.2191424044204124</v>
      </c>
      <c r="AD356" s="360">
        <v>6.9524298251671093</v>
      </c>
      <c r="AE356" s="360">
        <v>2.2624042585237474</v>
      </c>
      <c r="AF356" s="360">
        <v>1.1424207411641665</v>
      </c>
      <c r="AG356" s="360">
        <v>-8988.6583581743052</v>
      </c>
      <c r="AH356" s="360">
        <v>5755.5358775678542</v>
      </c>
      <c r="AI356" s="360">
        <v>0.23354827514454338</v>
      </c>
      <c r="AJ356" s="360">
        <v>3.1074132381187489</v>
      </c>
      <c r="AK356" s="360">
        <v>6.9524298251671093</v>
      </c>
      <c r="AL356" s="360">
        <v>1.5873809902336797</v>
      </c>
      <c r="AM356" s="360">
        <v>1.2703939863399938</v>
      </c>
      <c r="AN356" s="360">
        <v>-2256.2315242526806</v>
      </c>
      <c r="AO356" s="360"/>
      <c r="AP356" s="360"/>
      <c r="AQ356" s="360"/>
    </row>
    <row r="357" spans="1:43">
      <c r="A357" s="360" t="s">
        <v>1085</v>
      </c>
      <c r="B357" t="s">
        <v>1074</v>
      </c>
      <c r="C357">
        <v>1</v>
      </c>
      <c r="D357" t="s">
        <v>1080</v>
      </c>
      <c r="E357" t="s">
        <v>1079</v>
      </c>
      <c r="F357" s="360">
        <v>5</v>
      </c>
      <c r="G357" s="360" t="str">
        <f>CONCATENATE(A357," ",B357," ",C357," ","inf+"," ",FanUpsizes!D357," ",FanUpsizes!F357)</f>
        <v>0.6ACH Infiltration 1 inf+ Existing 5</v>
      </c>
      <c r="H357" s="360">
        <v>5.7533842132723084E-2</v>
      </c>
      <c r="I357" s="360">
        <v>0.42464752778641179</v>
      </c>
      <c r="J357" s="360">
        <v>1.0344232916311007</v>
      </c>
      <c r="K357" s="360">
        <v>0</v>
      </c>
      <c r="L357" s="360">
        <v>0.42464752778641179</v>
      </c>
      <c r="M357" s="360">
        <v>1.0344232916311007</v>
      </c>
      <c r="N357" s="360">
        <v>1</v>
      </c>
      <c r="O357" s="360">
        <v>0.42464752778641179</v>
      </c>
      <c r="P357" s="360">
        <v>1.0344232916311007</v>
      </c>
      <c r="Q357" s="360">
        <v>0</v>
      </c>
      <c r="R357" s="360">
        <v>0</v>
      </c>
      <c r="S357" s="360">
        <v>0.42464752778641179</v>
      </c>
      <c r="T357" s="360">
        <v>1.0344232916311007</v>
      </c>
      <c r="U357" s="360">
        <v>1</v>
      </c>
      <c r="V357" s="360">
        <v>0.42464752778641179</v>
      </c>
      <c r="W357" s="360">
        <v>1.0344232916311007</v>
      </c>
      <c r="X357" s="360">
        <v>0</v>
      </c>
      <c r="Y357" s="360">
        <v>0.42527639258048677</v>
      </c>
      <c r="Z357" s="360">
        <v>1.0328979689546984</v>
      </c>
      <c r="AA357" s="360">
        <v>0</v>
      </c>
      <c r="AB357" s="360">
        <v>0.42527639258048677</v>
      </c>
      <c r="AC357" s="360">
        <v>1.0328979689546984</v>
      </c>
      <c r="AD357" s="360">
        <v>1</v>
      </c>
      <c r="AE357" s="360">
        <v>0.42527639258048677</v>
      </c>
      <c r="AF357" s="360">
        <v>1.0328979689546984</v>
      </c>
      <c r="AG357" s="360">
        <v>0</v>
      </c>
      <c r="AH357" s="360">
        <v>0</v>
      </c>
      <c r="AI357" s="360">
        <v>0.42527639258048677</v>
      </c>
      <c r="AJ357" s="360">
        <v>1.0328979689546984</v>
      </c>
      <c r="AK357" s="360">
        <v>1</v>
      </c>
      <c r="AL357" s="360">
        <v>0.42527639258048677</v>
      </c>
      <c r="AM357" s="360">
        <v>1.0328979689546984</v>
      </c>
      <c r="AN357" s="360">
        <v>0</v>
      </c>
      <c r="AO357" s="360"/>
      <c r="AP357" s="360"/>
      <c r="AQ357" s="360"/>
    </row>
    <row r="358" spans="1:43">
      <c r="A358" s="360" t="s">
        <v>1085</v>
      </c>
      <c r="B358" t="s">
        <v>1076</v>
      </c>
      <c r="C358">
        <v>1</v>
      </c>
      <c r="D358" t="s">
        <v>1080</v>
      </c>
      <c r="E358" t="s">
        <v>1079</v>
      </c>
      <c r="F358" s="360">
        <v>5</v>
      </c>
      <c r="G358" s="360" t="str">
        <f>CONCATENATE(A358," ",B358," ",C358," ","inf+"," ",FanUpsizes!D358," ",FanUpsizes!F358)</f>
        <v>0.6ACH 5C 1 inf+ Existing 5</v>
      </c>
      <c r="H358" s="360">
        <v>5.7533842132723084E-2</v>
      </c>
      <c r="I358" s="360">
        <v>0.42464752778641179</v>
      </c>
      <c r="J358" s="360">
        <v>1.0344232916311007</v>
      </c>
      <c r="K358" s="360">
        <v>2130.9853818428392</v>
      </c>
      <c r="L358" s="360">
        <v>0.39006846195132105</v>
      </c>
      <c r="M358" s="360">
        <v>1.2887852606719927</v>
      </c>
      <c r="N358" s="360">
        <v>1.3003442358326593</v>
      </c>
      <c r="O358" s="360">
        <v>0.50660198473660401</v>
      </c>
      <c r="P358" s="360">
        <v>1.0344234080311236</v>
      </c>
      <c r="Q358" s="360">
        <v>597.32502825304493</v>
      </c>
      <c r="R358" s="360">
        <v>2130.9853818428392</v>
      </c>
      <c r="S358" s="360">
        <v>0.39006846195132105</v>
      </c>
      <c r="T358" s="360">
        <v>1.2887852606719927</v>
      </c>
      <c r="U358" s="360">
        <v>1.3003442358326593</v>
      </c>
      <c r="V358" s="360">
        <v>0.50660198473660401</v>
      </c>
      <c r="W358" s="360">
        <v>1.0344234080311236</v>
      </c>
      <c r="X358" s="360">
        <v>597.32502825304493</v>
      </c>
      <c r="Y358" s="360">
        <v>0.42527639258048677</v>
      </c>
      <c r="Z358" s="360">
        <v>1.0328979689546984</v>
      </c>
      <c r="AA358" s="360">
        <v>2134.76601882877</v>
      </c>
      <c r="AB358" s="360">
        <v>0.39063594363518711</v>
      </c>
      <c r="AC358" s="360">
        <v>1.2871954996028967</v>
      </c>
      <c r="AD358" s="360">
        <v>1.3015785846702708</v>
      </c>
      <c r="AE358" s="360">
        <v>0.50751740141406232</v>
      </c>
      <c r="AF358" s="360">
        <v>1.0328979742256832</v>
      </c>
      <c r="AG358" s="360">
        <v>596.50419416225805</v>
      </c>
      <c r="AH358" s="360">
        <v>2134.76601882877</v>
      </c>
      <c r="AI358" s="360">
        <v>0.39063594363518711</v>
      </c>
      <c r="AJ358" s="360">
        <v>1.2871954996028967</v>
      </c>
      <c r="AK358" s="360">
        <v>1.3015785846702708</v>
      </c>
      <c r="AL358" s="360">
        <v>0.50751740141406232</v>
      </c>
      <c r="AM358" s="360">
        <v>1.0328979742256832</v>
      </c>
      <c r="AN358" s="360">
        <v>596.50419416225805</v>
      </c>
      <c r="AO358" s="360"/>
      <c r="AP358" s="360"/>
      <c r="AQ358" s="360"/>
    </row>
    <row r="359" spans="1:43">
      <c r="A359" s="360" t="s">
        <v>1085</v>
      </c>
      <c r="B359" t="s">
        <v>1075</v>
      </c>
      <c r="C359">
        <v>2</v>
      </c>
      <c r="D359" t="s">
        <v>1080</v>
      </c>
      <c r="E359" t="s">
        <v>1079</v>
      </c>
      <c r="F359" s="360">
        <v>5</v>
      </c>
      <c r="G359" s="360" t="str">
        <f>CONCATENATE(A359," ",B359," ",C359," ","inf+"," ",FanUpsizes!D359," ",FanUpsizes!F359)</f>
        <v>0.6ACH Percentile 2 inf+ Existing 5</v>
      </c>
      <c r="H359" s="360">
        <v>5.6900846521638154E-2</v>
      </c>
      <c r="I359" s="360">
        <v>0.41997549457289018</v>
      </c>
      <c r="J359" s="360">
        <v>1.0459269668421596</v>
      </c>
      <c r="K359" s="360">
        <v>4641.2000754255105</v>
      </c>
      <c r="L359" s="360">
        <v>0.32804980695591524</v>
      </c>
      <c r="M359" s="360">
        <v>2.1207198541571932</v>
      </c>
      <c r="N359" s="360">
        <v>7.029772392716314</v>
      </c>
      <c r="O359" s="360">
        <v>2.2640306787348736</v>
      </c>
      <c r="P359" s="360">
        <v>1.0701091431743026</v>
      </c>
      <c r="Q359" s="360">
        <v>-9165.5017217961322</v>
      </c>
      <c r="R359" s="360">
        <v>5598.3548646594609</v>
      </c>
      <c r="S359" s="360">
        <v>0.23209032791446166</v>
      </c>
      <c r="T359" s="360">
        <v>2.9661126728002034</v>
      </c>
      <c r="U359" s="360">
        <v>7.029772392716314</v>
      </c>
      <c r="V359" s="360">
        <v>1.5889711728965863</v>
      </c>
      <c r="W359" s="360">
        <v>1.1921431527446662</v>
      </c>
      <c r="X359" s="360">
        <v>-2432.6800489091911</v>
      </c>
      <c r="Y359" s="360">
        <v>0.42114574068049565</v>
      </c>
      <c r="Z359" s="360">
        <v>1.0430361123776657</v>
      </c>
      <c r="AA359" s="360">
        <v>4655.3109789174487</v>
      </c>
      <c r="AB359" s="360">
        <v>0.32893941041169006</v>
      </c>
      <c r="AC359" s="360">
        <v>2.1174789373455862</v>
      </c>
      <c r="AD359" s="360">
        <v>7.029772392716314</v>
      </c>
      <c r="AE359" s="360">
        <v>2.2641579515132184</v>
      </c>
      <c r="AF359" s="360">
        <v>1.0701003772655366</v>
      </c>
      <c r="AG359" s="360">
        <v>-9146.2367514633315</v>
      </c>
      <c r="AH359" s="360">
        <v>5608.1157811001985</v>
      </c>
      <c r="AI359" s="360">
        <v>0.23337061725924385</v>
      </c>
      <c r="AJ359" s="360">
        <v>2.9502808402115228</v>
      </c>
      <c r="AK359" s="360">
        <v>7.029772392716314</v>
      </c>
      <c r="AL359" s="360">
        <v>1.5891667829601839</v>
      </c>
      <c r="AM359" s="360">
        <v>1.1920891895661032</v>
      </c>
      <c r="AN359" s="360">
        <v>-2414.1475989276678</v>
      </c>
      <c r="AO359" s="360"/>
      <c r="AP359" s="360"/>
      <c r="AQ359" s="360"/>
    </row>
    <row r="360" spans="1:43">
      <c r="A360" s="360" t="s">
        <v>1085</v>
      </c>
      <c r="B360" t="s">
        <v>1074</v>
      </c>
      <c r="C360">
        <v>2</v>
      </c>
      <c r="D360" t="s">
        <v>1080</v>
      </c>
      <c r="E360" t="s">
        <v>1079</v>
      </c>
      <c r="F360" s="360">
        <v>5</v>
      </c>
      <c r="G360" s="360" t="str">
        <f>CONCATENATE(A360," ",B360," ",C360," ","inf+"," ",FanUpsizes!D360," ",FanUpsizes!F360)</f>
        <v>0.6ACH Infiltration 2 inf+ Existing 5</v>
      </c>
      <c r="H360" s="360">
        <v>5.6900846521638154E-2</v>
      </c>
      <c r="I360" s="360">
        <v>0.41997549457289018</v>
      </c>
      <c r="J360" s="360">
        <v>1.0459269668421596</v>
      </c>
      <c r="K360" s="360">
        <v>0</v>
      </c>
      <c r="L360" s="360">
        <v>0.41997549457289018</v>
      </c>
      <c r="M360" s="360">
        <v>1.0459269668421596</v>
      </c>
      <c r="N360" s="360">
        <v>1</v>
      </c>
      <c r="O360" s="360">
        <v>0.41997549457289018</v>
      </c>
      <c r="P360" s="360">
        <v>1.0459269668421596</v>
      </c>
      <c r="Q360" s="360">
        <v>0</v>
      </c>
      <c r="R360" s="360">
        <v>0</v>
      </c>
      <c r="S360" s="360">
        <v>0.41997549457289018</v>
      </c>
      <c r="T360" s="360">
        <v>1.0459269668421596</v>
      </c>
      <c r="U360" s="360">
        <v>1</v>
      </c>
      <c r="V360" s="360">
        <v>0.41997549457289018</v>
      </c>
      <c r="W360" s="360">
        <v>1.0459269668421596</v>
      </c>
      <c r="X360" s="360">
        <v>0</v>
      </c>
      <c r="Y360" s="360">
        <v>0.42114574068049565</v>
      </c>
      <c r="Z360" s="360">
        <v>1.0430361123776657</v>
      </c>
      <c r="AA360" s="360">
        <v>0</v>
      </c>
      <c r="AB360" s="360">
        <v>0.42114574068049565</v>
      </c>
      <c r="AC360" s="360">
        <v>1.0430361123776657</v>
      </c>
      <c r="AD360" s="360">
        <v>1</v>
      </c>
      <c r="AE360" s="360">
        <v>0.42114574068049565</v>
      </c>
      <c r="AF360" s="360">
        <v>1.0430361123776657</v>
      </c>
      <c r="AG360" s="360">
        <v>0</v>
      </c>
      <c r="AH360" s="360">
        <v>0</v>
      </c>
      <c r="AI360" s="360">
        <v>0.42114574068049565</v>
      </c>
      <c r="AJ360" s="360">
        <v>1.0430361123776657</v>
      </c>
      <c r="AK360" s="360">
        <v>1</v>
      </c>
      <c r="AL360" s="360">
        <v>0.42114574068049565</v>
      </c>
      <c r="AM360" s="360">
        <v>1.0430361123776657</v>
      </c>
      <c r="AN360" s="360">
        <v>0</v>
      </c>
      <c r="AO360" s="360"/>
      <c r="AP360" s="360"/>
      <c r="AQ360" s="360"/>
    </row>
    <row r="361" spans="1:43">
      <c r="A361" s="360" t="s">
        <v>1085</v>
      </c>
      <c r="B361" t="s">
        <v>1076</v>
      </c>
      <c r="C361">
        <v>2</v>
      </c>
      <c r="D361" t="s">
        <v>1080</v>
      </c>
      <c r="E361" t="s">
        <v>1079</v>
      </c>
      <c r="F361" s="360">
        <v>5</v>
      </c>
      <c r="G361" s="360" t="str">
        <f>CONCATENATE(A361," ",B361," ",C361," ","inf+"," ",FanUpsizes!D361," ",FanUpsizes!F361)</f>
        <v>0.6ACH 5C 2 inf+ Existing 5</v>
      </c>
      <c r="H361" s="360">
        <v>5.6900846521638154E-2</v>
      </c>
      <c r="I361" s="360">
        <v>0.41997549457289018</v>
      </c>
      <c r="J361" s="360">
        <v>1.0459269668421596</v>
      </c>
      <c r="K361" s="360">
        <v>2066.7583004097655</v>
      </c>
      <c r="L361" s="360">
        <v>0.38644159988692378</v>
      </c>
      <c r="M361" s="360">
        <v>1.2872760826170233</v>
      </c>
      <c r="N361" s="360">
        <v>1.2795341502482098</v>
      </c>
      <c r="O361" s="360">
        <v>0.49370752842290649</v>
      </c>
      <c r="P361" s="360">
        <v>1.0459291137189186</v>
      </c>
      <c r="Q361" s="360">
        <v>655.06578520170774</v>
      </c>
      <c r="R361" s="360">
        <v>2066.7583004097655</v>
      </c>
      <c r="S361" s="360">
        <v>0.38644159988692378</v>
      </c>
      <c r="T361" s="360">
        <v>1.2872760826170233</v>
      </c>
      <c r="U361" s="360">
        <v>1.2795341502482098</v>
      </c>
      <c r="V361" s="360">
        <v>0.49370752842290649</v>
      </c>
      <c r="W361" s="360">
        <v>1.0459291137189186</v>
      </c>
      <c r="X361" s="360">
        <v>655.06578520170774</v>
      </c>
      <c r="Y361" s="360">
        <v>0.42114574068049565</v>
      </c>
      <c r="Z361" s="360">
        <v>1.0430361123776657</v>
      </c>
      <c r="AA361" s="360">
        <v>2073.3674225989571</v>
      </c>
      <c r="AB361" s="360">
        <v>0.38750446070762312</v>
      </c>
      <c r="AC361" s="360">
        <v>1.2842866732686589</v>
      </c>
      <c r="AD361" s="360">
        <v>1.2817095480110294</v>
      </c>
      <c r="AE361" s="360">
        <v>0.49537330777128635</v>
      </c>
      <c r="AF361" s="360">
        <v>1.0430364532509167</v>
      </c>
      <c r="AG361" s="360">
        <v>653.64073574780252</v>
      </c>
      <c r="AH361" s="360">
        <v>2073.3674225989571</v>
      </c>
      <c r="AI361" s="360">
        <v>0.38750446070762312</v>
      </c>
      <c r="AJ361" s="360">
        <v>1.2842866732686589</v>
      </c>
      <c r="AK361" s="360">
        <v>1.2817095480110294</v>
      </c>
      <c r="AL361" s="360">
        <v>0.49537330777128635</v>
      </c>
      <c r="AM361" s="360">
        <v>1.0430364532509167</v>
      </c>
      <c r="AN361" s="360">
        <v>653.64073574780252</v>
      </c>
      <c r="AO361" s="360"/>
      <c r="AP361" s="360"/>
      <c r="AQ361" s="360"/>
    </row>
    <row r="362" spans="1:43">
      <c r="A362" s="360" t="s">
        <v>1077</v>
      </c>
      <c r="B362" t="s">
        <v>1075</v>
      </c>
      <c r="C362">
        <v>1</v>
      </c>
      <c r="D362" t="s">
        <v>1078</v>
      </c>
      <c r="E362" t="s">
        <v>1079</v>
      </c>
      <c r="F362">
        <v>6</v>
      </c>
      <c r="G362" s="360" t="str">
        <f>CONCATENATE(A362," ",B362," ",C362," ","inf+"," ",FanUpsizes!D362," ",FanUpsizes!F362)</f>
        <v>10ACH Percentile 1 inf+ New 6</v>
      </c>
      <c r="H362" s="360">
        <v>1.4421666666666666E-2</v>
      </c>
      <c r="I362" s="360">
        <v>0.4380748513528428</v>
      </c>
      <c r="J362" s="360">
        <v>0.82473640234723067</v>
      </c>
      <c r="K362" s="360">
        <v>386.60994492462197</v>
      </c>
      <c r="L362" s="360">
        <v>0.42670139622270153</v>
      </c>
      <c r="M362" s="360">
        <v>0.85648305255445922</v>
      </c>
      <c r="N362" s="360">
        <v>1.3475631670618344</v>
      </c>
      <c r="O362" s="360">
        <v>0.4412823985248247</v>
      </c>
      <c r="P362" s="360">
        <v>0.82473656198021605</v>
      </c>
      <c r="Q362" s="360">
        <v>242.01953279789211</v>
      </c>
      <c r="R362" s="360">
        <v>585.99834809700008</v>
      </c>
      <c r="S362" s="360">
        <v>0.41376955901944096</v>
      </c>
      <c r="T362" s="360">
        <v>0.8891761872360312</v>
      </c>
      <c r="U362" s="360">
        <v>2.0090344270154139</v>
      </c>
      <c r="V362" s="360">
        <v>0.44318138590826311</v>
      </c>
      <c r="W362" s="360">
        <v>0.82473640399902592</v>
      </c>
      <c r="X362" s="360">
        <v>367.41778608250587</v>
      </c>
      <c r="Y362" s="360">
        <v>0.40261402782380595</v>
      </c>
      <c r="Z362" s="360">
        <v>0.90344380572131855</v>
      </c>
      <c r="AA362" s="360">
        <v>137.54222716999763</v>
      </c>
      <c r="AB362" s="360">
        <v>0.39876500543829524</v>
      </c>
      <c r="AC362" s="360">
        <v>0.91635708956710482</v>
      </c>
      <c r="AD362" s="360">
        <v>1.1413405986484091</v>
      </c>
      <c r="AE362" s="360">
        <v>0.40272598809713078</v>
      </c>
      <c r="AF362" s="360">
        <v>0.90344383827007047</v>
      </c>
      <c r="AG362" s="360">
        <v>96.327364101543509</v>
      </c>
      <c r="AH362" s="360">
        <v>241.20956763833004</v>
      </c>
      <c r="AI362" s="360">
        <v>0.39233827079942585</v>
      </c>
      <c r="AJ362" s="360">
        <v>0.9385849054073393</v>
      </c>
      <c r="AK362" s="360">
        <v>1.6129399450010351</v>
      </c>
      <c r="AL362" s="360">
        <v>0.40317904728625581</v>
      </c>
      <c r="AM362" s="360">
        <v>0.90344412445996725</v>
      </c>
      <c r="AN362" s="360">
        <v>173.79463052337223</v>
      </c>
      <c r="AO362" s="360">
        <f t="shared" ref="AO362:AO420" si="15">IF(ROUND(P362,3)=ROUND(J362,3),1,0)</f>
        <v>1</v>
      </c>
      <c r="AP362" s="360">
        <f t="shared" ref="AP362:AP420" si="16">IF(O362&gt;L362,1,0)</f>
        <v>1</v>
      </c>
      <c r="AQ362" s="360">
        <f t="shared" ref="AQ362:AQ420" si="17">IF(I362&gt;L362,1,0)</f>
        <v>1</v>
      </c>
    </row>
    <row r="363" spans="1:43">
      <c r="A363" s="360" t="s">
        <v>1077</v>
      </c>
      <c r="B363" t="s">
        <v>1074</v>
      </c>
      <c r="C363">
        <v>1</v>
      </c>
      <c r="D363" t="s">
        <v>1078</v>
      </c>
      <c r="E363" t="s">
        <v>1079</v>
      </c>
      <c r="F363" s="360">
        <v>6</v>
      </c>
      <c r="G363" s="360" t="str">
        <f>CONCATENATE(A363," ",B363," ",C363," ","inf+"," ",FanUpsizes!D363," ",FanUpsizes!F363)</f>
        <v>10ACH Infiltration 1 inf+ New 6</v>
      </c>
      <c r="H363" s="360">
        <v>1.4421666666666666E-2</v>
      </c>
      <c r="I363" s="360">
        <v>0.4380748513528428</v>
      </c>
      <c r="J363" s="360">
        <v>0.82473640234723067</v>
      </c>
      <c r="K363" s="360">
        <v>11.220299322924211</v>
      </c>
      <c r="L363" s="360">
        <v>0.4378561310618786</v>
      </c>
      <c r="M363" s="360">
        <v>0.82527721194601078</v>
      </c>
      <c r="N363" s="360">
        <v>1.0044674800739442</v>
      </c>
      <c r="O363" s="360">
        <v>0.43809319330307483</v>
      </c>
      <c r="P363" s="360">
        <v>0.82473693491261357</v>
      </c>
      <c r="Q363" s="360">
        <v>7.6847287051348818</v>
      </c>
      <c r="R363" s="360">
        <v>369.93945060104028</v>
      </c>
      <c r="S363" s="360">
        <v>0.42239078382161077</v>
      </c>
      <c r="T363" s="360">
        <v>0.8642807451031983</v>
      </c>
      <c r="U363" s="360">
        <v>1.4541976186810328</v>
      </c>
      <c r="V363" s="360">
        <v>0.439496481521855</v>
      </c>
      <c r="W363" s="360">
        <v>0.82473646716051552</v>
      </c>
      <c r="X363" s="360">
        <v>173.41613924781583</v>
      </c>
      <c r="Y363" s="360">
        <v>0.40261402782380595</v>
      </c>
      <c r="Z363" s="360">
        <v>0.90344380572131855</v>
      </c>
      <c r="AA363" s="360">
        <v>3.6412747233371845</v>
      </c>
      <c r="AB363" s="360">
        <v>0.40254603355402685</v>
      </c>
      <c r="AC363" s="360">
        <v>0.90364224886679412</v>
      </c>
      <c r="AD363" s="360">
        <v>1.0017845049243066</v>
      </c>
      <c r="AE363" s="360">
        <v>0.40260644318942113</v>
      </c>
      <c r="AF363" s="360">
        <v>0.90344395812831413</v>
      </c>
      <c r="AG363" s="360">
        <v>2.7014099730307484</v>
      </c>
      <c r="AH363" s="360">
        <v>188.15312930803958</v>
      </c>
      <c r="AI363" s="360">
        <v>0.39486671601970591</v>
      </c>
      <c r="AJ363" s="360">
        <v>0.92942292601412069</v>
      </c>
      <c r="AK363" s="360">
        <v>1.3579797063422003</v>
      </c>
      <c r="AL363" s="360">
        <v>0.40270854845101445</v>
      </c>
      <c r="AM363" s="360">
        <v>0.9034438395208213</v>
      </c>
      <c r="AN363" s="360">
        <v>112.38607332709039</v>
      </c>
      <c r="AO363" s="360">
        <f t="shared" si="15"/>
        <v>1</v>
      </c>
      <c r="AP363" s="360">
        <f t="shared" si="16"/>
        <v>1</v>
      </c>
      <c r="AQ363" s="360">
        <f t="shared" si="17"/>
        <v>1</v>
      </c>
    </row>
    <row r="364" spans="1:43">
      <c r="A364" s="360" t="s">
        <v>1077</v>
      </c>
      <c r="B364" t="s">
        <v>1076</v>
      </c>
      <c r="C364">
        <v>1</v>
      </c>
      <c r="D364" t="s">
        <v>1078</v>
      </c>
      <c r="E364" t="s">
        <v>1079</v>
      </c>
      <c r="F364" s="360">
        <v>6</v>
      </c>
      <c r="G364" s="360" t="str">
        <f>CONCATENATE(A364," ",B364," ",C364," ","inf+"," ",FanUpsizes!D364," ",FanUpsizes!F364)</f>
        <v>10ACH 5C 1 inf+ New 6</v>
      </c>
      <c r="H364" s="360">
        <v>1.4421666666666666E-2</v>
      </c>
      <c r="I364" s="360">
        <v>0.4380748513528428</v>
      </c>
      <c r="J364" s="360">
        <v>0.82473640234723067</v>
      </c>
      <c r="K364" s="360">
        <v>16.933288989523451</v>
      </c>
      <c r="L364" s="360">
        <v>0.43773461978912065</v>
      </c>
      <c r="M364" s="360">
        <v>0.82559179858294762</v>
      </c>
      <c r="N364" s="360">
        <v>1.0070872309416175</v>
      </c>
      <c r="O364" s="360">
        <v>0.43810984435745254</v>
      </c>
      <c r="P364" s="360">
        <v>0.82473671893081002</v>
      </c>
      <c r="Q364" s="360">
        <v>11.364932773390745</v>
      </c>
      <c r="R364" s="360">
        <v>372.79594543433984</v>
      </c>
      <c r="S364" s="360">
        <v>0.4223300281852318</v>
      </c>
      <c r="T364" s="360">
        <v>0.86445747676871454</v>
      </c>
      <c r="U364" s="360">
        <v>1.4571257860819455</v>
      </c>
      <c r="V364" s="360">
        <v>0.43951842158277427</v>
      </c>
      <c r="W364" s="360">
        <v>0.8247375850209403</v>
      </c>
      <c r="X364" s="360">
        <v>176.31144505677676</v>
      </c>
      <c r="Y364" s="360">
        <v>0.40261402782380595</v>
      </c>
      <c r="Z364" s="360">
        <v>0.90344380572131855</v>
      </c>
      <c r="AA364" s="360">
        <v>5.5316031248923903</v>
      </c>
      <c r="AB364" s="360">
        <v>0.40250765986454745</v>
      </c>
      <c r="AC364" s="360">
        <v>0.90375825479973504</v>
      </c>
      <c r="AD364" s="360">
        <v>1.0028310268115106</v>
      </c>
      <c r="AE364" s="360">
        <v>0.40260332651557795</v>
      </c>
      <c r="AF364" s="360">
        <v>0.90344417966404922</v>
      </c>
      <c r="AG364" s="360">
        <v>4.0500640019061249</v>
      </c>
      <c r="AH364" s="360">
        <v>188.66554171219181</v>
      </c>
      <c r="AI364" s="360">
        <v>0.39485694029527324</v>
      </c>
      <c r="AJ364" s="360">
        <v>0.92945451641845145</v>
      </c>
      <c r="AK364" s="360">
        <v>1.3587168674511563</v>
      </c>
      <c r="AL364" s="360">
        <v>0.40270870300772549</v>
      </c>
      <c r="AM364" s="360">
        <v>0.90344382878339247</v>
      </c>
      <c r="AN364" s="360">
        <v>113.12337111269952</v>
      </c>
      <c r="AO364" s="360">
        <f t="shared" si="15"/>
        <v>1</v>
      </c>
      <c r="AP364" s="360">
        <f t="shared" si="16"/>
        <v>1</v>
      </c>
      <c r="AQ364" s="360">
        <f t="shared" si="17"/>
        <v>1</v>
      </c>
    </row>
    <row r="365" spans="1:43">
      <c r="A365" s="360" t="s">
        <v>1077</v>
      </c>
      <c r="B365" t="s">
        <v>1075</v>
      </c>
      <c r="C365">
        <v>2</v>
      </c>
      <c r="D365" t="s">
        <v>1078</v>
      </c>
      <c r="E365" t="s">
        <v>1079</v>
      </c>
      <c r="F365" s="360">
        <v>6</v>
      </c>
      <c r="G365" s="360" t="str">
        <f>CONCATENATE(A365," ",B365," ",C365," ","inf+"," ",FanUpsizes!D365," ",FanUpsizes!F365)</f>
        <v>10ACH Percentile 2 inf+ New 6</v>
      </c>
      <c r="H365" s="360">
        <v>1.4421666666666666E-2</v>
      </c>
      <c r="I365" s="360">
        <v>0.57642667126204394</v>
      </c>
      <c r="J365" s="360">
        <v>0.64534508477985342</v>
      </c>
      <c r="K365" s="360">
        <v>386.60994492464783</v>
      </c>
      <c r="L365" s="360">
        <v>0.56505321613190063</v>
      </c>
      <c r="M365" s="360">
        <v>0.66498821734420122</v>
      </c>
      <c r="N365" s="360">
        <v>1.3449003428283246</v>
      </c>
      <c r="O365" s="360">
        <v>0.57950826783937515</v>
      </c>
      <c r="P365" s="360">
        <v>0.64534510649566623</v>
      </c>
      <c r="Q365" s="360">
        <v>243.12729935611108</v>
      </c>
      <c r="R365" s="360">
        <v>585.99834809704043</v>
      </c>
      <c r="S365" s="360">
        <v>0.5521213789286471</v>
      </c>
      <c r="T365" s="360">
        <v>0.6850778976419577</v>
      </c>
      <c r="U365" s="360">
        <v>2.0096208089627714</v>
      </c>
      <c r="V365" s="360">
        <v>0.58142547024251801</v>
      </c>
      <c r="W365" s="360">
        <v>0.64534516813593423</v>
      </c>
      <c r="X365" s="360">
        <v>367.29076197690677</v>
      </c>
      <c r="Y365" s="360">
        <v>0.53677602188103102</v>
      </c>
      <c r="Z365" s="360">
        <v>0.70095893050532443</v>
      </c>
      <c r="AA365" s="360">
        <v>108.98620804065484</v>
      </c>
      <c r="AB365" s="360">
        <v>0.53380232030089991</v>
      </c>
      <c r="AC365" s="360">
        <v>0.70712440112917474</v>
      </c>
      <c r="AD365" s="360">
        <v>1.1331640095681597</v>
      </c>
      <c r="AE365" s="360">
        <v>0.53669407985501183</v>
      </c>
      <c r="AF365" s="360">
        <v>0.70095946765118977</v>
      </c>
      <c r="AG365" s="360">
        <v>77.616517313194009</v>
      </c>
      <c r="AH365" s="360">
        <v>191.52675361074424</v>
      </c>
      <c r="AI365" s="360">
        <v>0.52888450272655463</v>
      </c>
      <c r="AJ365" s="360">
        <v>0.71782809729825692</v>
      </c>
      <c r="AK365" s="360">
        <v>1.5769962977967706</v>
      </c>
      <c r="AL365" s="360">
        <v>0.53675939129703887</v>
      </c>
      <c r="AM365" s="360">
        <v>0.70095898075704932</v>
      </c>
      <c r="AN365" s="360">
        <v>139.51275550822672</v>
      </c>
      <c r="AO365" s="360">
        <f t="shared" si="15"/>
        <v>1</v>
      </c>
      <c r="AP365" s="360">
        <f t="shared" si="16"/>
        <v>1</v>
      </c>
      <c r="AQ365" s="360">
        <f t="shared" si="17"/>
        <v>1</v>
      </c>
    </row>
    <row r="366" spans="1:43">
      <c r="A366" s="360" t="s">
        <v>1077</v>
      </c>
      <c r="B366" t="s">
        <v>1074</v>
      </c>
      <c r="C366">
        <v>2</v>
      </c>
      <c r="D366" t="s">
        <v>1078</v>
      </c>
      <c r="E366" t="s">
        <v>1079</v>
      </c>
      <c r="F366" s="360">
        <v>6</v>
      </c>
      <c r="G366" s="360" t="str">
        <f>CONCATENATE(A366," ",B366," ",C366," ","inf+"," ",FanUpsizes!D366," ",FanUpsizes!F366)</f>
        <v>10ACH Infiltration 2 inf+ New 6</v>
      </c>
      <c r="H366" s="360">
        <v>1.4421666666666666E-2</v>
      </c>
      <c r="I366" s="360">
        <v>0.57642667126204394</v>
      </c>
      <c r="J366" s="360">
        <v>0.64534508477985342</v>
      </c>
      <c r="K366" s="360">
        <v>198.30988285703708</v>
      </c>
      <c r="L366" s="360">
        <v>0.57139002900622649</v>
      </c>
      <c r="M366" s="360">
        <v>0.65419558116645404</v>
      </c>
      <c r="N366" s="360">
        <v>1.1312900716028953</v>
      </c>
      <c r="O366" s="360">
        <v>0.57772345881550791</v>
      </c>
      <c r="P366" s="360">
        <v>0.64534589177234614</v>
      </c>
      <c r="Q366" s="360">
        <v>118.96972260521598</v>
      </c>
      <c r="R366" s="360">
        <v>494.1424152306214</v>
      </c>
      <c r="S366" s="360">
        <v>0.55311473358344665</v>
      </c>
      <c r="T366" s="360">
        <v>0.68249752266682517</v>
      </c>
      <c r="U366" s="360">
        <v>1.8737887061206531</v>
      </c>
      <c r="V366" s="360">
        <v>0.57933341530595428</v>
      </c>
      <c r="W366" s="360">
        <v>0.64534508556764458</v>
      </c>
      <c r="X366" s="360">
        <v>224.59657694428671</v>
      </c>
      <c r="Y366" s="360">
        <v>0.53677602188103102</v>
      </c>
      <c r="Z366" s="360">
        <v>0.70095893050532443</v>
      </c>
      <c r="AA366" s="360">
        <v>55.814219347579652</v>
      </c>
      <c r="AB366" s="360">
        <v>0.53544822705233064</v>
      </c>
      <c r="AC366" s="360">
        <v>0.70366698048872711</v>
      </c>
      <c r="AD366" s="360">
        <v>1.0523257562659403</v>
      </c>
      <c r="AE366" s="360">
        <v>0.53671969932466113</v>
      </c>
      <c r="AF366" s="360">
        <v>0.70095905002489245</v>
      </c>
      <c r="AG366" s="360">
        <v>38.592246550983269</v>
      </c>
      <c r="AH366" s="360">
        <v>178.6701611364</v>
      </c>
      <c r="AI366" s="360">
        <v>0.52848127705840087</v>
      </c>
      <c r="AJ366" s="360">
        <v>0.71884077825445702</v>
      </c>
      <c r="AK366" s="360">
        <v>1.636263233682212</v>
      </c>
      <c r="AL366" s="360">
        <v>0.5367712226436242</v>
      </c>
      <c r="AM366" s="360">
        <v>0.70095898996108752</v>
      </c>
      <c r="AN366" s="360">
        <v>100.25802700385128</v>
      </c>
      <c r="AO366" s="360">
        <f t="shared" si="15"/>
        <v>1</v>
      </c>
      <c r="AP366" s="360">
        <f t="shared" si="16"/>
        <v>1</v>
      </c>
      <c r="AQ366" s="360">
        <f t="shared" si="17"/>
        <v>1</v>
      </c>
    </row>
    <row r="367" spans="1:43">
      <c r="A367" s="360" t="s">
        <v>1077</v>
      </c>
      <c r="B367" t="s">
        <v>1076</v>
      </c>
      <c r="C367">
        <v>2</v>
      </c>
      <c r="D367" t="s">
        <v>1078</v>
      </c>
      <c r="E367" t="s">
        <v>1079</v>
      </c>
      <c r="F367" s="360">
        <v>6</v>
      </c>
      <c r="G367" s="360" t="str">
        <f>CONCATENATE(A367," ",B367," ",C367," ","inf+"," ",FanUpsizes!D367," ",FanUpsizes!F367)</f>
        <v>10ACH 5C 2 inf+ New 6</v>
      </c>
      <c r="H367" s="360">
        <v>1.4421666666666666E-2</v>
      </c>
      <c r="I367" s="360">
        <v>0.57642667126204394</v>
      </c>
      <c r="J367" s="360">
        <v>0.64534508477985342</v>
      </c>
      <c r="K367" s="360">
        <v>16.933288989528624</v>
      </c>
      <c r="L367" s="360">
        <v>0.57608643969832163</v>
      </c>
      <c r="M367" s="360">
        <v>0.64587848012635352</v>
      </c>
      <c r="N367" s="360">
        <v>1.0070681378714252</v>
      </c>
      <c r="O367" s="360">
        <v>0.57646060137282518</v>
      </c>
      <c r="P367" s="360">
        <v>0.64534517120035317</v>
      </c>
      <c r="Q367" s="360">
        <v>11.379933980073943</v>
      </c>
      <c r="R367" s="360">
        <v>403.45411829686617</v>
      </c>
      <c r="S367" s="360">
        <v>0.55546293892949594</v>
      </c>
      <c r="T367" s="360">
        <v>0.6780014686244511</v>
      </c>
      <c r="U367" s="360">
        <v>1.6954880057879493</v>
      </c>
      <c r="V367" s="360">
        <v>0.57795343086220696</v>
      </c>
      <c r="W367" s="360">
        <v>0.64534509179456123</v>
      </c>
      <c r="X367" s="360">
        <v>125.83775487626119</v>
      </c>
      <c r="Y367" s="360">
        <v>0.53677602188103102</v>
      </c>
      <c r="Z367" s="360">
        <v>0.70095893050532443</v>
      </c>
      <c r="AA367" s="360">
        <v>4.3924665338492126</v>
      </c>
      <c r="AB367" s="360">
        <v>0.53669304974136989</v>
      </c>
      <c r="AC367" s="360">
        <v>0.70110825978850633</v>
      </c>
      <c r="AD367" s="360">
        <v>1.0026794978978155</v>
      </c>
      <c r="AE367" s="360">
        <v>0.53676331811494271</v>
      </c>
      <c r="AF367" s="360">
        <v>0.7009589560443592</v>
      </c>
      <c r="AG367" s="360">
        <v>3.2688054261533481</v>
      </c>
      <c r="AH367" s="360">
        <v>164.43398177808558</v>
      </c>
      <c r="AI367" s="360">
        <v>0.52879694184026094</v>
      </c>
      <c r="AJ367" s="360">
        <v>0.71816642818688992</v>
      </c>
      <c r="AK367" s="360">
        <v>1.5840847536111489</v>
      </c>
      <c r="AL367" s="360">
        <v>0.53675018230977845</v>
      </c>
      <c r="AM367" s="360">
        <v>0.70095902245225894</v>
      </c>
      <c r="AN367" s="360">
        <v>74.441861025582952</v>
      </c>
      <c r="AO367" s="360">
        <f t="shared" si="15"/>
        <v>1</v>
      </c>
      <c r="AP367" s="360">
        <f t="shared" si="16"/>
        <v>1</v>
      </c>
      <c r="AQ367" s="360">
        <f t="shared" si="17"/>
        <v>1</v>
      </c>
    </row>
    <row r="368" spans="1:43">
      <c r="A368" s="360" t="s">
        <v>1077</v>
      </c>
      <c r="B368" t="s">
        <v>1075</v>
      </c>
      <c r="C368">
        <v>1</v>
      </c>
      <c r="D368" t="s">
        <v>1080</v>
      </c>
      <c r="E368" t="s">
        <v>1079</v>
      </c>
      <c r="F368" s="360">
        <v>6</v>
      </c>
      <c r="G368" s="360" t="str">
        <f>CONCATENATE(A368," ",B368," ",C368," ","inf+"," ",FanUpsizes!D368," ",FanUpsizes!F368)</f>
        <v>10ACH Percentile 1 inf+ Existing 6</v>
      </c>
      <c r="H368" s="360">
        <v>1.8240877765064251E-2</v>
      </c>
      <c r="I368" s="360">
        <v>0.45219557114768255</v>
      </c>
      <c r="J368" s="360">
        <v>1.091773216468233</v>
      </c>
      <c r="K368" s="360">
        <v>488.99374192500602</v>
      </c>
      <c r="L368" s="360">
        <v>0.43781014610697971</v>
      </c>
      <c r="M368" s="360">
        <v>1.1443604618164274</v>
      </c>
      <c r="N368" s="360">
        <v>1.3589918071819613</v>
      </c>
      <c r="O368" s="360">
        <v>0.4569048938540452</v>
      </c>
      <c r="P368" s="360">
        <v>1.0917733163083132</v>
      </c>
      <c r="Q368" s="360">
        <v>300.09869655051216</v>
      </c>
      <c r="R368" s="360">
        <v>741.18508527680683</v>
      </c>
      <c r="S368" s="360">
        <v>0.42145364119290885</v>
      </c>
      <c r="T368" s="360">
        <v>1.1980744298393573</v>
      </c>
      <c r="U368" s="360">
        <v>2.0219101975813638</v>
      </c>
      <c r="V368" s="360">
        <v>0.45949162501155139</v>
      </c>
      <c r="W368" s="360">
        <v>1.0917738247295001</v>
      </c>
      <c r="X368" s="360">
        <v>461.19118714754489</v>
      </c>
      <c r="Y368" s="360">
        <v>0.41257074913193192</v>
      </c>
      <c r="Z368" s="360">
        <v>1.1997549848329248</v>
      </c>
      <c r="AA368" s="360">
        <v>212.51319715133837</v>
      </c>
      <c r="AB368" s="360">
        <v>0.4065246650840959</v>
      </c>
      <c r="AC368" s="360">
        <v>1.2263478214735037</v>
      </c>
      <c r="AD368" s="360">
        <v>1.1540037832219328</v>
      </c>
      <c r="AE368" s="360">
        <v>0.41311401174304102</v>
      </c>
      <c r="AF368" s="360">
        <v>1.1997550106412125</v>
      </c>
      <c r="AG368" s="360">
        <v>145.29945759107684</v>
      </c>
      <c r="AH368" s="360">
        <v>370.0232228570822</v>
      </c>
      <c r="AI368" s="360">
        <v>0.3965251709257312</v>
      </c>
      <c r="AJ368" s="360">
        <v>1.2712175199754456</v>
      </c>
      <c r="AK368" s="360">
        <v>1.6622961961129303</v>
      </c>
      <c r="AL368" s="360">
        <v>0.41447962239993197</v>
      </c>
      <c r="AM368" s="360">
        <v>1.1997556659860051</v>
      </c>
      <c r="AN368" s="360">
        <v>260.50557642074745</v>
      </c>
      <c r="AO368" s="360">
        <f t="shared" si="15"/>
        <v>1</v>
      </c>
      <c r="AP368" s="360">
        <f t="shared" si="16"/>
        <v>1</v>
      </c>
      <c r="AQ368" s="360">
        <f t="shared" si="17"/>
        <v>1</v>
      </c>
    </row>
    <row r="369" spans="1:43">
      <c r="A369" s="360" t="s">
        <v>1077</v>
      </c>
      <c r="B369" t="s">
        <v>1074</v>
      </c>
      <c r="C369">
        <v>1</v>
      </c>
      <c r="D369" t="s">
        <v>1080</v>
      </c>
      <c r="E369" t="s">
        <v>1079</v>
      </c>
      <c r="F369" s="360">
        <v>6</v>
      </c>
      <c r="G369" s="360" t="str">
        <f>CONCATENATE(A369," ",B369," ",C369," ","inf+"," ",FanUpsizes!D369," ",FanUpsizes!F369)</f>
        <v>10ACH Infiltration 1 inf+ Existing 6</v>
      </c>
      <c r="H369" s="360">
        <v>1.8240877765064251E-2</v>
      </c>
      <c r="I369" s="360">
        <v>0.45219557114768255</v>
      </c>
      <c r="J369" s="360">
        <v>1.091773216468233</v>
      </c>
      <c r="K369" s="360">
        <v>0</v>
      </c>
      <c r="L369" s="360">
        <v>0.45219557114768255</v>
      </c>
      <c r="M369" s="360">
        <v>1.091773216468233</v>
      </c>
      <c r="N369" s="360">
        <v>1</v>
      </c>
      <c r="O369" s="360">
        <v>0.45219557114768255</v>
      </c>
      <c r="P369" s="360">
        <v>1.091773216468233</v>
      </c>
      <c r="Q369" s="360">
        <v>0</v>
      </c>
      <c r="R369" s="360">
        <v>243.1835988347375</v>
      </c>
      <c r="S369" s="360">
        <v>0.44505280801983405</v>
      </c>
      <c r="T369" s="360">
        <v>1.1158078884224847</v>
      </c>
      <c r="U369" s="360">
        <v>1.1373196070954212</v>
      </c>
      <c r="V369" s="360">
        <v>0.45334271650418406</v>
      </c>
      <c r="W369" s="360">
        <v>1.0917732353208649</v>
      </c>
      <c r="X369" s="360">
        <v>137.17393406950387</v>
      </c>
      <c r="Y369" s="360">
        <v>0.41257074913193192</v>
      </c>
      <c r="Z369" s="360">
        <v>1.1997549848329248</v>
      </c>
      <c r="AA369" s="360">
        <v>0</v>
      </c>
      <c r="AB369" s="360">
        <v>0.41257074913193192</v>
      </c>
      <c r="AC369" s="360">
        <v>1.1997549848329248</v>
      </c>
      <c r="AD369" s="360">
        <v>1</v>
      </c>
      <c r="AE369" s="360">
        <v>0.41257074913193192</v>
      </c>
      <c r="AF369" s="360">
        <v>1.1997549848329248</v>
      </c>
      <c r="AG369" s="360">
        <v>0</v>
      </c>
      <c r="AH369" s="360">
        <v>152.82465721010524</v>
      </c>
      <c r="AI369" s="360">
        <v>0.40813045959320687</v>
      </c>
      <c r="AJ369" s="360">
        <v>1.2188255014159559</v>
      </c>
      <c r="AK369" s="360">
        <v>1.1026128090488287</v>
      </c>
      <c r="AL369" s="360">
        <v>0.41278311143273655</v>
      </c>
      <c r="AM369" s="360">
        <v>1.1997552984488207</v>
      </c>
      <c r="AN369" s="360">
        <v>96.926039155073809</v>
      </c>
      <c r="AO369" s="360">
        <f t="shared" si="15"/>
        <v>1</v>
      </c>
      <c r="AP369" s="360">
        <f t="shared" si="16"/>
        <v>0</v>
      </c>
      <c r="AQ369" s="360">
        <f t="shared" si="17"/>
        <v>0</v>
      </c>
    </row>
    <row r="370" spans="1:43">
      <c r="A370" s="360" t="s">
        <v>1077</v>
      </c>
      <c r="B370" t="s">
        <v>1076</v>
      </c>
      <c r="C370">
        <v>1</v>
      </c>
      <c r="D370" t="s">
        <v>1080</v>
      </c>
      <c r="E370" t="s">
        <v>1079</v>
      </c>
      <c r="F370" s="360">
        <v>6</v>
      </c>
      <c r="G370" s="360" t="str">
        <f>CONCATENATE(A370," ",B370," ",C370," ","inf+"," ",FanUpsizes!D370," ",FanUpsizes!F370)</f>
        <v>10ACH 5C 1 inf+ Existing 6</v>
      </c>
      <c r="H370" s="360">
        <v>1.8240877765064251E-2</v>
      </c>
      <c r="I370" s="360">
        <v>0.45219557114768255</v>
      </c>
      <c r="J370" s="360">
        <v>1.091773216468233</v>
      </c>
      <c r="K370" s="360">
        <v>21.41763928938331</v>
      </c>
      <c r="L370" s="360">
        <v>0.45176523791996931</v>
      </c>
      <c r="M370" s="360">
        <v>1.0931712036277517</v>
      </c>
      <c r="N370" s="360">
        <v>1.0071933583090846</v>
      </c>
      <c r="O370" s="360">
        <v>0.45224742372370164</v>
      </c>
      <c r="P370" s="360">
        <v>1.0917732733611549</v>
      </c>
      <c r="Q370" s="360">
        <v>14.269180818104306</v>
      </c>
      <c r="R370" s="360">
        <v>253.89241847942861</v>
      </c>
      <c r="S370" s="360">
        <v>0.44483764140597737</v>
      </c>
      <c r="T370" s="360">
        <v>1.116610786268504</v>
      </c>
      <c r="U370" s="360">
        <v>1.1425600292928437</v>
      </c>
      <c r="V370" s="360">
        <v>0.45341345943138639</v>
      </c>
      <c r="W370" s="360">
        <v>1.0917732403321938</v>
      </c>
      <c r="X370" s="360">
        <v>145.36383832657597</v>
      </c>
      <c r="Y370" s="360">
        <v>0.41257074913193192</v>
      </c>
      <c r="Z370" s="360">
        <v>1.1997549848329248</v>
      </c>
      <c r="AA370" s="360">
        <v>8.6159427247123315</v>
      </c>
      <c r="AB370" s="360">
        <v>0.41240295814141581</v>
      </c>
      <c r="AC370" s="360">
        <v>1.200402102866001</v>
      </c>
      <c r="AD370" s="360">
        <v>1.0030436177410753</v>
      </c>
      <c r="AE370" s="360">
        <v>0.41256036645647259</v>
      </c>
      <c r="AF370" s="360">
        <v>1.1997549919831321</v>
      </c>
      <c r="AG370" s="360">
        <v>6.2072276900240642</v>
      </c>
      <c r="AH370" s="360">
        <v>155.14943362001961</v>
      </c>
      <c r="AI370" s="360">
        <v>0.40808728953144968</v>
      </c>
      <c r="AJ370" s="360">
        <v>1.2190087370599427</v>
      </c>
      <c r="AK370" s="360">
        <v>1.1037800880852622</v>
      </c>
      <c r="AL370" s="360">
        <v>0.41278554698398279</v>
      </c>
      <c r="AM370" s="360">
        <v>1.1997560485821004</v>
      </c>
      <c r="AN370" s="360">
        <v>99.068883723535436</v>
      </c>
      <c r="AO370" s="360">
        <f t="shared" si="15"/>
        <v>1</v>
      </c>
      <c r="AP370" s="360">
        <f t="shared" si="16"/>
        <v>1</v>
      </c>
      <c r="AQ370" s="360">
        <f t="shared" si="17"/>
        <v>1</v>
      </c>
    </row>
    <row r="371" spans="1:43">
      <c r="A371" s="360" t="s">
        <v>1077</v>
      </c>
      <c r="B371" t="s">
        <v>1075</v>
      </c>
      <c r="C371">
        <v>2</v>
      </c>
      <c r="D371" t="s">
        <v>1080</v>
      </c>
      <c r="E371" t="s">
        <v>1079</v>
      </c>
      <c r="F371" s="360">
        <v>6</v>
      </c>
      <c r="G371" s="360" t="str">
        <f>CONCATENATE(A371," ",B371," ",C371," ","inf+"," ",FanUpsizes!D371," ",FanUpsizes!F371)</f>
        <v>10ACH Percentile 2 inf+ Existing 6</v>
      </c>
      <c r="H371" s="360">
        <v>5.0534692007948648E-3</v>
      </c>
      <c r="I371" s="360">
        <v>0.5418405062047178</v>
      </c>
      <c r="J371" s="360">
        <v>0.96126155361695353</v>
      </c>
      <c r="K371" s="360">
        <v>135.47126657097709</v>
      </c>
      <c r="L371" s="360">
        <v>0.53785515509826931</v>
      </c>
      <c r="M371" s="360">
        <v>0.97172420840135232</v>
      </c>
      <c r="N371" s="360">
        <v>1.3185143821856335</v>
      </c>
      <c r="O371" s="360">
        <v>0.54252722157115185</v>
      </c>
      <c r="P371" s="360">
        <v>0.96126282858256329</v>
      </c>
      <c r="Q371" s="360">
        <v>89.040167206974303</v>
      </c>
      <c r="R371" s="360">
        <v>205.3385834155967</v>
      </c>
      <c r="S371" s="360">
        <v>0.53332373424887669</v>
      </c>
      <c r="T371" s="360">
        <v>0.98264652942509523</v>
      </c>
      <c r="U371" s="360">
        <v>1.9544555035198503</v>
      </c>
      <c r="V371" s="360">
        <v>0.54299894021798867</v>
      </c>
      <c r="W371" s="360">
        <v>0.96126309031754043</v>
      </c>
      <c r="X371" s="360">
        <v>132.88908042288773</v>
      </c>
      <c r="Y371" s="360">
        <v>0.52491059717746058</v>
      </c>
      <c r="Z371" s="360">
        <v>1.0008254138047463</v>
      </c>
      <c r="AA371" s="360">
        <v>16.268450619683957</v>
      </c>
      <c r="AB371" s="360">
        <v>0.52453902698675703</v>
      </c>
      <c r="AC371" s="360">
        <v>1.001937606121007</v>
      </c>
      <c r="AD371" s="360">
        <v>1.1163633024619473</v>
      </c>
      <c r="AE371" s="360">
        <v>0.52486862093185038</v>
      </c>
      <c r="AF371" s="360">
        <v>1.000825436367873</v>
      </c>
      <c r="AG371" s="360">
        <v>11.64306998904814</v>
      </c>
      <c r="AH371" s="360">
        <v>29.683882224134926</v>
      </c>
      <c r="AI371" s="360">
        <v>0.52391804234026518</v>
      </c>
      <c r="AJ371" s="360">
        <v>1.0039247346551272</v>
      </c>
      <c r="AK371" s="360">
        <v>1.4932090045403177</v>
      </c>
      <c r="AL371" s="360">
        <v>0.52479824181502832</v>
      </c>
      <c r="AM371" s="360">
        <v>1.0008259378942137</v>
      </c>
      <c r="AN371" s="360">
        <v>20.912913641688153</v>
      </c>
      <c r="AO371" s="360">
        <f t="shared" si="15"/>
        <v>1</v>
      </c>
      <c r="AP371" s="360">
        <f t="shared" si="16"/>
        <v>1</v>
      </c>
      <c r="AQ371" s="360">
        <f t="shared" si="17"/>
        <v>1</v>
      </c>
    </row>
    <row r="372" spans="1:43">
      <c r="A372" s="360" t="s">
        <v>1077</v>
      </c>
      <c r="B372" t="s">
        <v>1074</v>
      </c>
      <c r="C372">
        <v>2</v>
      </c>
      <c r="D372" t="s">
        <v>1080</v>
      </c>
      <c r="E372" t="s">
        <v>1079</v>
      </c>
      <c r="F372" s="360">
        <v>6</v>
      </c>
      <c r="G372" s="360" t="str">
        <f>CONCATENATE(A372," ",B372," ",C372," ","inf+"," ",FanUpsizes!D372," ",FanUpsizes!F372)</f>
        <v>10ACH Infiltration 2 inf+ Existing 6</v>
      </c>
      <c r="H372" s="360">
        <v>5.0534692007948648E-3</v>
      </c>
      <c r="I372" s="360">
        <v>0.5418405062047178</v>
      </c>
      <c r="J372" s="360">
        <v>0.96126155361695353</v>
      </c>
      <c r="K372" s="360">
        <v>0.11992324974771998</v>
      </c>
      <c r="L372" s="360">
        <v>0.54183837727784467</v>
      </c>
      <c r="M372" s="360">
        <v>0.96126599183145345</v>
      </c>
      <c r="N372" s="360">
        <v>1.0001027855539939</v>
      </c>
      <c r="O372" s="360">
        <v>0.54184029438551973</v>
      </c>
      <c r="P372" s="360">
        <v>0.96126155446477057</v>
      </c>
      <c r="Q372" s="360">
        <v>9.1027630831811285E-2</v>
      </c>
      <c r="R372" s="360">
        <v>120.52802052446174</v>
      </c>
      <c r="S372" s="360">
        <v>0.53699719756841269</v>
      </c>
      <c r="T372" s="360">
        <v>0.97314581769215991</v>
      </c>
      <c r="U372" s="360">
        <v>1.374638719837215</v>
      </c>
      <c r="V372" s="360">
        <v>0.54217108889808985</v>
      </c>
      <c r="W372" s="360">
        <v>0.96126156076372449</v>
      </c>
      <c r="X372" s="360">
        <v>60.31713624645316</v>
      </c>
      <c r="Y372" s="360">
        <v>0.52491059717746058</v>
      </c>
      <c r="Z372" s="360">
        <v>1.0008254138047463</v>
      </c>
      <c r="AA372" s="360">
        <v>1.1323969980654715E-2</v>
      </c>
      <c r="AB372" s="360">
        <v>0.52491043224176126</v>
      </c>
      <c r="AC372" s="360">
        <v>1.0008257819133437</v>
      </c>
      <c r="AD372" s="360">
        <v>1</v>
      </c>
      <c r="AE372" s="360">
        <v>0.52491043224176126</v>
      </c>
      <c r="AF372" s="360">
        <v>1.0008257819133437</v>
      </c>
      <c r="AG372" s="360">
        <v>1.1323969980654715E-2</v>
      </c>
      <c r="AH372" s="360">
        <v>20.645165518828204</v>
      </c>
      <c r="AI372" s="360">
        <v>0.52424967164235703</v>
      </c>
      <c r="AJ372" s="360">
        <v>1.0028402353477808</v>
      </c>
      <c r="AK372" s="360">
        <v>1.2480658493100885</v>
      </c>
      <c r="AL372" s="360">
        <v>0.52483450649374641</v>
      </c>
      <c r="AM372" s="360">
        <v>1.0008254434733364</v>
      </c>
      <c r="AN372" s="360">
        <v>12.558716500379836</v>
      </c>
      <c r="AO372" s="360">
        <f t="shared" si="15"/>
        <v>1</v>
      </c>
      <c r="AP372" s="360">
        <f t="shared" si="16"/>
        <v>1</v>
      </c>
      <c r="AQ372" s="360">
        <f t="shared" si="17"/>
        <v>1</v>
      </c>
    </row>
    <row r="373" spans="1:43">
      <c r="A373" s="360" t="s">
        <v>1077</v>
      </c>
      <c r="B373" t="s">
        <v>1076</v>
      </c>
      <c r="C373">
        <v>2</v>
      </c>
      <c r="D373" t="s">
        <v>1080</v>
      </c>
      <c r="E373" t="s">
        <v>1079</v>
      </c>
      <c r="F373" s="360">
        <v>6</v>
      </c>
      <c r="G373" s="360" t="str">
        <f>CONCATENATE(A373," ",B373," ",C373," ","inf+"," ",FanUpsizes!D373," ",FanUpsizes!F373)</f>
        <v>10ACH 5C 2 inf+ Existing 6</v>
      </c>
      <c r="H373" s="360">
        <v>5.0534692007948648E-3</v>
      </c>
      <c r="I373" s="360">
        <v>0.5418405062047178</v>
      </c>
      <c r="J373" s="360">
        <v>0.96126155361695353</v>
      </c>
      <c r="K373" s="360">
        <v>5.9335620739716637</v>
      </c>
      <c r="L373" s="360">
        <v>0.5417212862998243</v>
      </c>
      <c r="M373" s="360">
        <v>0.96155080988610586</v>
      </c>
      <c r="N373" s="360">
        <v>1.0067437837077624</v>
      </c>
      <c r="O373" s="360">
        <v>0.54184627853650746</v>
      </c>
      <c r="P373" s="360">
        <v>0.96126155371071742</v>
      </c>
      <c r="Q373" s="360">
        <v>4.0769198293382116</v>
      </c>
      <c r="R373" s="360">
        <v>123.43483993656906</v>
      </c>
      <c r="S373" s="360">
        <v>0.53693865207940206</v>
      </c>
      <c r="T373" s="360">
        <v>0.97329318476479609</v>
      </c>
      <c r="U373" s="360">
        <v>1.3810596161885738</v>
      </c>
      <c r="V373" s="360">
        <v>0.54217890890460951</v>
      </c>
      <c r="W373" s="360">
        <v>0.96126158005389029</v>
      </c>
      <c r="X373" s="360">
        <v>63.299678695542951</v>
      </c>
      <c r="Y373" s="360">
        <v>0.52491059717746058</v>
      </c>
      <c r="Z373" s="360">
        <v>1.0008254138047463</v>
      </c>
      <c r="AA373" s="360">
        <v>0.62605983306757607</v>
      </c>
      <c r="AB373" s="360">
        <v>0.52490027446731458</v>
      </c>
      <c r="AC373" s="360">
        <v>1.0008521243316408</v>
      </c>
      <c r="AD373" s="360">
        <v>1.0023241863520231</v>
      </c>
      <c r="AE373" s="360">
        <v>0.5249081887860545</v>
      </c>
      <c r="AF373" s="360">
        <v>1.000826018339003</v>
      </c>
      <c r="AG373" s="360">
        <v>0.47337351058295435</v>
      </c>
      <c r="AH373" s="360">
        <v>20.829326639950512</v>
      </c>
      <c r="AI373" s="360">
        <v>0.52424712859953826</v>
      </c>
      <c r="AJ373" s="360">
        <v>1.0028468636919403</v>
      </c>
      <c r="AK373" s="360">
        <v>1.2492171195009387</v>
      </c>
      <c r="AL373" s="360">
        <v>0.52483354418970452</v>
      </c>
      <c r="AM373" s="360">
        <v>1.0008254820857871</v>
      </c>
      <c r="AN373" s="360">
        <v>12.787347844985854</v>
      </c>
      <c r="AO373" s="360">
        <f t="shared" si="15"/>
        <v>1</v>
      </c>
      <c r="AP373" s="360">
        <f t="shared" si="16"/>
        <v>1</v>
      </c>
      <c r="AQ373" s="360">
        <f t="shared" si="17"/>
        <v>1</v>
      </c>
    </row>
    <row r="374" spans="1:43">
      <c r="A374" s="360" t="s">
        <v>1081</v>
      </c>
      <c r="B374" t="s">
        <v>1075</v>
      </c>
      <c r="C374">
        <v>1</v>
      </c>
      <c r="D374" t="s">
        <v>1078</v>
      </c>
      <c r="E374" t="s">
        <v>1079</v>
      </c>
      <c r="F374" s="360">
        <v>6</v>
      </c>
      <c r="G374" s="360" t="str">
        <f>CONCATENATE(A374," ",B374," ",C374," ","inf+"," ",FanUpsizes!D374," ",FanUpsizes!F374)</f>
        <v>7ACH Percentile 1 inf+ New 6</v>
      </c>
      <c r="H374" s="360">
        <v>1.4421666666666666E-2</v>
      </c>
      <c r="I374" s="360">
        <v>0.32265485931833504</v>
      </c>
      <c r="J374" s="360">
        <v>1.0946858318288377</v>
      </c>
      <c r="K374" s="360">
        <v>386.60994492464215</v>
      </c>
      <c r="L374" s="360">
        <v>0.31128140418819511</v>
      </c>
      <c r="M374" s="360">
        <v>1.1525216053797589</v>
      </c>
      <c r="N374" s="360">
        <v>1.3651665607223509</v>
      </c>
      <c r="O374" s="360">
        <v>0.32667047413598671</v>
      </c>
      <c r="P374" s="360">
        <v>1.0946858661432184</v>
      </c>
      <c r="Q374" s="360">
        <v>234.6963116242564</v>
      </c>
      <c r="R374" s="360">
        <v>585.99834809701508</v>
      </c>
      <c r="S374" s="360">
        <v>0.2983495669849317</v>
      </c>
      <c r="T374" s="360">
        <v>1.2107448901344875</v>
      </c>
      <c r="U374" s="360">
        <v>2.0183006996091422</v>
      </c>
      <c r="V374" s="360">
        <v>0.32861874557681053</v>
      </c>
      <c r="W374" s="360">
        <v>1.0946863097927662</v>
      </c>
      <c r="X374" s="360">
        <v>365.41049374729306</v>
      </c>
      <c r="Y374" s="360">
        <v>0.29374248497261651</v>
      </c>
      <c r="Z374" s="360">
        <v>1.2016882486431788</v>
      </c>
      <c r="AA374" s="360">
        <v>186.04182188194642</v>
      </c>
      <c r="AB374" s="360">
        <v>0.28841200634860037</v>
      </c>
      <c r="AC374" s="360">
        <v>1.2341655666890146</v>
      </c>
      <c r="AD374" s="360">
        <v>1.1651246151179411</v>
      </c>
      <c r="AE374" s="360">
        <v>0.29453931140859813</v>
      </c>
      <c r="AF374" s="360">
        <v>1.2016882795156041</v>
      </c>
      <c r="AG374" s="360">
        <v>124.0568847661891</v>
      </c>
      <c r="AH374" s="360">
        <v>322.66375717785564</v>
      </c>
      <c r="AI374" s="360">
        <v>0.27965038853595864</v>
      </c>
      <c r="AJ374" s="360">
        <v>1.2868633499094502</v>
      </c>
      <c r="AK374" s="360">
        <v>1.6901927797925802</v>
      </c>
      <c r="AL374" s="360">
        <v>0.29590562637965118</v>
      </c>
      <c r="AM374" s="360">
        <v>1.2016888948522064</v>
      </c>
      <c r="AN374" s="360">
        <v>223.90646449197263</v>
      </c>
      <c r="AO374" s="360">
        <f t="shared" si="15"/>
        <v>1</v>
      </c>
      <c r="AP374" s="360">
        <f t="shared" si="16"/>
        <v>1</v>
      </c>
      <c r="AQ374" s="360">
        <f t="shared" si="17"/>
        <v>1</v>
      </c>
    </row>
    <row r="375" spans="1:43">
      <c r="A375" s="360" t="s">
        <v>1081</v>
      </c>
      <c r="B375" t="s">
        <v>1074</v>
      </c>
      <c r="C375">
        <v>1</v>
      </c>
      <c r="D375" t="s">
        <v>1078</v>
      </c>
      <c r="E375" t="s">
        <v>1079</v>
      </c>
      <c r="F375" s="360">
        <v>6</v>
      </c>
      <c r="G375" s="360" t="str">
        <f>CONCATENATE(A375," ",B375," ",C375," ","inf+"," ",FanUpsizes!D375," ",FanUpsizes!F375)</f>
        <v>7ACH Infiltration 1 inf+ New 6</v>
      </c>
      <c r="H375" s="360">
        <v>1.4421666666666666E-2</v>
      </c>
      <c r="I375" s="360">
        <v>0.32265485931833504</v>
      </c>
      <c r="J375" s="360">
        <v>1.0946858318288377</v>
      </c>
      <c r="K375" s="360">
        <v>0</v>
      </c>
      <c r="L375" s="360">
        <v>0.32265485931833504</v>
      </c>
      <c r="M375" s="360">
        <v>1.0946858318288377</v>
      </c>
      <c r="N375" s="360">
        <v>1</v>
      </c>
      <c r="O375" s="360">
        <v>0.32265485931833504</v>
      </c>
      <c r="P375" s="360">
        <v>1.0946858318288377</v>
      </c>
      <c r="Q375" s="360">
        <v>0</v>
      </c>
      <c r="R375" s="360">
        <v>158.50594925414512</v>
      </c>
      <c r="S375" s="360">
        <v>0.31821666008085508</v>
      </c>
      <c r="T375" s="360">
        <v>1.1157022590671604</v>
      </c>
      <c r="U375" s="360">
        <v>1.108601104143343</v>
      </c>
      <c r="V375" s="360">
        <v>0.32353601817441907</v>
      </c>
      <c r="W375" s="360">
        <v>1.0946864167627837</v>
      </c>
      <c r="X375" s="360">
        <v>88.554252216948683</v>
      </c>
      <c r="Y375" s="360">
        <v>0.29374248497261651</v>
      </c>
      <c r="Z375" s="360">
        <v>1.2016882486431788</v>
      </c>
      <c r="AA375" s="360">
        <v>0</v>
      </c>
      <c r="AB375" s="360">
        <v>0.29374248497261651</v>
      </c>
      <c r="AC375" s="360">
        <v>1.2016882486431788</v>
      </c>
      <c r="AD375" s="360">
        <v>1</v>
      </c>
      <c r="AE375" s="360">
        <v>0.29374248497261651</v>
      </c>
      <c r="AF375" s="360">
        <v>1.2016882486431788</v>
      </c>
      <c r="AG375" s="360">
        <v>0</v>
      </c>
      <c r="AH375" s="360">
        <v>110.73153475079312</v>
      </c>
      <c r="AI375" s="360">
        <v>0.29065916692396704</v>
      </c>
      <c r="AJ375" s="360">
        <v>1.2200640334588655</v>
      </c>
      <c r="AK375" s="360">
        <v>1.0836772310699718</v>
      </c>
      <c r="AL375" s="360">
        <v>0.29405529842994854</v>
      </c>
      <c r="AM375" s="360">
        <v>1.2016885738713385</v>
      </c>
      <c r="AN375" s="360">
        <v>68.100627831098208</v>
      </c>
      <c r="AO375" s="360">
        <f t="shared" si="15"/>
        <v>1</v>
      </c>
      <c r="AP375" s="360">
        <f t="shared" si="16"/>
        <v>0</v>
      </c>
      <c r="AQ375" s="360">
        <f t="shared" si="17"/>
        <v>0</v>
      </c>
    </row>
    <row r="376" spans="1:43">
      <c r="A376" s="360" t="s">
        <v>1081</v>
      </c>
      <c r="B376" t="s">
        <v>1076</v>
      </c>
      <c r="C376">
        <v>1</v>
      </c>
      <c r="D376" t="s">
        <v>1078</v>
      </c>
      <c r="E376" t="s">
        <v>1079</v>
      </c>
      <c r="F376" s="360">
        <v>6</v>
      </c>
      <c r="G376" s="360" t="str">
        <f>CONCATENATE(A376," ",B376," ",C376," ","inf+"," ",FanUpsizes!D376," ",FanUpsizes!F376)</f>
        <v>7ACH 5C 1 inf+ New 6</v>
      </c>
      <c r="H376" s="360">
        <v>1.4421666666666666E-2</v>
      </c>
      <c r="I376" s="360">
        <v>0.32265485931833504</v>
      </c>
      <c r="J376" s="360">
        <v>1.0946858318288377</v>
      </c>
      <c r="K376" s="360">
        <v>16.933288989518793</v>
      </c>
      <c r="L376" s="360">
        <v>0.32231462775461267</v>
      </c>
      <c r="M376" s="360">
        <v>1.0962612850956481</v>
      </c>
      <c r="N376" s="360">
        <v>1.0075007696159988</v>
      </c>
      <c r="O376" s="360">
        <v>0.32271269396099933</v>
      </c>
      <c r="P376" s="360">
        <v>1.0946864210756073</v>
      </c>
      <c r="Q376" s="360">
        <v>11.040020171132738</v>
      </c>
      <c r="R376" s="360">
        <v>166.97259374890427</v>
      </c>
      <c r="S376" s="360">
        <v>0.31804654429899376</v>
      </c>
      <c r="T376" s="360">
        <v>1.1166175380160606</v>
      </c>
      <c r="U376" s="360">
        <v>1.1138423616992073</v>
      </c>
      <c r="V376" s="360">
        <v>0.32360337051616495</v>
      </c>
      <c r="W376" s="360">
        <v>1.094689428790284</v>
      </c>
      <c r="X376" s="360">
        <v>94.608782232323023</v>
      </c>
      <c r="Y376" s="360">
        <v>0.29374248497261651</v>
      </c>
      <c r="Z376" s="360">
        <v>1.2016882486431788</v>
      </c>
      <c r="AA376" s="360">
        <v>7.5759597636877549</v>
      </c>
      <c r="AB376" s="360">
        <v>0.29359413816091978</v>
      </c>
      <c r="AC376" s="360">
        <v>1.2025097378004441</v>
      </c>
      <c r="AD376" s="360">
        <v>1.0033604025797846</v>
      </c>
      <c r="AE376" s="360">
        <v>0.29374493208112723</v>
      </c>
      <c r="AF376" s="360">
        <v>1.2016889332701777</v>
      </c>
      <c r="AG376" s="360">
        <v>5.2790014004331329</v>
      </c>
      <c r="AH376" s="360">
        <v>112.77957810746217</v>
      </c>
      <c r="AI376" s="360">
        <v>0.29062072259803667</v>
      </c>
      <c r="AJ376" s="360">
        <v>1.220302892325615</v>
      </c>
      <c r="AK376" s="360">
        <v>1.0849283208853229</v>
      </c>
      <c r="AL376" s="360">
        <v>0.29406243383374897</v>
      </c>
      <c r="AM376" s="360">
        <v>1.2016887785303252</v>
      </c>
      <c r="AN376" s="360">
        <v>69.834678053318086</v>
      </c>
      <c r="AO376" s="360">
        <f t="shared" si="15"/>
        <v>1</v>
      </c>
      <c r="AP376" s="360">
        <f t="shared" si="16"/>
        <v>1</v>
      </c>
      <c r="AQ376" s="360">
        <f t="shared" si="17"/>
        <v>1</v>
      </c>
    </row>
    <row r="377" spans="1:43">
      <c r="A377" s="360" t="s">
        <v>1081</v>
      </c>
      <c r="B377" t="s">
        <v>1075</v>
      </c>
      <c r="C377">
        <v>2</v>
      </c>
      <c r="D377" t="s">
        <v>1078</v>
      </c>
      <c r="E377" t="s">
        <v>1079</v>
      </c>
      <c r="F377" s="360">
        <v>6</v>
      </c>
      <c r="G377" s="360" t="str">
        <f>CONCATENATE(A377," ",B377," ",C377," ","inf+"," ",FanUpsizes!D377," ",FanUpsizes!F377)</f>
        <v>7ACH Percentile 2 inf+ New 6</v>
      </c>
      <c r="H377" s="360">
        <v>1.4421666666666666E-2</v>
      </c>
      <c r="I377" s="360">
        <v>0.41948563591979121</v>
      </c>
      <c r="J377" s="360">
        <v>0.86633057601786023</v>
      </c>
      <c r="K377" s="360">
        <v>386.60994492459821</v>
      </c>
      <c r="L377" s="360">
        <v>0.40811218078965128</v>
      </c>
      <c r="M377" s="360">
        <v>0.90288023142890161</v>
      </c>
      <c r="N377" s="360">
        <v>1.3654985336740249</v>
      </c>
      <c r="O377" s="360">
        <v>0.42345605975257977</v>
      </c>
      <c r="P377" s="360">
        <v>0.86633114137585232</v>
      </c>
      <c r="Q377" s="360">
        <v>234.55820692717361</v>
      </c>
      <c r="R377" s="360">
        <v>585.99834809697529</v>
      </c>
      <c r="S377" s="360">
        <v>0.39518034358639786</v>
      </c>
      <c r="T377" s="360">
        <v>0.939208411216784</v>
      </c>
      <c r="U377" s="360">
        <v>2.0415606158956163</v>
      </c>
      <c r="V377" s="360">
        <v>0.4256164672635806</v>
      </c>
      <c r="W377" s="360">
        <v>0.86633068295515403</v>
      </c>
      <c r="X377" s="360">
        <v>360.37184943722906</v>
      </c>
      <c r="Y377" s="360">
        <v>0.38510037595202806</v>
      </c>
      <c r="Z377" s="360">
        <v>0.94949997784687323</v>
      </c>
      <c r="AA377" s="360">
        <v>148.01537046657955</v>
      </c>
      <c r="AB377" s="360">
        <v>0.38093421582703074</v>
      </c>
      <c r="AC377" s="360">
        <v>0.96569341737611747</v>
      </c>
      <c r="AD377" s="360">
        <v>1.1536778435846966</v>
      </c>
      <c r="AE377" s="360">
        <v>0.3854646834712791</v>
      </c>
      <c r="AF377" s="360">
        <v>0.94950029236522338</v>
      </c>
      <c r="AG377" s="360">
        <v>100.85316808286741</v>
      </c>
      <c r="AH377" s="360">
        <v>257.35457780905722</v>
      </c>
      <c r="AI377" s="360">
        <v>0.37411613505764896</v>
      </c>
      <c r="AJ377" s="360">
        <v>0.99213603582262522</v>
      </c>
      <c r="AK377" s="360">
        <v>1.649658448820253</v>
      </c>
      <c r="AL377" s="360">
        <v>0.38620669836843419</v>
      </c>
      <c r="AM377" s="360">
        <v>0.94950095675104651</v>
      </c>
      <c r="AN377" s="360">
        <v>181.82112556928752</v>
      </c>
      <c r="AO377" s="360">
        <f t="shared" si="15"/>
        <v>1</v>
      </c>
      <c r="AP377" s="360">
        <f t="shared" si="16"/>
        <v>1</v>
      </c>
      <c r="AQ377" s="360">
        <f t="shared" si="17"/>
        <v>1</v>
      </c>
    </row>
    <row r="378" spans="1:43">
      <c r="A378" s="360" t="s">
        <v>1081</v>
      </c>
      <c r="B378" t="s">
        <v>1074</v>
      </c>
      <c r="C378">
        <v>2</v>
      </c>
      <c r="D378" t="s">
        <v>1078</v>
      </c>
      <c r="E378" t="s">
        <v>1079</v>
      </c>
      <c r="F378" s="360">
        <v>6</v>
      </c>
      <c r="G378" s="360" t="str">
        <f>CONCATENATE(A378," ",B378," ",C378," ","inf+"," ",FanUpsizes!D378," ",FanUpsizes!F378)</f>
        <v>7ACH Infiltration 2 inf+ New 6</v>
      </c>
      <c r="H378" s="360">
        <v>1.4421666666666666E-2</v>
      </c>
      <c r="I378" s="360">
        <v>0.41948563591979121</v>
      </c>
      <c r="J378" s="360">
        <v>0.86633057601786023</v>
      </c>
      <c r="K378" s="360">
        <v>0</v>
      </c>
      <c r="L378" s="360">
        <v>0.41948563591979121</v>
      </c>
      <c r="M378" s="360">
        <v>0.86633057601786023</v>
      </c>
      <c r="N378" s="360">
        <v>1</v>
      </c>
      <c r="O378" s="360">
        <v>0.41948563591979121</v>
      </c>
      <c r="P378" s="360">
        <v>0.86633057601786023</v>
      </c>
      <c r="Q378" s="360">
        <v>0</v>
      </c>
      <c r="R378" s="360">
        <v>342.54919182439619</v>
      </c>
      <c r="S378" s="360">
        <v>0.40579435326179525</v>
      </c>
      <c r="T378" s="360">
        <v>0.90526653330737494</v>
      </c>
      <c r="U378" s="360">
        <v>1.3863615055758831</v>
      </c>
      <c r="V378" s="360">
        <v>0.42111972598625635</v>
      </c>
      <c r="W378" s="360">
        <v>0.86633072825486057</v>
      </c>
      <c r="X378" s="360">
        <v>164.79483042420188</v>
      </c>
      <c r="Y378" s="360">
        <v>0.38510037595202806</v>
      </c>
      <c r="Z378" s="360">
        <v>0.94949997784687323</v>
      </c>
      <c r="AA378" s="360">
        <v>0</v>
      </c>
      <c r="AB378" s="360">
        <v>0.38510037595202806</v>
      </c>
      <c r="AC378" s="360">
        <v>0.94949997784687323</v>
      </c>
      <c r="AD378" s="360">
        <v>1</v>
      </c>
      <c r="AE378" s="360">
        <v>0.38510037595202806</v>
      </c>
      <c r="AF378" s="360">
        <v>0.94949997784687323</v>
      </c>
      <c r="AG378" s="360">
        <v>0</v>
      </c>
      <c r="AH378" s="360">
        <v>186.92884167652636</v>
      </c>
      <c r="AI378" s="360">
        <v>0.37784865734451079</v>
      </c>
      <c r="AJ378" s="360">
        <v>0.97708817583099861</v>
      </c>
      <c r="AK378" s="360">
        <v>1.3073425124911908</v>
      </c>
      <c r="AL378" s="360">
        <v>0.38544360242060083</v>
      </c>
      <c r="AM378" s="360">
        <v>0.94950035966634749</v>
      </c>
      <c r="AN378" s="360">
        <v>110.99429179096597</v>
      </c>
      <c r="AO378" s="360">
        <f t="shared" si="15"/>
        <v>1</v>
      </c>
      <c r="AP378" s="360">
        <f t="shared" si="16"/>
        <v>0</v>
      </c>
      <c r="AQ378" s="360">
        <f t="shared" si="17"/>
        <v>0</v>
      </c>
    </row>
    <row r="379" spans="1:43">
      <c r="A379" s="360" t="s">
        <v>1081</v>
      </c>
      <c r="B379" t="s">
        <v>1076</v>
      </c>
      <c r="C379">
        <v>2</v>
      </c>
      <c r="D379" t="s">
        <v>1078</v>
      </c>
      <c r="E379" t="s">
        <v>1079</v>
      </c>
      <c r="F379" s="360">
        <v>6</v>
      </c>
      <c r="G379" s="360" t="str">
        <f>CONCATENATE(A379," ",B379," ",C379," ","inf+"," ",FanUpsizes!D379," ",FanUpsizes!F379)</f>
        <v>7ACH 5C 2 inf+ New 6</v>
      </c>
      <c r="H379" s="360">
        <v>1.4421666666666666E-2</v>
      </c>
      <c r="I379" s="360">
        <v>0.41948563591979121</v>
      </c>
      <c r="J379" s="360">
        <v>0.86633057601786023</v>
      </c>
      <c r="K379" s="360">
        <v>16.933288989524485</v>
      </c>
      <c r="L379" s="360">
        <v>0.41914540435606873</v>
      </c>
      <c r="M379" s="360">
        <v>0.86734168625292696</v>
      </c>
      <c r="N379" s="360">
        <v>1.0075731596810127</v>
      </c>
      <c r="O379" s="360">
        <v>0.41954657612729485</v>
      </c>
      <c r="P379" s="360">
        <v>0.86633058325093226</v>
      </c>
      <c r="Q379" s="360">
        <v>10.983144125781129</v>
      </c>
      <c r="R379" s="360">
        <v>351.01583631915582</v>
      </c>
      <c r="S379" s="360">
        <v>0.40562423747993404</v>
      </c>
      <c r="T379" s="360">
        <v>0.90584299616988684</v>
      </c>
      <c r="U379" s="360">
        <v>1.3942600336413842</v>
      </c>
      <c r="V379" s="360">
        <v>0.42119626196528642</v>
      </c>
      <c r="W379" s="360">
        <v>0.86633257385847606</v>
      </c>
      <c r="X379" s="360">
        <v>172.96563773079436</v>
      </c>
      <c r="Y379" s="360">
        <v>0.38510037595202806</v>
      </c>
      <c r="Z379" s="360">
        <v>0.94949997784687323</v>
      </c>
      <c r="AA379" s="360">
        <v>6.0384033643581114</v>
      </c>
      <c r="AB379" s="360">
        <v>0.38498360505504814</v>
      </c>
      <c r="AC379" s="360">
        <v>0.94991052057778946</v>
      </c>
      <c r="AD379" s="360">
        <v>1.0031446546516769</v>
      </c>
      <c r="AE379" s="360">
        <v>0.38509566150160979</v>
      </c>
      <c r="AF379" s="360">
        <v>0.94950256992523319</v>
      </c>
      <c r="AG379" s="360">
        <v>4.2934070896204224</v>
      </c>
      <c r="AH379" s="360">
        <v>188.55842153198748</v>
      </c>
      <c r="AI379" s="360">
        <v>0.37781880789509537</v>
      </c>
      <c r="AJ379" s="360">
        <v>0.97720201061917444</v>
      </c>
      <c r="AK379" s="360">
        <v>1.3093615215278565</v>
      </c>
      <c r="AL379" s="360">
        <v>0.38544782514901216</v>
      </c>
      <c r="AM379" s="360">
        <v>0.94949997923342244</v>
      </c>
      <c r="AN379" s="360">
        <v>113.15567775581029</v>
      </c>
      <c r="AO379" s="360">
        <f t="shared" si="15"/>
        <v>1</v>
      </c>
      <c r="AP379" s="360">
        <f t="shared" si="16"/>
        <v>1</v>
      </c>
      <c r="AQ379" s="360">
        <f t="shared" si="17"/>
        <v>1</v>
      </c>
    </row>
    <row r="380" spans="1:43">
      <c r="A380" s="360" t="s">
        <v>1081</v>
      </c>
      <c r="B380" t="s">
        <v>1075</v>
      </c>
      <c r="C380">
        <v>1</v>
      </c>
      <c r="D380" t="s">
        <v>1080</v>
      </c>
      <c r="E380" t="s">
        <v>1079</v>
      </c>
      <c r="F380" s="360">
        <v>6</v>
      </c>
      <c r="G380" s="360" t="str">
        <f>CONCATENATE(A380," ",B380," ",C380," ","inf+"," ",FanUpsizes!D380," ",FanUpsizes!F380)</f>
        <v>7ACH Percentile 1 inf+ Existing 6</v>
      </c>
      <c r="H380" s="360">
        <v>3.0623114435544982E-2</v>
      </c>
      <c r="I380" s="360">
        <v>0.38352660902303504</v>
      </c>
      <c r="J380" s="360">
        <v>1.2332191148251779</v>
      </c>
      <c r="K380" s="360">
        <v>820.93150944275192</v>
      </c>
      <c r="L380" s="360">
        <v>0.35937609812661597</v>
      </c>
      <c r="M380" s="360">
        <v>1.3639610165858478</v>
      </c>
      <c r="N380" s="360">
        <v>1.3746556345892582</v>
      </c>
      <c r="O380" s="360">
        <v>0.39714909098580609</v>
      </c>
      <c r="P380" s="360">
        <v>1.2332194781240435</v>
      </c>
      <c r="Q380" s="360">
        <v>465.07556584738109</v>
      </c>
      <c r="R380" s="360">
        <v>1244.7363551471685</v>
      </c>
      <c r="S380" s="360">
        <v>0.3318667833673008</v>
      </c>
      <c r="T380" s="360">
        <v>1.4906660756853303</v>
      </c>
      <c r="U380" s="360">
        <v>2.0727882769022563</v>
      </c>
      <c r="V380" s="360">
        <v>0.40759310267409798</v>
      </c>
      <c r="W380" s="360">
        <v>1.2332191733049029</v>
      </c>
      <c r="X380" s="360">
        <v>750.37607639418786</v>
      </c>
      <c r="Y380" s="360">
        <v>0.36115420442889445</v>
      </c>
      <c r="Z380" s="360">
        <v>1.2812123872341128</v>
      </c>
      <c r="AA380" s="360">
        <v>697.18469371684864</v>
      </c>
      <c r="AB380" s="360">
        <v>0.34063466196075481</v>
      </c>
      <c r="AC380" s="360">
        <v>1.4012306031209816</v>
      </c>
      <c r="AD380" s="360">
        <v>1.2551836027696912</v>
      </c>
      <c r="AE380" s="360">
        <v>0.37231367446489788</v>
      </c>
      <c r="AF380" s="360">
        <v>1.2812145647705304</v>
      </c>
      <c r="AG380" s="360">
        <v>387.68070254471377</v>
      </c>
      <c r="AH380" s="360">
        <v>1175.4606381101296</v>
      </c>
      <c r="AI380" s="360">
        <v>0.30878569668605588</v>
      </c>
      <c r="AJ380" s="360">
        <v>1.5775147207425395</v>
      </c>
      <c r="AK380" s="360">
        <v>1.9387910453122561</v>
      </c>
      <c r="AL380" s="360">
        <v>0.38521873710238363</v>
      </c>
      <c r="AM380" s="360">
        <v>1.2812128199737056</v>
      </c>
      <c r="AN380" s="360">
        <v>696.41669247013829</v>
      </c>
      <c r="AO380" s="360">
        <f t="shared" si="15"/>
        <v>1</v>
      </c>
      <c r="AP380" s="360">
        <f t="shared" si="16"/>
        <v>1</v>
      </c>
      <c r="AQ380" s="360">
        <f t="shared" si="17"/>
        <v>1</v>
      </c>
    </row>
    <row r="381" spans="1:43">
      <c r="A381" s="360" t="s">
        <v>1081</v>
      </c>
      <c r="B381" t="s">
        <v>1074</v>
      </c>
      <c r="C381">
        <v>1</v>
      </c>
      <c r="D381" t="s">
        <v>1080</v>
      </c>
      <c r="E381" t="s">
        <v>1079</v>
      </c>
      <c r="F381" s="360">
        <v>6</v>
      </c>
      <c r="G381" s="360" t="str">
        <f>CONCATENATE(A381," ",B381," ",C381," ","inf+"," ",FanUpsizes!D381," ",FanUpsizes!F381)</f>
        <v>7ACH Infiltration 1 inf+ Existing 6</v>
      </c>
      <c r="H381" s="360">
        <v>3.0623114435544982E-2</v>
      </c>
      <c r="I381" s="360">
        <v>0.38352660902303504</v>
      </c>
      <c r="J381" s="360">
        <v>1.2332191148251779</v>
      </c>
      <c r="K381" s="360">
        <v>0</v>
      </c>
      <c r="L381" s="360">
        <v>0.38352660902303504</v>
      </c>
      <c r="M381" s="360">
        <v>1.2332191148251779</v>
      </c>
      <c r="N381" s="360">
        <v>1</v>
      </c>
      <c r="O381" s="360">
        <v>0.38352660902303504</v>
      </c>
      <c r="P381" s="360">
        <v>1.2332191148251779</v>
      </c>
      <c r="Q381" s="360">
        <v>0</v>
      </c>
      <c r="R381" s="360">
        <v>17.97815947635597</v>
      </c>
      <c r="S381" s="360">
        <v>0.38316538343270384</v>
      </c>
      <c r="T381" s="360">
        <v>1.2347510399688271</v>
      </c>
      <c r="U381" s="360">
        <v>1.0034946752934877</v>
      </c>
      <c r="V381" s="360">
        <v>0.38357871817648304</v>
      </c>
      <c r="W381" s="360">
        <v>1.2332194247458279</v>
      </c>
      <c r="X381" s="360">
        <v>12.049916461329202</v>
      </c>
      <c r="Y381" s="360">
        <v>0.36115420442889445</v>
      </c>
      <c r="Z381" s="360">
        <v>1.2812123872341128</v>
      </c>
      <c r="AA381" s="360">
        <v>0</v>
      </c>
      <c r="AB381" s="360">
        <v>0.36115420442889445</v>
      </c>
      <c r="AC381" s="360">
        <v>1.2812123872341128</v>
      </c>
      <c r="AD381" s="360">
        <v>1</v>
      </c>
      <c r="AE381" s="360">
        <v>0.36115420442889445</v>
      </c>
      <c r="AF381" s="360">
        <v>1.2812123872341128</v>
      </c>
      <c r="AG381" s="360">
        <v>0</v>
      </c>
      <c r="AH381" s="360">
        <v>20.837831950594985</v>
      </c>
      <c r="AI381" s="360">
        <v>0.3607340557825251</v>
      </c>
      <c r="AJ381" s="360">
        <v>1.2832204251491066</v>
      </c>
      <c r="AK381" s="360">
        <v>1.0032021469534511</v>
      </c>
      <c r="AL381" s="360">
        <v>0.36121920744424879</v>
      </c>
      <c r="AM381" s="360">
        <v>1.2812207724912312</v>
      </c>
      <c r="AN381" s="360">
        <v>13.551144870632752</v>
      </c>
      <c r="AO381" s="360">
        <f t="shared" si="15"/>
        <v>1</v>
      </c>
      <c r="AP381" s="360">
        <f t="shared" si="16"/>
        <v>0</v>
      </c>
      <c r="AQ381" s="360">
        <f t="shared" si="17"/>
        <v>0</v>
      </c>
    </row>
    <row r="382" spans="1:43">
      <c r="A382" s="360" t="s">
        <v>1081</v>
      </c>
      <c r="B382" t="s">
        <v>1076</v>
      </c>
      <c r="C382">
        <v>1</v>
      </c>
      <c r="D382" t="s">
        <v>1080</v>
      </c>
      <c r="E382" t="s">
        <v>1079</v>
      </c>
      <c r="F382" s="360">
        <v>6</v>
      </c>
      <c r="G382" s="360" t="str">
        <f>CONCATENATE(A382," ",B382," ",C382," ","inf+"," ",FanUpsizes!D382," ",FanUpsizes!F382)</f>
        <v>7ACH 5C 1 inf+ Existing 6</v>
      </c>
      <c r="H382" s="360">
        <v>3.0623114435544982E-2</v>
      </c>
      <c r="I382" s="360">
        <v>0.38352660902303504</v>
      </c>
      <c r="J382" s="360">
        <v>1.2332191148251779</v>
      </c>
      <c r="K382" s="360">
        <v>35.956318952708834</v>
      </c>
      <c r="L382" s="360">
        <v>0.38280415784237265</v>
      </c>
      <c r="M382" s="360">
        <v>1.2365412073368005</v>
      </c>
      <c r="N382" s="360">
        <v>1.0076065846123525</v>
      </c>
      <c r="O382" s="360">
        <v>0.38370108334863917</v>
      </c>
      <c r="P382" s="360">
        <v>1.2332197113740802</v>
      </c>
      <c r="Q382" s="360">
        <v>23.189531441271605</v>
      </c>
      <c r="R382" s="360">
        <v>35.956318952708834</v>
      </c>
      <c r="S382" s="360">
        <v>0.38280415784237265</v>
      </c>
      <c r="T382" s="360">
        <v>1.2365412073368005</v>
      </c>
      <c r="U382" s="360">
        <v>1.0076065846123525</v>
      </c>
      <c r="V382" s="360">
        <v>0.38370108334863917</v>
      </c>
      <c r="W382" s="360">
        <v>1.2332197113740802</v>
      </c>
      <c r="X382" s="360">
        <v>23.189531441271605</v>
      </c>
      <c r="Y382" s="360">
        <v>0.36115420442889445</v>
      </c>
      <c r="Z382" s="360">
        <v>1.2812123872341128</v>
      </c>
      <c r="AA382" s="360">
        <v>29.307990580359299</v>
      </c>
      <c r="AB382" s="360">
        <v>0.36056779346331069</v>
      </c>
      <c r="AC382" s="360">
        <v>1.2841230480650501</v>
      </c>
      <c r="AD382" s="360">
        <v>1.0046575142521026</v>
      </c>
      <c r="AE382" s="360">
        <v>0.36127221381265673</v>
      </c>
      <c r="AF382" s="360">
        <v>1.2812209358467248</v>
      </c>
      <c r="AG382" s="360">
        <v>18.779564048917308</v>
      </c>
      <c r="AH382" s="360">
        <v>29.307990580359299</v>
      </c>
      <c r="AI382" s="360">
        <v>0.36056779346331069</v>
      </c>
      <c r="AJ382" s="360">
        <v>1.2841230480650501</v>
      </c>
      <c r="AK382" s="360">
        <v>1.0046575142521026</v>
      </c>
      <c r="AL382" s="360">
        <v>0.36127221381265673</v>
      </c>
      <c r="AM382" s="360">
        <v>1.2812209358467248</v>
      </c>
      <c r="AN382" s="360">
        <v>18.779564048917308</v>
      </c>
      <c r="AO382" s="360">
        <f t="shared" si="15"/>
        <v>1</v>
      </c>
      <c r="AP382" s="360">
        <f t="shared" si="16"/>
        <v>1</v>
      </c>
      <c r="AQ382" s="360">
        <f t="shared" si="17"/>
        <v>1</v>
      </c>
    </row>
    <row r="383" spans="1:43">
      <c r="A383" s="360" t="s">
        <v>1081</v>
      </c>
      <c r="B383" t="s">
        <v>1075</v>
      </c>
      <c r="C383">
        <v>2</v>
      </c>
      <c r="D383" t="s">
        <v>1080</v>
      </c>
      <c r="E383" t="s">
        <v>1079</v>
      </c>
      <c r="F383" s="360">
        <v>6</v>
      </c>
      <c r="G383" s="360" t="str">
        <f>CONCATENATE(A383," ",B383," ",C383," ","inf+"," ",FanUpsizes!D383," ",FanUpsizes!F383)</f>
        <v>7ACH Percentile 2 inf+ Existing 6</v>
      </c>
      <c r="H383" s="360">
        <v>2.1391928440556408E-2</v>
      </c>
      <c r="I383" s="360">
        <v>0.44528268957181688</v>
      </c>
      <c r="J383" s="360">
        <v>1.1084548186928522</v>
      </c>
      <c r="K383" s="360">
        <v>573.46577669488988</v>
      </c>
      <c r="L383" s="360">
        <v>0.42841223042938076</v>
      </c>
      <c r="M383" s="360">
        <v>1.176359915478318</v>
      </c>
      <c r="N383" s="360">
        <v>1.3862915922362233</v>
      </c>
      <c r="O383" s="360">
        <v>0.45264550806428672</v>
      </c>
      <c r="P383" s="360">
        <v>1.1084548633355917</v>
      </c>
      <c r="Q383" s="360">
        <v>335.09364012912317</v>
      </c>
      <c r="R383" s="360">
        <v>869.22233182302944</v>
      </c>
      <c r="S383" s="360">
        <v>0.40923019395252747</v>
      </c>
      <c r="T383" s="360">
        <v>1.2429008181336985</v>
      </c>
      <c r="U383" s="360">
        <v>2.0520901225262942</v>
      </c>
      <c r="V383" s="360">
        <v>0.45618025672933266</v>
      </c>
      <c r="W383" s="360">
        <v>1.1084571419376013</v>
      </c>
      <c r="X383" s="360">
        <v>531.16295910438214</v>
      </c>
      <c r="Y383" s="360">
        <v>0.40559500782583802</v>
      </c>
      <c r="Z383" s="360">
        <v>1.2129144456045371</v>
      </c>
      <c r="AA383" s="360">
        <v>305.24135411712678</v>
      </c>
      <c r="AB383" s="360">
        <v>0.39680074977766838</v>
      </c>
      <c r="AC383" s="360">
        <v>1.2552753154805831</v>
      </c>
      <c r="AD383" s="360">
        <v>1.1813002020247114</v>
      </c>
      <c r="AE383" s="360">
        <v>0.40749043445614774</v>
      </c>
      <c r="AF383" s="360">
        <v>1.2129151456951421</v>
      </c>
      <c r="AG383" s="360">
        <v>197.12731955635255</v>
      </c>
      <c r="AH383" s="360">
        <v>524.07663942493548</v>
      </c>
      <c r="AI383" s="360">
        <v>0.38268104350167165</v>
      </c>
      <c r="AJ383" s="360">
        <v>1.3218694138466833</v>
      </c>
      <c r="AK383" s="360">
        <v>1.7458276986627623</v>
      </c>
      <c r="AL383" s="360">
        <v>0.4107285540549836</v>
      </c>
      <c r="AM383" s="360">
        <v>1.2129149592032631</v>
      </c>
      <c r="AN383" s="360">
        <v>351.93397336381281</v>
      </c>
      <c r="AO383" s="360">
        <f t="shared" si="15"/>
        <v>1</v>
      </c>
      <c r="AP383" s="360">
        <f t="shared" si="16"/>
        <v>1</v>
      </c>
      <c r="AQ383" s="360">
        <f t="shared" si="17"/>
        <v>1</v>
      </c>
    </row>
    <row r="384" spans="1:43">
      <c r="A384" s="360" t="s">
        <v>1081</v>
      </c>
      <c r="B384" t="s">
        <v>1074</v>
      </c>
      <c r="C384">
        <v>2</v>
      </c>
      <c r="D384" t="s">
        <v>1080</v>
      </c>
      <c r="E384" t="s">
        <v>1079</v>
      </c>
      <c r="F384" s="360">
        <v>6</v>
      </c>
      <c r="G384" s="360" t="str">
        <f>CONCATENATE(A384," ",B384," ",C384," ","inf+"," ",FanUpsizes!D384," ",FanUpsizes!F384)</f>
        <v>7ACH Infiltration 2 inf+ Existing 6</v>
      </c>
      <c r="H384" s="360">
        <v>2.1391928440556408E-2</v>
      </c>
      <c r="I384" s="360">
        <v>0.44528268957181688</v>
      </c>
      <c r="J384" s="360">
        <v>1.1084548186928522</v>
      </c>
      <c r="K384" s="360">
        <v>0</v>
      </c>
      <c r="L384" s="360">
        <v>0.44528268957181688</v>
      </c>
      <c r="M384" s="360">
        <v>1.1084548186928522</v>
      </c>
      <c r="N384" s="360">
        <v>1</v>
      </c>
      <c r="O384" s="360">
        <v>0.44528268957181688</v>
      </c>
      <c r="P384" s="360">
        <v>1.1084548186928522</v>
      </c>
      <c r="Q384" s="360">
        <v>0</v>
      </c>
      <c r="R384" s="360">
        <v>179.71854405036126</v>
      </c>
      <c r="S384" s="360">
        <v>0.44053787293800756</v>
      </c>
      <c r="T384" s="360">
        <v>1.1261230424927922</v>
      </c>
      <c r="U384" s="360">
        <v>1.0792067238500422</v>
      </c>
      <c r="V384" s="360">
        <v>0.44644854517408555</v>
      </c>
      <c r="W384" s="360">
        <v>1.1084562470394543</v>
      </c>
      <c r="X384" s="360">
        <v>99.654369834110142</v>
      </c>
      <c r="Y384" s="360">
        <v>0.40559500782583802</v>
      </c>
      <c r="Z384" s="360">
        <v>1.2129144456045371</v>
      </c>
      <c r="AA384" s="360">
        <v>0</v>
      </c>
      <c r="AB384" s="360">
        <v>0.40559500782583802</v>
      </c>
      <c r="AC384" s="360">
        <v>1.2129144456045371</v>
      </c>
      <c r="AD384" s="360">
        <v>1</v>
      </c>
      <c r="AE384" s="360">
        <v>0.40559500782583802</v>
      </c>
      <c r="AF384" s="360">
        <v>1.2129144456045371</v>
      </c>
      <c r="AG384" s="360">
        <v>0</v>
      </c>
      <c r="AH384" s="360">
        <v>139.67371991307465</v>
      </c>
      <c r="AI384" s="360">
        <v>0.40191376659725525</v>
      </c>
      <c r="AJ384" s="360">
        <v>1.2300990882066909</v>
      </c>
      <c r="AK384" s="360">
        <v>1.0628621878150106</v>
      </c>
      <c r="AL384" s="360">
        <v>0.40610306219635339</v>
      </c>
      <c r="AM384" s="360">
        <v>1.212920147429954</v>
      </c>
      <c r="AN384" s="360">
        <v>84.05080337342514</v>
      </c>
      <c r="AO384" s="360">
        <f t="shared" si="15"/>
        <v>1</v>
      </c>
      <c r="AP384" s="360">
        <f t="shared" si="16"/>
        <v>0</v>
      </c>
      <c r="AQ384" s="360">
        <f t="shared" si="17"/>
        <v>0</v>
      </c>
    </row>
    <row r="385" spans="1:43">
      <c r="A385" s="360" t="s">
        <v>1081</v>
      </c>
      <c r="B385" t="s">
        <v>1076</v>
      </c>
      <c r="C385">
        <v>2</v>
      </c>
      <c r="D385" t="s">
        <v>1080</v>
      </c>
      <c r="E385" t="s">
        <v>1079</v>
      </c>
      <c r="F385" s="360">
        <v>6</v>
      </c>
      <c r="G385" s="360" t="str">
        <f>CONCATENATE(A385," ",B385," ",C385," ","inf+"," ",FanUpsizes!D385," ",FanUpsizes!F385)</f>
        <v>7ACH 5C 2 inf+ Existing 6</v>
      </c>
      <c r="H385" s="360">
        <v>2.1391928440556408E-2</v>
      </c>
      <c r="I385" s="360">
        <v>0.44528268957181688</v>
      </c>
      <c r="J385" s="360">
        <v>1.1084548186928522</v>
      </c>
      <c r="K385" s="360">
        <v>25.117464901917888</v>
      </c>
      <c r="L385" s="360">
        <v>0.44477801771712827</v>
      </c>
      <c r="M385" s="360">
        <v>1.1102852328328265</v>
      </c>
      <c r="N385" s="360">
        <v>1.0077443214975683</v>
      </c>
      <c r="O385" s="360">
        <v>0.44538872779587002</v>
      </c>
      <c r="P385" s="360">
        <v>1.1084557633524961</v>
      </c>
      <c r="Q385" s="360">
        <v>16.092026988951542</v>
      </c>
      <c r="R385" s="360">
        <v>192.27727650131868</v>
      </c>
      <c r="S385" s="360">
        <v>0.44028553701066309</v>
      </c>
      <c r="T385" s="360">
        <v>1.1271998521983333</v>
      </c>
      <c r="U385" s="360">
        <v>1.0844474614820483</v>
      </c>
      <c r="V385" s="360">
        <v>0.44656598410842374</v>
      </c>
      <c r="W385" s="360">
        <v>1.1084554358824255</v>
      </c>
      <c r="X385" s="360">
        <v>107.97618425656084</v>
      </c>
      <c r="Y385" s="360">
        <v>0.40559500782583802</v>
      </c>
      <c r="Z385" s="360">
        <v>1.2129144456045371</v>
      </c>
      <c r="AA385" s="360">
        <v>12.630087444427573</v>
      </c>
      <c r="AB385" s="360">
        <v>0.40534637877300028</v>
      </c>
      <c r="AC385" s="360">
        <v>1.2139840139746469</v>
      </c>
      <c r="AD385" s="360">
        <v>1.0036205293569316</v>
      </c>
      <c r="AE385" s="360">
        <v>0.40560541625497015</v>
      </c>
      <c r="AF385" s="360">
        <v>1.2129144796412161</v>
      </c>
      <c r="AG385" s="360">
        <v>8.6630379691330326</v>
      </c>
      <c r="AH385" s="360">
        <v>143.10407327799945</v>
      </c>
      <c r="AI385" s="360">
        <v>0.40184868434129495</v>
      </c>
      <c r="AJ385" s="360">
        <v>1.2304206445124088</v>
      </c>
      <c r="AK385" s="360">
        <v>1.064187364093905</v>
      </c>
      <c r="AL385" s="360">
        <v>0.40611974629076708</v>
      </c>
      <c r="AM385" s="360">
        <v>1.2129168789669136</v>
      </c>
      <c r="AN385" s="360">
        <v>86.713055003533086</v>
      </c>
      <c r="AO385" s="360">
        <f t="shared" si="15"/>
        <v>1</v>
      </c>
      <c r="AP385" s="360">
        <f t="shared" si="16"/>
        <v>1</v>
      </c>
      <c r="AQ385" s="360">
        <f t="shared" si="17"/>
        <v>1</v>
      </c>
    </row>
    <row r="386" spans="1:43">
      <c r="A386" s="360" t="s">
        <v>1082</v>
      </c>
      <c r="B386" t="s">
        <v>1075</v>
      </c>
      <c r="C386">
        <v>1</v>
      </c>
      <c r="D386" t="s">
        <v>1078</v>
      </c>
      <c r="E386" t="s">
        <v>1079</v>
      </c>
      <c r="F386" s="360">
        <v>6</v>
      </c>
      <c r="G386" s="360" t="str">
        <f>CONCATENATE(A386," ",B386," ",C386," ","inf+"," ",FanUpsizes!D386," ",FanUpsizes!F386)</f>
        <v>5ACH Percentile 1 inf+ New 6</v>
      </c>
      <c r="H386" s="360">
        <v>2.2627938882532124E-2</v>
      </c>
      <c r="I386" s="360">
        <v>0.27687459059630648</v>
      </c>
      <c r="J386" s="360">
        <v>1.2300524740900916</v>
      </c>
      <c r="K386" s="360">
        <v>606.60022224431964</v>
      </c>
      <c r="L386" s="360">
        <v>0.25902936829874151</v>
      </c>
      <c r="M386" s="360">
        <v>1.3598113684187876</v>
      </c>
      <c r="N386" s="360">
        <v>1.3613537125059583</v>
      </c>
      <c r="O386" s="360">
        <v>0.28631784190152104</v>
      </c>
      <c r="P386" s="360">
        <v>1.2300525174001149</v>
      </c>
      <c r="Q386" s="360">
        <v>348.97254583586584</v>
      </c>
      <c r="R386" s="360">
        <v>919.99830096176322</v>
      </c>
      <c r="S386" s="360">
        <v>0.23867213123925551</v>
      </c>
      <c r="T386" s="360">
        <v>1.4868887574561334</v>
      </c>
      <c r="U386" s="360">
        <v>2.0450814278654494</v>
      </c>
      <c r="V386" s="360">
        <v>0.29342404814277523</v>
      </c>
      <c r="W386" s="360">
        <v>1.2300527109047183</v>
      </c>
      <c r="X386" s="360">
        <v>563.9086044636357</v>
      </c>
      <c r="Y386" s="360">
        <v>0.26174339878080222</v>
      </c>
      <c r="Z386" s="360">
        <v>1.2751258090962816</v>
      </c>
      <c r="AA386" s="360">
        <v>526.61014709667529</v>
      </c>
      <c r="AB386" s="360">
        <v>0.24623337107478499</v>
      </c>
      <c r="AC386" s="360">
        <v>1.3961037755516992</v>
      </c>
      <c r="AD386" s="360">
        <v>1.252478864631978</v>
      </c>
      <c r="AE386" s="360">
        <v>0.26971911220316241</v>
      </c>
      <c r="AF386" s="360">
        <v>1.2751258165807591</v>
      </c>
      <c r="AG386" s="360">
        <v>297.41264461803968</v>
      </c>
      <c r="AH386" s="360">
        <v>886.63041922090849</v>
      </c>
      <c r="AI386" s="360">
        <v>0.22223696992521039</v>
      </c>
      <c r="AJ386" s="360">
        <v>1.5735977487984298</v>
      </c>
      <c r="AK386" s="360">
        <v>1.9218222036621855</v>
      </c>
      <c r="AL386" s="360">
        <v>0.27841642194741822</v>
      </c>
      <c r="AM386" s="360">
        <v>1.2751297116201397</v>
      </c>
      <c r="AN386" s="360">
        <v>533.88091362149521</v>
      </c>
      <c r="AO386" s="360">
        <f t="shared" si="15"/>
        <v>1</v>
      </c>
      <c r="AP386" s="360">
        <f t="shared" si="16"/>
        <v>1</v>
      </c>
      <c r="AQ386" s="360">
        <f t="shared" si="17"/>
        <v>1</v>
      </c>
    </row>
    <row r="387" spans="1:43">
      <c r="A387" s="360" t="s">
        <v>1082</v>
      </c>
      <c r="B387" t="s">
        <v>1074</v>
      </c>
      <c r="C387">
        <v>1</v>
      </c>
      <c r="D387" t="s">
        <v>1078</v>
      </c>
      <c r="E387" t="s">
        <v>1079</v>
      </c>
      <c r="F387" s="360">
        <v>6</v>
      </c>
      <c r="G387" s="360" t="str">
        <f>CONCATENATE(A387," ",B387," ",C387," ","inf+"," ",FanUpsizes!D387," ",FanUpsizes!F387)</f>
        <v>5ACH Infiltration 1 inf+ New 6</v>
      </c>
      <c r="H387" s="360">
        <v>2.2627938882532124E-2</v>
      </c>
      <c r="I387" s="360">
        <v>0.27687459059630648</v>
      </c>
      <c r="J387" s="360">
        <v>1.2300524740900916</v>
      </c>
      <c r="K387" s="360">
        <v>0</v>
      </c>
      <c r="L387" s="360">
        <v>0.27687459059630648</v>
      </c>
      <c r="M387" s="360">
        <v>1.2300524740900916</v>
      </c>
      <c r="N387" s="360">
        <v>1</v>
      </c>
      <c r="O387" s="360">
        <v>0.27687459059630648</v>
      </c>
      <c r="P387" s="360">
        <v>1.2300524740900916</v>
      </c>
      <c r="Q387" s="360">
        <v>0</v>
      </c>
      <c r="R387" s="360">
        <v>8.8024585920330427</v>
      </c>
      <c r="S387" s="360">
        <v>0.27670300192036845</v>
      </c>
      <c r="T387" s="360">
        <v>1.2310519498288772</v>
      </c>
      <c r="U387" s="360">
        <v>1.0022626440823121</v>
      </c>
      <c r="V387" s="360">
        <v>0.27690217114479437</v>
      </c>
      <c r="W387" s="360">
        <v>1.2300530372648233</v>
      </c>
      <c r="X387" s="360">
        <v>5.9550448818870203</v>
      </c>
      <c r="Y387" s="360">
        <v>0.26174339878080222</v>
      </c>
      <c r="Z387" s="360">
        <v>1.2751258090962816</v>
      </c>
      <c r="AA387" s="360">
        <v>0</v>
      </c>
      <c r="AB387" s="360">
        <v>0.26174339878080222</v>
      </c>
      <c r="AC387" s="360">
        <v>1.2751258090962816</v>
      </c>
      <c r="AD387" s="360">
        <v>1</v>
      </c>
      <c r="AE387" s="360">
        <v>0.26174339878080222</v>
      </c>
      <c r="AF387" s="360">
        <v>1.2751258090962816</v>
      </c>
      <c r="AG387" s="360">
        <v>0</v>
      </c>
      <c r="AH387" s="360">
        <v>10.384987808561752</v>
      </c>
      <c r="AI387" s="360">
        <v>0.26154021198334743</v>
      </c>
      <c r="AJ387" s="360">
        <v>1.2764351197534998</v>
      </c>
      <c r="AK387" s="360">
        <v>1.0020694825650316</v>
      </c>
      <c r="AL387" s="360">
        <v>0.26177590751631846</v>
      </c>
      <c r="AM387" s="360">
        <v>1.2751323381065398</v>
      </c>
      <c r="AN387" s="360">
        <v>6.8356529877687731</v>
      </c>
      <c r="AO387" s="360">
        <f t="shared" si="15"/>
        <v>1</v>
      </c>
      <c r="AP387" s="360">
        <f t="shared" si="16"/>
        <v>0</v>
      </c>
      <c r="AQ387" s="360">
        <f t="shared" si="17"/>
        <v>0</v>
      </c>
    </row>
    <row r="388" spans="1:43">
      <c r="A388" s="360" t="s">
        <v>1082</v>
      </c>
      <c r="B388" t="s">
        <v>1076</v>
      </c>
      <c r="C388">
        <v>1</v>
      </c>
      <c r="D388" t="s">
        <v>1078</v>
      </c>
      <c r="E388" t="s">
        <v>1079</v>
      </c>
      <c r="F388" s="360">
        <v>6</v>
      </c>
      <c r="G388" s="360" t="str">
        <f>CONCATENATE(A388," ",B388," ",C388," ","inf+"," ",FanUpsizes!D388," ",FanUpsizes!F388)</f>
        <v>5ACH 5C 1 inf+ New 6</v>
      </c>
      <c r="H388" s="360">
        <v>2.2627938882532124E-2</v>
      </c>
      <c r="I388" s="360">
        <v>0.27687459059630648</v>
      </c>
      <c r="J388" s="360">
        <v>1.2300524740900916</v>
      </c>
      <c r="K388" s="360">
        <v>26.568734196357873</v>
      </c>
      <c r="L388" s="360">
        <v>0.27634075916005446</v>
      </c>
      <c r="M388" s="360">
        <v>1.2334000222079959</v>
      </c>
      <c r="N388" s="360">
        <v>1.007614951851606</v>
      </c>
      <c r="O388" s="360">
        <v>0.27700830676522437</v>
      </c>
      <c r="P388" s="360">
        <v>1.2300529725712026</v>
      </c>
      <c r="Q388" s="360">
        <v>17.121023501662911</v>
      </c>
      <c r="R388" s="360">
        <v>26.568734196357873</v>
      </c>
      <c r="S388" s="360">
        <v>0.27634075916005446</v>
      </c>
      <c r="T388" s="360">
        <v>1.2334000222079959</v>
      </c>
      <c r="U388" s="360">
        <v>1.007614951851606</v>
      </c>
      <c r="V388" s="360">
        <v>0.27700830676522437</v>
      </c>
      <c r="W388" s="360">
        <v>1.2300529725712026</v>
      </c>
      <c r="X388" s="360">
        <v>17.121023501662911</v>
      </c>
      <c r="Y388" s="360">
        <v>0.26174339878080222</v>
      </c>
      <c r="Z388" s="360">
        <v>1.2751258090962816</v>
      </c>
      <c r="AA388" s="360">
        <v>22.171177430077773</v>
      </c>
      <c r="AB388" s="360">
        <v>0.26129952006469243</v>
      </c>
      <c r="AC388" s="360">
        <v>1.2780978964019796</v>
      </c>
      <c r="AD388" s="360">
        <v>1.0047360099610896</v>
      </c>
      <c r="AE388" s="360">
        <v>0.26183722280082516</v>
      </c>
      <c r="AF388" s="360">
        <v>1.2751262947218316</v>
      </c>
      <c r="AG388" s="360">
        <v>14.141390352703036</v>
      </c>
      <c r="AH388" s="360">
        <v>22.171177430077773</v>
      </c>
      <c r="AI388" s="360">
        <v>0.26129952006469243</v>
      </c>
      <c r="AJ388" s="360">
        <v>1.2780978964019796</v>
      </c>
      <c r="AK388" s="360">
        <v>1.0047360099610896</v>
      </c>
      <c r="AL388" s="360">
        <v>0.26183722280082516</v>
      </c>
      <c r="AM388" s="360">
        <v>1.2751262947218316</v>
      </c>
      <c r="AN388" s="360">
        <v>14.141390352703036</v>
      </c>
      <c r="AO388" s="360">
        <f t="shared" si="15"/>
        <v>1</v>
      </c>
      <c r="AP388" s="360">
        <f t="shared" si="16"/>
        <v>1</v>
      </c>
      <c r="AQ388" s="360">
        <f t="shared" si="17"/>
        <v>1</v>
      </c>
    </row>
    <row r="389" spans="1:43">
      <c r="A389" s="360" t="s">
        <v>1082</v>
      </c>
      <c r="B389" t="s">
        <v>1075</v>
      </c>
      <c r="C389">
        <v>2</v>
      </c>
      <c r="D389" t="s">
        <v>1078</v>
      </c>
      <c r="E389" t="s">
        <v>1079</v>
      </c>
      <c r="F389" s="360">
        <v>6</v>
      </c>
      <c r="G389" s="360" t="str">
        <f>CONCATENATE(A389," ",B389," ",C389," ","inf+"," ",FanUpsizes!D389," ",FanUpsizes!F389)</f>
        <v>5ACH Percentile 2 inf+ New 6</v>
      </c>
      <c r="H389" s="360">
        <v>1.6034234600397431E-2</v>
      </c>
      <c r="I389" s="360">
        <v>0.32085759934501956</v>
      </c>
      <c r="J389" s="360">
        <v>1.1033615148188571</v>
      </c>
      <c r="K389" s="360">
        <v>429.83898456732067</v>
      </c>
      <c r="L389" s="360">
        <v>0.30821241401458416</v>
      </c>
      <c r="M389" s="360">
        <v>1.1722190773258583</v>
      </c>
      <c r="N389" s="360">
        <v>1.3859116250843868</v>
      </c>
      <c r="O389" s="360">
        <v>0.32639017151621613</v>
      </c>
      <c r="P389" s="360">
        <v>1.1033625647088927</v>
      </c>
      <c r="Q389" s="360">
        <v>251.34384645282799</v>
      </c>
      <c r="R389" s="360">
        <v>651.5221302784729</v>
      </c>
      <c r="S389" s="360">
        <v>0.29383459511723914</v>
      </c>
      <c r="T389" s="360">
        <v>1.2392327024353749</v>
      </c>
      <c r="U389" s="360">
        <v>2.0426524503666434</v>
      </c>
      <c r="V389" s="360">
        <v>0.32889371090442621</v>
      </c>
      <c r="W389" s="360">
        <v>1.1033617570693759</v>
      </c>
      <c r="X389" s="360">
        <v>400.4040962609111</v>
      </c>
      <c r="Y389" s="360">
        <v>0.29229062647862614</v>
      </c>
      <c r="Z389" s="360">
        <v>1.2056487193602881</v>
      </c>
      <c r="AA389" s="360">
        <v>237.85834862598463</v>
      </c>
      <c r="AB389" s="360">
        <v>0.28542258106696849</v>
      </c>
      <c r="AC389" s="360">
        <v>1.2502040627943269</v>
      </c>
      <c r="AD389" s="360">
        <v>1.1868230154157968</v>
      </c>
      <c r="AE389" s="360">
        <v>0.29396140261634635</v>
      </c>
      <c r="AF389" s="360">
        <v>1.2056490983727108</v>
      </c>
      <c r="AG389" s="360">
        <v>151.73913377768889</v>
      </c>
      <c r="AH389" s="360">
        <v>407.71227391798141</v>
      </c>
      <c r="AI389" s="360">
        <v>0.27442790393706301</v>
      </c>
      <c r="AJ389" s="360">
        <v>1.3184859753034455</v>
      </c>
      <c r="AK389" s="360">
        <v>1.752265561139152</v>
      </c>
      <c r="AL389" s="360">
        <v>0.29635277937881416</v>
      </c>
      <c r="AM389" s="360">
        <v>1.2056487491116989</v>
      </c>
      <c r="AN389" s="360">
        <v>273.12261298511277</v>
      </c>
      <c r="AO389" s="360">
        <f t="shared" si="15"/>
        <v>1</v>
      </c>
      <c r="AP389" s="360">
        <f t="shared" si="16"/>
        <v>1</v>
      </c>
      <c r="AQ389" s="360">
        <f t="shared" si="17"/>
        <v>1</v>
      </c>
    </row>
    <row r="390" spans="1:43">
      <c r="A390" s="360" t="s">
        <v>1082</v>
      </c>
      <c r="B390" t="s">
        <v>1074</v>
      </c>
      <c r="C390">
        <v>2</v>
      </c>
      <c r="D390" t="s">
        <v>1078</v>
      </c>
      <c r="E390" t="s">
        <v>1079</v>
      </c>
      <c r="F390" s="360">
        <v>6</v>
      </c>
      <c r="G390" s="360" t="str">
        <f>CONCATENATE(A390," ",B390," ",C390," ","inf+"," ",FanUpsizes!D390," ",FanUpsizes!F390)</f>
        <v>5ACH Infiltration 2 inf+ New 6</v>
      </c>
      <c r="H390" s="360">
        <v>1.6034234600397431E-2</v>
      </c>
      <c r="I390" s="360">
        <v>0.32085759934501956</v>
      </c>
      <c r="J390" s="360">
        <v>1.1033615148188571</v>
      </c>
      <c r="K390" s="360">
        <v>0</v>
      </c>
      <c r="L390" s="360">
        <v>0.32085759934501956</v>
      </c>
      <c r="M390" s="360">
        <v>1.1033615148188571</v>
      </c>
      <c r="N390" s="360">
        <v>1</v>
      </c>
      <c r="O390" s="360">
        <v>0.32085759934501956</v>
      </c>
      <c r="P390" s="360">
        <v>1.1033615148188571</v>
      </c>
      <c r="Q390" s="360">
        <v>0</v>
      </c>
      <c r="R390" s="360">
        <v>110.24201497654684</v>
      </c>
      <c r="S390" s="360">
        <v>0.31805769052051946</v>
      </c>
      <c r="T390" s="360">
        <v>1.1177101383855497</v>
      </c>
      <c r="U390" s="360">
        <v>1.062952560029004</v>
      </c>
      <c r="V390" s="360">
        <v>0.32162650605110688</v>
      </c>
      <c r="W390" s="360">
        <v>1.1033620569691627</v>
      </c>
      <c r="X390" s="360">
        <v>61.005212276126016</v>
      </c>
      <c r="Y390" s="360">
        <v>0.29229062647862614</v>
      </c>
      <c r="Z390" s="360">
        <v>1.2056487193602881</v>
      </c>
      <c r="AA390" s="360">
        <v>0</v>
      </c>
      <c r="AB390" s="360">
        <v>0.29229062647862614</v>
      </c>
      <c r="AC390" s="360">
        <v>1.2056487193602881</v>
      </c>
      <c r="AD390" s="360">
        <v>1</v>
      </c>
      <c r="AE390" s="360">
        <v>0.29229062647862614</v>
      </c>
      <c r="AF390" s="360">
        <v>1.2056487193602881</v>
      </c>
      <c r="AG390" s="360">
        <v>0</v>
      </c>
      <c r="AH390" s="360">
        <v>89.046586310950815</v>
      </c>
      <c r="AI390" s="360">
        <v>0.2900321046669892</v>
      </c>
      <c r="AJ390" s="360">
        <v>1.2200021771246741</v>
      </c>
      <c r="AK390" s="360">
        <v>1.0504796161299481</v>
      </c>
      <c r="AL390" s="360">
        <v>0.29268535962154463</v>
      </c>
      <c r="AM390" s="360">
        <v>1.205648793752357</v>
      </c>
      <c r="AN390" s="360">
        <v>52.81673569816558</v>
      </c>
      <c r="AO390" s="360">
        <f t="shared" si="15"/>
        <v>1</v>
      </c>
      <c r="AP390" s="360">
        <f t="shared" si="16"/>
        <v>0</v>
      </c>
      <c r="AQ390" s="360">
        <f t="shared" si="17"/>
        <v>0</v>
      </c>
    </row>
    <row r="391" spans="1:43">
      <c r="A391" s="360" t="s">
        <v>1082</v>
      </c>
      <c r="B391" t="s">
        <v>1076</v>
      </c>
      <c r="C391">
        <v>2</v>
      </c>
      <c r="D391" t="s">
        <v>1078</v>
      </c>
      <c r="E391" t="s">
        <v>1079</v>
      </c>
      <c r="F391" s="360">
        <v>6</v>
      </c>
      <c r="G391" s="360" t="str">
        <f>CONCATENATE(A391," ",B391," ",C391," ","inf+"," ",FanUpsizes!D391," ",FanUpsizes!F391)</f>
        <v>5ACH 5C 2 inf+ New 6</v>
      </c>
      <c r="H391" s="360">
        <v>1.6034234600397431E-2</v>
      </c>
      <c r="I391" s="360">
        <v>0.32085759934501956</v>
      </c>
      <c r="J391" s="360">
        <v>1.1033615148188571</v>
      </c>
      <c r="K391" s="360">
        <v>18.826695588654122</v>
      </c>
      <c r="L391" s="360">
        <v>0.32047932457017742</v>
      </c>
      <c r="M391" s="360">
        <v>1.1052624964428606</v>
      </c>
      <c r="N391" s="360">
        <v>1.0079813744976802</v>
      </c>
      <c r="O391" s="360">
        <v>0.32095112108378504</v>
      </c>
      <c r="P391" s="360">
        <v>1.1033618211376501</v>
      </c>
      <c r="Q391" s="360">
        <v>11.85463914331592</v>
      </c>
      <c r="R391" s="360">
        <v>119.65536277087546</v>
      </c>
      <c r="S391" s="360">
        <v>0.31786855313309842</v>
      </c>
      <c r="T391" s="360">
        <v>1.1188223764160108</v>
      </c>
      <c r="U391" s="360">
        <v>1.068143530652863</v>
      </c>
      <c r="V391" s="360">
        <v>0.32171891143945619</v>
      </c>
      <c r="W391" s="360">
        <v>1.1033638212172869</v>
      </c>
      <c r="X391" s="360">
        <v>67.000028312334919</v>
      </c>
      <c r="Y391" s="360">
        <v>0.29229062647862614</v>
      </c>
      <c r="Z391" s="360">
        <v>1.2056487193602881</v>
      </c>
      <c r="AA391" s="360">
        <v>9.8602494021664473</v>
      </c>
      <c r="AB391" s="360">
        <v>0.29209619033028283</v>
      </c>
      <c r="AC391" s="360">
        <v>1.2068101918439662</v>
      </c>
      <c r="AD391" s="360">
        <v>1.003843110197121</v>
      </c>
      <c r="AE391" s="360">
        <v>0.29230937483749214</v>
      </c>
      <c r="AF391" s="360">
        <v>1.205649757192355</v>
      </c>
      <c r="AG391" s="360">
        <v>6.6003334159990548</v>
      </c>
      <c r="AH391" s="360">
        <v>91.730934896400441</v>
      </c>
      <c r="AI391" s="360">
        <v>0.2899809991648486</v>
      </c>
      <c r="AJ391" s="360">
        <v>1.2203524736396512</v>
      </c>
      <c r="AK391" s="360">
        <v>1.05182198304051</v>
      </c>
      <c r="AL391" s="360">
        <v>0.29270070251868263</v>
      </c>
      <c r="AM391" s="360">
        <v>1.2056491334773682</v>
      </c>
      <c r="AN391" s="360">
        <v>54.791170692451843</v>
      </c>
      <c r="AO391" s="360">
        <f t="shared" si="15"/>
        <v>1</v>
      </c>
      <c r="AP391" s="360">
        <f t="shared" si="16"/>
        <v>1</v>
      </c>
      <c r="AQ391" s="360">
        <f t="shared" si="17"/>
        <v>1</v>
      </c>
    </row>
    <row r="392" spans="1:43">
      <c r="A392" s="360" t="s">
        <v>1082</v>
      </c>
      <c r="B392" t="s">
        <v>1075</v>
      </c>
      <c r="C392">
        <v>1</v>
      </c>
      <c r="D392" t="s">
        <v>1080</v>
      </c>
      <c r="E392" t="s">
        <v>1079</v>
      </c>
      <c r="F392" s="360">
        <v>6</v>
      </c>
      <c r="G392" s="360" t="str">
        <f>CONCATENATE(A392," ",B392," ",C392," ","inf+"," ",FanUpsizes!D392," ",FanUpsizes!F392)</f>
        <v>5ACH Percentile 1 inf+ Existing 6</v>
      </c>
      <c r="H392" s="360">
        <v>3.8877938882532125E-2</v>
      </c>
      <c r="I392" s="360">
        <v>0.34928225632509102</v>
      </c>
      <c r="J392" s="360">
        <v>1.3009740020159573</v>
      </c>
      <c r="K392" s="360">
        <v>1084.4547690142483</v>
      </c>
      <c r="L392" s="360">
        <v>0.31718075977942778</v>
      </c>
      <c r="M392" s="360">
        <v>1.5315241583460826</v>
      </c>
      <c r="N392" s="360">
        <v>1.3821162943236898</v>
      </c>
      <c r="O392" s="360">
        <v>0.38098540337731923</v>
      </c>
      <c r="P392" s="360">
        <v>1.3009784116452756</v>
      </c>
      <c r="Q392" s="360">
        <v>453.90609614800928</v>
      </c>
      <c r="R392" s="360">
        <v>1713.8944184115037</v>
      </c>
      <c r="S392" s="360">
        <v>0.27565424429375923</v>
      </c>
      <c r="T392" s="360">
        <v>1.7856905234279183</v>
      </c>
      <c r="U392" s="360">
        <v>2.2089939415649642</v>
      </c>
      <c r="V392" s="360">
        <v>0.40801877940721815</v>
      </c>
      <c r="W392" s="360">
        <v>1.3009741952323948</v>
      </c>
      <c r="X392" s="360">
        <v>868.48243575835352</v>
      </c>
      <c r="Y392" s="360">
        <v>0.35387620806028924</v>
      </c>
      <c r="Z392" s="360">
        <v>1.263253108557544</v>
      </c>
      <c r="AA392" s="360">
        <v>1219.2650116968366</v>
      </c>
      <c r="AB392" s="360">
        <v>0.31769089243357634</v>
      </c>
      <c r="AC392" s="360">
        <v>1.5089473645476879</v>
      </c>
      <c r="AD392" s="360">
        <v>1.390234691511339</v>
      </c>
      <c r="AE392" s="360">
        <v>0.39323645145971364</v>
      </c>
      <c r="AF392" s="360">
        <v>1.2632533776342336</v>
      </c>
      <c r="AG392" s="360">
        <v>494.85945989340274</v>
      </c>
      <c r="AH392" s="360">
        <v>2007.1885765211052</v>
      </c>
      <c r="AI392" s="360">
        <v>0.26470073279441086</v>
      </c>
      <c r="AJ392" s="360">
        <v>1.8327979822838205</v>
      </c>
      <c r="AK392" s="360">
        <v>2.2194448124580188</v>
      </c>
      <c r="AL392" s="360">
        <v>0.42342632439892625</v>
      </c>
      <c r="AM392" s="360">
        <v>1.2632542586431206</v>
      </c>
      <c r="AN392" s="360">
        <v>967.81357957264288</v>
      </c>
      <c r="AO392" s="360">
        <f t="shared" si="15"/>
        <v>1</v>
      </c>
      <c r="AP392" s="360">
        <f t="shared" si="16"/>
        <v>1</v>
      </c>
      <c r="AQ392" s="360">
        <f t="shared" si="17"/>
        <v>1</v>
      </c>
    </row>
    <row r="393" spans="1:43">
      <c r="A393" s="360" t="s">
        <v>1082</v>
      </c>
      <c r="B393" t="s">
        <v>1074</v>
      </c>
      <c r="C393">
        <v>1</v>
      </c>
      <c r="D393" t="s">
        <v>1080</v>
      </c>
      <c r="E393" t="s">
        <v>1079</v>
      </c>
      <c r="F393" s="360">
        <v>6</v>
      </c>
      <c r="G393" s="360" t="str">
        <f>CONCATENATE(A393," ",B393," ",C393," ","inf+"," ",FanUpsizes!D393," ",FanUpsizes!F393)</f>
        <v>5ACH Infiltration 1 inf+ Existing 6</v>
      </c>
      <c r="H393" s="360">
        <v>3.8877938882532125E-2</v>
      </c>
      <c r="I393" s="360">
        <v>0.34928225632509102</v>
      </c>
      <c r="J393" s="360">
        <v>1.3009740020159573</v>
      </c>
      <c r="K393" s="360">
        <v>0</v>
      </c>
      <c r="L393" s="360">
        <v>0.34928225632509102</v>
      </c>
      <c r="M393" s="360">
        <v>1.3009740020159573</v>
      </c>
      <c r="N393" s="360">
        <v>1</v>
      </c>
      <c r="O393" s="360">
        <v>0.34928225632509102</v>
      </c>
      <c r="P393" s="360">
        <v>1.3009740020159573</v>
      </c>
      <c r="Q393" s="360">
        <v>0</v>
      </c>
      <c r="R393" s="360">
        <v>0</v>
      </c>
      <c r="S393" s="360">
        <v>0.34928225632509102</v>
      </c>
      <c r="T393" s="360">
        <v>1.3009740020159573</v>
      </c>
      <c r="U393" s="360">
        <v>1</v>
      </c>
      <c r="V393" s="360">
        <v>0.34928225632509102</v>
      </c>
      <c r="W393" s="360">
        <v>1.3009740020159573</v>
      </c>
      <c r="X393" s="360">
        <v>0</v>
      </c>
      <c r="Y393" s="360">
        <v>0.35387620806028924</v>
      </c>
      <c r="Z393" s="360">
        <v>1.263253108557544</v>
      </c>
      <c r="AA393" s="360">
        <v>0</v>
      </c>
      <c r="AB393" s="360">
        <v>0.35387620806028924</v>
      </c>
      <c r="AC393" s="360">
        <v>1.263253108557544</v>
      </c>
      <c r="AD393" s="360">
        <v>1</v>
      </c>
      <c r="AE393" s="360">
        <v>0.35387620806028924</v>
      </c>
      <c r="AF393" s="360">
        <v>1.263253108557544</v>
      </c>
      <c r="AG393" s="360">
        <v>0</v>
      </c>
      <c r="AH393" s="360">
        <v>0</v>
      </c>
      <c r="AI393" s="360">
        <v>0.35387620806028924</v>
      </c>
      <c r="AJ393" s="360">
        <v>1.263253108557544</v>
      </c>
      <c r="AK393" s="360">
        <v>1</v>
      </c>
      <c r="AL393" s="360">
        <v>0.35387620806028924</v>
      </c>
      <c r="AM393" s="360">
        <v>1.263253108557544</v>
      </c>
      <c r="AN393" s="360">
        <v>0</v>
      </c>
      <c r="AO393" s="360">
        <f t="shared" si="15"/>
        <v>1</v>
      </c>
      <c r="AP393" s="360">
        <f t="shared" si="16"/>
        <v>0</v>
      </c>
      <c r="AQ393" s="360">
        <f t="shared" si="17"/>
        <v>0</v>
      </c>
    </row>
    <row r="394" spans="1:43">
      <c r="A394" s="360" t="s">
        <v>1082</v>
      </c>
      <c r="B394" t="s">
        <v>1076</v>
      </c>
      <c r="C394">
        <v>1</v>
      </c>
      <c r="D394" t="s">
        <v>1080</v>
      </c>
      <c r="E394" t="s">
        <v>1079</v>
      </c>
      <c r="F394" s="360">
        <v>6</v>
      </c>
      <c r="G394" s="360" t="str">
        <f>CONCATENATE(A394," ",B394," ",C394," ","inf+"," ",FanUpsizes!D394," ",FanUpsizes!F394)</f>
        <v>5ACH 5C 1 inf+ Existing 6</v>
      </c>
      <c r="H394" s="360">
        <v>3.8877938882532125E-2</v>
      </c>
      <c r="I394" s="360">
        <v>0.34928225632509102</v>
      </c>
      <c r="J394" s="360">
        <v>1.3009740020159573</v>
      </c>
      <c r="K394" s="360">
        <v>45.648772061595274</v>
      </c>
      <c r="L394" s="360">
        <v>0.3483650598424628</v>
      </c>
      <c r="M394" s="360">
        <v>1.3063308697444955</v>
      </c>
      <c r="N394" s="360">
        <v>1.006410579633203</v>
      </c>
      <c r="O394" s="360">
        <v>0.3496503541241307</v>
      </c>
      <c r="P394" s="360">
        <v>1.3009742518267848</v>
      </c>
      <c r="Q394" s="360">
        <v>26.480259250766423</v>
      </c>
      <c r="R394" s="360">
        <v>45.648772061595274</v>
      </c>
      <c r="S394" s="360">
        <v>0.3483650598424628</v>
      </c>
      <c r="T394" s="360">
        <v>1.3063308697444955</v>
      </c>
      <c r="U394" s="360">
        <v>1.006410579633203</v>
      </c>
      <c r="V394" s="360">
        <v>0.3496503541241307</v>
      </c>
      <c r="W394" s="360">
        <v>1.3009742518267848</v>
      </c>
      <c r="X394" s="360">
        <v>26.480259250766423</v>
      </c>
      <c r="Y394" s="360">
        <v>0.35387620806028924</v>
      </c>
      <c r="Z394" s="360">
        <v>1.263253108557544</v>
      </c>
      <c r="AA394" s="360">
        <v>52.460456008158687</v>
      </c>
      <c r="AB394" s="360">
        <v>0.35281876098539139</v>
      </c>
      <c r="AC394" s="360">
        <v>1.2687114980966951</v>
      </c>
      <c r="AD394" s="360">
        <v>1.006113695089347</v>
      </c>
      <c r="AE394" s="360">
        <v>0.35426854416982223</v>
      </c>
      <c r="AF394" s="360">
        <v>1.2632533646661182</v>
      </c>
      <c r="AG394" s="360">
        <v>31.13079950132618</v>
      </c>
      <c r="AH394" s="360">
        <v>52.460456008158687</v>
      </c>
      <c r="AI394" s="360">
        <v>0.35281876098539139</v>
      </c>
      <c r="AJ394" s="360">
        <v>1.2687114980966951</v>
      </c>
      <c r="AK394" s="360">
        <v>1.006113695089347</v>
      </c>
      <c r="AL394" s="360">
        <v>0.35426854416982223</v>
      </c>
      <c r="AM394" s="360">
        <v>1.2632533646661182</v>
      </c>
      <c r="AN394" s="360">
        <v>31.13079950132618</v>
      </c>
      <c r="AO394" s="360">
        <f t="shared" si="15"/>
        <v>1</v>
      </c>
      <c r="AP394" s="360">
        <f t="shared" si="16"/>
        <v>1</v>
      </c>
      <c r="AQ394" s="360">
        <f t="shared" si="17"/>
        <v>1</v>
      </c>
    </row>
    <row r="395" spans="1:43">
      <c r="A395" s="360" t="s">
        <v>1082</v>
      </c>
      <c r="B395" t="s">
        <v>1075</v>
      </c>
      <c r="C395">
        <v>2</v>
      </c>
      <c r="D395" t="s">
        <v>1080</v>
      </c>
      <c r="E395" t="s">
        <v>1079</v>
      </c>
      <c r="F395" s="360">
        <v>6</v>
      </c>
      <c r="G395" s="360" t="str">
        <f>CONCATENATE(A395," ",B395," ",C395," ","inf+"," ",FanUpsizes!D395," ",FanUpsizes!F395)</f>
        <v>5ACH Percentile 2 inf+ Existing 6</v>
      </c>
      <c r="H395" s="360">
        <v>3.2284234600397435E-2</v>
      </c>
      <c r="I395" s="360">
        <v>0.38259952731129154</v>
      </c>
      <c r="J395" s="360">
        <v>1.2365320718169768</v>
      </c>
      <c r="K395" s="360">
        <v>865.46211677753126</v>
      </c>
      <c r="L395" s="360">
        <v>0.35713899614486078</v>
      </c>
      <c r="M395" s="360">
        <v>1.3831091697048625</v>
      </c>
      <c r="N395" s="360">
        <v>1.3731989060728491</v>
      </c>
      <c r="O395" s="360">
        <v>0.39908480265644664</v>
      </c>
      <c r="P395" s="360">
        <v>1.2365332599876067</v>
      </c>
      <c r="Q395" s="360">
        <v>462.2801386509463</v>
      </c>
      <c r="R395" s="360">
        <v>1314.9813857415693</v>
      </c>
      <c r="S395" s="360">
        <v>0.3278686431673814</v>
      </c>
      <c r="T395" s="360">
        <v>1.5222562683141831</v>
      </c>
      <c r="U395" s="360">
        <v>2.1220490504807041</v>
      </c>
      <c r="V395" s="360">
        <v>0.41308217790530027</v>
      </c>
      <c r="W395" s="360">
        <v>1.2365321097180801</v>
      </c>
      <c r="X395" s="360">
        <v>764.35271591763683</v>
      </c>
      <c r="Y395" s="360">
        <v>0.36429318806119554</v>
      </c>
      <c r="Z395" s="360">
        <v>1.2667102974295887</v>
      </c>
      <c r="AA395" s="360">
        <v>791.09684391895803</v>
      </c>
      <c r="AB395" s="360">
        <v>0.34097024212975779</v>
      </c>
      <c r="AC395" s="360">
        <v>1.4080146830365314</v>
      </c>
      <c r="AD395" s="360">
        <v>1.2870012291716242</v>
      </c>
      <c r="AE395" s="360">
        <v>0.380006480854232</v>
      </c>
      <c r="AF395" s="360">
        <v>1.2667118503056911</v>
      </c>
      <c r="AG395" s="360">
        <v>409.84484962739219</v>
      </c>
      <c r="AH395" s="360">
        <v>1320.837953390138</v>
      </c>
      <c r="AI395" s="360">
        <v>0.30563871692908195</v>
      </c>
      <c r="AJ395" s="360">
        <v>1.6050641568889106</v>
      </c>
      <c r="AK395" s="360">
        <v>2.0079353644719831</v>
      </c>
      <c r="AL395" s="360">
        <v>0.39605202479851703</v>
      </c>
      <c r="AM395" s="360">
        <v>1.2667110090945708</v>
      </c>
      <c r="AN395" s="360">
        <v>746.79515767456803</v>
      </c>
      <c r="AO395" s="360">
        <f t="shared" si="15"/>
        <v>1</v>
      </c>
      <c r="AP395" s="360">
        <f t="shared" si="16"/>
        <v>1</v>
      </c>
      <c r="AQ395" s="360">
        <f t="shared" si="17"/>
        <v>1</v>
      </c>
    </row>
    <row r="396" spans="1:43">
      <c r="A396" s="360" t="s">
        <v>1082</v>
      </c>
      <c r="B396" t="s">
        <v>1074</v>
      </c>
      <c r="C396">
        <v>2</v>
      </c>
      <c r="D396" t="s">
        <v>1080</v>
      </c>
      <c r="E396" t="s">
        <v>1079</v>
      </c>
      <c r="F396" s="360">
        <v>6</v>
      </c>
      <c r="G396" s="360" t="str">
        <f>CONCATENATE(A396," ",B396," ",C396," ","inf+"," ",FanUpsizes!D396," ",FanUpsizes!F396)</f>
        <v>5ACH Infiltration 2 inf+ Existing 6</v>
      </c>
      <c r="H396" s="360">
        <v>3.2284234600397435E-2</v>
      </c>
      <c r="I396" s="360">
        <v>0.38259952731129154</v>
      </c>
      <c r="J396" s="360">
        <v>1.2365320718169768</v>
      </c>
      <c r="K396" s="360">
        <v>0</v>
      </c>
      <c r="L396" s="360">
        <v>0.38259952731129154</v>
      </c>
      <c r="M396" s="360">
        <v>1.2365320718169768</v>
      </c>
      <c r="N396" s="360">
        <v>1</v>
      </c>
      <c r="O396" s="360">
        <v>0.38259952731129154</v>
      </c>
      <c r="P396" s="360">
        <v>1.2365320718169768</v>
      </c>
      <c r="Q396" s="360">
        <v>0</v>
      </c>
      <c r="R396" s="360">
        <v>0.38306658010944983</v>
      </c>
      <c r="S396" s="360">
        <v>0.38259272695574498</v>
      </c>
      <c r="T396" s="360">
        <v>1.2365585526942071</v>
      </c>
      <c r="U396" s="360">
        <v>1.0000472639021842</v>
      </c>
      <c r="V396" s="360">
        <v>0.38259881030817056</v>
      </c>
      <c r="W396" s="360">
        <v>1.2365356679253721</v>
      </c>
      <c r="X396" s="360">
        <v>0.29621766696581003</v>
      </c>
      <c r="Y396" s="360">
        <v>0.36429318806119554</v>
      </c>
      <c r="Z396" s="360">
        <v>1.2667102974295887</v>
      </c>
      <c r="AA396" s="360">
        <v>0</v>
      </c>
      <c r="AB396" s="360">
        <v>0.36429318806119554</v>
      </c>
      <c r="AC396" s="360">
        <v>1.2667102974295887</v>
      </c>
      <c r="AD396" s="360">
        <v>1</v>
      </c>
      <c r="AE396" s="360">
        <v>0.36429318806119554</v>
      </c>
      <c r="AF396" s="360">
        <v>1.2667102974295887</v>
      </c>
      <c r="AG396" s="360">
        <v>0</v>
      </c>
      <c r="AH396" s="360">
        <v>0.45008368169987889</v>
      </c>
      <c r="AI396" s="360">
        <v>0.36428517571790553</v>
      </c>
      <c r="AJ396" s="360">
        <v>1.266744510959501</v>
      </c>
      <c r="AK396" s="360">
        <v>1.0000472639021842</v>
      </c>
      <c r="AL396" s="360">
        <v>0.3642930609381953</v>
      </c>
      <c r="AM396" s="360">
        <v>1.2667129159090298</v>
      </c>
      <c r="AN396" s="360">
        <v>0.33004068284000837</v>
      </c>
      <c r="AO396" s="360">
        <f t="shared" si="15"/>
        <v>1</v>
      </c>
      <c r="AP396" s="360">
        <f t="shared" si="16"/>
        <v>0</v>
      </c>
      <c r="AQ396" s="360">
        <f t="shared" si="17"/>
        <v>0</v>
      </c>
    </row>
    <row r="397" spans="1:43">
      <c r="A397" s="360" t="s">
        <v>1082</v>
      </c>
      <c r="B397" t="s">
        <v>1076</v>
      </c>
      <c r="C397">
        <v>2</v>
      </c>
      <c r="D397" t="s">
        <v>1080</v>
      </c>
      <c r="E397" t="s">
        <v>1079</v>
      </c>
      <c r="F397" s="360">
        <v>6</v>
      </c>
      <c r="G397" s="360" t="str">
        <f>CONCATENATE(A397," ",B397," ",C397," ","inf+"," ",FanUpsizes!D397," ",FanUpsizes!F397)</f>
        <v>5ACH 5C 2 inf+ Existing 6</v>
      </c>
      <c r="H397" s="360">
        <v>3.2284234600397435E-2</v>
      </c>
      <c r="I397" s="360">
        <v>0.38259952731129154</v>
      </c>
      <c r="J397" s="360">
        <v>1.2365320718169768</v>
      </c>
      <c r="K397" s="360">
        <v>37.906733453886858</v>
      </c>
      <c r="L397" s="360">
        <v>0.38183788749007358</v>
      </c>
      <c r="M397" s="360">
        <v>1.2402894236313817</v>
      </c>
      <c r="N397" s="360">
        <v>1.0078084091153015</v>
      </c>
      <c r="O397" s="360">
        <v>0.38283712854610547</v>
      </c>
      <c r="P397" s="360">
        <v>1.2365322106788192</v>
      </c>
      <c r="Q397" s="360">
        <v>23.850503433347455</v>
      </c>
      <c r="R397" s="360">
        <v>37.906733453886858</v>
      </c>
      <c r="S397" s="360">
        <v>0.38183788749007358</v>
      </c>
      <c r="T397" s="360">
        <v>1.2402894236313817</v>
      </c>
      <c r="U397" s="360">
        <v>1.0078084091153015</v>
      </c>
      <c r="V397" s="360">
        <v>0.38283712854610547</v>
      </c>
      <c r="W397" s="360">
        <v>1.2365322106788192</v>
      </c>
      <c r="X397" s="360">
        <v>23.850503433347455</v>
      </c>
      <c r="Y397" s="360">
        <v>0.36429318806119554</v>
      </c>
      <c r="Z397" s="360">
        <v>1.2667102974295887</v>
      </c>
      <c r="AA397" s="360">
        <v>33.76397395313586</v>
      </c>
      <c r="AB397" s="360">
        <v>0.36361616285167436</v>
      </c>
      <c r="AC397" s="360">
        <v>1.2701762991865981</v>
      </c>
      <c r="AD397" s="360">
        <v>1.005214220410932</v>
      </c>
      <c r="AE397" s="360">
        <v>0.36448121364997582</v>
      </c>
      <c r="AF397" s="360">
        <v>1.2667107355925946</v>
      </c>
      <c r="AG397" s="360">
        <v>20.794612960860121</v>
      </c>
      <c r="AH397" s="360">
        <v>33.76397395313586</v>
      </c>
      <c r="AI397" s="360">
        <v>0.36361616285167436</v>
      </c>
      <c r="AJ397" s="360">
        <v>1.2701762991865981</v>
      </c>
      <c r="AK397" s="360">
        <v>1.005214220410932</v>
      </c>
      <c r="AL397" s="360">
        <v>0.36448121364997582</v>
      </c>
      <c r="AM397" s="360">
        <v>1.2667107355925946</v>
      </c>
      <c r="AN397" s="360">
        <v>20.794612960860121</v>
      </c>
      <c r="AO397" s="360">
        <f t="shared" si="15"/>
        <v>1</v>
      </c>
      <c r="AP397" s="360">
        <f t="shared" si="16"/>
        <v>1</v>
      </c>
      <c r="AQ397" s="360">
        <f t="shared" si="17"/>
        <v>1</v>
      </c>
    </row>
    <row r="398" spans="1:43">
      <c r="A398" s="360" t="s">
        <v>1083</v>
      </c>
      <c r="B398" t="s">
        <v>1075</v>
      </c>
      <c r="C398">
        <v>1</v>
      </c>
      <c r="D398" t="s">
        <v>1078</v>
      </c>
      <c r="E398" t="s">
        <v>1079</v>
      </c>
      <c r="F398" s="360">
        <v>6</v>
      </c>
      <c r="G398" s="360" t="str">
        <f>CONCATENATE(A398," ",B398," ",C398," ","inf+"," ",FanUpsizes!D398," ",FanUpsizes!F398)</f>
        <v>3ACH Percentile 1 inf+ New 6</v>
      </c>
      <c r="H398" s="360">
        <v>3.0882763329519274E-2</v>
      </c>
      <c r="I398" s="360">
        <v>0.25178650901260441</v>
      </c>
      <c r="J398" s="360">
        <v>1.2856884010911906</v>
      </c>
      <c r="K398" s="360">
        <v>988.40416482699038</v>
      </c>
      <c r="L398" s="360">
        <v>0.22243393888959209</v>
      </c>
      <c r="M398" s="360">
        <v>1.5802057032392491</v>
      </c>
      <c r="N398" s="360">
        <v>1.4172148839244336</v>
      </c>
      <c r="O398" s="360">
        <v>0.2846183128545306</v>
      </c>
      <c r="P398" s="360">
        <v>1.2856892126600383</v>
      </c>
      <c r="Q398" s="360">
        <v>380.71363512142398</v>
      </c>
      <c r="R398" s="360">
        <v>1567.9388529868568</v>
      </c>
      <c r="S398" s="360">
        <v>0.18386572139086646</v>
      </c>
      <c r="T398" s="360">
        <v>1.9335792290323726</v>
      </c>
      <c r="U398" s="360">
        <v>2.2687030179241008</v>
      </c>
      <c r="V398" s="360">
        <v>0.30998997015849239</v>
      </c>
      <c r="W398" s="360">
        <v>1.2856907681272396</v>
      </c>
      <c r="X398" s="360">
        <v>757.15580462563753</v>
      </c>
      <c r="Y398" s="360">
        <v>0.26036567321929427</v>
      </c>
      <c r="Z398" s="360">
        <v>1.2358623671872124</v>
      </c>
      <c r="AA398" s="360">
        <v>1087.76252749746</v>
      </c>
      <c r="AB398" s="360">
        <v>0.22801342630762653</v>
      </c>
      <c r="AC398" s="360">
        <v>1.5403903862625168</v>
      </c>
      <c r="AD398" s="360">
        <v>1.4412203609413365</v>
      </c>
      <c r="AE398" s="360">
        <v>0.29987607601753746</v>
      </c>
      <c r="AF398" s="360">
        <v>1.2358637798180965</v>
      </c>
      <c r="AG398" s="360">
        <v>402.93533491705847</v>
      </c>
      <c r="AH398" s="360">
        <v>1770.4650261084766</v>
      </c>
      <c r="AI398" s="360">
        <v>0.18203329944164556</v>
      </c>
      <c r="AJ398" s="360">
        <v>1.9370723881194887</v>
      </c>
      <c r="AK398" s="360">
        <v>2.3144077856720955</v>
      </c>
      <c r="AL398" s="360">
        <v>0.32707721584433175</v>
      </c>
      <c r="AM398" s="360">
        <v>1.2358628649747982</v>
      </c>
      <c r="AN398" s="360">
        <v>803.80464304273494</v>
      </c>
      <c r="AO398" s="360">
        <f t="shared" si="15"/>
        <v>1</v>
      </c>
      <c r="AP398" s="360">
        <f t="shared" si="16"/>
        <v>1</v>
      </c>
      <c r="AQ398" s="360">
        <f t="shared" si="17"/>
        <v>1</v>
      </c>
    </row>
    <row r="399" spans="1:43">
      <c r="A399" s="360" t="s">
        <v>1083</v>
      </c>
      <c r="B399" t="s">
        <v>1074</v>
      </c>
      <c r="C399">
        <v>1</v>
      </c>
      <c r="D399" t="s">
        <v>1078</v>
      </c>
      <c r="E399" t="s">
        <v>1079</v>
      </c>
      <c r="F399" s="360">
        <v>6</v>
      </c>
      <c r="G399" s="360" t="str">
        <f>CONCATENATE(A399," ",B399," ",C399," ","inf+"," ",FanUpsizes!D399," ",FanUpsizes!F399)</f>
        <v>3ACH Infiltration 1 inf+ New 6</v>
      </c>
      <c r="H399" s="360">
        <v>3.0882763329519274E-2</v>
      </c>
      <c r="I399" s="360">
        <v>0.25178650901260441</v>
      </c>
      <c r="J399" s="360">
        <v>1.2856884010911906</v>
      </c>
      <c r="K399" s="360">
        <v>0</v>
      </c>
      <c r="L399" s="360">
        <v>0.25178650901260441</v>
      </c>
      <c r="M399" s="360">
        <v>1.2856884010911906</v>
      </c>
      <c r="N399" s="360">
        <v>1</v>
      </c>
      <c r="O399" s="360">
        <v>0.25178650901260441</v>
      </c>
      <c r="P399" s="360">
        <v>1.2856884010911906</v>
      </c>
      <c r="Q399" s="360">
        <v>0</v>
      </c>
      <c r="R399" s="360">
        <v>0</v>
      </c>
      <c r="S399" s="360">
        <v>0.25178650901260441</v>
      </c>
      <c r="T399" s="360">
        <v>1.2856884010911906</v>
      </c>
      <c r="U399" s="360">
        <v>1</v>
      </c>
      <c r="V399" s="360">
        <v>0.25178650901260441</v>
      </c>
      <c r="W399" s="360">
        <v>1.2856884010911906</v>
      </c>
      <c r="X399" s="360">
        <v>0</v>
      </c>
      <c r="Y399" s="360">
        <v>0.26036567321929427</v>
      </c>
      <c r="Z399" s="360">
        <v>1.2358623671872124</v>
      </c>
      <c r="AA399" s="360">
        <v>0</v>
      </c>
      <c r="AB399" s="360">
        <v>0.26036567321929427</v>
      </c>
      <c r="AC399" s="360">
        <v>1.2358623671872124</v>
      </c>
      <c r="AD399" s="360">
        <v>1</v>
      </c>
      <c r="AE399" s="360">
        <v>0.26036567321929427</v>
      </c>
      <c r="AF399" s="360">
        <v>1.2358623671872124</v>
      </c>
      <c r="AG399" s="360">
        <v>0</v>
      </c>
      <c r="AH399" s="360">
        <v>0</v>
      </c>
      <c r="AI399" s="360">
        <v>0.26036567321929427</v>
      </c>
      <c r="AJ399" s="360">
        <v>1.2358623671872124</v>
      </c>
      <c r="AK399" s="360">
        <v>1</v>
      </c>
      <c r="AL399" s="360">
        <v>0.26036567321929427</v>
      </c>
      <c r="AM399" s="360">
        <v>1.2358623671872124</v>
      </c>
      <c r="AN399" s="360">
        <v>0</v>
      </c>
      <c r="AO399" s="360">
        <f t="shared" si="15"/>
        <v>1</v>
      </c>
      <c r="AP399" s="360">
        <f t="shared" si="16"/>
        <v>0</v>
      </c>
      <c r="AQ399" s="360">
        <f t="shared" si="17"/>
        <v>0</v>
      </c>
    </row>
    <row r="400" spans="1:43">
      <c r="A400" s="360" t="s">
        <v>1083</v>
      </c>
      <c r="B400" t="s">
        <v>1076</v>
      </c>
      <c r="C400">
        <v>1</v>
      </c>
      <c r="D400" t="s">
        <v>1078</v>
      </c>
      <c r="E400" t="s">
        <v>1079</v>
      </c>
      <c r="F400" s="360">
        <v>6</v>
      </c>
      <c r="G400" s="360" t="str">
        <f>CONCATENATE(A400," ",B400," ",C400," ","inf+"," ",FanUpsizes!D400," ",FanUpsizes!F400)</f>
        <v>3ACH 5C 1 inf+ New 6</v>
      </c>
      <c r="H400" s="360">
        <v>3.0882763329519274E-2</v>
      </c>
      <c r="I400" s="360">
        <v>0.25178650901260441</v>
      </c>
      <c r="J400" s="360">
        <v>1.2856884010911906</v>
      </c>
      <c r="K400" s="360">
        <v>40.660905085641375</v>
      </c>
      <c r="L400" s="360">
        <v>0.25096707002450375</v>
      </c>
      <c r="M400" s="360">
        <v>1.2917746223377964</v>
      </c>
      <c r="N400" s="360">
        <v>1.0061949704946009</v>
      </c>
      <c r="O400" s="360">
        <v>0.25209156649131098</v>
      </c>
      <c r="P400" s="360">
        <v>1.2856889619150356</v>
      </c>
      <c r="Q400" s="360">
        <v>23.417169034438285</v>
      </c>
      <c r="R400" s="360">
        <v>40.660905085641375</v>
      </c>
      <c r="S400" s="360">
        <v>0.25096707002450375</v>
      </c>
      <c r="T400" s="360">
        <v>1.2917746223377964</v>
      </c>
      <c r="U400" s="360">
        <v>1.0061949704946009</v>
      </c>
      <c r="V400" s="360">
        <v>0.25209156649131098</v>
      </c>
      <c r="W400" s="360">
        <v>1.2856889619150356</v>
      </c>
      <c r="X400" s="360">
        <v>23.417169034438285</v>
      </c>
      <c r="Y400" s="360">
        <v>0.26036567321929427</v>
      </c>
      <c r="Z400" s="360">
        <v>1.2358623671872124</v>
      </c>
      <c r="AA400" s="360">
        <v>47.181789943454746</v>
      </c>
      <c r="AB400" s="360">
        <v>0.25941266707906702</v>
      </c>
      <c r="AC400" s="360">
        <v>1.2421574627276746</v>
      </c>
      <c r="AD400" s="360">
        <v>1.0064412804189897</v>
      </c>
      <c r="AE400" s="360">
        <v>0.26070630749436458</v>
      </c>
      <c r="AF400" s="360">
        <v>1.2358636746812024</v>
      </c>
      <c r="AG400" s="360">
        <v>28.290057913421837</v>
      </c>
      <c r="AH400" s="360">
        <v>47.181789943454746</v>
      </c>
      <c r="AI400" s="360">
        <v>0.25941266707906702</v>
      </c>
      <c r="AJ400" s="360">
        <v>1.2421574627276746</v>
      </c>
      <c r="AK400" s="360">
        <v>1.0064412804189897</v>
      </c>
      <c r="AL400" s="360">
        <v>0.26070630749436458</v>
      </c>
      <c r="AM400" s="360">
        <v>1.2358636746812024</v>
      </c>
      <c r="AN400" s="360">
        <v>28.290057913421837</v>
      </c>
      <c r="AO400" s="360">
        <f t="shared" si="15"/>
        <v>1</v>
      </c>
      <c r="AP400" s="360">
        <f t="shared" si="16"/>
        <v>1</v>
      </c>
      <c r="AQ400" s="360">
        <f t="shared" si="17"/>
        <v>1</v>
      </c>
    </row>
    <row r="401" spans="1:43">
      <c r="A401" s="360" t="s">
        <v>1083</v>
      </c>
      <c r="B401" t="s">
        <v>1075</v>
      </c>
      <c r="C401">
        <v>2</v>
      </c>
      <c r="D401" t="s">
        <v>1078</v>
      </c>
      <c r="E401" t="s">
        <v>1079</v>
      </c>
      <c r="F401" s="360">
        <v>6</v>
      </c>
      <c r="G401" s="360" t="str">
        <f>CONCATENATE(A401," ",B401," ",C401," ","inf+"," ",FanUpsizes!D401," ",FanUpsizes!F401)</f>
        <v>3ACH Percentile 2 inf+ New 6</v>
      </c>
      <c r="H401" s="360">
        <v>2.6926540760238461E-2</v>
      </c>
      <c r="I401" s="360">
        <v>0.26217049008742893</v>
      </c>
      <c r="J401" s="360">
        <v>1.2729911772005134</v>
      </c>
      <c r="K401" s="360">
        <v>728.86615980953559</v>
      </c>
      <c r="L401" s="360">
        <v>0.24068015266364359</v>
      </c>
      <c r="M401" s="360">
        <v>1.4637358192035366</v>
      </c>
      <c r="N401" s="360">
        <v>1.3538535001148286</v>
      </c>
      <c r="O401" s="360">
        <v>0.2788935120664604</v>
      </c>
      <c r="P401" s="360">
        <v>1.2729916018982304</v>
      </c>
      <c r="Q401" s="360">
        <v>351.2065005041045</v>
      </c>
      <c r="R401" s="360">
        <v>1139.0574877111972</v>
      </c>
      <c r="S401" s="360">
        <v>0.21371798978540496</v>
      </c>
      <c r="T401" s="360">
        <v>1.6673814073541848</v>
      </c>
      <c r="U401" s="360">
        <v>2.1343944669427284</v>
      </c>
      <c r="V401" s="360">
        <v>0.29347052510261157</v>
      </c>
      <c r="W401" s="360">
        <v>1.272992041727282</v>
      </c>
      <c r="X401" s="360">
        <v>626.13886720760183</v>
      </c>
      <c r="Y401" s="360">
        <v>0.26041794922581635</v>
      </c>
      <c r="Z401" s="360">
        <v>1.2560850135052701</v>
      </c>
      <c r="AA401" s="360">
        <v>792.8254257198729</v>
      </c>
      <c r="AB401" s="360">
        <v>0.23693142801798878</v>
      </c>
      <c r="AC401" s="360">
        <v>1.4586007407245973</v>
      </c>
      <c r="AD401" s="360">
        <v>1.339686808264978</v>
      </c>
      <c r="AE401" s="360">
        <v>0.28031838364222844</v>
      </c>
      <c r="AF401" s="360">
        <v>1.2560863459533742</v>
      </c>
      <c r="AG401" s="360">
        <v>373.99926996283966</v>
      </c>
      <c r="AH401" s="360">
        <v>1306.8113209122344</v>
      </c>
      <c r="AI401" s="360">
        <v>0.20243813425302493</v>
      </c>
      <c r="AJ401" s="360">
        <v>1.7320601174073045</v>
      </c>
      <c r="AK401" s="360">
        <v>2.1084154675097824</v>
      </c>
      <c r="AL401" s="360">
        <v>0.29694327688607497</v>
      </c>
      <c r="AM401" s="360">
        <v>1.2560850767107923</v>
      </c>
      <c r="AN401" s="360">
        <v>693.48767160964064</v>
      </c>
      <c r="AO401" s="360">
        <f t="shared" si="15"/>
        <v>1</v>
      </c>
      <c r="AP401" s="360">
        <f t="shared" si="16"/>
        <v>1</v>
      </c>
      <c r="AQ401" s="360">
        <f t="shared" si="17"/>
        <v>1</v>
      </c>
    </row>
    <row r="402" spans="1:43">
      <c r="A402" s="360" t="s">
        <v>1083</v>
      </c>
      <c r="B402" t="s">
        <v>1074</v>
      </c>
      <c r="C402">
        <v>2</v>
      </c>
      <c r="D402" t="s">
        <v>1078</v>
      </c>
      <c r="E402" t="s">
        <v>1079</v>
      </c>
      <c r="F402" s="360">
        <v>6</v>
      </c>
      <c r="G402" s="360" t="str">
        <f>CONCATENATE(A402," ",B402," ",C402," ","inf+"," ",FanUpsizes!D402," ",FanUpsizes!F402)</f>
        <v>3ACH Infiltration 2 inf+ New 6</v>
      </c>
      <c r="H402" s="360">
        <v>2.6926540760238461E-2</v>
      </c>
      <c r="I402" s="360">
        <v>0.26217049008742893</v>
      </c>
      <c r="J402" s="360">
        <v>1.2729911772005134</v>
      </c>
      <c r="K402" s="360">
        <v>0</v>
      </c>
      <c r="L402" s="360">
        <v>0.26217049008742893</v>
      </c>
      <c r="M402" s="360">
        <v>1.2729911772005134</v>
      </c>
      <c r="N402" s="360">
        <v>1</v>
      </c>
      <c r="O402" s="360">
        <v>0.26217049008742893</v>
      </c>
      <c r="P402" s="360">
        <v>1.2729911772005134</v>
      </c>
      <c r="Q402" s="360">
        <v>0</v>
      </c>
      <c r="R402" s="360">
        <v>0</v>
      </c>
      <c r="S402" s="360">
        <v>0.26217049008742893</v>
      </c>
      <c r="T402" s="360">
        <v>1.2729911772005134</v>
      </c>
      <c r="U402" s="360">
        <v>1</v>
      </c>
      <c r="V402" s="360">
        <v>0.26217049008742893</v>
      </c>
      <c r="W402" s="360">
        <v>1.2729911772005134</v>
      </c>
      <c r="X402" s="360">
        <v>0</v>
      </c>
      <c r="Y402" s="360">
        <v>0.26041794922581635</v>
      </c>
      <c r="Z402" s="360">
        <v>1.2560850135052701</v>
      </c>
      <c r="AA402" s="360">
        <v>0</v>
      </c>
      <c r="AB402" s="360">
        <v>0.26041794922581635</v>
      </c>
      <c r="AC402" s="360">
        <v>1.2560850135052701</v>
      </c>
      <c r="AD402" s="360">
        <v>1</v>
      </c>
      <c r="AE402" s="360">
        <v>0.26041794922581635</v>
      </c>
      <c r="AF402" s="360">
        <v>1.2560850135052701</v>
      </c>
      <c r="AG402" s="360">
        <v>0</v>
      </c>
      <c r="AH402" s="360">
        <v>0</v>
      </c>
      <c r="AI402" s="360">
        <v>0.26041794922581635</v>
      </c>
      <c r="AJ402" s="360">
        <v>1.2560850135052701</v>
      </c>
      <c r="AK402" s="360">
        <v>1</v>
      </c>
      <c r="AL402" s="360">
        <v>0.26041794922581635</v>
      </c>
      <c r="AM402" s="360">
        <v>1.2560850135052701</v>
      </c>
      <c r="AN402" s="360">
        <v>0</v>
      </c>
      <c r="AO402" s="360">
        <f t="shared" si="15"/>
        <v>1</v>
      </c>
      <c r="AP402" s="360">
        <f t="shared" si="16"/>
        <v>0</v>
      </c>
      <c r="AQ402" s="360">
        <f t="shared" si="17"/>
        <v>0</v>
      </c>
    </row>
    <row r="403" spans="1:43">
      <c r="A403" s="360" t="s">
        <v>1083</v>
      </c>
      <c r="B403" t="s">
        <v>1076</v>
      </c>
      <c r="C403">
        <v>2</v>
      </c>
      <c r="D403" t="s">
        <v>1078</v>
      </c>
      <c r="E403" t="s">
        <v>1079</v>
      </c>
      <c r="F403" s="360">
        <v>6</v>
      </c>
      <c r="G403" s="360" t="str">
        <f>CONCATENATE(A403," ",B403," ",C403," ","inf+"," ",FanUpsizes!D403," ",FanUpsizes!F403)</f>
        <v>3ACH 5C 2 inf+ New 6</v>
      </c>
      <c r="H403" s="360">
        <v>2.6926540760238461E-2</v>
      </c>
      <c r="I403" s="360">
        <v>0.26217049008742893</v>
      </c>
      <c r="J403" s="360">
        <v>1.2729911772005134</v>
      </c>
      <c r="K403" s="360">
        <v>31.615964140620509</v>
      </c>
      <c r="L403" s="360">
        <v>0.26153524734605693</v>
      </c>
      <c r="M403" s="360">
        <v>1.2777444373111408</v>
      </c>
      <c r="N403" s="360">
        <v>1.0068232490275457</v>
      </c>
      <c r="O403" s="360">
        <v>0.26239986680856781</v>
      </c>
      <c r="P403" s="360">
        <v>1.2729913305622771</v>
      </c>
      <c r="Q403" s="360">
        <v>19.231503138518129</v>
      </c>
      <c r="R403" s="360">
        <v>31.615964140620509</v>
      </c>
      <c r="S403" s="360">
        <v>0.26153524734605693</v>
      </c>
      <c r="T403" s="360">
        <v>1.2777444373111408</v>
      </c>
      <c r="U403" s="360">
        <v>1.0068232490275457</v>
      </c>
      <c r="V403" s="360">
        <v>0.26239986680856781</v>
      </c>
      <c r="W403" s="360">
        <v>1.2729913305622771</v>
      </c>
      <c r="X403" s="360">
        <v>19.231503138518129</v>
      </c>
      <c r="Y403" s="360">
        <v>0.26041794922581635</v>
      </c>
      <c r="Z403" s="360">
        <v>1.2560850135052701</v>
      </c>
      <c r="AA403" s="360">
        <v>34.255625126959259</v>
      </c>
      <c r="AB403" s="360">
        <v>0.25972821707181015</v>
      </c>
      <c r="AC403" s="360">
        <v>1.2608172892610956</v>
      </c>
      <c r="AD403" s="360">
        <v>1.0058377454414607</v>
      </c>
      <c r="AE403" s="360">
        <v>0.26064221501798218</v>
      </c>
      <c r="AF403" s="360">
        <v>1.2560850420498912</v>
      </c>
      <c r="AG403" s="360">
        <v>20.696656614486606</v>
      </c>
      <c r="AH403" s="360">
        <v>34.255625126959259</v>
      </c>
      <c r="AI403" s="360">
        <v>0.25972821707181015</v>
      </c>
      <c r="AJ403" s="360">
        <v>1.2608172892610956</v>
      </c>
      <c r="AK403" s="360">
        <v>1.0058377454414607</v>
      </c>
      <c r="AL403" s="360">
        <v>0.26064221501798218</v>
      </c>
      <c r="AM403" s="360">
        <v>1.2560850420498912</v>
      </c>
      <c r="AN403" s="360">
        <v>20.696656614486606</v>
      </c>
      <c r="AO403" s="360">
        <f t="shared" si="15"/>
        <v>1</v>
      </c>
      <c r="AP403" s="360">
        <f t="shared" si="16"/>
        <v>1</v>
      </c>
      <c r="AQ403" s="360">
        <f t="shared" si="17"/>
        <v>1</v>
      </c>
    </row>
    <row r="404" spans="1:43">
      <c r="A404" s="360" t="s">
        <v>1083</v>
      </c>
      <c r="B404" t="s">
        <v>1075</v>
      </c>
      <c r="C404">
        <v>1</v>
      </c>
      <c r="D404" t="s">
        <v>1080</v>
      </c>
      <c r="E404" t="s">
        <v>1079</v>
      </c>
      <c r="F404" s="360">
        <v>6</v>
      </c>
      <c r="G404" s="360" t="str">
        <f>CONCATENATE(A404," ",B404," ",C404," ","inf+"," ",FanUpsizes!D404," ",FanUpsizes!F404)</f>
        <v>3ACH Percentile 1 inf+ Existing 6</v>
      </c>
      <c r="H404" s="360">
        <v>4.7132763329519274E-2</v>
      </c>
      <c r="I404" s="360">
        <v>0.35580064041540382</v>
      </c>
      <c r="J404" s="360">
        <v>1.2374747205062933</v>
      </c>
      <c r="K404" s="360">
        <v>1805.8928176901231</v>
      </c>
      <c r="L404" s="360">
        <v>0.30203774347564261</v>
      </c>
      <c r="M404" s="360">
        <v>1.6879096278776746</v>
      </c>
      <c r="N404" s="360">
        <v>1.6327889025322453</v>
      </c>
      <c r="O404" s="360">
        <v>0.46836486621537782</v>
      </c>
      <c r="P404" s="360">
        <v>1.2374749321108505</v>
      </c>
      <c r="Q404" s="360">
        <v>226.65318864818892</v>
      </c>
      <c r="R404" s="360">
        <v>2861.5839222301629</v>
      </c>
      <c r="S404" s="360">
        <v>0.23059916286270898</v>
      </c>
      <c r="T404" s="360">
        <v>2.206388940067598</v>
      </c>
      <c r="U404" s="360">
        <v>2.6926320056383104</v>
      </c>
      <c r="V404" s="360">
        <v>0.53095133254616067</v>
      </c>
      <c r="W404" s="360">
        <v>1.2374763517519263</v>
      </c>
      <c r="X404" s="360">
        <v>875.08019165020198</v>
      </c>
      <c r="Y404" s="360">
        <v>0.37056073598283762</v>
      </c>
      <c r="Z404" s="360">
        <v>1.1883014794788247</v>
      </c>
      <c r="AA404" s="360">
        <v>1894.2740379929476</v>
      </c>
      <c r="AB404" s="360">
        <v>0.31410993996297587</v>
      </c>
      <c r="AC404" s="360">
        <v>1.6407108705203364</v>
      </c>
      <c r="AD404" s="360">
        <v>1.7070252190165967</v>
      </c>
      <c r="AE404" s="360">
        <v>0.50000326363367376</v>
      </c>
      <c r="AF404" s="360">
        <v>1.1883020086772587</v>
      </c>
      <c r="AG404" s="360">
        <v>134.24924293003386</v>
      </c>
      <c r="AH404" s="360">
        <v>3033.2474840963928</v>
      </c>
      <c r="AI404" s="360">
        <v>0.23740571531582824</v>
      </c>
      <c r="AJ404" s="360">
        <v>2.1521299649113206</v>
      </c>
      <c r="AK404" s="360">
        <v>2.8224334466389176</v>
      </c>
      <c r="AL404" s="360">
        <v>0.56557805808572204</v>
      </c>
      <c r="AM404" s="360">
        <v>1.188301890100506</v>
      </c>
      <c r="AN404" s="360">
        <v>795.02143000825242</v>
      </c>
      <c r="AO404" s="360">
        <f t="shared" si="15"/>
        <v>1</v>
      </c>
      <c r="AP404" s="360">
        <f t="shared" si="16"/>
        <v>1</v>
      </c>
      <c r="AQ404" s="360">
        <f t="shared" si="17"/>
        <v>1</v>
      </c>
    </row>
    <row r="405" spans="1:43">
      <c r="A405" s="360" t="s">
        <v>1083</v>
      </c>
      <c r="B405" t="s">
        <v>1074</v>
      </c>
      <c r="C405">
        <v>1</v>
      </c>
      <c r="D405" t="s">
        <v>1080</v>
      </c>
      <c r="E405" t="s">
        <v>1079</v>
      </c>
      <c r="F405" s="360">
        <v>6</v>
      </c>
      <c r="G405" s="360" t="str">
        <f>CONCATENATE(A405," ",B405," ",C405," ","inf+"," ",FanUpsizes!D405," ",FanUpsizes!F405)</f>
        <v>3ACH Infiltration 1 inf+ Existing 6</v>
      </c>
      <c r="H405" s="360">
        <v>4.7132763329519274E-2</v>
      </c>
      <c r="I405" s="360">
        <v>0.35580064041540382</v>
      </c>
      <c r="J405" s="360">
        <v>1.2374747205062933</v>
      </c>
      <c r="K405" s="360">
        <v>0</v>
      </c>
      <c r="L405" s="360">
        <v>0.35580064041540382</v>
      </c>
      <c r="M405" s="360">
        <v>1.2374747205062933</v>
      </c>
      <c r="N405" s="360">
        <v>1</v>
      </c>
      <c r="O405" s="360">
        <v>0.35580064041540382</v>
      </c>
      <c r="P405" s="360">
        <v>1.2374747205062933</v>
      </c>
      <c r="Q405" s="360">
        <v>0</v>
      </c>
      <c r="R405" s="360">
        <v>0</v>
      </c>
      <c r="S405" s="360">
        <v>0.35580064041540382</v>
      </c>
      <c r="T405" s="360">
        <v>1.2374747205062933</v>
      </c>
      <c r="U405" s="360">
        <v>1</v>
      </c>
      <c r="V405" s="360">
        <v>0.35580064041540382</v>
      </c>
      <c r="W405" s="360">
        <v>1.2374747205062933</v>
      </c>
      <c r="X405" s="360">
        <v>0</v>
      </c>
      <c r="Y405" s="360">
        <v>0.37056073598283762</v>
      </c>
      <c r="Z405" s="360">
        <v>1.1883014794788247</v>
      </c>
      <c r="AA405" s="360">
        <v>0</v>
      </c>
      <c r="AB405" s="360">
        <v>0.37056073598283762</v>
      </c>
      <c r="AC405" s="360">
        <v>1.1883014794788247</v>
      </c>
      <c r="AD405" s="360">
        <v>1</v>
      </c>
      <c r="AE405" s="360">
        <v>0.37056073598283762</v>
      </c>
      <c r="AF405" s="360">
        <v>1.1883014794788247</v>
      </c>
      <c r="AG405" s="360">
        <v>0</v>
      </c>
      <c r="AH405" s="360">
        <v>0</v>
      </c>
      <c r="AI405" s="360">
        <v>0.37056073598283762</v>
      </c>
      <c r="AJ405" s="360">
        <v>1.1883014794788247</v>
      </c>
      <c r="AK405" s="360">
        <v>1</v>
      </c>
      <c r="AL405" s="360">
        <v>0.37056073598283762</v>
      </c>
      <c r="AM405" s="360">
        <v>1.1883014794788247</v>
      </c>
      <c r="AN405" s="360">
        <v>0</v>
      </c>
      <c r="AO405" s="360">
        <f t="shared" si="15"/>
        <v>1</v>
      </c>
      <c r="AP405" s="360">
        <f t="shared" si="16"/>
        <v>0</v>
      </c>
      <c r="AQ405" s="360">
        <f t="shared" si="17"/>
        <v>0</v>
      </c>
    </row>
    <row r="406" spans="1:43">
      <c r="A406" s="360" t="s">
        <v>1083</v>
      </c>
      <c r="B406" t="s">
        <v>1076</v>
      </c>
      <c r="C406">
        <v>1</v>
      </c>
      <c r="D406" t="s">
        <v>1080</v>
      </c>
      <c r="E406" t="s">
        <v>1079</v>
      </c>
      <c r="F406" s="360">
        <v>6</v>
      </c>
      <c r="G406" s="360" t="str">
        <f>CONCATENATE(A406," ",B406," ",C406," ","inf+"," ",FanUpsizes!D406," ",FanUpsizes!F406)</f>
        <v>3ACH 5C 1 inf+ Existing 6</v>
      </c>
      <c r="H406" s="360">
        <v>4.7132763329519274E-2</v>
      </c>
      <c r="I406" s="360">
        <v>0.35580064041540382</v>
      </c>
      <c r="J406" s="360">
        <v>1.2374747205062933</v>
      </c>
      <c r="K406" s="360">
        <v>78.424129815788973</v>
      </c>
      <c r="L406" s="360">
        <v>0.35421447133455103</v>
      </c>
      <c r="M406" s="360">
        <v>1.245769956246908</v>
      </c>
      <c r="N406" s="360">
        <v>1.0073995445053538</v>
      </c>
      <c r="O406" s="360">
        <v>0.35656384239097511</v>
      </c>
      <c r="P406" s="360">
        <v>1.2374749188815912</v>
      </c>
      <c r="Q406" s="360">
        <v>43.651753351575501</v>
      </c>
      <c r="R406" s="360">
        <v>78.424129815788973</v>
      </c>
      <c r="S406" s="360">
        <v>0.35421447133455103</v>
      </c>
      <c r="T406" s="360">
        <v>1.245769956246908</v>
      </c>
      <c r="U406" s="360">
        <v>1.0073995445053538</v>
      </c>
      <c r="V406" s="360">
        <v>0.35656384239097511</v>
      </c>
      <c r="W406" s="360">
        <v>1.2374749188815912</v>
      </c>
      <c r="X406" s="360">
        <v>43.651753351575501</v>
      </c>
      <c r="Y406" s="360">
        <v>0.37056073598283762</v>
      </c>
      <c r="Z406" s="360">
        <v>1.1883014794788247</v>
      </c>
      <c r="AA406" s="360">
        <v>82.804922641716473</v>
      </c>
      <c r="AB406" s="360">
        <v>0.36888483913932885</v>
      </c>
      <c r="AC406" s="360">
        <v>1.1965925452345216</v>
      </c>
      <c r="AD406" s="360">
        <v>1.0078649537060342</v>
      </c>
      <c r="AE406" s="360">
        <v>0.37144695292325947</v>
      </c>
      <c r="AF406" s="360">
        <v>1.1883046803818387</v>
      </c>
      <c r="AG406" s="360">
        <v>45.70852865432802</v>
      </c>
      <c r="AH406" s="360">
        <v>82.804922641716473</v>
      </c>
      <c r="AI406" s="360">
        <v>0.36888483913932885</v>
      </c>
      <c r="AJ406" s="360">
        <v>1.1965925452345216</v>
      </c>
      <c r="AK406" s="360">
        <v>1.0078649537060342</v>
      </c>
      <c r="AL406" s="360">
        <v>0.37144695292325947</v>
      </c>
      <c r="AM406" s="360">
        <v>1.1883046803818387</v>
      </c>
      <c r="AN406" s="360">
        <v>45.70852865432802</v>
      </c>
      <c r="AO406" s="360">
        <f t="shared" si="15"/>
        <v>1</v>
      </c>
      <c r="AP406" s="360">
        <f t="shared" si="16"/>
        <v>1</v>
      </c>
      <c r="AQ406" s="360">
        <f t="shared" si="17"/>
        <v>1</v>
      </c>
    </row>
    <row r="407" spans="1:43">
      <c r="A407" s="360" t="s">
        <v>1083</v>
      </c>
      <c r="B407" t="s">
        <v>1075</v>
      </c>
      <c r="C407">
        <v>2</v>
      </c>
      <c r="D407" t="s">
        <v>1080</v>
      </c>
      <c r="E407" t="s">
        <v>1079</v>
      </c>
      <c r="F407" s="360">
        <v>6</v>
      </c>
      <c r="G407" s="360" t="str">
        <f>CONCATENATE(A407," ",B407," ",C407," ","inf+"," ",FanUpsizes!D407," ",FanUpsizes!F407)</f>
        <v>3ACH Percentile 2 inf+ Existing 6</v>
      </c>
      <c r="H407" s="360">
        <v>4.3176540760238462E-2</v>
      </c>
      <c r="I407" s="360">
        <v>0.35069402894136142</v>
      </c>
      <c r="J407" s="360">
        <v>1.2714421383476506</v>
      </c>
      <c r="K407" s="360">
        <v>1427.314855505733</v>
      </c>
      <c r="L407" s="360">
        <v>0.30831883974990859</v>
      </c>
      <c r="M407" s="360">
        <v>1.6025016276274162</v>
      </c>
      <c r="N407" s="360">
        <v>1.4933825915235157</v>
      </c>
      <c r="O407" s="360">
        <v>0.41281004834894652</v>
      </c>
      <c r="P407" s="360">
        <v>1.271442534125595</v>
      </c>
      <c r="Q407" s="360">
        <v>407.56493485250564</v>
      </c>
      <c r="R407" s="360">
        <v>2256.180323650065</v>
      </c>
      <c r="S407" s="360">
        <v>0.25318542134329425</v>
      </c>
      <c r="T407" s="360">
        <v>1.9775485453494632</v>
      </c>
      <c r="U407" s="360">
        <v>2.4202414848047846</v>
      </c>
      <c r="V407" s="360">
        <v>0.4557588802866005</v>
      </c>
      <c r="W407" s="360">
        <v>1.2714424015260091</v>
      </c>
      <c r="X407" s="360">
        <v>943.47520322044272</v>
      </c>
      <c r="Y407" s="360">
        <v>0.36223750369548785</v>
      </c>
      <c r="Z407" s="360">
        <v>1.2231724109887321</v>
      </c>
      <c r="AA407" s="360">
        <v>1553.3662727971623</v>
      </c>
      <c r="AB407" s="360">
        <v>0.31603665513782864</v>
      </c>
      <c r="AC407" s="360">
        <v>1.5633821647094615</v>
      </c>
      <c r="AD407" s="360">
        <v>1.5252496676362863</v>
      </c>
      <c r="AE407" s="360">
        <v>0.43653164942103334</v>
      </c>
      <c r="AF407" s="360">
        <v>1.2231725499865689</v>
      </c>
      <c r="AG407" s="360">
        <v>405.15882138263521</v>
      </c>
      <c r="AH407" s="360">
        <v>2515.2876255442879</v>
      </c>
      <c r="AI407" s="360">
        <v>0.25125898611191261</v>
      </c>
      <c r="AJ407" s="360">
        <v>1.9731426408576405</v>
      </c>
      <c r="AK407" s="360">
        <v>2.4795877986081267</v>
      </c>
      <c r="AL407" s="360">
        <v>0.48187792510642447</v>
      </c>
      <c r="AM407" s="360">
        <v>1.2231730823716547</v>
      </c>
      <c r="AN407" s="360">
        <v>970.79914973530515</v>
      </c>
      <c r="AO407" s="360">
        <f t="shared" si="15"/>
        <v>1</v>
      </c>
      <c r="AP407" s="360">
        <f t="shared" si="16"/>
        <v>1</v>
      </c>
      <c r="AQ407" s="360">
        <f t="shared" si="17"/>
        <v>1</v>
      </c>
    </row>
    <row r="408" spans="1:43">
      <c r="A408" s="360" t="s">
        <v>1083</v>
      </c>
      <c r="B408" t="s">
        <v>1074</v>
      </c>
      <c r="C408">
        <v>2</v>
      </c>
      <c r="D408" t="s">
        <v>1080</v>
      </c>
      <c r="E408" t="s">
        <v>1079</v>
      </c>
      <c r="F408" s="360">
        <v>6</v>
      </c>
      <c r="G408" s="360" t="str">
        <f>CONCATENATE(A408," ",B408," ",C408," ","inf+"," ",FanUpsizes!D408," ",FanUpsizes!F408)</f>
        <v>3ACH Infiltration 2 inf+ Existing 6</v>
      </c>
      <c r="H408" s="360">
        <v>4.3176540760238462E-2</v>
      </c>
      <c r="I408" s="360">
        <v>0.35069402894136142</v>
      </c>
      <c r="J408" s="360">
        <v>1.2714421383476506</v>
      </c>
      <c r="K408" s="360">
        <v>0</v>
      </c>
      <c r="L408" s="360">
        <v>0.35069402894136142</v>
      </c>
      <c r="M408" s="360">
        <v>1.2714421383476506</v>
      </c>
      <c r="N408" s="360">
        <v>1</v>
      </c>
      <c r="O408" s="360">
        <v>0.35069402894136142</v>
      </c>
      <c r="P408" s="360">
        <v>1.2714421383476506</v>
      </c>
      <c r="Q408" s="360">
        <v>0</v>
      </c>
      <c r="R408" s="360">
        <v>0</v>
      </c>
      <c r="S408" s="360">
        <v>0.35069402894136142</v>
      </c>
      <c r="T408" s="360">
        <v>1.2714421383476506</v>
      </c>
      <c r="U408" s="360">
        <v>1</v>
      </c>
      <c r="V408" s="360">
        <v>0.35069402894136142</v>
      </c>
      <c r="W408" s="360">
        <v>1.2714421383476506</v>
      </c>
      <c r="X408" s="360">
        <v>0</v>
      </c>
      <c r="Y408" s="360">
        <v>0.36223750369548785</v>
      </c>
      <c r="Z408" s="360">
        <v>1.2231724109887321</v>
      </c>
      <c r="AA408" s="360">
        <v>0</v>
      </c>
      <c r="AB408" s="360">
        <v>0.36223750369548785</v>
      </c>
      <c r="AC408" s="360">
        <v>1.2231724109887321</v>
      </c>
      <c r="AD408" s="360">
        <v>1</v>
      </c>
      <c r="AE408" s="360">
        <v>0.36223750369548785</v>
      </c>
      <c r="AF408" s="360">
        <v>1.2231724109887321</v>
      </c>
      <c r="AG408" s="360">
        <v>0</v>
      </c>
      <c r="AH408" s="360">
        <v>0</v>
      </c>
      <c r="AI408" s="360">
        <v>0.36223750369548785</v>
      </c>
      <c r="AJ408" s="360">
        <v>1.2231724109887321</v>
      </c>
      <c r="AK408" s="360">
        <v>1</v>
      </c>
      <c r="AL408" s="360">
        <v>0.36223750369548785</v>
      </c>
      <c r="AM408" s="360">
        <v>1.2231724109887321</v>
      </c>
      <c r="AN408" s="360">
        <v>0</v>
      </c>
      <c r="AO408" s="360">
        <f t="shared" si="15"/>
        <v>1</v>
      </c>
      <c r="AP408" s="360">
        <f t="shared" si="16"/>
        <v>0</v>
      </c>
      <c r="AQ408" s="360">
        <f t="shared" si="17"/>
        <v>0</v>
      </c>
    </row>
    <row r="409" spans="1:43">
      <c r="A409" s="360" t="s">
        <v>1083</v>
      </c>
      <c r="B409" t="s">
        <v>1076</v>
      </c>
      <c r="C409">
        <v>2</v>
      </c>
      <c r="D409" t="s">
        <v>1080</v>
      </c>
      <c r="E409" t="s">
        <v>1079</v>
      </c>
      <c r="F409" s="360">
        <v>6</v>
      </c>
      <c r="G409" s="360" t="str">
        <f>CONCATENATE(A409," ",B409," ",C409," ","inf+"," ",FanUpsizes!D409," ",FanUpsizes!F409)</f>
        <v>3ACH 5C 2 inf+ Existing 6</v>
      </c>
      <c r="H409" s="360">
        <v>4.3176540760238462E-2</v>
      </c>
      <c r="I409" s="360">
        <v>0.35069402894136142</v>
      </c>
      <c r="J409" s="360">
        <v>1.2714421383476506</v>
      </c>
      <c r="K409" s="360">
        <v>60.059478075622913</v>
      </c>
      <c r="L409" s="360">
        <v>0.34948256629899305</v>
      </c>
      <c r="M409" s="360">
        <v>1.2783203455547121</v>
      </c>
      <c r="N409" s="360">
        <v>1.0069461913459596</v>
      </c>
      <c r="O409" s="360">
        <v>0.35126309900236807</v>
      </c>
      <c r="P409" s="360">
        <v>1.2714436574495367</v>
      </c>
      <c r="Q409" s="360">
        <v>32.757818915804506</v>
      </c>
      <c r="R409" s="360">
        <v>60.059478075622913</v>
      </c>
      <c r="S409" s="360">
        <v>0.34948256629899305</v>
      </c>
      <c r="T409" s="360">
        <v>1.2783203455547121</v>
      </c>
      <c r="U409" s="360">
        <v>1.0069461913459596</v>
      </c>
      <c r="V409" s="360">
        <v>0.35126309900236807</v>
      </c>
      <c r="W409" s="360">
        <v>1.2714436574495367</v>
      </c>
      <c r="X409" s="360">
        <v>32.757818915804506</v>
      </c>
      <c r="Y409" s="360">
        <v>0.36223750369548785</v>
      </c>
      <c r="Z409" s="360">
        <v>1.2231724109887321</v>
      </c>
      <c r="AA409" s="360">
        <v>67.92820832998791</v>
      </c>
      <c r="AB409" s="360">
        <v>0.36086485540622359</v>
      </c>
      <c r="AC409" s="360">
        <v>1.2302016667030915</v>
      </c>
      <c r="AD409" s="360">
        <v>1.0071771337601119</v>
      </c>
      <c r="AE409" s="360">
        <v>0.36288978729325738</v>
      </c>
      <c r="AF409" s="360">
        <v>1.2231731437747666</v>
      </c>
      <c r="AG409" s="360">
        <v>38.319514722328002</v>
      </c>
      <c r="AH409" s="360">
        <v>67.92820832998791</v>
      </c>
      <c r="AI409" s="360">
        <v>0.36086485540622359</v>
      </c>
      <c r="AJ409" s="360">
        <v>1.2302016667030915</v>
      </c>
      <c r="AK409" s="360">
        <v>1.0071771337601119</v>
      </c>
      <c r="AL409" s="360">
        <v>0.36288978729325738</v>
      </c>
      <c r="AM409" s="360">
        <v>1.2231731437747666</v>
      </c>
      <c r="AN409" s="360">
        <v>38.319514722328002</v>
      </c>
      <c r="AO409" s="360">
        <f t="shared" si="15"/>
        <v>1</v>
      </c>
      <c r="AP409" s="360">
        <f t="shared" si="16"/>
        <v>1</v>
      </c>
      <c r="AQ409" s="360">
        <f t="shared" si="17"/>
        <v>1</v>
      </c>
    </row>
    <row r="410" spans="1:43">
      <c r="A410" s="360" t="s">
        <v>1084</v>
      </c>
      <c r="B410" t="s">
        <v>1075</v>
      </c>
      <c r="C410">
        <v>1</v>
      </c>
      <c r="D410" t="s">
        <v>1078</v>
      </c>
      <c r="E410" t="s">
        <v>1079</v>
      </c>
      <c r="F410" s="360">
        <v>6</v>
      </c>
      <c r="G410" s="360" t="str">
        <f>CONCATENATE(A410," ",B410," ",C410," ","inf+"," ",FanUpsizes!D410," ",FanUpsizes!F410)</f>
        <v>1.5ACH Percentile 1 inf+ New 6</v>
      </c>
      <c r="H410" s="360">
        <v>3.7073881664759639E-2</v>
      </c>
      <c r="I410" s="360">
        <v>0.27404234885491879</v>
      </c>
      <c r="J410" s="360">
        <v>1.165282060239077</v>
      </c>
      <c r="K410" s="360">
        <v>1607.0872974385757</v>
      </c>
      <c r="L410" s="360">
        <v>0.22610373098536701</v>
      </c>
      <c r="M410" s="360">
        <v>1.7199880479573946</v>
      </c>
      <c r="N410" s="360">
        <v>1.7948866068132958</v>
      </c>
      <c r="O410" s="360">
        <v>0.39682218587412005</v>
      </c>
      <c r="P410" s="360">
        <v>1.1652850881080965</v>
      </c>
      <c r="Q410" s="360">
        <v>-1.0715549080445459</v>
      </c>
      <c r="R410" s="360">
        <v>2544.0753524294228</v>
      </c>
      <c r="S410" s="360">
        <v>0.16259312516903704</v>
      </c>
      <c r="T410" s="360">
        <v>2.3702430618646142</v>
      </c>
      <c r="U410" s="360">
        <v>3.007764913455961</v>
      </c>
      <c r="V410" s="360">
        <v>0.45780625924877494</v>
      </c>
      <c r="W410" s="360">
        <v>1.1652830638265335</v>
      </c>
      <c r="X410" s="360">
        <v>519.63126765542802</v>
      </c>
      <c r="Y410" s="360">
        <v>0.28111480928647981</v>
      </c>
      <c r="Z410" s="360">
        <v>1.1364124096697841</v>
      </c>
      <c r="AA410" s="360">
        <v>1640.6004023306225</v>
      </c>
      <c r="AB410" s="360">
        <v>0.23216871028434977</v>
      </c>
      <c r="AC410" s="360">
        <v>1.6886719730881792</v>
      </c>
      <c r="AD410" s="360">
        <v>1.8554886688502905</v>
      </c>
      <c r="AE410" s="360">
        <v>0.41337007615354965</v>
      </c>
      <c r="AF410" s="360">
        <v>1.1364124561849742</v>
      </c>
      <c r="AG410" s="360">
        <v>-70.120015049188055</v>
      </c>
      <c r="AH410" s="360">
        <v>2585.7729214370092</v>
      </c>
      <c r="AI410" s="360">
        <v>0.16859309796439578</v>
      </c>
      <c r="AJ410" s="360">
        <v>2.3033313751128763</v>
      </c>
      <c r="AK410" s="360">
        <v>3.1131074143134612</v>
      </c>
      <c r="AL410" s="360">
        <v>0.47664348075983054</v>
      </c>
      <c r="AM410" s="360">
        <v>1.1364126773240388</v>
      </c>
      <c r="AN410" s="360">
        <v>458.85650830325176</v>
      </c>
      <c r="AO410" s="360">
        <f t="shared" si="15"/>
        <v>1</v>
      </c>
      <c r="AP410" s="360">
        <f t="shared" si="16"/>
        <v>1</v>
      </c>
      <c r="AQ410" s="360">
        <f t="shared" si="17"/>
        <v>1</v>
      </c>
    </row>
    <row r="411" spans="1:43">
      <c r="A411" s="360" t="s">
        <v>1084</v>
      </c>
      <c r="B411" t="s">
        <v>1074</v>
      </c>
      <c r="C411">
        <v>1</v>
      </c>
      <c r="D411" t="s">
        <v>1078</v>
      </c>
      <c r="E411" t="s">
        <v>1079</v>
      </c>
      <c r="F411" s="360">
        <v>6</v>
      </c>
      <c r="G411" s="360" t="str">
        <f>CONCATENATE(A411," ",B411," ",C411," ","inf+"," ",FanUpsizes!D411," ",FanUpsizes!F411)</f>
        <v>1.5ACH Infiltration 1 inf+ New 6</v>
      </c>
      <c r="H411" s="360">
        <v>3.7073881664759639E-2</v>
      </c>
      <c r="I411" s="360">
        <v>0.27404234885491879</v>
      </c>
      <c r="J411" s="360">
        <v>1.165282060239077</v>
      </c>
      <c r="K411" s="360">
        <v>0</v>
      </c>
      <c r="L411" s="360">
        <v>0.27404234885491879</v>
      </c>
      <c r="M411" s="360">
        <v>1.165282060239077</v>
      </c>
      <c r="N411" s="360">
        <v>1</v>
      </c>
      <c r="O411" s="360">
        <v>0.27404234885491879</v>
      </c>
      <c r="P411" s="360">
        <v>1.165282060239077</v>
      </c>
      <c r="Q411" s="360">
        <v>0</v>
      </c>
      <c r="R411" s="360">
        <v>0</v>
      </c>
      <c r="S411" s="360">
        <v>0.27404234885491879</v>
      </c>
      <c r="T411" s="360">
        <v>1.165282060239077</v>
      </c>
      <c r="U411" s="360">
        <v>1</v>
      </c>
      <c r="V411" s="360">
        <v>0.27404234885491879</v>
      </c>
      <c r="W411" s="360">
        <v>1.165282060239077</v>
      </c>
      <c r="X411" s="360">
        <v>0</v>
      </c>
      <c r="Y411" s="360">
        <v>0.28111480928647981</v>
      </c>
      <c r="Z411" s="360">
        <v>1.1364124096697841</v>
      </c>
      <c r="AA411" s="360">
        <v>0</v>
      </c>
      <c r="AB411" s="360">
        <v>0.28111480928647981</v>
      </c>
      <c r="AC411" s="360">
        <v>1.1364124096697841</v>
      </c>
      <c r="AD411" s="360">
        <v>1</v>
      </c>
      <c r="AE411" s="360">
        <v>0.28111480928647981</v>
      </c>
      <c r="AF411" s="360">
        <v>1.1364124096697841</v>
      </c>
      <c r="AG411" s="360">
        <v>0</v>
      </c>
      <c r="AH411" s="360">
        <v>0</v>
      </c>
      <c r="AI411" s="360">
        <v>0.28111480928647981</v>
      </c>
      <c r="AJ411" s="360">
        <v>1.1364124096697841</v>
      </c>
      <c r="AK411" s="360">
        <v>1</v>
      </c>
      <c r="AL411" s="360">
        <v>0.28111480928647981</v>
      </c>
      <c r="AM411" s="360">
        <v>1.1364124096697841</v>
      </c>
      <c r="AN411" s="360">
        <v>0</v>
      </c>
      <c r="AO411" s="360">
        <f t="shared" si="15"/>
        <v>1</v>
      </c>
      <c r="AP411" s="360">
        <f t="shared" si="16"/>
        <v>0</v>
      </c>
      <c r="AQ411" s="360">
        <f t="shared" si="17"/>
        <v>0</v>
      </c>
    </row>
    <row r="412" spans="1:43">
      <c r="A412" s="360" t="s">
        <v>1084</v>
      </c>
      <c r="B412" t="s">
        <v>1076</v>
      </c>
      <c r="C412">
        <v>1</v>
      </c>
      <c r="D412" t="s">
        <v>1078</v>
      </c>
      <c r="E412" t="s">
        <v>1079</v>
      </c>
      <c r="F412" s="360">
        <v>6</v>
      </c>
      <c r="G412" s="360" t="str">
        <f>CONCATENATE(A412," ",B412," ",C412," ","inf+"," ",FanUpsizes!D412," ",FanUpsizes!F412)</f>
        <v>1.5ACH 5C 1 inf+ New 6</v>
      </c>
      <c r="H412" s="360">
        <v>3.7073881664759639E-2</v>
      </c>
      <c r="I412" s="360">
        <v>0.27404234885491879</v>
      </c>
      <c r="J412" s="360">
        <v>1.165282060239077</v>
      </c>
      <c r="K412" s="360">
        <v>70.60201924896333</v>
      </c>
      <c r="L412" s="360">
        <v>0.27261193466970152</v>
      </c>
      <c r="M412" s="360">
        <v>1.1740205684674112</v>
      </c>
      <c r="N412" s="360">
        <v>1.0076155447180306</v>
      </c>
      <c r="O412" s="360">
        <v>0.27466239609891069</v>
      </c>
      <c r="P412" s="360">
        <v>1.1652820728516371</v>
      </c>
      <c r="Q412" s="360">
        <v>41.167225973181466</v>
      </c>
      <c r="R412" s="360">
        <v>70.60201924896333</v>
      </c>
      <c r="S412" s="360">
        <v>0.27261193466970152</v>
      </c>
      <c r="T412" s="360">
        <v>1.1740205684674112</v>
      </c>
      <c r="U412" s="360">
        <v>1.0076155447180306</v>
      </c>
      <c r="V412" s="360">
        <v>0.27466239609891069</v>
      </c>
      <c r="W412" s="360">
        <v>1.1652820728516371</v>
      </c>
      <c r="X412" s="360">
        <v>41.167225973181466</v>
      </c>
      <c r="Y412" s="360">
        <v>0.28111480928647981</v>
      </c>
      <c r="Z412" s="360">
        <v>1.1364124096697841</v>
      </c>
      <c r="AA412" s="360">
        <v>72.01094386000365</v>
      </c>
      <c r="AB412" s="360">
        <v>0.27965553802342258</v>
      </c>
      <c r="AC412" s="360">
        <v>1.1451143542997757</v>
      </c>
      <c r="AD412" s="360">
        <v>1.0081009482909093</v>
      </c>
      <c r="AE412" s="360">
        <v>0.28180145134671819</v>
      </c>
      <c r="AF412" s="360">
        <v>1.1364125393905773</v>
      </c>
      <c r="AG412" s="360">
        <v>41.104718767805345</v>
      </c>
      <c r="AH412" s="360">
        <v>72.01094386000365</v>
      </c>
      <c r="AI412" s="360">
        <v>0.27965553802342258</v>
      </c>
      <c r="AJ412" s="360">
        <v>1.1451143542997757</v>
      </c>
      <c r="AK412" s="360">
        <v>1.0081009482909093</v>
      </c>
      <c r="AL412" s="360">
        <v>0.28180145134671819</v>
      </c>
      <c r="AM412" s="360">
        <v>1.1364125393905773</v>
      </c>
      <c r="AN412" s="360">
        <v>41.104718767805345</v>
      </c>
      <c r="AO412" s="360">
        <f t="shared" si="15"/>
        <v>1</v>
      </c>
      <c r="AP412" s="360">
        <f t="shared" si="16"/>
        <v>1</v>
      </c>
      <c r="AQ412" s="360">
        <f t="shared" si="17"/>
        <v>1</v>
      </c>
    </row>
    <row r="413" spans="1:43">
      <c r="A413" s="360" t="s">
        <v>1084</v>
      </c>
      <c r="B413" t="s">
        <v>1075</v>
      </c>
      <c r="C413">
        <v>2</v>
      </c>
      <c r="D413" t="s">
        <v>1078</v>
      </c>
      <c r="E413" t="s">
        <v>1079</v>
      </c>
      <c r="F413" s="360">
        <v>6</v>
      </c>
      <c r="G413" s="360" t="str">
        <f>CONCATENATE(A413," ",B413," ",C413," ","inf+"," ",FanUpsizes!D413," ",FanUpsizes!F413)</f>
        <v>1.5ACH Percentile 2 inf+ New 6</v>
      </c>
      <c r="H413" s="360">
        <v>3.5095770380119226E-2</v>
      </c>
      <c r="I413" s="360">
        <v>0.26316395807147269</v>
      </c>
      <c r="J413" s="360">
        <v>1.2149810075469858</v>
      </c>
      <c r="K413" s="360">
        <v>1398.479464885175</v>
      </c>
      <c r="L413" s="360">
        <v>0.22151806415919514</v>
      </c>
      <c r="M413" s="360">
        <v>1.6716184807314933</v>
      </c>
      <c r="N413" s="360">
        <v>1.6083558730386118</v>
      </c>
      <c r="O413" s="360">
        <v>0.34189873056421088</v>
      </c>
      <c r="P413" s="360">
        <v>1.2149812661227635</v>
      </c>
      <c r="Q413" s="360">
        <v>258.2006843880506</v>
      </c>
      <c r="R413" s="360">
        <v>2206.6688474245925</v>
      </c>
      <c r="S413" s="360">
        <v>0.16673512379151459</v>
      </c>
      <c r="T413" s="360">
        <v>2.2166461053110935</v>
      </c>
      <c r="U413" s="360">
        <v>2.6499484618470319</v>
      </c>
      <c r="V413" s="360">
        <v>0.38742750683961075</v>
      </c>
      <c r="W413" s="360">
        <v>1.2149811232804624</v>
      </c>
      <c r="X413" s="360">
        <v>738.47199949518961</v>
      </c>
      <c r="Y413" s="360">
        <v>0.27342926650005961</v>
      </c>
      <c r="Z413" s="360">
        <v>1.1698606633163793</v>
      </c>
      <c r="AA413" s="360">
        <v>1452.7371352713265</v>
      </c>
      <c r="AB413" s="360">
        <v>0.23012966517362779</v>
      </c>
      <c r="AC413" s="360">
        <v>1.6256067812928354</v>
      </c>
      <c r="AD413" s="360">
        <v>1.6714198220061933</v>
      </c>
      <c r="AE413" s="360">
        <v>0.36220217544407346</v>
      </c>
      <c r="AF413" s="360">
        <v>1.1698662603144141</v>
      </c>
      <c r="AG413" s="360">
        <v>202.6045535584274</v>
      </c>
      <c r="AH413" s="360">
        <v>2312.3075488903505</v>
      </c>
      <c r="AI413" s="360">
        <v>0.17225579000350236</v>
      </c>
      <c r="AJ413" s="360">
        <v>2.1588844558976596</v>
      </c>
      <c r="AK413" s="360">
        <v>2.7613752800817095</v>
      </c>
      <c r="AL413" s="360">
        <v>0.40976046895197155</v>
      </c>
      <c r="AM413" s="360">
        <v>1.1698606944435441</v>
      </c>
      <c r="AN413" s="360">
        <v>688.02374148205342</v>
      </c>
      <c r="AO413" s="360">
        <f t="shared" si="15"/>
        <v>1</v>
      </c>
      <c r="AP413" s="360">
        <f t="shared" si="16"/>
        <v>1</v>
      </c>
      <c r="AQ413" s="360">
        <f t="shared" si="17"/>
        <v>1</v>
      </c>
    </row>
    <row r="414" spans="1:43">
      <c r="A414" s="360" t="s">
        <v>1084</v>
      </c>
      <c r="B414" t="s">
        <v>1074</v>
      </c>
      <c r="C414">
        <v>2</v>
      </c>
      <c r="D414" t="s">
        <v>1078</v>
      </c>
      <c r="E414" t="s">
        <v>1079</v>
      </c>
      <c r="F414" s="360">
        <v>6</v>
      </c>
      <c r="G414" s="360" t="str">
        <f>CONCATENATE(A414," ",B414," ",C414," ","inf+"," ",FanUpsizes!D414," ",FanUpsizes!F414)</f>
        <v>1.5ACH Infiltration 2 inf+ New 6</v>
      </c>
      <c r="H414" s="360">
        <v>3.5095770380119226E-2</v>
      </c>
      <c r="I414" s="360">
        <v>0.26316395807147269</v>
      </c>
      <c r="J414" s="360">
        <v>1.2149810075469858</v>
      </c>
      <c r="K414" s="360">
        <v>0</v>
      </c>
      <c r="L414" s="360">
        <v>0.26316395807147269</v>
      </c>
      <c r="M414" s="360">
        <v>1.2149810075469858</v>
      </c>
      <c r="N414" s="360">
        <v>1</v>
      </c>
      <c r="O414" s="360">
        <v>0.26316395807147269</v>
      </c>
      <c r="P414" s="360">
        <v>1.2149810075469858</v>
      </c>
      <c r="Q414" s="360">
        <v>0</v>
      </c>
      <c r="R414" s="360">
        <v>0</v>
      </c>
      <c r="S414" s="360">
        <v>0.26316395807147269</v>
      </c>
      <c r="T414" s="360">
        <v>1.2149810075469858</v>
      </c>
      <c r="U414" s="360">
        <v>1</v>
      </c>
      <c r="V414" s="360">
        <v>0.26316395807147269</v>
      </c>
      <c r="W414" s="360">
        <v>1.2149810075469858</v>
      </c>
      <c r="X414" s="360">
        <v>0</v>
      </c>
      <c r="Y414" s="360">
        <v>0.27342926650005961</v>
      </c>
      <c r="Z414" s="360">
        <v>1.1698606633163793</v>
      </c>
      <c r="AA414" s="360">
        <v>0</v>
      </c>
      <c r="AB414" s="360">
        <v>0.27342926650005961</v>
      </c>
      <c r="AC414" s="360">
        <v>1.1698606633163793</v>
      </c>
      <c r="AD414" s="360">
        <v>1</v>
      </c>
      <c r="AE414" s="360">
        <v>0.27342926650005961</v>
      </c>
      <c r="AF414" s="360">
        <v>1.1698606633163793</v>
      </c>
      <c r="AG414" s="360">
        <v>0</v>
      </c>
      <c r="AH414" s="360">
        <v>0</v>
      </c>
      <c r="AI414" s="360">
        <v>0.27342926650005961</v>
      </c>
      <c r="AJ414" s="360">
        <v>1.1698606633163793</v>
      </c>
      <c r="AK414" s="360">
        <v>1</v>
      </c>
      <c r="AL414" s="360">
        <v>0.27342926650005961</v>
      </c>
      <c r="AM414" s="360">
        <v>1.1698606633163793</v>
      </c>
      <c r="AN414" s="360">
        <v>0</v>
      </c>
      <c r="AO414" s="360">
        <f t="shared" si="15"/>
        <v>1</v>
      </c>
      <c r="AP414" s="360">
        <f t="shared" si="16"/>
        <v>0</v>
      </c>
      <c r="AQ414" s="360">
        <f t="shared" si="17"/>
        <v>0</v>
      </c>
    </row>
    <row r="415" spans="1:43">
      <c r="A415" s="360" t="s">
        <v>1084</v>
      </c>
      <c r="B415" t="s">
        <v>1076</v>
      </c>
      <c r="C415">
        <v>2</v>
      </c>
      <c r="D415" t="s">
        <v>1078</v>
      </c>
      <c r="E415" t="s">
        <v>1079</v>
      </c>
      <c r="F415" s="360">
        <v>6</v>
      </c>
      <c r="G415" s="360" t="str">
        <f>CONCATENATE(A415," ",B415," ",C415," ","inf+"," ",FanUpsizes!D415," ",FanUpsizes!F415)</f>
        <v>1.5ACH 5C 2 inf+ New 6</v>
      </c>
      <c r="H415" s="360">
        <v>3.5095770380119226E-2</v>
      </c>
      <c r="I415" s="360">
        <v>0.26316395807147269</v>
      </c>
      <c r="J415" s="360">
        <v>1.2149810075469858</v>
      </c>
      <c r="K415" s="360">
        <v>61.419693378889107</v>
      </c>
      <c r="L415" s="360">
        <v>0.2619208971054976</v>
      </c>
      <c r="M415" s="360">
        <v>1.2230606267768962</v>
      </c>
      <c r="N415" s="360">
        <v>1.0071722743319642</v>
      </c>
      <c r="O415" s="360">
        <v>0.2636533190519777</v>
      </c>
      <c r="P415" s="360">
        <v>1.2149811023186909</v>
      </c>
      <c r="Q415" s="360">
        <v>36.034324111128143</v>
      </c>
      <c r="R415" s="360">
        <v>61.419693378889107</v>
      </c>
      <c r="S415" s="360">
        <v>0.2619208971054976</v>
      </c>
      <c r="T415" s="360">
        <v>1.2230606267768962</v>
      </c>
      <c r="U415" s="360">
        <v>1.0071722743319642</v>
      </c>
      <c r="V415" s="360">
        <v>0.2636533190519777</v>
      </c>
      <c r="W415" s="360">
        <v>1.2149811023186909</v>
      </c>
      <c r="X415" s="360">
        <v>36.034324111128143</v>
      </c>
      <c r="Y415" s="360">
        <v>0.27342926650005961</v>
      </c>
      <c r="Z415" s="360">
        <v>1.1698606633163793</v>
      </c>
      <c r="AA415" s="360">
        <v>63.897986923024838</v>
      </c>
      <c r="AB415" s="360">
        <v>0.27213544140827861</v>
      </c>
      <c r="AC415" s="360">
        <v>1.1778974799702902</v>
      </c>
      <c r="AD415" s="360">
        <v>1.0076241623862614</v>
      </c>
      <c r="AE415" s="360">
        <v>0.27400024919810606</v>
      </c>
      <c r="AF415" s="360">
        <v>1.1698614535239806</v>
      </c>
      <c r="AG415" s="360">
        <v>36.910249620366734</v>
      </c>
      <c r="AH415" s="360">
        <v>63.897986923024838</v>
      </c>
      <c r="AI415" s="360">
        <v>0.27213544140827861</v>
      </c>
      <c r="AJ415" s="360">
        <v>1.1778974799702902</v>
      </c>
      <c r="AK415" s="360">
        <v>1.0076241623862614</v>
      </c>
      <c r="AL415" s="360">
        <v>0.27400024919810606</v>
      </c>
      <c r="AM415" s="360">
        <v>1.1698614535239806</v>
      </c>
      <c r="AN415" s="360">
        <v>36.910249620366734</v>
      </c>
      <c r="AO415" s="360">
        <f t="shared" si="15"/>
        <v>1</v>
      </c>
      <c r="AP415" s="360">
        <f t="shared" si="16"/>
        <v>1</v>
      </c>
      <c r="AQ415" s="360">
        <f t="shared" si="17"/>
        <v>1</v>
      </c>
    </row>
    <row r="416" spans="1:43">
      <c r="A416" s="360" t="s">
        <v>1084</v>
      </c>
      <c r="B416" t="s">
        <v>1075</v>
      </c>
      <c r="C416">
        <v>1</v>
      </c>
      <c r="D416" t="s">
        <v>1080</v>
      </c>
      <c r="E416" t="s">
        <v>1079</v>
      </c>
      <c r="F416" s="360">
        <v>6</v>
      </c>
      <c r="G416" s="360" t="str">
        <f>CONCATENATE(A416," ",B416," ",C416," ","inf+"," ",FanUpsizes!D416," ",FanUpsizes!F416)</f>
        <v>1.5ACH Percentile 1 inf+ Existing 6</v>
      </c>
      <c r="H416" s="360">
        <v>5.332388166475964E-2</v>
      </c>
      <c r="I416" s="360">
        <v>0.39359380528321952</v>
      </c>
      <c r="J416" s="360">
        <v>1.1160097709787371</v>
      </c>
      <c r="K416" s="360">
        <v>2461.717916363586</v>
      </c>
      <c r="L416" s="360">
        <v>0.32010656802549436</v>
      </c>
      <c r="M416" s="360">
        <v>1.8443838819066218</v>
      </c>
      <c r="N416" s="360">
        <v>2.4495844211278373</v>
      </c>
      <c r="O416" s="360">
        <v>0.76870214131471004</v>
      </c>
      <c r="P416" s="360">
        <v>1.1160110572273749</v>
      </c>
      <c r="Q416" s="360">
        <v>-1765.5147571094674</v>
      </c>
      <c r="R416" s="360">
        <v>3868.6887616630338</v>
      </c>
      <c r="S416" s="360">
        <v>0.22534916834331203</v>
      </c>
      <c r="T416" s="360">
        <v>2.5636209952647002</v>
      </c>
      <c r="U416" s="360">
        <v>4.1906265162050778</v>
      </c>
      <c r="V416" s="360">
        <v>0.90674748051637988</v>
      </c>
      <c r="W416" s="360">
        <v>1.1160102110356225</v>
      </c>
      <c r="X416" s="360">
        <v>-871.23993513829635</v>
      </c>
      <c r="Y416" s="360">
        <v>0.39885084878483418</v>
      </c>
      <c r="Z416" s="360">
        <v>1.1014559665231032</v>
      </c>
      <c r="AA416" s="360">
        <v>2487.4955965152076</v>
      </c>
      <c r="AB416" s="360">
        <v>0.32460144866639234</v>
      </c>
      <c r="AC416" s="360">
        <v>1.8283511983121516</v>
      </c>
      <c r="AD416" s="360">
        <v>2.5162887447756312</v>
      </c>
      <c r="AE416" s="360">
        <v>0.7911561592864379</v>
      </c>
      <c r="AF416" s="360">
        <v>1.1014568146889543</v>
      </c>
      <c r="AG416" s="360">
        <v>-1912.0071084829858</v>
      </c>
      <c r="AH416" s="360">
        <v>3878.1264197936712</v>
      </c>
      <c r="AI416" s="360">
        <v>0.23114804780191889</v>
      </c>
      <c r="AJ416" s="360">
        <v>2.5112889264216958</v>
      </c>
      <c r="AK416" s="360">
        <v>4.3067389411123731</v>
      </c>
      <c r="AL416" s="360">
        <v>0.93318374705906104</v>
      </c>
      <c r="AM416" s="360">
        <v>1.1014570129874186</v>
      </c>
      <c r="AN416" s="360">
        <v>-998.84756116295648</v>
      </c>
      <c r="AO416" s="360">
        <f t="shared" si="15"/>
        <v>1</v>
      </c>
      <c r="AP416" s="360">
        <f t="shared" si="16"/>
        <v>1</v>
      </c>
      <c r="AQ416" s="360">
        <f t="shared" si="17"/>
        <v>1</v>
      </c>
    </row>
    <row r="417" spans="1:43">
      <c r="A417" s="360" t="s">
        <v>1084</v>
      </c>
      <c r="B417" t="s">
        <v>1074</v>
      </c>
      <c r="C417">
        <v>1</v>
      </c>
      <c r="D417" t="s">
        <v>1080</v>
      </c>
      <c r="E417" t="s">
        <v>1079</v>
      </c>
      <c r="F417" s="360">
        <v>6</v>
      </c>
      <c r="G417" s="360" t="str">
        <f>CONCATENATE(A417," ",B417," ",C417," ","inf+"," ",FanUpsizes!D417," ",FanUpsizes!F417)</f>
        <v>1.5ACH Infiltration 1 inf+ Existing 6</v>
      </c>
      <c r="H417" s="360">
        <v>5.332388166475964E-2</v>
      </c>
      <c r="I417" s="360">
        <v>0.39359380528321952</v>
      </c>
      <c r="J417" s="360">
        <v>1.1160097709787371</v>
      </c>
      <c r="K417" s="360">
        <v>0</v>
      </c>
      <c r="L417" s="360">
        <v>0.39359380528321952</v>
      </c>
      <c r="M417" s="360">
        <v>1.1160097709787371</v>
      </c>
      <c r="N417" s="360">
        <v>1</v>
      </c>
      <c r="O417" s="360">
        <v>0.39359380528321952</v>
      </c>
      <c r="P417" s="360">
        <v>1.1160097709787371</v>
      </c>
      <c r="Q417" s="360">
        <v>0</v>
      </c>
      <c r="R417" s="360">
        <v>0</v>
      </c>
      <c r="S417" s="360">
        <v>0.39359380528321952</v>
      </c>
      <c r="T417" s="360">
        <v>1.1160097709787371</v>
      </c>
      <c r="U417" s="360">
        <v>1</v>
      </c>
      <c r="V417" s="360">
        <v>0.39359380528321952</v>
      </c>
      <c r="W417" s="360">
        <v>1.1160097709787371</v>
      </c>
      <c r="X417" s="360">
        <v>0</v>
      </c>
      <c r="Y417" s="360">
        <v>0.39885084878483418</v>
      </c>
      <c r="Z417" s="360">
        <v>1.1014559665231032</v>
      </c>
      <c r="AA417" s="360">
        <v>0</v>
      </c>
      <c r="AB417" s="360">
        <v>0.39885084878483418</v>
      </c>
      <c r="AC417" s="360">
        <v>1.1014559665231032</v>
      </c>
      <c r="AD417" s="360">
        <v>1</v>
      </c>
      <c r="AE417" s="360">
        <v>0.39885084878483418</v>
      </c>
      <c r="AF417" s="360">
        <v>1.1014559665231032</v>
      </c>
      <c r="AG417" s="360">
        <v>0</v>
      </c>
      <c r="AH417" s="360">
        <v>0</v>
      </c>
      <c r="AI417" s="360">
        <v>0.39885084878483418</v>
      </c>
      <c r="AJ417" s="360">
        <v>1.1014559665231032</v>
      </c>
      <c r="AK417" s="360">
        <v>1</v>
      </c>
      <c r="AL417" s="360">
        <v>0.39885084878483418</v>
      </c>
      <c r="AM417" s="360">
        <v>1.1014559665231032</v>
      </c>
      <c r="AN417" s="360">
        <v>0</v>
      </c>
      <c r="AO417" s="360">
        <f t="shared" si="15"/>
        <v>1</v>
      </c>
      <c r="AP417" s="360">
        <f t="shared" si="16"/>
        <v>0</v>
      </c>
      <c r="AQ417" s="360">
        <f t="shared" si="17"/>
        <v>0</v>
      </c>
    </row>
    <row r="418" spans="1:43">
      <c r="A418" s="360" t="s">
        <v>1084</v>
      </c>
      <c r="B418" t="s">
        <v>1076</v>
      </c>
      <c r="C418">
        <v>1</v>
      </c>
      <c r="D418" t="s">
        <v>1080</v>
      </c>
      <c r="E418" t="s">
        <v>1079</v>
      </c>
      <c r="F418" s="360">
        <v>6</v>
      </c>
      <c r="G418" s="360" t="str">
        <f>CONCATENATE(A418," ",B418," ",C418," ","inf+"," ",FanUpsizes!D418," ",FanUpsizes!F418)</f>
        <v>1.5ACH 5C 1 inf+ Existing 6</v>
      </c>
      <c r="H418" s="360">
        <v>5.332388166475964E-2</v>
      </c>
      <c r="I418" s="360">
        <v>0.39359380528321952</v>
      </c>
      <c r="J418" s="360">
        <v>1.1160097709787371</v>
      </c>
      <c r="K418" s="360">
        <v>108.36524397911352</v>
      </c>
      <c r="L418" s="360">
        <v>0.39139666100524984</v>
      </c>
      <c r="M418" s="360">
        <v>1.126366729407015</v>
      </c>
      <c r="N418" s="360">
        <v>1.00934099040853</v>
      </c>
      <c r="O418" s="360">
        <v>0.3950472266842413</v>
      </c>
      <c r="P418" s="360">
        <v>1.1160105956493125</v>
      </c>
      <c r="Q418" s="360">
        <v>56.055666236306543</v>
      </c>
      <c r="R418" s="360">
        <v>108.36524397911352</v>
      </c>
      <c r="S418" s="360">
        <v>0.39139666100524984</v>
      </c>
      <c r="T418" s="360">
        <v>1.126366729407015</v>
      </c>
      <c r="U418" s="360">
        <v>1.00934099040853</v>
      </c>
      <c r="V418" s="360">
        <v>0.3950472266842413</v>
      </c>
      <c r="W418" s="360">
        <v>1.1160105956493125</v>
      </c>
      <c r="X418" s="360">
        <v>56.055666236306543</v>
      </c>
      <c r="Y418" s="360">
        <v>0.39885084878483418</v>
      </c>
      <c r="Z418" s="360">
        <v>1.1014559665231032</v>
      </c>
      <c r="AA418" s="360">
        <v>109.34898006821678</v>
      </c>
      <c r="AB418" s="360">
        <v>0.39663355614728296</v>
      </c>
      <c r="AC418" s="360">
        <v>1.1117924621519308</v>
      </c>
      <c r="AD418" s="360">
        <v>1.0096872216207591</v>
      </c>
      <c r="AE418" s="360">
        <v>0.40037281805006808</v>
      </c>
      <c r="AF418" s="360">
        <v>1.1014560381141496</v>
      </c>
      <c r="AG418" s="360">
        <v>55.611215002299488</v>
      </c>
      <c r="AH418" s="360">
        <v>109.34898006821678</v>
      </c>
      <c r="AI418" s="360">
        <v>0.39663355614728296</v>
      </c>
      <c r="AJ418" s="360">
        <v>1.1117924621519308</v>
      </c>
      <c r="AK418" s="360">
        <v>1.0096872216207591</v>
      </c>
      <c r="AL418" s="360">
        <v>0.40037281805006808</v>
      </c>
      <c r="AM418" s="360">
        <v>1.1014560381141496</v>
      </c>
      <c r="AN418" s="360">
        <v>55.611215002299488</v>
      </c>
      <c r="AO418" s="360">
        <f t="shared" si="15"/>
        <v>1</v>
      </c>
      <c r="AP418" s="360">
        <f t="shared" si="16"/>
        <v>1</v>
      </c>
      <c r="AQ418" s="360">
        <f t="shared" si="17"/>
        <v>1</v>
      </c>
    </row>
    <row r="419" spans="1:43">
      <c r="A419" s="360" t="s">
        <v>1084</v>
      </c>
      <c r="B419" t="s">
        <v>1075</v>
      </c>
      <c r="C419">
        <v>2</v>
      </c>
      <c r="D419" t="s">
        <v>1080</v>
      </c>
      <c r="E419" t="s">
        <v>1079</v>
      </c>
      <c r="F419" s="360">
        <v>6</v>
      </c>
      <c r="G419" s="360" t="str">
        <f>CONCATENATE(A419," ",B419," ",C419," ","inf+"," ",FanUpsizes!D419," ",FanUpsizes!F419)</f>
        <v>1.5ACH Percentile 2 inf+ Existing 6</v>
      </c>
      <c r="H419" s="360">
        <v>5.1345770380119227E-2</v>
      </c>
      <c r="I419" s="360">
        <v>0.37953528248965002</v>
      </c>
      <c r="J419" s="360">
        <v>1.1574435365536213</v>
      </c>
      <c r="K419" s="360">
        <v>2246.9244749397467</v>
      </c>
      <c r="L419" s="360">
        <v>0.31251653883479824</v>
      </c>
      <c r="M419" s="360">
        <v>1.7784339663111239</v>
      </c>
      <c r="N419" s="360">
        <v>2.0463027088166443</v>
      </c>
      <c r="O419" s="360">
        <v>0.62387437556162495</v>
      </c>
      <c r="P419" s="360">
        <v>1.157443569394502</v>
      </c>
      <c r="Q419" s="360">
        <v>-686.33726971196859</v>
      </c>
      <c r="R419" s="360">
        <v>3545.9664138953494</v>
      </c>
      <c r="S419" s="360">
        <v>0.22448003392972571</v>
      </c>
      <c r="T419" s="360">
        <v>2.4321077470418198</v>
      </c>
      <c r="U419" s="360">
        <v>3.4569334207249707</v>
      </c>
      <c r="V419" s="360">
        <v>0.72590075958251077</v>
      </c>
      <c r="W419" s="360">
        <v>1.157443539210562</v>
      </c>
      <c r="X419" s="360">
        <v>95.861263699892461</v>
      </c>
      <c r="Y419" s="360">
        <v>0.38910364963817901</v>
      </c>
      <c r="Z419" s="360">
        <v>1.1294898351135003</v>
      </c>
      <c r="AA419" s="360">
        <v>2289.9789440036329</v>
      </c>
      <c r="AB419" s="360">
        <v>0.32078817905981821</v>
      </c>
      <c r="AC419" s="360">
        <v>1.7488195852776049</v>
      </c>
      <c r="AD419" s="360">
        <v>2.132703151123065</v>
      </c>
      <c r="AE419" s="360">
        <v>0.65379640540023121</v>
      </c>
      <c r="AF419" s="360">
        <v>1.1294900403387753</v>
      </c>
      <c r="AG419" s="360">
        <v>-853.48780217696333</v>
      </c>
      <c r="AH419" s="360">
        <v>3600.5786431136075</v>
      </c>
      <c r="AI419" s="360">
        <v>0.23263660349631826</v>
      </c>
      <c r="AJ419" s="360">
        <v>2.3670542189766155</v>
      </c>
      <c r="AK419" s="360">
        <v>3.6066230215836748</v>
      </c>
      <c r="AL419" s="360">
        <v>0.76046003924925054</v>
      </c>
      <c r="AM419" s="360">
        <v>1.1294901164706115</v>
      </c>
      <c r="AN419" s="360">
        <v>-49.703807701429888</v>
      </c>
      <c r="AO419" s="360">
        <f t="shared" si="15"/>
        <v>1</v>
      </c>
      <c r="AP419" s="360">
        <f t="shared" si="16"/>
        <v>1</v>
      </c>
      <c r="AQ419" s="360">
        <f t="shared" si="17"/>
        <v>1</v>
      </c>
    </row>
    <row r="420" spans="1:43">
      <c r="A420" s="360" t="s">
        <v>1084</v>
      </c>
      <c r="B420" t="s">
        <v>1074</v>
      </c>
      <c r="C420">
        <v>2</v>
      </c>
      <c r="D420" t="s">
        <v>1080</v>
      </c>
      <c r="E420" t="s">
        <v>1079</v>
      </c>
      <c r="F420" s="360">
        <v>6</v>
      </c>
      <c r="G420" s="360" t="str">
        <f>CONCATENATE(A420," ",B420," ",C420," ","inf+"," ",FanUpsizes!D420," ",FanUpsizes!F420)</f>
        <v>1.5ACH Infiltration 2 inf+ Existing 6</v>
      </c>
      <c r="H420" s="360">
        <v>5.1345770380119227E-2</v>
      </c>
      <c r="I420" s="360">
        <v>0.37953528248965002</v>
      </c>
      <c r="J420" s="360">
        <v>1.1574435365536213</v>
      </c>
      <c r="K420" s="360">
        <v>0</v>
      </c>
      <c r="L420" s="360">
        <v>0.37953528248965002</v>
      </c>
      <c r="M420" s="360">
        <v>1.1574435365536213</v>
      </c>
      <c r="N420" s="360">
        <v>1</v>
      </c>
      <c r="O420" s="360">
        <v>0.37953528248965002</v>
      </c>
      <c r="P420" s="360">
        <v>1.1574435365536213</v>
      </c>
      <c r="Q420" s="360">
        <v>0</v>
      </c>
      <c r="R420" s="360">
        <v>0</v>
      </c>
      <c r="S420" s="360">
        <v>0.37953528248965002</v>
      </c>
      <c r="T420" s="360">
        <v>1.1574435365536213</v>
      </c>
      <c r="U420" s="360">
        <v>1</v>
      </c>
      <c r="V420" s="360">
        <v>0.37953528248965002</v>
      </c>
      <c r="W420" s="360">
        <v>1.1574435365536213</v>
      </c>
      <c r="X420" s="360">
        <v>0</v>
      </c>
      <c r="Y420" s="360">
        <v>0.38910364963817901</v>
      </c>
      <c r="Z420" s="360">
        <v>1.1294898351135003</v>
      </c>
      <c r="AA420" s="360">
        <v>0</v>
      </c>
      <c r="AB420" s="360">
        <v>0.38910364963817901</v>
      </c>
      <c r="AC420" s="360">
        <v>1.1294898351135003</v>
      </c>
      <c r="AD420" s="360">
        <v>1</v>
      </c>
      <c r="AE420" s="360">
        <v>0.38910364963817901</v>
      </c>
      <c r="AF420" s="360">
        <v>1.1294898351135003</v>
      </c>
      <c r="AG420" s="360">
        <v>0</v>
      </c>
      <c r="AH420" s="360">
        <v>0</v>
      </c>
      <c r="AI420" s="360">
        <v>0.38910364963817901</v>
      </c>
      <c r="AJ420" s="360">
        <v>1.1294898351135003</v>
      </c>
      <c r="AK420" s="360">
        <v>1</v>
      </c>
      <c r="AL420" s="360">
        <v>0.38910364963817901</v>
      </c>
      <c r="AM420" s="360">
        <v>1.1294898351135003</v>
      </c>
      <c r="AN420" s="360">
        <v>0</v>
      </c>
      <c r="AO420" s="360">
        <f t="shared" si="15"/>
        <v>1</v>
      </c>
      <c r="AP420" s="360">
        <f t="shared" si="16"/>
        <v>0</v>
      </c>
      <c r="AQ420" s="360">
        <f t="shared" si="17"/>
        <v>0</v>
      </c>
    </row>
    <row r="421" spans="1:43">
      <c r="A421" s="360" t="s">
        <v>1084</v>
      </c>
      <c r="B421" t="s">
        <v>1076</v>
      </c>
      <c r="C421">
        <v>2</v>
      </c>
      <c r="D421" t="s">
        <v>1080</v>
      </c>
      <c r="E421" t="s">
        <v>1079</v>
      </c>
      <c r="F421" s="360">
        <v>6</v>
      </c>
      <c r="G421" s="360" t="str">
        <f>CONCATENATE(A421," ",B421," ",C421," ","inf+"," ",FanUpsizes!D421," ",FanUpsizes!F421)</f>
        <v>1.5ACH 5C 2 inf+ Existing 6</v>
      </c>
      <c r="H421" s="360">
        <v>5.1345770380119227E-2</v>
      </c>
      <c r="I421" s="360">
        <v>0.37953528248965002</v>
      </c>
      <c r="J421" s="360">
        <v>1.1574435365536213</v>
      </c>
      <c r="K421" s="360">
        <v>99.182918109041879</v>
      </c>
      <c r="L421" s="360">
        <v>0.37752549143092257</v>
      </c>
      <c r="M421" s="360">
        <v>1.1672270823157791</v>
      </c>
      <c r="N421" s="360">
        <v>1.0085903464906543</v>
      </c>
      <c r="O421" s="360">
        <v>0.38072879484766742</v>
      </c>
      <c r="P421" s="360">
        <v>1.1574445122699457</v>
      </c>
      <c r="Q421" s="360">
        <v>53.198858042658117</v>
      </c>
      <c r="R421" s="360">
        <v>99.182918109041879</v>
      </c>
      <c r="S421" s="360">
        <v>0.37752549143092257</v>
      </c>
      <c r="T421" s="360">
        <v>1.1672270823157791</v>
      </c>
      <c r="U421" s="360">
        <v>1.0085903464906543</v>
      </c>
      <c r="V421" s="360">
        <v>0.38072879484766742</v>
      </c>
      <c r="W421" s="360">
        <v>1.1574445122699457</v>
      </c>
      <c r="X421" s="360">
        <v>53.198858042658117</v>
      </c>
      <c r="Y421" s="360">
        <v>0.38910364963817901</v>
      </c>
      <c r="Z421" s="360">
        <v>1.1294898351135003</v>
      </c>
      <c r="AA421" s="360">
        <v>100.89061752252998</v>
      </c>
      <c r="AB421" s="360">
        <v>0.38705887942324918</v>
      </c>
      <c r="AC421" s="360">
        <v>1.1392436103336685</v>
      </c>
      <c r="AD421" s="360">
        <v>1.0091258863064183</v>
      </c>
      <c r="AE421" s="360">
        <v>0.39040893181419811</v>
      </c>
      <c r="AF421" s="360">
        <v>1.1294955829885953</v>
      </c>
      <c r="AG421" s="360">
        <v>52.627223075040298</v>
      </c>
      <c r="AH421" s="360">
        <v>100.89061752252998</v>
      </c>
      <c r="AI421" s="360">
        <v>0.38705887942324918</v>
      </c>
      <c r="AJ421" s="360">
        <v>1.1392436103336685</v>
      </c>
      <c r="AK421" s="360">
        <v>1.0091258863064183</v>
      </c>
      <c r="AL421" s="360">
        <v>0.39040893181419811</v>
      </c>
      <c r="AM421" s="360">
        <v>1.1294955829885953</v>
      </c>
      <c r="AN421" s="360">
        <v>52.627223075040298</v>
      </c>
      <c r="AO421" s="360">
        <f t="shared" ref="AO421:AO484" si="18">IF(ROUND(P421,3)=ROUND(J421,3),1,0)</f>
        <v>1</v>
      </c>
      <c r="AP421" s="360">
        <f t="shared" ref="AP421:AP484" si="19">IF(O421&gt;L421,1,0)</f>
        <v>1</v>
      </c>
      <c r="AQ421" s="360">
        <f t="shared" ref="AQ421:AQ484" si="20">IF(I421&gt;L421,1,0)</f>
        <v>1</v>
      </c>
    </row>
    <row r="422" spans="1:43">
      <c r="A422" s="360" t="s">
        <v>1085</v>
      </c>
      <c r="B422" t="s">
        <v>1075</v>
      </c>
      <c r="C422">
        <v>1</v>
      </c>
      <c r="D422" t="s">
        <v>1078</v>
      </c>
      <c r="E422" t="s">
        <v>1079</v>
      </c>
      <c r="F422" s="360">
        <v>6</v>
      </c>
      <c r="G422" s="360" t="str">
        <f>CONCATENATE(A422," ",B422," ",C422," ","inf+"," ",FanUpsizes!D422," ",FanUpsizes!F422)</f>
        <v>0.6ACH Percentile 1 inf+ New 6</v>
      </c>
      <c r="H422" s="360">
        <v>4.0788552665903852E-2</v>
      </c>
      <c r="I422" s="360">
        <v>0.30105338718039254</v>
      </c>
      <c r="J422" s="360">
        <v>1.0606876122496527</v>
      </c>
      <c r="K422" s="360">
        <v>2011.8550244728021</v>
      </c>
      <c r="L422" s="360">
        <v>0.24097216716559675</v>
      </c>
      <c r="M422" s="360">
        <v>1.8980978350005293</v>
      </c>
      <c r="N422" s="360">
        <v>2.6805962615968992</v>
      </c>
      <c r="O422" s="360">
        <v>0.63880071387657134</v>
      </c>
      <c r="P422" s="360">
        <v>1.0606876354754893</v>
      </c>
      <c r="Q422" s="360">
        <v>-1737.0101506874923</v>
      </c>
      <c r="R422" s="360">
        <v>3101.7838550545939</v>
      </c>
      <c r="S422" s="360">
        <v>0.16782468514188367</v>
      </c>
      <c r="T422" s="360">
        <v>2.7160195565784564</v>
      </c>
      <c r="U422" s="360">
        <v>4.6657904216376362</v>
      </c>
      <c r="V422" s="360">
        <v>0.76743170051743537</v>
      </c>
      <c r="W422" s="360">
        <v>1.0606881624168794</v>
      </c>
      <c r="X422" s="360">
        <v>-1079.6598017915101</v>
      </c>
      <c r="Y422" s="360">
        <v>0.30216886781587637</v>
      </c>
      <c r="Z422" s="360">
        <v>1.0567833641441819</v>
      </c>
      <c r="AA422" s="360">
        <v>2017.4278899245212</v>
      </c>
      <c r="AB422" s="360">
        <v>0.24192372783552796</v>
      </c>
      <c r="AC422" s="360">
        <v>1.8932594667711018</v>
      </c>
      <c r="AD422" s="360">
        <v>2.7001777847663542</v>
      </c>
      <c r="AE422" s="360">
        <v>0.64378973855711663</v>
      </c>
      <c r="AF422" s="360">
        <v>1.0567835577218354</v>
      </c>
      <c r="AG422" s="360">
        <v>-1770.152749283563</v>
      </c>
      <c r="AH422" s="360">
        <v>3099.7392222796807</v>
      </c>
      <c r="AI422" s="360">
        <v>0.16925698906770403</v>
      </c>
      <c r="AJ422" s="360">
        <v>2.6950503405208526</v>
      </c>
      <c r="AK422" s="360">
        <v>4.7005202455045154</v>
      </c>
      <c r="AL422" s="360">
        <v>0.77342096092391865</v>
      </c>
      <c r="AM422" s="360">
        <v>1.0567833943732474</v>
      </c>
      <c r="AN422" s="360">
        <v>-1109.1687726076334</v>
      </c>
      <c r="AO422" s="360">
        <f t="shared" si="18"/>
        <v>1</v>
      </c>
      <c r="AP422" s="360">
        <f t="shared" si="19"/>
        <v>1</v>
      </c>
      <c r="AQ422" s="360">
        <f t="shared" si="20"/>
        <v>1</v>
      </c>
    </row>
    <row r="423" spans="1:43">
      <c r="A423" s="360" t="s">
        <v>1085</v>
      </c>
      <c r="B423" t="s">
        <v>1074</v>
      </c>
      <c r="C423">
        <v>1</v>
      </c>
      <c r="D423" t="s">
        <v>1078</v>
      </c>
      <c r="E423" t="s">
        <v>1079</v>
      </c>
      <c r="F423" s="360">
        <v>6</v>
      </c>
      <c r="G423" s="360" t="str">
        <f>CONCATENATE(A423," ",B423," ",C423," ","inf+"," ",FanUpsizes!D423," ",FanUpsizes!F423)</f>
        <v>0.6ACH Infiltration 1 inf+ New 6</v>
      </c>
      <c r="H423" s="360">
        <v>4.0788552665903852E-2</v>
      </c>
      <c r="I423" s="360">
        <v>0.30105338718039254</v>
      </c>
      <c r="J423" s="360">
        <v>1.0606876122496527</v>
      </c>
      <c r="K423" s="360">
        <v>0</v>
      </c>
      <c r="L423" s="360">
        <v>0.30105338718039254</v>
      </c>
      <c r="M423" s="360">
        <v>1.0606876122496527</v>
      </c>
      <c r="N423" s="360">
        <v>1</v>
      </c>
      <c r="O423" s="360">
        <v>0.30105338718039254</v>
      </c>
      <c r="P423" s="360">
        <v>1.0606876122496527</v>
      </c>
      <c r="Q423" s="360">
        <v>0</v>
      </c>
      <c r="R423" s="360">
        <v>0</v>
      </c>
      <c r="S423" s="360">
        <v>0.30105338718039254</v>
      </c>
      <c r="T423" s="360">
        <v>1.0606876122496527</v>
      </c>
      <c r="U423" s="360">
        <v>1</v>
      </c>
      <c r="V423" s="360">
        <v>0.30105338718039254</v>
      </c>
      <c r="W423" s="360">
        <v>1.0606876122496527</v>
      </c>
      <c r="X423" s="360">
        <v>0</v>
      </c>
      <c r="Y423" s="360">
        <v>0.30216886781587637</v>
      </c>
      <c r="Z423" s="360">
        <v>1.0567833641441819</v>
      </c>
      <c r="AA423" s="360">
        <v>0</v>
      </c>
      <c r="AB423" s="360">
        <v>0.30216886781587637</v>
      </c>
      <c r="AC423" s="360">
        <v>1.0567833641441819</v>
      </c>
      <c r="AD423" s="360">
        <v>1</v>
      </c>
      <c r="AE423" s="360">
        <v>0.30216886781587637</v>
      </c>
      <c r="AF423" s="360">
        <v>1.0567833641441819</v>
      </c>
      <c r="AG423" s="360">
        <v>0</v>
      </c>
      <c r="AH423" s="360">
        <v>0</v>
      </c>
      <c r="AI423" s="360">
        <v>0.30216886781587637</v>
      </c>
      <c r="AJ423" s="360">
        <v>1.0567833641441819</v>
      </c>
      <c r="AK423" s="360">
        <v>1</v>
      </c>
      <c r="AL423" s="360">
        <v>0.30216886781587637</v>
      </c>
      <c r="AM423" s="360">
        <v>1.0567833641441819</v>
      </c>
      <c r="AN423" s="360">
        <v>0</v>
      </c>
      <c r="AO423" s="360">
        <f t="shared" si="18"/>
        <v>1</v>
      </c>
      <c r="AP423" s="360">
        <f t="shared" si="19"/>
        <v>0</v>
      </c>
      <c r="AQ423" s="360">
        <f t="shared" si="20"/>
        <v>0</v>
      </c>
    </row>
    <row r="424" spans="1:43">
      <c r="A424" s="360" t="s">
        <v>1085</v>
      </c>
      <c r="B424" t="s">
        <v>1076</v>
      </c>
      <c r="C424">
        <v>1</v>
      </c>
      <c r="D424" t="s">
        <v>1078</v>
      </c>
      <c r="E424" t="s">
        <v>1079</v>
      </c>
      <c r="F424" s="360">
        <v>6</v>
      </c>
      <c r="G424" s="360" t="str">
        <f>CONCATENATE(A424," ",B424," ",C424," ","inf+"," ",FanUpsizes!D424," ",FanUpsizes!F424)</f>
        <v>0.6ACH 5C 1 inf+ New 6</v>
      </c>
      <c r="H424" s="360">
        <v>4.0788552665903852E-2</v>
      </c>
      <c r="I424" s="360">
        <v>0.30105338718039254</v>
      </c>
      <c r="J424" s="360">
        <v>1.0606876122496527</v>
      </c>
      <c r="K424" s="360">
        <v>88.566687746963126</v>
      </c>
      <c r="L424" s="360">
        <v>0.2992563878769075</v>
      </c>
      <c r="M424" s="360">
        <v>1.0706389032952206</v>
      </c>
      <c r="N424" s="360">
        <v>1.0094245763438738</v>
      </c>
      <c r="O424" s="360">
        <v>0.30207555051306484</v>
      </c>
      <c r="P424" s="360">
        <v>1.0606900181231695</v>
      </c>
      <c r="Q424" s="360">
        <v>48.140220511017489</v>
      </c>
      <c r="R424" s="360">
        <v>88.566687746963126</v>
      </c>
      <c r="S424" s="360">
        <v>0.2992563878769075</v>
      </c>
      <c r="T424" s="360">
        <v>1.0706389032952206</v>
      </c>
      <c r="U424" s="360">
        <v>1.0094245763438738</v>
      </c>
      <c r="V424" s="360">
        <v>0.30207555051306484</v>
      </c>
      <c r="W424" s="360">
        <v>1.0606900181231695</v>
      </c>
      <c r="X424" s="360">
        <v>48.140220511017489</v>
      </c>
      <c r="Y424" s="360">
        <v>0.30216886781587637</v>
      </c>
      <c r="Z424" s="360">
        <v>1.0567833641441819</v>
      </c>
      <c r="AA424" s="360">
        <v>88.773059188698127</v>
      </c>
      <c r="AB424" s="360">
        <v>0.30036764174595698</v>
      </c>
      <c r="AC424" s="360">
        <v>1.0667261291356971</v>
      </c>
      <c r="AD424" s="360">
        <v>1.0095139087579981</v>
      </c>
      <c r="AE424" s="360">
        <v>0.30320313917872643</v>
      </c>
      <c r="AF424" s="360">
        <v>1.0567927007081992</v>
      </c>
      <c r="AG424" s="360">
        <v>48.087430207436597</v>
      </c>
      <c r="AH424" s="360">
        <v>88.773059188698127</v>
      </c>
      <c r="AI424" s="360">
        <v>0.30036764174595698</v>
      </c>
      <c r="AJ424" s="360">
        <v>1.0667261291356971</v>
      </c>
      <c r="AK424" s="360">
        <v>1.0095139087579981</v>
      </c>
      <c r="AL424" s="360">
        <v>0.30320313917872643</v>
      </c>
      <c r="AM424" s="360">
        <v>1.0567927007081992</v>
      </c>
      <c r="AN424" s="360">
        <v>48.087430207436597</v>
      </c>
      <c r="AO424" s="360">
        <f t="shared" si="18"/>
        <v>1</v>
      </c>
      <c r="AP424" s="360">
        <f t="shared" si="19"/>
        <v>1</v>
      </c>
      <c r="AQ424" s="360">
        <f t="shared" si="20"/>
        <v>1</v>
      </c>
    </row>
    <row r="425" spans="1:43">
      <c r="A425" s="360" t="s">
        <v>1085</v>
      </c>
      <c r="B425" t="s">
        <v>1075</v>
      </c>
      <c r="C425">
        <v>2</v>
      </c>
      <c r="D425" t="s">
        <v>1078</v>
      </c>
      <c r="E425" t="s">
        <v>1079</v>
      </c>
      <c r="F425" s="360">
        <v>6</v>
      </c>
      <c r="G425" s="360" t="str">
        <f>CONCATENATE(A425," ",B425," ",C425," ","inf+"," ",FanUpsizes!D425," ",FanUpsizes!F425)</f>
        <v>0.6ACH Percentile 2 inf+ New 6</v>
      </c>
      <c r="H425" s="360">
        <v>3.9997308152047689E-2</v>
      </c>
      <c r="I425" s="360">
        <v>0.2952133456634875</v>
      </c>
      <c r="J425" s="360">
        <v>1.0816613104312192</v>
      </c>
      <c r="K425" s="360">
        <v>1924.0030909050602</v>
      </c>
      <c r="L425" s="360">
        <v>0.23776686123922708</v>
      </c>
      <c r="M425" s="360">
        <v>1.8405548574008033</v>
      </c>
      <c r="N425" s="360">
        <v>2.3914388753221756</v>
      </c>
      <c r="O425" s="360">
        <v>0.56075691731410326</v>
      </c>
      <c r="P425" s="360">
        <v>1.0816616407187445</v>
      </c>
      <c r="Q425" s="360">
        <v>-1119.6351375552931</v>
      </c>
      <c r="R425" s="360">
        <v>2990.6091309098838</v>
      </c>
      <c r="S425" s="360">
        <v>0.16613344538688757</v>
      </c>
      <c r="T425" s="360">
        <v>2.6160150937998528</v>
      </c>
      <c r="U425" s="360">
        <v>4.1254492608471498</v>
      </c>
      <c r="V425" s="360">
        <v>0.66734527238653096</v>
      </c>
      <c r="W425" s="360">
        <v>1.0816619495208697</v>
      </c>
      <c r="X425" s="360">
        <v>-503.13865378131311</v>
      </c>
      <c r="Y425" s="360">
        <v>0.29733884409967204</v>
      </c>
      <c r="Z425" s="360">
        <v>1.0739728403368987</v>
      </c>
      <c r="AA425" s="360">
        <v>1934.1572640665288</v>
      </c>
      <c r="AB425" s="360">
        <v>0.23959350224044615</v>
      </c>
      <c r="AC425" s="360">
        <v>1.831362684467128</v>
      </c>
      <c r="AD425" s="360">
        <v>2.4221577165520749</v>
      </c>
      <c r="AE425" s="360">
        <v>0.56864703967751307</v>
      </c>
      <c r="AF425" s="360">
        <v>1.0739728853909134</v>
      </c>
      <c r="AG425" s="360">
        <v>-1167.9001908965602</v>
      </c>
      <c r="AH425" s="360">
        <v>2988.7323807729349</v>
      </c>
      <c r="AI425" s="360">
        <v>0.16876283406423048</v>
      </c>
      <c r="AJ425" s="360">
        <v>2.5803226922714133</v>
      </c>
      <c r="AK425" s="360">
        <v>4.179737562060164</v>
      </c>
      <c r="AL425" s="360">
        <v>0.67671887657915475</v>
      </c>
      <c r="AM425" s="360">
        <v>1.0739729379355596</v>
      </c>
      <c r="AN425" s="360">
        <v>-545.9099968191565</v>
      </c>
      <c r="AO425" s="360">
        <f t="shared" si="18"/>
        <v>1</v>
      </c>
      <c r="AP425" s="360">
        <f t="shared" si="19"/>
        <v>1</v>
      </c>
      <c r="AQ425" s="360">
        <f t="shared" si="20"/>
        <v>1</v>
      </c>
    </row>
    <row r="426" spans="1:43">
      <c r="A426" s="360" t="s">
        <v>1085</v>
      </c>
      <c r="B426" t="s">
        <v>1074</v>
      </c>
      <c r="C426">
        <v>2</v>
      </c>
      <c r="D426" t="s">
        <v>1078</v>
      </c>
      <c r="E426" t="s">
        <v>1079</v>
      </c>
      <c r="F426" s="360">
        <v>6</v>
      </c>
      <c r="G426" s="360" t="str">
        <f>CONCATENATE(A426," ",B426," ",C426," ","inf+"," ",FanUpsizes!D426," ",FanUpsizes!F426)</f>
        <v>0.6ACH Infiltration 2 inf+ New 6</v>
      </c>
      <c r="H426" s="360">
        <v>3.9997308152047689E-2</v>
      </c>
      <c r="I426" s="360">
        <v>0.2952133456634875</v>
      </c>
      <c r="J426" s="360">
        <v>1.0816613104312192</v>
      </c>
      <c r="K426" s="360">
        <v>0</v>
      </c>
      <c r="L426" s="360">
        <v>0.2952133456634875</v>
      </c>
      <c r="M426" s="360">
        <v>1.0816613104312192</v>
      </c>
      <c r="N426" s="360">
        <v>1</v>
      </c>
      <c r="O426" s="360">
        <v>0.2952133456634875</v>
      </c>
      <c r="P426" s="360">
        <v>1.0816613104312192</v>
      </c>
      <c r="Q426" s="360">
        <v>0</v>
      </c>
      <c r="R426" s="360">
        <v>0</v>
      </c>
      <c r="S426" s="360">
        <v>0.2952133456634875</v>
      </c>
      <c r="T426" s="360">
        <v>1.0816613104312192</v>
      </c>
      <c r="U426" s="360">
        <v>1</v>
      </c>
      <c r="V426" s="360">
        <v>0.2952133456634875</v>
      </c>
      <c r="W426" s="360">
        <v>1.0816613104312192</v>
      </c>
      <c r="X426" s="360">
        <v>0</v>
      </c>
      <c r="Y426" s="360">
        <v>0.29733884409967204</v>
      </c>
      <c r="Z426" s="360">
        <v>1.0739728403368987</v>
      </c>
      <c r="AA426" s="360">
        <v>0</v>
      </c>
      <c r="AB426" s="360">
        <v>0.29733884409967204</v>
      </c>
      <c r="AC426" s="360">
        <v>1.0739728403368987</v>
      </c>
      <c r="AD426" s="360">
        <v>1</v>
      </c>
      <c r="AE426" s="360">
        <v>0.29733884409967204</v>
      </c>
      <c r="AF426" s="360">
        <v>1.0739728403368987</v>
      </c>
      <c r="AG426" s="360">
        <v>0</v>
      </c>
      <c r="AH426" s="360">
        <v>0</v>
      </c>
      <c r="AI426" s="360">
        <v>0.29733884409967204</v>
      </c>
      <c r="AJ426" s="360">
        <v>1.0739728403368987</v>
      </c>
      <c r="AK426" s="360">
        <v>1</v>
      </c>
      <c r="AL426" s="360">
        <v>0.29733884409967204</v>
      </c>
      <c r="AM426" s="360">
        <v>1.0739728403368987</v>
      </c>
      <c r="AN426" s="360">
        <v>0</v>
      </c>
      <c r="AO426" s="360">
        <f t="shared" si="18"/>
        <v>1</v>
      </c>
      <c r="AP426" s="360">
        <f t="shared" si="19"/>
        <v>0</v>
      </c>
      <c r="AQ426" s="360">
        <f t="shared" si="20"/>
        <v>0</v>
      </c>
    </row>
    <row r="427" spans="1:43">
      <c r="A427" s="360" t="s">
        <v>1085</v>
      </c>
      <c r="B427" t="s">
        <v>1076</v>
      </c>
      <c r="C427">
        <v>2</v>
      </c>
      <c r="D427" t="s">
        <v>1078</v>
      </c>
      <c r="E427" t="s">
        <v>1079</v>
      </c>
      <c r="F427" s="360">
        <v>6</v>
      </c>
      <c r="G427" s="360" t="str">
        <f>CONCATENATE(A427," ",B427," ",C427," ","inf+"," ",FanUpsizes!D427," ",FanUpsizes!F427)</f>
        <v>0.6ACH 5C 2 inf+ New 6</v>
      </c>
      <c r="H427" s="360">
        <v>3.9997308152047689E-2</v>
      </c>
      <c r="I427" s="360">
        <v>0.2952133456634875</v>
      </c>
      <c r="J427" s="360">
        <v>1.0816613104312192</v>
      </c>
      <c r="K427" s="360">
        <v>84.893757398933957</v>
      </c>
      <c r="L427" s="360">
        <v>0.29349128764769872</v>
      </c>
      <c r="M427" s="360">
        <v>1.0913940540409444</v>
      </c>
      <c r="N427" s="360">
        <v>1.009041240491219</v>
      </c>
      <c r="O427" s="360">
        <v>0.29614331979522102</v>
      </c>
      <c r="P427" s="360">
        <v>1.0816613190530497</v>
      </c>
      <c r="Q427" s="360">
        <v>46.863922104706383</v>
      </c>
      <c r="R427" s="360">
        <v>84.893757398933957</v>
      </c>
      <c r="S427" s="360">
        <v>0.29349128764769872</v>
      </c>
      <c r="T427" s="360">
        <v>1.0913940540409444</v>
      </c>
      <c r="U427" s="360">
        <v>1.009041240491219</v>
      </c>
      <c r="V427" s="360">
        <v>0.29614331979522102</v>
      </c>
      <c r="W427" s="360">
        <v>1.0816613190530497</v>
      </c>
      <c r="X427" s="360">
        <v>46.863922104706383</v>
      </c>
      <c r="Y427" s="360">
        <v>0.29733884409967204</v>
      </c>
      <c r="Z427" s="360">
        <v>1.0739728403368987</v>
      </c>
      <c r="AA427" s="360">
        <v>85.246385429937675</v>
      </c>
      <c r="AB427" s="360">
        <v>0.29560956320195914</v>
      </c>
      <c r="AC427" s="360">
        <v>1.0836907601596659</v>
      </c>
      <c r="AD427" s="360">
        <v>1.0092202745261718</v>
      </c>
      <c r="AE427" s="360">
        <v>0.2982950691452842</v>
      </c>
      <c r="AF427" s="360">
        <v>1.073973621270889</v>
      </c>
      <c r="AG427" s="360">
        <v>46.6866341767767</v>
      </c>
      <c r="AH427" s="360">
        <v>85.246385429937675</v>
      </c>
      <c r="AI427" s="360">
        <v>0.29560956320195914</v>
      </c>
      <c r="AJ427" s="360">
        <v>1.0836907601596659</v>
      </c>
      <c r="AK427" s="360">
        <v>1.0092202745261718</v>
      </c>
      <c r="AL427" s="360">
        <v>0.2982950691452842</v>
      </c>
      <c r="AM427" s="360">
        <v>1.073973621270889</v>
      </c>
      <c r="AN427" s="360">
        <v>46.6866341767767</v>
      </c>
      <c r="AO427" s="360">
        <f t="shared" si="18"/>
        <v>1</v>
      </c>
      <c r="AP427" s="360">
        <f t="shared" si="19"/>
        <v>1</v>
      </c>
      <c r="AQ427" s="360">
        <f t="shared" si="20"/>
        <v>1</v>
      </c>
    </row>
    <row r="428" spans="1:43">
      <c r="A428" s="360" t="s">
        <v>1085</v>
      </c>
      <c r="B428" t="s">
        <v>1075</v>
      </c>
      <c r="C428">
        <v>1</v>
      </c>
      <c r="D428" t="s">
        <v>1080</v>
      </c>
      <c r="E428" t="s">
        <v>1079</v>
      </c>
      <c r="F428" s="360">
        <v>6</v>
      </c>
      <c r="G428" s="360" t="str">
        <f>CONCATENATE(A428," ",B428," ",C428," ","inf+"," ",FanUpsizes!D428," ",FanUpsizes!F428)</f>
        <v>0.6ACH Percentile 1 inf+ Existing 6</v>
      </c>
      <c r="H428" s="360">
        <v>5.7038552665903852E-2</v>
      </c>
      <c r="I428" s="360">
        <v>0.42099188026086792</v>
      </c>
      <c r="J428" s="360">
        <v>1.0434026543777433</v>
      </c>
      <c r="K428" s="360">
        <v>2869.8351268826491</v>
      </c>
      <c r="L428" s="360">
        <v>0.33527996857406434</v>
      </c>
      <c r="M428" s="360">
        <v>2.0912983279306783</v>
      </c>
      <c r="N428" s="360">
        <v>4.799358966115383</v>
      </c>
      <c r="O428" s="360">
        <v>1.5929684395471748</v>
      </c>
      <c r="P428" s="360">
        <v>1.0434026842192903</v>
      </c>
      <c r="Q428" s="360">
        <v>-8981.7641336858305</v>
      </c>
      <c r="R428" s="360">
        <v>4394.0758030884544</v>
      </c>
      <c r="S428" s="360">
        <v>0.23298759218876378</v>
      </c>
      <c r="T428" s="360">
        <v>2.9521139845400275</v>
      </c>
      <c r="U428" s="360">
        <v>7.012800663841344</v>
      </c>
      <c r="V428" s="360">
        <v>1.6083202353040984</v>
      </c>
      <c r="W428" s="360">
        <v>1.0982375060709271</v>
      </c>
      <c r="X428" s="360">
        <v>-5197.1075898005029</v>
      </c>
      <c r="Y428" s="360">
        <v>0.42179118847554747</v>
      </c>
      <c r="Z428" s="360">
        <v>1.0414288047982525</v>
      </c>
      <c r="AA428" s="360">
        <v>2873.8278370356584</v>
      </c>
      <c r="AB428" s="360">
        <v>0.33596185470065493</v>
      </c>
      <c r="AC428" s="360">
        <v>2.0888393725590193</v>
      </c>
      <c r="AD428" s="360">
        <v>4.8343186031370209</v>
      </c>
      <c r="AE428" s="360">
        <v>1.6046823548998035</v>
      </c>
      <c r="AF428" s="360">
        <v>1.0414288220938985</v>
      </c>
      <c r="AG428" s="360">
        <v>-9082.3346911843219</v>
      </c>
      <c r="AH428" s="360">
        <v>4392.4991590551481</v>
      </c>
      <c r="AI428" s="360">
        <v>0.23401911335891107</v>
      </c>
      <c r="AJ428" s="360">
        <v>2.9407435586173376</v>
      </c>
      <c r="AK428" s="360">
        <v>7.012800663841344</v>
      </c>
      <c r="AL428" s="360">
        <v>1.6084681859413468</v>
      </c>
      <c r="AM428" s="360">
        <v>1.0981989000007808</v>
      </c>
      <c r="AN428" s="360">
        <v>-5189.0676776430537</v>
      </c>
      <c r="AO428" s="360">
        <f t="shared" si="18"/>
        <v>1</v>
      </c>
      <c r="AP428" s="360">
        <f t="shared" si="19"/>
        <v>1</v>
      </c>
      <c r="AQ428" s="360">
        <f t="shared" si="20"/>
        <v>1</v>
      </c>
    </row>
    <row r="429" spans="1:43">
      <c r="A429" s="360" t="s">
        <v>1085</v>
      </c>
      <c r="B429" t="s">
        <v>1074</v>
      </c>
      <c r="C429">
        <v>1</v>
      </c>
      <c r="D429" t="s">
        <v>1080</v>
      </c>
      <c r="E429" t="s">
        <v>1079</v>
      </c>
      <c r="F429" s="360">
        <v>6</v>
      </c>
      <c r="G429" s="360" t="str">
        <f>CONCATENATE(A429," ",B429," ",C429," ","inf+"," ",FanUpsizes!D429," ",FanUpsizes!F429)</f>
        <v>0.6ACH Infiltration 1 inf+ Existing 6</v>
      </c>
      <c r="H429" s="360">
        <v>5.7038552665903852E-2</v>
      </c>
      <c r="I429" s="360">
        <v>0.42099188026086792</v>
      </c>
      <c r="J429" s="360">
        <v>1.0434026543777433</v>
      </c>
      <c r="K429" s="360">
        <v>0</v>
      </c>
      <c r="L429" s="360">
        <v>0.42099188026086792</v>
      </c>
      <c r="M429" s="360">
        <v>1.0434026543777433</v>
      </c>
      <c r="N429" s="360">
        <v>1</v>
      </c>
      <c r="O429" s="360">
        <v>0.42099188026086792</v>
      </c>
      <c r="P429" s="360">
        <v>1.0434026543777433</v>
      </c>
      <c r="Q429" s="360">
        <v>0</v>
      </c>
      <c r="R429" s="360">
        <v>0</v>
      </c>
      <c r="S429" s="360">
        <v>0.42099188026086792</v>
      </c>
      <c r="T429" s="360">
        <v>1.0434026543777433</v>
      </c>
      <c r="U429" s="360">
        <v>1</v>
      </c>
      <c r="V429" s="360">
        <v>0.42099188026086792</v>
      </c>
      <c r="W429" s="360">
        <v>1.0434026543777433</v>
      </c>
      <c r="X429" s="360">
        <v>0</v>
      </c>
      <c r="Y429" s="360">
        <v>0.42179118847554747</v>
      </c>
      <c r="Z429" s="360">
        <v>1.0414288047982525</v>
      </c>
      <c r="AA429" s="360">
        <v>0</v>
      </c>
      <c r="AB429" s="360">
        <v>0.42179118847554747</v>
      </c>
      <c r="AC429" s="360">
        <v>1.0414288047982525</v>
      </c>
      <c r="AD429" s="360">
        <v>1</v>
      </c>
      <c r="AE429" s="360">
        <v>0.42179118847554747</v>
      </c>
      <c r="AF429" s="360">
        <v>1.0414288047982525</v>
      </c>
      <c r="AG429" s="360">
        <v>0</v>
      </c>
      <c r="AH429" s="360">
        <v>0</v>
      </c>
      <c r="AI429" s="360">
        <v>0.42179118847554747</v>
      </c>
      <c r="AJ429" s="360">
        <v>1.0414288047982525</v>
      </c>
      <c r="AK429" s="360">
        <v>1</v>
      </c>
      <c r="AL429" s="360">
        <v>0.42179118847554747</v>
      </c>
      <c r="AM429" s="360">
        <v>1.0414288047982525</v>
      </c>
      <c r="AN429" s="360">
        <v>0</v>
      </c>
      <c r="AO429" s="360">
        <f t="shared" si="18"/>
        <v>1</v>
      </c>
      <c r="AP429" s="360">
        <f t="shared" si="19"/>
        <v>0</v>
      </c>
      <c r="AQ429" s="360">
        <f t="shared" si="20"/>
        <v>0</v>
      </c>
    </row>
    <row r="430" spans="1:43">
      <c r="A430" s="360" t="s">
        <v>1085</v>
      </c>
      <c r="B430" t="s">
        <v>1076</v>
      </c>
      <c r="C430">
        <v>1</v>
      </c>
      <c r="D430" t="s">
        <v>1080</v>
      </c>
      <c r="E430" t="s">
        <v>1079</v>
      </c>
      <c r="F430" s="360">
        <v>6</v>
      </c>
      <c r="G430" s="360" t="str">
        <f>CONCATENATE(A430," ",B430," ",C430," ","inf+"," ",FanUpsizes!D430," ",FanUpsizes!F430)</f>
        <v>0.6ACH 5C 1 inf+ Existing 6</v>
      </c>
      <c r="H430" s="360">
        <v>5.7038552665903852E-2</v>
      </c>
      <c r="I430" s="360">
        <v>0.42099188026086792</v>
      </c>
      <c r="J430" s="360">
        <v>1.0434026543777433</v>
      </c>
      <c r="K430" s="360">
        <v>126.32991247710761</v>
      </c>
      <c r="L430" s="360">
        <v>0.41842815086463048</v>
      </c>
      <c r="M430" s="360">
        <v>1.0549144278528635</v>
      </c>
      <c r="N430" s="360">
        <v>1.0110997945956168</v>
      </c>
      <c r="O430" s="360">
        <v>0.42307120169225443</v>
      </c>
      <c r="P430" s="360">
        <v>1.0434029008306953</v>
      </c>
      <c r="Q430" s="360">
        <v>59.749098815793452</v>
      </c>
      <c r="R430" s="360">
        <v>126.32991247710761</v>
      </c>
      <c r="S430" s="360">
        <v>0.41842815086463048</v>
      </c>
      <c r="T430" s="360">
        <v>1.0549144278528635</v>
      </c>
      <c r="U430" s="360">
        <v>1.0110997945956168</v>
      </c>
      <c r="V430" s="360">
        <v>0.42307120169225443</v>
      </c>
      <c r="W430" s="360">
        <v>1.0434029008306953</v>
      </c>
      <c r="X430" s="360">
        <v>59.749098815793452</v>
      </c>
      <c r="Y430" s="360">
        <v>0.42179118847554747</v>
      </c>
      <c r="Z430" s="360">
        <v>1.0414288047982525</v>
      </c>
      <c r="AA430" s="360">
        <v>126.47756937132739</v>
      </c>
      <c r="AB430" s="360">
        <v>0.41922443486942973</v>
      </c>
      <c r="AC430" s="360">
        <v>1.0529362853856301</v>
      </c>
      <c r="AD430" s="360">
        <v>1.0111580249465926</v>
      </c>
      <c r="AE430" s="360">
        <v>0.42388309365975319</v>
      </c>
      <c r="AF430" s="360">
        <v>1.0414295670701785</v>
      </c>
      <c r="AG430" s="360">
        <v>59.651940760290209</v>
      </c>
      <c r="AH430" s="360">
        <v>126.47756937132739</v>
      </c>
      <c r="AI430" s="360">
        <v>0.41922443486942973</v>
      </c>
      <c r="AJ430" s="360">
        <v>1.0529362853856301</v>
      </c>
      <c r="AK430" s="360">
        <v>1.0111580249465926</v>
      </c>
      <c r="AL430" s="360">
        <v>0.42388309365975319</v>
      </c>
      <c r="AM430" s="360">
        <v>1.0414295670701785</v>
      </c>
      <c r="AN430" s="360">
        <v>59.651940760290209</v>
      </c>
      <c r="AO430" s="360">
        <f t="shared" si="18"/>
        <v>1</v>
      </c>
      <c r="AP430" s="360">
        <f t="shared" si="19"/>
        <v>1</v>
      </c>
      <c r="AQ430" s="360">
        <f t="shared" si="20"/>
        <v>1</v>
      </c>
    </row>
    <row r="431" spans="1:43">
      <c r="A431" s="360" t="s">
        <v>1085</v>
      </c>
      <c r="B431" t="s">
        <v>1075</v>
      </c>
      <c r="C431">
        <v>2</v>
      </c>
      <c r="D431" t="s">
        <v>1080</v>
      </c>
      <c r="E431" t="s">
        <v>1079</v>
      </c>
      <c r="F431" s="360">
        <v>6</v>
      </c>
      <c r="G431" s="360" t="str">
        <f>CONCATENATE(A431," ",B431," ",C431," ","inf+"," ",FanUpsizes!D431," ",FanUpsizes!F431)</f>
        <v>0.6ACH Percentile 2 inf+ Existing 6</v>
      </c>
      <c r="H431" s="360">
        <v>5.624730815204769E-2</v>
      </c>
      <c r="I431" s="360">
        <v>0.41515183874392109</v>
      </c>
      <c r="J431" s="360">
        <v>1.0580755604180527</v>
      </c>
      <c r="K431" s="360">
        <v>2781.9831933147784</v>
      </c>
      <c r="L431" s="360">
        <v>0.33207466264765506</v>
      </c>
      <c r="M431" s="360">
        <v>2.0175739282573542</v>
      </c>
      <c r="N431" s="360">
        <v>3.8863873836540175</v>
      </c>
      <c r="O431" s="360">
        <v>1.2742909681545007</v>
      </c>
      <c r="P431" s="360">
        <v>1.0580756367933448</v>
      </c>
      <c r="Q431" s="360">
        <v>-6096.8213177880743</v>
      </c>
      <c r="R431" s="360">
        <v>4284.9867033662922</v>
      </c>
      <c r="S431" s="360">
        <v>0.2312046773339636</v>
      </c>
      <c r="T431" s="360">
        <v>2.8355488331908112</v>
      </c>
      <c r="U431" s="360">
        <v>6.7867180625144217</v>
      </c>
      <c r="V431" s="360">
        <v>1.5364597486174247</v>
      </c>
      <c r="W431" s="360">
        <v>1.058075581930062</v>
      </c>
      <c r="X431" s="360">
        <v>-4817.4262261026488</v>
      </c>
      <c r="Y431" s="360">
        <v>0.41666942729592171</v>
      </c>
      <c r="Z431" s="360">
        <v>1.0542348030939355</v>
      </c>
      <c r="AA431" s="360">
        <v>2789.2312765434044</v>
      </c>
      <c r="AB431" s="360">
        <v>0.33337899711457203</v>
      </c>
      <c r="AC431" s="360">
        <v>2.0129497345445744</v>
      </c>
      <c r="AD431" s="360">
        <v>3.9309847434443435</v>
      </c>
      <c r="AE431" s="360">
        <v>1.2891822435379996</v>
      </c>
      <c r="AF431" s="360">
        <v>1.0542348643128301</v>
      </c>
      <c r="AG431" s="360">
        <v>-6218.7729713330036</v>
      </c>
      <c r="AH431" s="360">
        <v>4281.9060308591643</v>
      </c>
      <c r="AI431" s="360">
        <v>0.23316070806651981</v>
      </c>
      <c r="AJ431" s="360">
        <v>2.8151269641959216</v>
      </c>
      <c r="AK431" s="360">
        <v>6.8648102506063173</v>
      </c>
      <c r="AL431" s="360">
        <v>1.5543629700763548</v>
      </c>
      <c r="AM431" s="360">
        <v>1.0542348212958732</v>
      </c>
      <c r="AN431" s="360">
        <v>-4925.4231298723735</v>
      </c>
      <c r="AO431" s="360">
        <f t="shared" si="18"/>
        <v>1</v>
      </c>
      <c r="AP431" s="360">
        <f t="shared" si="19"/>
        <v>1</v>
      </c>
      <c r="AQ431" s="360">
        <f t="shared" si="20"/>
        <v>1</v>
      </c>
    </row>
    <row r="432" spans="1:43">
      <c r="A432" s="360" t="s">
        <v>1085</v>
      </c>
      <c r="B432" t="s">
        <v>1074</v>
      </c>
      <c r="C432">
        <v>2</v>
      </c>
      <c r="D432" t="s">
        <v>1080</v>
      </c>
      <c r="E432" t="s">
        <v>1079</v>
      </c>
      <c r="F432" s="360">
        <v>6</v>
      </c>
      <c r="G432" s="360" t="str">
        <f>CONCATENATE(A432," ",B432," ",C432," ","inf+"," ",FanUpsizes!D432," ",FanUpsizes!F432)</f>
        <v>0.6ACH Infiltration 2 inf+ Existing 6</v>
      </c>
      <c r="H432" s="360">
        <v>5.624730815204769E-2</v>
      </c>
      <c r="I432" s="360">
        <v>0.41515183874392109</v>
      </c>
      <c r="J432" s="360">
        <v>1.0580755604180527</v>
      </c>
      <c r="K432" s="360">
        <v>0</v>
      </c>
      <c r="L432" s="360">
        <v>0.41515183874392109</v>
      </c>
      <c r="M432" s="360">
        <v>1.0580755604180527</v>
      </c>
      <c r="N432" s="360">
        <v>1</v>
      </c>
      <c r="O432" s="360">
        <v>0.41515183874392109</v>
      </c>
      <c r="P432" s="360">
        <v>1.0580755604180527</v>
      </c>
      <c r="Q432" s="360">
        <v>0</v>
      </c>
      <c r="R432" s="360">
        <v>0</v>
      </c>
      <c r="S432" s="360">
        <v>0.41515183874392109</v>
      </c>
      <c r="T432" s="360">
        <v>1.0580755604180527</v>
      </c>
      <c r="U432" s="360">
        <v>1</v>
      </c>
      <c r="V432" s="360">
        <v>0.41515183874392109</v>
      </c>
      <c r="W432" s="360">
        <v>1.0580755604180527</v>
      </c>
      <c r="X432" s="360">
        <v>0</v>
      </c>
      <c r="Y432" s="360">
        <v>0.41666942729592171</v>
      </c>
      <c r="Z432" s="360">
        <v>1.0542348030939355</v>
      </c>
      <c r="AA432" s="360">
        <v>0</v>
      </c>
      <c r="AB432" s="360">
        <v>0.41666942729592171</v>
      </c>
      <c r="AC432" s="360">
        <v>1.0542348030939355</v>
      </c>
      <c r="AD432" s="360">
        <v>1</v>
      </c>
      <c r="AE432" s="360">
        <v>0.41666942729592171</v>
      </c>
      <c r="AF432" s="360">
        <v>1.0542348030939355</v>
      </c>
      <c r="AG432" s="360">
        <v>0</v>
      </c>
      <c r="AH432" s="360">
        <v>0</v>
      </c>
      <c r="AI432" s="360">
        <v>0.41666942729592171</v>
      </c>
      <c r="AJ432" s="360">
        <v>1.0542348030939355</v>
      </c>
      <c r="AK432" s="360">
        <v>1</v>
      </c>
      <c r="AL432" s="360">
        <v>0.41666942729592171</v>
      </c>
      <c r="AM432" s="360">
        <v>1.0542348030939355</v>
      </c>
      <c r="AN432" s="360">
        <v>0</v>
      </c>
      <c r="AO432" s="360">
        <f t="shared" si="18"/>
        <v>1</v>
      </c>
      <c r="AP432" s="360">
        <f t="shared" si="19"/>
        <v>0</v>
      </c>
      <c r="AQ432" s="360">
        <f t="shared" si="20"/>
        <v>0</v>
      </c>
    </row>
    <row r="433" spans="1:43">
      <c r="A433" s="360" t="s">
        <v>1085</v>
      </c>
      <c r="B433" t="s">
        <v>1076</v>
      </c>
      <c r="C433">
        <v>2</v>
      </c>
      <c r="D433" t="s">
        <v>1080</v>
      </c>
      <c r="E433" t="s">
        <v>1079</v>
      </c>
      <c r="F433" s="360">
        <v>6</v>
      </c>
      <c r="G433" s="360" t="str">
        <f>CONCATENATE(A433," ",B433," ",C433," ","inf+"," ",FanUpsizes!D433," ",FanUpsizes!F433)</f>
        <v>0.6ACH 5C 2 inf+ Existing 6</v>
      </c>
      <c r="H433" s="360">
        <v>5.624730815204769E-2</v>
      </c>
      <c r="I433" s="360">
        <v>0.41515183874392109</v>
      </c>
      <c r="J433" s="360">
        <v>1.0580755604180527</v>
      </c>
      <c r="K433" s="360">
        <v>122.65698212907792</v>
      </c>
      <c r="L433" s="360">
        <v>0.41266305063537995</v>
      </c>
      <c r="M433" s="360">
        <v>1.0693686800015172</v>
      </c>
      <c r="N433" s="360">
        <v>1.0107374301351992</v>
      </c>
      <c r="O433" s="360">
        <v>0.41709221801819601</v>
      </c>
      <c r="P433" s="360">
        <v>1.0580759723764848</v>
      </c>
      <c r="Q433" s="360">
        <v>59.143232414022165</v>
      </c>
      <c r="R433" s="360">
        <v>122.65698212907792</v>
      </c>
      <c r="S433" s="360">
        <v>0.41266305063537995</v>
      </c>
      <c r="T433" s="360">
        <v>1.0693686800015172</v>
      </c>
      <c r="U433" s="360">
        <v>1.0107374301351992</v>
      </c>
      <c r="V433" s="360">
        <v>0.41709221801819601</v>
      </c>
      <c r="W433" s="360">
        <v>1.0580759723764848</v>
      </c>
      <c r="X433" s="360">
        <v>59.143232414022165</v>
      </c>
      <c r="Y433" s="360">
        <v>0.41666942729592171</v>
      </c>
      <c r="Z433" s="360">
        <v>1.0542348030939355</v>
      </c>
      <c r="AA433" s="360">
        <v>122.90797358384503</v>
      </c>
      <c r="AB433" s="360">
        <v>0.41417549813702337</v>
      </c>
      <c r="AC433" s="360">
        <v>1.0655206106567243</v>
      </c>
      <c r="AD433" s="360">
        <v>1.0108463374301515</v>
      </c>
      <c r="AE433" s="360">
        <v>0.41863349571133357</v>
      </c>
      <c r="AF433" s="360">
        <v>1.0542362926082631</v>
      </c>
      <c r="AG433" s="360">
        <v>58.938602789789527</v>
      </c>
      <c r="AH433" s="360">
        <v>122.90797358384503</v>
      </c>
      <c r="AI433" s="360">
        <v>0.41417549813702337</v>
      </c>
      <c r="AJ433" s="360">
        <v>1.0655206106567243</v>
      </c>
      <c r="AK433" s="360">
        <v>1.0108463374301515</v>
      </c>
      <c r="AL433" s="360">
        <v>0.41863349571133357</v>
      </c>
      <c r="AM433" s="360">
        <v>1.0542362926082631</v>
      </c>
      <c r="AN433" s="360">
        <v>58.938602789789527</v>
      </c>
      <c r="AO433" s="360">
        <f t="shared" si="18"/>
        <v>1</v>
      </c>
      <c r="AP433" s="360">
        <f t="shared" si="19"/>
        <v>1</v>
      </c>
      <c r="AQ433" s="360">
        <f t="shared" si="20"/>
        <v>1</v>
      </c>
    </row>
    <row r="434" spans="1:43">
      <c r="A434" s="360" t="s">
        <v>1077</v>
      </c>
      <c r="B434" t="s">
        <v>1075</v>
      </c>
      <c r="C434">
        <v>1</v>
      </c>
      <c r="D434" t="s">
        <v>1078</v>
      </c>
      <c r="E434" t="s">
        <v>1079</v>
      </c>
      <c r="F434">
        <v>7</v>
      </c>
      <c r="G434" s="360" t="str">
        <f>CONCATENATE(A434," ",B434," ",C434," ","inf+"," ",FanUpsizes!D434," ",FanUpsizes!F434)</f>
        <v>10ACH Percentile 1 inf+ New 7</v>
      </c>
      <c r="H434" s="360">
        <v>1.4421666666666666E-2</v>
      </c>
      <c r="I434" s="360">
        <v>0.4000984031408904</v>
      </c>
      <c r="J434" s="360">
        <v>0.91401260774026405</v>
      </c>
      <c r="K434" s="360">
        <v>852.08140685983528</v>
      </c>
      <c r="L434" s="360">
        <v>0.38738832401041318</v>
      </c>
      <c r="M434" s="360">
        <v>0.93201478050502895</v>
      </c>
      <c r="N434" s="360">
        <v>1.1311861732927626</v>
      </c>
      <c r="O434" s="360">
        <v>0.39274663631717388</v>
      </c>
      <c r="P434" s="360">
        <v>0.91401308570376105</v>
      </c>
      <c r="Q434" s="360">
        <v>772.85030947808377</v>
      </c>
      <c r="R434" s="360">
        <v>1121.2968315700937</v>
      </c>
      <c r="S434" s="360">
        <v>0.37549770023912221</v>
      </c>
      <c r="T434" s="360">
        <v>0.96930433502888835</v>
      </c>
      <c r="U434" s="360">
        <v>1.525370966556695</v>
      </c>
      <c r="V434" s="360">
        <v>0.39076480337612429</v>
      </c>
      <c r="W434" s="360">
        <v>0.91401305636305075</v>
      </c>
      <c r="X434" s="360">
        <v>945.4321663568478</v>
      </c>
      <c r="Y434" s="360">
        <v>0.36654846186131712</v>
      </c>
      <c r="Z434" s="360">
        <v>1.0002569323730046</v>
      </c>
      <c r="AA434" s="360">
        <v>204.21776983113702</v>
      </c>
      <c r="AB434" s="360">
        <v>0.36359995063854522</v>
      </c>
      <c r="AC434" s="360">
        <v>1.0051843593546976</v>
      </c>
      <c r="AD434" s="360">
        <v>1.0320560694965626</v>
      </c>
      <c r="AE434" s="360">
        <v>0.36461218323171229</v>
      </c>
      <c r="AF434" s="360">
        <v>1.0002581176307237</v>
      </c>
      <c r="AG434" s="360">
        <v>192.38277430756429</v>
      </c>
      <c r="AH434" s="360">
        <v>328.48858187187312</v>
      </c>
      <c r="AI434" s="360">
        <v>0.35700429959658592</v>
      </c>
      <c r="AJ434" s="360">
        <v>1.0354152174184461</v>
      </c>
      <c r="AK434" s="360">
        <v>1.3165951495144403</v>
      </c>
      <c r="AL434" s="360">
        <v>0.36368515645351707</v>
      </c>
      <c r="AM434" s="360">
        <v>1.0002600208215955</v>
      </c>
      <c r="AN434" s="360">
        <v>280.53829609241802</v>
      </c>
      <c r="AO434" s="360">
        <f t="shared" si="18"/>
        <v>1</v>
      </c>
      <c r="AP434" s="360">
        <f t="shared" si="19"/>
        <v>1</v>
      </c>
      <c r="AQ434" s="360">
        <f t="shared" si="20"/>
        <v>1</v>
      </c>
    </row>
    <row r="435" spans="1:43">
      <c r="A435" s="360" t="s">
        <v>1077</v>
      </c>
      <c r="B435" t="s">
        <v>1074</v>
      </c>
      <c r="C435">
        <v>1</v>
      </c>
      <c r="D435" t="s">
        <v>1078</v>
      </c>
      <c r="E435" t="s">
        <v>1079</v>
      </c>
      <c r="F435" s="360">
        <v>7</v>
      </c>
      <c r="G435" s="360" t="str">
        <f>CONCATENATE(A435," ",B435," ",C435," ","inf+"," ",FanUpsizes!D435," ",FanUpsizes!F435)</f>
        <v>10ACH Infiltration 1 inf+ New 7</v>
      </c>
      <c r="H435" s="360">
        <v>1.4421666666666666E-2</v>
      </c>
      <c r="I435" s="360">
        <v>0.4000984031408904</v>
      </c>
      <c r="J435" s="360">
        <v>0.91401260774026405</v>
      </c>
      <c r="K435" s="360">
        <v>810.98557533062183</v>
      </c>
      <c r="L435" s="360">
        <v>0.38815992059242582</v>
      </c>
      <c r="M435" s="360">
        <v>0.93065151477086194</v>
      </c>
      <c r="N435" s="360">
        <v>1.1199875663686794</v>
      </c>
      <c r="O435" s="360">
        <v>0.39315329701879959</v>
      </c>
      <c r="P435" s="360">
        <v>0.91401267196842451</v>
      </c>
      <c r="Q435" s="360">
        <v>733.58699090943128</v>
      </c>
      <c r="R435" s="360">
        <v>1085.663463157407</v>
      </c>
      <c r="S435" s="360">
        <v>0.38032851906317605</v>
      </c>
      <c r="T435" s="360">
        <v>0.94900013577864906</v>
      </c>
      <c r="U435" s="360">
        <v>1.2873196212810654</v>
      </c>
      <c r="V435" s="360">
        <v>0.39005365908181294</v>
      </c>
      <c r="W435" s="360">
        <v>0.91401283814225198</v>
      </c>
      <c r="X435" s="360">
        <v>979.24684006925042</v>
      </c>
      <c r="Y435" s="360">
        <v>0.36654846186131712</v>
      </c>
      <c r="Z435" s="360">
        <v>1.0002569323730046</v>
      </c>
      <c r="AA435" s="360">
        <v>192.95727397238642</v>
      </c>
      <c r="AB435" s="360">
        <v>0.36380195404685545</v>
      </c>
      <c r="AC435" s="360">
        <v>1.0047639483921127</v>
      </c>
      <c r="AD435" s="360">
        <v>1.0291856107421151</v>
      </c>
      <c r="AE435" s="360">
        <v>0.36473427978766648</v>
      </c>
      <c r="AF435" s="360">
        <v>1.0002570698258897</v>
      </c>
      <c r="AG435" s="360">
        <v>181.56350091031612</v>
      </c>
      <c r="AH435" s="360">
        <v>315.38359972172231</v>
      </c>
      <c r="AI435" s="360">
        <v>0.3601874285778694</v>
      </c>
      <c r="AJ435" s="360">
        <v>1.0160496021048195</v>
      </c>
      <c r="AK435" s="360">
        <v>1.1163049190991039</v>
      </c>
      <c r="AL435" s="360">
        <v>0.3631726590038149</v>
      </c>
      <c r="AM435" s="360">
        <v>1.0002571658583874</v>
      </c>
      <c r="AN435" s="360">
        <v>296.42483660208705</v>
      </c>
      <c r="AO435" s="360">
        <f t="shared" si="18"/>
        <v>1</v>
      </c>
      <c r="AP435" s="360">
        <f t="shared" si="19"/>
        <v>1</v>
      </c>
      <c r="AQ435" s="360">
        <f t="shared" si="20"/>
        <v>1</v>
      </c>
    </row>
    <row r="436" spans="1:43">
      <c r="A436" s="360" t="s">
        <v>1077</v>
      </c>
      <c r="B436" t="s">
        <v>1076</v>
      </c>
      <c r="C436">
        <v>1</v>
      </c>
      <c r="D436" t="s">
        <v>1078</v>
      </c>
      <c r="E436" t="s">
        <v>1079</v>
      </c>
      <c r="F436" s="360">
        <v>7</v>
      </c>
      <c r="G436" s="360" t="str">
        <f>CONCATENATE(A436," ",B436," ",C436," ","inf+"," ",FanUpsizes!D436," ",FanUpsizes!F436)</f>
        <v>10ACH 5C 1 inf+ New 7</v>
      </c>
      <c r="H436" s="360">
        <v>1.4421666666666666E-2</v>
      </c>
      <c r="I436" s="360">
        <v>0.4000984031408904</v>
      </c>
      <c r="J436" s="360">
        <v>0.91401260774026405</v>
      </c>
      <c r="K436" s="360">
        <v>852.08140685983528</v>
      </c>
      <c r="L436" s="360">
        <v>0.38738832401041318</v>
      </c>
      <c r="M436" s="360">
        <v>0.93201478050502895</v>
      </c>
      <c r="N436" s="360">
        <v>1.1311861732927626</v>
      </c>
      <c r="O436" s="360">
        <v>0.39274663631717388</v>
      </c>
      <c r="P436" s="360">
        <v>0.91401308570376105</v>
      </c>
      <c r="Q436" s="360">
        <v>772.85030947808377</v>
      </c>
      <c r="R436" s="360">
        <v>1106.2113789220189</v>
      </c>
      <c r="S436" s="360">
        <v>0.37994272077216956</v>
      </c>
      <c r="T436" s="360">
        <v>0.94972820091249899</v>
      </c>
      <c r="U436" s="360">
        <v>1.2952757659135297</v>
      </c>
      <c r="V436" s="360">
        <v>0.3898240086630767</v>
      </c>
      <c r="W436" s="360">
        <v>0.914012786929841</v>
      </c>
      <c r="X436" s="360">
        <v>1002.9152832080815</v>
      </c>
      <c r="Y436" s="360">
        <v>0.36654846186131712</v>
      </c>
      <c r="Z436" s="360">
        <v>1.0002569323730046</v>
      </c>
      <c r="AA436" s="360">
        <v>204.21776983113702</v>
      </c>
      <c r="AB436" s="360">
        <v>0.36359995063854522</v>
      </c>
      <c r="AC436" s="360">
        <v>1.0051843593546976</v>
      </c>
      <c r="AD436" s="360">
        <v>1.0320560694965626</v>
      </c>
      <c r="AE436" s="360">
        <v>0.36461218323171229</v>
      </c>
      <c r="AF436" s="360">
        <v>1.0002581176307237</v>
      </c>
      <c r="AG436" s="360">
        <v>192.38277430756429</v>
      </c>
      <c r="AH436" s="360">
        <v>318.43647136308596</v>
      </c>
      <c r="AI436" s="360">
        <v>0.36013618459915697</v>
      </c>
      <c r="AJ436" s="360">
        <v>1.0161600005983287</v>
      </c>
      <c r="AK436" s="360">
        <v>1.1173048601439042</v>
      </c>
      <c r="AL436" s="360">
        <v>0.36313545536490122</v>
      </c>
      <c r="AM436" s="360">
        <v>1.0002574580556112</v>
      </c>
      <c r="AN436" s="360">
        <v>300.00996283921506</v>
      </c>
      <c r="AO436" s="360">
        <f t="shared" si="18"/>
        <v>1</v>
      </c>
      <c r="AP436" s="360">
        <f t="shared" si="19"/>
        <v>1</v>
      </c>
      <c r="AQ436" s="360">
        <f t="shared" si="20"/>
        <v>1</v>
      </c>
    </row>
    <row r="437" spans="1:43">
      <c r="A437" s="360" t="s">
        <v>1077</v>
      </c>
      <c r="B437" t="s">
        <v>1075</v>
      </c>
      <c r="C437">
        <v>2</v>
      </c>
      <c r="D437" t="s">
        <v>1078</v>
      </c>
      <c r="E437" t="s">
        <v>1079</v>
      </c>
      <c r="F437" s="360">
        <v>7</v>
      </c>
      <c r="G437" s="360" t="str">
        <f>CONCATENATE(A437," ",B437," ",C437," ","inf+"," ",FanUpsizes!D437," ",FanUpsizes!F437)</f>
        <v>10ACH Percentile 2 inf+ New 7</v>
      </c>
      <c r="H437" s="360">
        <v>1.4421666666666666E-2</v>
      </c>
      <c r="I437" s="360">
        <v>0.51886619381213728</v>
      </c>
      <c r="J437" s="360">
        <v>0.71947451376253335</v>
      </c>
      <c r="K437" s="360">
        <v>852.08140685982278</v>
      </c>
      <c r="L437" s="360">
        <v>0.506156114681658</v>
      </c>
      <c r="M437" s="360">
        <v>0.73028282695863433</v>
      </c>
      <c r="N437" s="360">
        <v>1.1245622715234274</v>
      </c>
      <c r="O437" s="360">
        <v>0.51122582414604434</v>
      </c>
      <c r="P437" s="360">
        <v>0.71947474244998644</v>
      </c>
      <c r="Q437" s="360">
        <v>776.85087594756942</v>
      </c>
      <c r="R437" s="360">
        <v>1121.2968315701391</v>
      </c>
      <c r="S437" s="360">
        <v>0.49427584095381955</v>
      </c>
      <c r="T437" s="360">
        <v>0.75338656272212756</v>
      </c>
      <c r="U437" s="360">
        <v>1.5143851506616139</v>
      </c>
      <c r="V437" s="360">
        <v>0.50910149917958247</v>
      </c>
      <c r="W437" s="360">
        <v>0.7194745831044711</v>
      </c>
      <c r="X437" s="360">
        <v>949.10959993704421</v>
      </c>
      <c r="Y437" s="360">
        <v>0.48083136902101814</v>
      </c>
      <c r="Z437" s="360">
        <v>0.78309015659077097</v>
      </c>
      <c r="AA437" s="360">
        <v>159.53066807265725</v>
      </c>
      <c r="AB437" s="360">
        <v>0.47857217092963722</v>
      </c>
      <c r="AC437" s="360">
        <v>0.78534120158134424</v>
      </c>
      <c r="AD437" s="360">
        <v>1.0276613489444184</v>
      </c>
      <c r="AE437" s="360">
        <v>0.47926133272324789</v>
      </c>
      <c r="AF437" s="360">
        <v>0.7830901599614748</v>
      </c>
      <c r="AG437" s="360">
        <v>151.41718215910069</v>
      </c>
      <c r="AH437" s="360">
        <v>257.27564070139726</v>
      </c>
      <c r="AI437" s="360">
        <v>0.47347778939196894</v>
      </c>
      <c r="AJ437" s="360">
        <v>0.80043237039562265</v>
      </c>
      <c r="AK437" s="360">
        <v>1.2923960897176472</v>
      </c>
      <c r="AL437" s="360">
        <v>0.47835113483605257</v>
      </c>
      <c r="AM437" s="360">
        <v>0.78309016033242718</v>
      </c>
      <c r="AN437" s="360">
        <v>221.69867793374377</v>
      </c>
      <c r="AO437" s="360">
        <f t="shared" si="18"/>
        <v>1</v>
      </c>
      <c r="AP437" s="360">
        <f t="shared" si="19"/>
        <v>1</v>
      </c>
      <c r="AQ437" s="360">
        <f t="shared" si="20"/>
        <v>1</v>
      </c>
    </row>
    <row r="438" spans="1:43">
      <c r="A438" s="360" t="s">
        <v>1077</v>
      </c>
      <c r="B438" t="s">
        <v>1074</v>
      </c>
      <c r="C438">
        <v>2</v>
      </c>
      <c r="D438" t="s">
        <v>1078</v>
      </c>
      <c r="E438" t="s">
        <v>1079</v>
      </c>
      <c r="F438" s="360">
        <v>7</v>
      </c>
      <c r="G438" s="360" t="str">
        <f>CONCATENATE(A438," ",B438," ",C438," ","inf+"," ",FanUpsizes!D438," ",FanUpsizes!F438)</f>
        <v>10ACH Infiltration 2 inf+ New 7</v>
      </c>
      <c r="H438" s="360">
        <v>1.4421666666666666E-2</v>
      </c>
      <c r="I438" s="360">
        <v>0.51886619381213728</v>
      </c>
      <c r="J438" s="360">
        <v>0.71947451376253335</v>
      </c>
      <c r="K438" s="360">
        <v>1136.933933199171</v>
      </c>
      <c r="L438" s="360">
        <v>0.4999590397710057</v>
      </c>
      <c r="M438" s="360">
        <v>0.73774754955249533</v>
      </c>
      <c r="N438" s="360">
        <v>1.2313283467259868</v>
      </c>
      <c r="O438" s="360">
        <v>0.50794132315620588</v>
      </c>
      <c r="P438" s="360">
        <v>0.7194745620030123</v>
      </c>
      <c r="Q438" s="360">
        <v>1063.1155119968271</v>
      </c>
      <c r="R438" s="360">
        <v>1260.8174432964649</v>
      </c>
      <c r="S438" s="360">
        <v>0.49399283627859442</v>
      </c>
      <c r="T438" s="360">
        <v>0.74873399469806245</v>
      </c>
      <c r="U438" s="360">
        <v>1.4241079952361657</v>
      </c>
      <c r="V438" s="360">
        <v>0.50611618494314681</v>
      </c>
      <c r="W438" s="360">
        <v>0.71947470355340004</v>
      </c>
      <c r="X438" s="360">
        <v>1178.0217351893766</v>
      </c>
      <c r="Y438" s="360">
        <v>0.48083136902101814</v>
      </c>
      <c r="Z438" s="360">
        <v>0.78309015659077097</v>
      </c>
      <c r="AA438" s="360">
        <v>224.15985130167527</v>
      </c>
      <c r="AB438" s="360">
        <v>0.47725183140706651</v>
      </c>
      <c r="AC438" s="360">
        <v>0.7872857923608868</v>
      </c>
      <c r="AD438" s="360">
        <v>1.0537592490930183</v>
      </c>
      <c r="AE438" s="360">
        <v>0.47846181542628796</v>
      </c>
      <c r="AF438" s="360">
        <v>0.78309019698574878</v>
      </c>
      <c r="AG438" s="360">
        <v>214.9082533760641</v>
      </c>
      <c r="AH438" s="360">
        <v>272.27746944328362</v>
      </c>
      <c r="AI438" s="360">
        <v>0.47481806727622594</v>
      </c>
      <c r="AJ438" s="360">
        <v>0.79342385435838259</v>
      </c>
      <c r="AK438" s="360">
        <v>1.1516404326312608</v>
      </c>
      <c r="AL438" s="360">
        <v>0.4775991017764829</v>
      </c>
      <c r="AM438" s="360">
        <v>0.78309150311304709</v>
      </c>
      <c r="AN438" s="360">
        <v>259.46899607693564</v>
      </c>
      <c r="AO438" s="360">
        <f t="shared" si="18"/>
        <v>1</v>
      </c>
      <c r="AP438" s="360">
        <f t="shared" si="19"/>
        <v>1</v>
      </c>
      <c r="AQ438" s="360">
        <f t="shared" si="20"/>
        <v>1</v>
      </c>
    </row>
    <row r="439" spans="1:43">
      <c r="A439" s="360" t="s">
        <v>1077</v>
      </c>
      <c r="B439" t="s">
        <v>1076</v>
      </c>
      <c r="C439">
        <v>2</v>
      </c>
      <c r="D439" t="s">
        <v>1078</v>
      </c>
      <c r="E439" t="s">
        <v>1079</v>
      </c>
      <c r="F439" s="360">
        <v>7</v>
      </c>
      <c r="G439" s="360" t="str">
        <f>CONCATENATE(A439," ",B439," ",C439," ","inf+"," ",FanUpsizes!D439," ",FanUpsizes!F439)</f>
        <v>10ACH 5C 2 inf+ New 7</v>
      </c>
      <c r="H439" s="360">
        <v>1.4421666666666666E-2</v>
      </c>
      <c r="I439" s="360">
        <v>0.51886619381213728</v>
      </c>
      <c r="J439" s="360">
        <v>0.71947451376253335</v>
      </c>
      <c r="K439" s="360">
        <v>852.08140685982278</v>
      </c>
      <c r="L439" s="360">
        <v>0.506156114681658</v>
      </c>
      <c r="M439" s="360">
        <v>0.73028282695863433</v>
      </c>
      <c r="N439" s="360">
        <v>1.1245622715234274</v>
      </c>
      <c r="O439" s="360">
        <v>0.51122582414604434</v>
      </c>
      <c r="P439" s="360">
        <v>0.71947474244998644</v>
      </c>
      <c r="Q439" s="360">
        <v>776.85087594756942</v>
      </c>
      <c r="R439" s="360">
        <v>1118.3911801268134</v>
      </c>
      <c r="S439" s="360">
        <v>0.49709137373392048</v>
      </c>
      <c r="T439" s="360">
        <v>0.74477872030693748</v>
      </c>
      <c r="U439" s="360">
        <v>1.3453678345126614</v>
      </c>
      <c r="V439" s="360">
        <v>0.50802589594124159</v>
      </c>
      <c r="W439" s="360">
        <v>0.71947463906906706</v>
      </c>
      <c r="X439" s="360">
        <v>1001.7779258725053</v>
      </c>
      <c r="Y439" s="360">
        <v>0.48083136902101814</v>
      </c>
      <c r="Z439" s="360">
        <v>0.78309015659077097</v>
      </c>
      <c r="AA439" s="360">
        <v>159.53066807265725</v>
      </c>
      <c r="AB439" s="360">
        <v>0.47857217092963722</v>
      </c>
      <c r="AC439" s="360">
        <v>0.78534120158134424</v>
      </c>
      <c r="AD439" s="360">
        <v>1.0276613489444184</v>
      </c>
      <c r="AE439" s="360">
        <v>0.47926133272324789</v>
      </c>
      <c r="AF439" s="360">
        <v>0.7830901599614748</v>
      </c>
      <c r="AG439" s="360">
        <v>151.41718215910069</v>
      </c>
      <c r="AH439" s="360">
        <v>254.36998925807151</v>
      </c>
      <c r="AI439" s="360">
        <v>0.47515158034669136</v>
      </c>
      <c r="AJ439" s="360">
        <v>0.79291890597436188</v>
      </c>
      <c r="AK439" s="360">
        <v>1.1422303917456731</v>
      </c>
      <c r="AL439" s="360">
        <v>0.47785232529081345</v>
      </c>
      <c r="AM439" s="360">
        <v>0.78309073448152555</v>
      </c>
      <c r="AN439" s="360">
        <v>237.47355148854291</v>
      </c>
      <c r="AO439" s="360">
        <f t="shared" si="18"/>
        <v>1</v>
      </c>
      <c r="AP439" s="360">
        <f t="shared" si="19"/>
        <v>1</v>
      </c>
      <c r="AQ439" s="360">
        <f t="shared" si="20"/>
        <v>1</v>
      </c>
    </row>
    <row r="440" spans="1:43">
      <c r="A440" s="360" t="s">
        <v>1077</v>
      </c>
      <c r="B440" t="s">
        <v>1075</v>
      </c>
      <c r="C440">
        <v>1</v>
      </c>
      <c r="D440" t="s">
        <v>1080</v>
      </c>
      <c r="E440" t="s">
        <v>1079</v>
      </c>
      <c r="F440" s="360">
        <v>7</v>
      </c>
      <c r="G440" s="360" t="str">
        <f>CONCATENATE(A440," ",B440," ",C440," ","inf+"," ",FanUpsizes!D440," ",FanUpsizes!F440)</f>
        <v>10ACH Percentile 1 inf+ Existing 7</v>
      </c>
      <c r="H440" s="360">
        <v>2.5119898137553547E-2</v>
      </c>
      <c r="I440" s="360">
        <v>0.44011820493973008</v>
      </c>
      <c r="J440" s="360">
        <v>1.1144858258055577</v>
      </c>
      <c r="K440" s="360">
        <v>1484.1695235332625</v>
      </c>
      <c r="L440" s="360">
        <v>0.4179795783539566</v>
      </c>
      <c r="M440" s="360">
        <v>1.1539897514834101</v>
      </c>
      <c r="N440" s="360">
        <v>1.1513525387560175</v>
      </c>
      <c r="O440" s="360">
        <v>0.42908285851810368</v>
      </c>
      <c r="P440" s="360">
        <v>1.1144894590149641</v>
      </c>
      <c r="Q440" s="360">
        <v>1324.9487468714576</v>
      </c>
      <c r="R440" s="360">
        <v>1953.0934143766813</v>
      </c>
      <c r="S440" s="360">
        <v>0.39714161092361278</v>
      </c>
      <c r="T440" s="360">
        <v>1.2286173042488362</v>
      </c>
      <c r="U440" s="360">
        <v>1.5632127001685057</v>
      </c>
      <c r="V440" s="360">
        <v>0.42706170287196704</v>
      </c>
      <c r="W440" s="360">
        <v>1.1144861158813686</v>
      </c>
      <c r="X440" s="360">
        <v>1624.7053371302618</v>
      </c>
      <c r="Y440" s="360">
        <v>0.40116803992727595</v>
      </c>
      <c r="Z440" s="360">
        <v>1.204587107915565</v>
      </c>
      <c r="AA440" s="360">
        <v>586.61128772251061</v>
      </c>
      <c r="AB440" s="360">
        <v>0.39247680320714784</v>
      </c>
      <c r="AC440" s="360">
        <v>1.2231623067509503</v>
      </c>
      <c r="AD440" s="360">
        <v>1.0514954456644048</v>
      </c>
      <c r="AE440" s="360">
        <v>0.39663173492210324</v>
      </c>
      <c r="AF440" s="360">
        <v>1.2045938937683913</v>
      </c>
      <c r="AG440" s="360">
        <v>536.03561367588316</v>
      </c>
      <c r="AH440" s="360">
        <v>927.43603099510199</v>
      </c>
      <c r="AI440" s="360">
        <v>0.37457181844489568</v>
      </c>
      <c r="AJ440" s="360">
        <v>1.3095447539304224</v>
      </c>
      <c r="AK440" s="360">
        <v>1.4097851419957814</v>
      </c>
      <c r="AL440" s="360">
        <v>0.39673339352268244</v>
      </c>
      <c r="AM440" s="360">
        <v>1.2045871080899959</v>
      </c>
      <c r="AN440" s="360">
        <v>759.2099598946885</v>
      </c>
      <c r="AO440" s="360">
        <f t="shared" si="18"/>
        <v>1</v>
      </c>
      <c r="AP440" s="360">
        <f t="shared" si="19"/>
        <v>1</v>
      </c>
      <c r="AQ440" s="360">
        <f t="shared" si="20"/>
        <v>1</v>
      </c>
    </row>
    <row r="441" spans="1:43">
      <c r="A441" s="360" t="s">
        <v>1077</v>
      </c>
      <c r="B441" t="s">
        <v>1074</v>
      </c>
      <c r="C441">
        <v>1</v>
      </c>
      <c r="D441" t="s">
        <v>1080</v>
      </c>
      <c r="E441" t="s">
        <v>1079</v>
      </c>
      <c r="F441" s="360">
        <v>7</v>
      </c>
      <c r="G441" s="360" t="str">
        <f>CONCATENATE(A441," ",B441," ",C441," ","inf+"," ",FanUpsizes!D441," ",FanUpsizes!F441)</f>
        <v>10ACH Infiltration 1 inf+ Existing 7</v>
      </c>
      <c r="H441" s="360">
        <v>2.5119898137553547E-2</v>
      </c>
      <c r="I441" s="360">
        <v>0.44011820493973008</v>
      </c>
      <c r="J441" s="360">
        <v>1.1144858258055577</v>
      </c>
      <c r="K441" s="360">
        <v>267.17898588284072</v>
      </c>
      <c r="L441" s="360">
        <v>0.4370281098331113</v>
      </c>
      <c r="M441" s="360">
        <v>1.1181855049085796</v>
      </c>
      <c r="N441" s="360">
        <v>1.0124831088282455</v>
      </c>
      <c r="O441" s="360">
        <v>0.43817336616211988</v>
      </c>
      <c r="P441" s="360">
        <v>1.1144861072625496</v>
      </c>
      <c r="Q441" s="360">
        <v>238.85510278706485</v>
      </c>
      <c r="R441" s="360">
        <v>1206.4658349972069</v>
      </c>
      <c r="S441" s="360">
        <v>0.41964103359963711</v>
      </c>
      <c r="T441" s="360">
        <v>1.1533585560661197</v>
      </c>
      <c r="U441" s="360">
        <v>1.1459127140440291</v>
      </c>
      <c r="V441" s="360">
        <v>0.43058370066359902</v>
      </c>
      <c r="W441" s="360">
        <v>1.1144882575273225</v>
      </c>
      <c r="X441" s="360">
        <v>1012.4471797728465</v>
      </c>
      <c r="Y441" s="360">
        <v>0.40116803992727595</v>
      </c>
      <c r="Z441" s="360">
        <v>1.204587107915565</v>
      </c>
      <c r="AA441" s="360">
        <v>88.277440227490303</v>
      </c>
      <c r="AB441" s="360">
        <v>0.40017064898534782</v>
      </c>
      <c r="AC441" s="360">
        <v>1.205985667552931</v>
      </c>
      <c r="AD441" s="360">
        <v>1.003546620599129</v>
      </c>
      <c r="AE441" s="360">
        <v>0.40050517014284742</v>
      </c>
      <c r="AF441" s="360">
        <v>1.2045928735496259</v>
      </c>
      <c r="AG441" s="360">
        <v>81.523616113802859</v>
      </c>
      <c r="AH441" s="360">
        <v>682.51571265620998</v>
      </c>
      <c r="AI441" s="360">
        <v>0.38890317774279365</v>
      </c>
      <c r="AJ441" s="360">
        <v>1.236070445703727</v>
      </c>
      <c r="AK441" s="360">
        <v>1.0920778076750164</v>
      </c>
      <c r="AL441" s="360">
        <v>0.39582179363277803</v>
      </c>
      <c r="AM441" s="360">
        <v>1.2045874247492565</v>
      </c>
      <c r="AN441" s="360">
        <v>606.12291129917946</v>
      </c>
      <c r="AO441" s="360">
        <f t="shared" si="18"/>
        <v>1</v>
      </c>
      <c r="AP441" s="360">
        <f t="shared" si="19"/>
        <v>1</v>
      </c>
      <c r="AQ441" s="360">
        <f t="shared" si="20"/>
        <v>1</v>
      </c>
    </row>
    <row r="442" spans="1:43">
      <c r="A442" s="360" t="s">
        <v>1077</v>
      </c>
      <c r="B442" t="s">
        <v>1076</v>
      </c>
      <c r="C442">
        <v>1</v>
      </c>
      <c r="D442" t="s">
        <v>1080</v>
      </c>
      <c r="E442" t="s">
        <v>1079</v>
      </c>
      <c r="F442" s="360">
        <v>7</v>
      </c>
      <c r="G442" s="360" t="str">
        <f>CONCATENATE(A442," ",B442," ",C442," ","inf+"," ",FanUpsizes!D442," ",FanUpsizes!F442)</f>
        <v>10ACH 5C 1 inf+ Existing 7</v>
      </c>
      <c r="H442" s="360">
        <v>2.5119898137553547E-2</v>
      </c>
      <c r="I442" s="360">
        <v>0.44011820493973008</v>
      </c>
      <c r="J442" s="360">
        <v>1.1144858258055577</v>
      </c>
      <c r="K442" s="360">
        <v>1484.1695235332625</v>
      </c>
      <c r="L442" s="360">
        <v>0.4179795783539566</v>
      </c>
      <c r="M442" s="360">
        <v>1.1539897514834101</v>
      </c>
      <c r="N442" s="360">
        <v>1.1513525387560175</v>
      </c>
      <c r="O442" s="360">
        <v>0.42908285851810368</v>
      </c>
      <c r="P442" s="360">
        <v>1.1144894590149641</v>
      </c>
      <c r="Q442" s="360">
        <v>1324.9487468714576</v>
      </c>
      <c r="R442" s="360">
        <v>1814.9611038224107</v>
      </c>
      <c r="S442" s="360">
        <v>0.41011676786006074</v>
      </c>
      <c r="T442" s="360">
        <v>1.173185619547646</v>
      </c>
      <c r="U442" s="360">
        <v>1.2398331877891124</v>
      </c>
      <c r="V442" s="360">
        <v>0.42592068413039802</v>
      </c>
      <c r="W442" s="360">
        <v>1.114486754500823</v>
      </c>
      <c r="X442" s="360">
        <v>1641.9947077881154</v>
      </c>
      <c r="Y442" s="360">
        <v>0.40116803992727595</v>
      </c>
      <c r="Z442" s="360">
        <v>1.204587107915565</v>
      </c>
      <c r="AA442" s="360">
        <v>586.61128772251061</v>
      </c>
      <c r="AB442" s="360">
        <v>0.39247680320714784</v>
      </c>
      <c r="AC442" s="360">
        <v>1.2231623067509503</v>
      </c>
      <c r="AD442" s="360">
        <v>1.0514954456644048</v>
      </c>
      <c r="AE442" s="360">
        <v>0.39663173492210324</v>
      </c>
      <c r="AF442" s="360">
        <v>1.2045938937683913</v>
      </c>
      <c r="AG442" s="360">
        <v>536.03561367588316</v>
      </c>
      <c r="AH442" s="360">
        <v>816.07840961717204</v>
      </c>
      <c r="AI442" s="360">
        <v>0.38691333512901782</v>
      </c>
      <c r="AJ442" s="360">
        <v>1.2408819161873761</v>
      </c>
      <c r="AK442" s="360">
        <v>1.1095388002357509</v>
      </c>
      <c r="AL442" s="360">
        <v>0.39473031061901515</v>
      </c>
      <c r="AM442" s="360">
        <v>1.2045871085618955</v>
      </c>
      <c r="AN442" s="360">
        <v>753.88576471350109</v>
      </c>
      <c r="AO442" s="360">
        <f t="shared" si="18"/>
        <v>1</v>
      </c>
      <c r="AP442" s="360">
        <f t="shared" si="19"/>
        <v>1</v>
      </c>
      <c r="AQ442" s="360">
        <f t="shared" si="20"/>
        <v>1</v>
      </c>
    </row>
    <row r="443" spans="1:43">
      <c r="A443" s="360" t="s">
        <v>1077</v>
      </c>
      <c r="B443" t="s">
        <v>1075</v>
      </c>
      <c r="C443">
        <v>2</v>
      </c>
      <c r="D443" t="s">
        <v>1080</v>
      </c>
      <c r="E443" t="s">
        <v>1079</v>
      </c>
      <c r="F443" s="360">
        <v>7</v>
      </c>
      <c r="G443" s="360" t="str">
        <f>CONCATENATE(A443," ",B443," ",C443," ","inf+"," ",FanUpsizes!D443," ",FanUpsizes!F443)</f>
        <v>10ACH Percentile 2 inf+ Existing 7</v>
      </c>
      <c r="H443" s="360">
        <v>1.4130391000662386E-2</v>
      </c>
      <c r="I443" s="360">
        <v>0.51778746170572754</v>
      </c>
      <c r="J443" s="360">
        <v>0.99236571822614361</v>
      </c>
      <c r="K443" s="360">
        <v>834.87184398406123</v>
      </c>
      <c r="L443" s="360">
        <v>0.50533408915773403</v>
      </c>
      <c r="M443" s="360">
        <v>1.0069584434817245</v>
      </c>
      <c r="N443" s="360">
        <v>1.1239503407009206</v>
      </c>
      <c r="O443" s="360">
        <v>0.51027700257100983</v>
      </c>
      <c r="P443" s="360">
        <v>0.99236575231424462</v>
      </c>
      <c r="Q443" s="360">
        <v>761.52286749014297</v>
      </c>
      <c r="R443" s="360">
        <v>1098.6499011595461</v>
      </c>
      <c r="S443" s="360">
        <v>0.49369469259118215</v>
      </c>
      <c r="T443" s="360">
        <v>1.0382290146187232</v>
      </c>
      <c r="U443" s="360">
        <v>1.5129628902517991</v>
      </c>
      <c r="V443" s="360">
        <v>0.50817772488540824</v>
      </c>
      <c r="W443" s="360">
        <v>0.9923662639233507</v>
      </c>
      <c r="X443" s="360">
        <v>930.40682728176512</v>
      </c>
      <c r="Y443" s="360">
        <v>0.48024849900194927</v>
      </c>
      <c r="Z443" s="360">
        <v>1.0794931676587185</v>
      </c>
      <c r="AA443" s="360">
        <v>153.46054613800248</v>
      </c>
      <c r="AB443" s="360">
        <v>0.47807886298342522</v>
      </c>
      <c r="AC443" s="360">
        <v>1.0824692672220197</v>
      </c>
      <c r="AD443" s="360">
        <v>1.0273719093543185</v>
      </c>
      <c r="AE443" s="360">
        <v>0.4787357328672619</v>
      </c>
      <c r="AF443" s="360">
        <v>1.0794934707931212</v>
      </c>
      <c r="AG443" s="360">
        <v>145.72252431968352</v>
      </c>
      <c r="AH443" s="360">
        <v>247.60665725781192</v>
      </c>
      <c r="AI443" s="360">
        <v>0.47317884034788338</v>
      </c>
      <c r="AJ443" s="360">
        <v>1.1025426348784428</v>
      </c>
      <c r="AK443" s="360">
        <v>1.2906725064943312</v>
      </c>
      <c r="AL443" s="360">
        <v>0.47784567319226445</v>
      </c>
      <c r="AM443" s="360">
        <v>1.0794938462179138</v>
      </c>
      <c r="AN443" s="360">
        <v>213.4801991518238</v>
      </c>
      <c r="AO443" s="360">
        <f t="shared" si="18"/>
        <v>1</v>
      </c>
      <c r="AP443" s="360">
        <f t="shared" si="19"/>
        <v>1</v>
      </c>
      <c r="AQ443" s="360">
        <f t="shared" si="20"/>
        <v>1</v>
      </c>
    </row>
    <row r="444" spans="1:43">
      <c r="A444" s="360" t="s">
        <v>1077</v>
      </c>
      <c r="B444" t="s">
        <v>1074</v>
      </c>
      <c r="C444">
        <v>2</v>
      </c>
      <c r="D444" t="s">
        <v>1080</v>
      </c>
      <c r="E444" t="s">
        <v>1079</v>
      </c>
      <c r="F444" s="360">
        <v>7</v>
      </c>
      <c r="G444" s="360" t="str">
        <f>CONCATENATE(A444," ",B444," ",C444," ","inf+"," ",FanUpsizes!D444," ",FanUpsizes!F444)</f>
        <v>10ACH Infiltration 2 inf+ Existing 7</v>
      </c>
      <c r="H444" s="360">
        <v>1.4130391000662386E-2</v>
      </c>
      <c r="I444" s="360">
        <v>0.51778746170572754</v>
      </c>
      <c r="J444" s="360">
        <v>0.99236571822614361</v>
      </c>
      <c r="K444" s="360">
        <v>660.66474399007438</v>
      </c>
      <c r="L444" s="360">
        <v>0.50847124371451713</v>
      </c>
      <c r="M444" s="360">
        <v>1.0025321996264309</v>
      </c>
      <c r="N444" s="360">
        <v>1.0830559644227271</v>
      </c>
      <c r="O444" s="360">
        <v>0.51204392341960137</v>
      </c>
      <c r="P444" s="360">
        <v>0.99236575987648068</v>
      </c>
      <c r="Q444" s="360">
        <v>597.04652544476414</v>
      </c>
      <c r="R444" s="360">
        <v>990.17615666611243</v>
      </c>
      <c r="S444" s="360">
        <v>0.50001521326307241</v>
      </c>
      <c r="T444" s="360">
        <v>1.0180612033743768</v>
      </c>
      <c r="U444" s="360">
        <v>1.2392493459900498</v>
      </c>
      <c r="V444" s="360">
        <v>0.50828402747010215</v>
      </c>
      <c r="W444" s="360">
        <v>0.99236719332425705</v>
      </c>
      <c r="X444" s="360">
        <v>885.75418173695107</v>
      </c>
      <c r="Y444" s="360">
        <v>0.48024849900194927</v>
      </c>
      <c r="Z444" s="360">
        <v>1.0794931676587185</v>
      </c>
      <c r="AA444" s="360">
        <v>117.41094138310571</v>
      </c>
      <c r="AB444" s="360">
        <v>0.47868447222281041</v>
      </c>
      <c r="AC444" s="360">
        <v>1.0814781919437739</v>
      </c>
      <c r="AD444" s="360">
        <v>1.0179734234164388</v>
      </c>
      <c r="AE444" s="360">
        <v>0.47913586341480685</v>
      </c>
      <c r="AF444" s="360">
        <v>1.0794935088228901</v>
      </c>
      <c r="AG444" s="360">
        <v>111.11328000222541</v>
      </c>
      <c r="AH444" s="360">
        <v>226.58422392479548</v>
      </c>
      <c r="AI444" s="360">
        <v>0.47585472431539316</v>
      </c>
      <c r="AJ444" s="360">
        <v>1.0883543524029429</v>
      </c>
      <c r="AK444" s="360">
        <v>1.0895115570315914</v>
      </c>
      <c r="AL444" s="360">
        <v>0.47765204201421774</v>
      </c>
      <c r="AM444" s="360">
        <v>1.0794933061130993</v>
      </c>
      <c r="AN444" s="360">
        <v>213.49452685769992</v>
      </c>
      <c r="AO444" s="360">
        <f t="shared" si="18"/>
        <v>1</v>
      </c>
      <c r="AP444" s="360">
        <f t="shared" si="19"/>
        <v>1</v>
      </c>
      <c r="AQ444" s="360">
        <f t="shared" si="20"/>
        <v>1</v>
      </c>
    </row>
    <row r="445" spans="1:43">
      <c r="A445" s="360" t="s">
        <v>1077</v>
      </c>
      <c r="B445" t="s">
        <v>1076</v>
      </c>
      <c r="C445">
        <v>2</v>
      </c>
      <c r="D445" t="s">
        <v>1080</v>
      </c>
      <c r="E445" t="s">
        <v>1079</v>
      </c>
      <c r="F445" s="360">
        <v>7</v>
      </c>
      <c r="G445" s="360" t="str">
        <f>CONCATENATE(A445," ",B445," ",C445," ","inf+"," ",FanUpsizes!D445," ",FanUpsizes!F445)</f>
        <v>10ACH 5C 2 inf+ Existing 7</v>
      </c>
      <c r="H445" s="360">
        <v>1.4130391000662386E-2</v>
      </c>
      <c r="I445" s="360">
        <v>0.51778746170572754</v>
      </c>
      <c r="J445" s="360">
        <v>0.99236571822614361</v>
      </c>
      <c r="K445" s="360">
        <v>834.87184398406123</v>
      </c>
      <c r="L445" s="360">
        <v>0.50533408915773403</v>
      </c>
      <c r="M445" s="360">
        <v>1.0069584434817245</v>
      </c>
      <c r="N445" s="360">
        <v>1.1239503407009206</v>
      </c>
      <c r="O445" s="360">
        <v>0.51027700257100983</v>
      </c>
      <c r="P445" s="360">
        <v>0.99236575231424462</v>
      </c>
      <c r="Q445" s="360">
        <v>761.52286749014297</v>
      </c>
      <c r="R445" s="360">
        <v>1077.2797066631069</v>
      </c>
      <c r="S445" s="360">
        <v>0.49844663598468086</v>
      </c>
      <c r="T445" s="360">
        <v>1.0203891743984268</v>
      </c>
      <c r="U445" s="360">
        <v>1.2673818712691858</v>
      </c>
      <c r="V445" s="360">
        <v>0.50726861636523002</v>
      </c>
      <c r="W445" s="360">
        <v>0.99236593389626926</v>
      </c>
      <c r="X445" s="360">
        <v>983.86901337991299</v>
      </c>
      <c r="Y445" s="360">
        <v>0.48024849900194927</v>
      </c>
      <c r="Z445" s="360">
        <v>1.0794931676587185</v>
      </c>
      <c r="AA445" s="360">
        <v>153.46054613800248</v>
      </c>
      <c r="AB445" s="360">
        <v>0.47807886298342522</v>
      </c>
      <c r="AC445" s="360">
        <v>1.0824692672220197</v>
      </c>
      <c r="AD445" s="360">
        <v>1.0273719093543185</v>
      </c>
      <c r="AE445" s="360">
        <v>0.4787357328672619</v>
      </c>
      <c r="AF445" s="360">
        <v>1.0794934707931212</v>
      </c>
      <c r="AG445" s="360">
        <v>145.72252431968352</v>
      </c>
      <c r="AH445" s="360">
        <v>236.4727485140927</v>
      </c>
      <c r="AI445" s="360">
        <v>0.47570212587824751</v>
      </c>
      <c r="AJ445" s="360">
        <v>1.0886089051596535</v>
      </c>
      <c r="AK445" s="360">
        <v>1.0925255546682084</v>
      </c>
      <c r="AL445" s="360">
        <v>0.47753266426196667</v>
      </c>
      <c r="AM445" s="360">
        <v>1.0794932322675013</v>
      </c>
      <c r="AN445" s="360">
        <v>224.6735191257047</v>
      </c>
      <c r="AO445" s="360">
        <f t="shared" si="18"/>
        <v>1</v>
      </c>
      <c r="AP445" s="360">
        <f t="shared" si="19"/>
        <v>1</v>
      </c>
      <c r="AQ445" s="360">
        <f t="shared" si="20"/>
        <v>1</v>
      </c>
    </row>
    <row r="446" spans="1:43">
      <c r="A446" s="360" t="s">
        <v>1081</v>
      </c>
      <c r="B446" t="s">
        <v>1075</v>
      </c>
      <c r="C446">
        <v>1</v>
      </c>
      <c r="D446" t="s">
        <v>1078</v>
      </c>
      <c r="E446" t="s">
        <v>1079</v>
      </c>
      <c r="F446" s="360">
        <v>7</v>
      </c>
      <c r="G446" s="360" t="str">
        <f>CONCATENATE(A446," ",B446," ",C446," ","inf+"," ",FanUpsizes!D446," ",FanUpsizes!F446)</f>
        <v>7ACH Percentile 1 inf+ New 7</v>
      </c>
      <c r="H446" s="360">
        <v>1.9188428696287486E-2</v>
      </c>
      <c r="I446" s="360">
        <v>0.31416476857891401</v>
      </c>
      <c r="J446" s="360">
        <v>1.1218729586678344</v>
      </c>
      <c r="K446" s="360">
        <v>1133.718015876231</v>
      </c>
      <c r="L446" s="360">
        <v>0.29725365471417309</v>
      </c>
      <c r="M446" s="360">
        <v>1.1653932808328944</v>
      </c>
      <c r="N446" s="360">
        <v>1.157563479620936</v>
      </c>
      <c r="O446" s="360">
        <v>0.30619188198129571</v>
      </c>
      <c r="P446" s="360">
        <v>1.1218738668013273</v>
      </c>
      <c r="Q446" s="360">
        <v>1007.1024414144497</v>
      </c>
      <c r="R446" s="360">
        <v>1491.9166277561233</v>
      </c>
      <c r="S446" s="360">
        <v>0.28129939142983185</v>
      </c>
      <c r="T446" s="360">
        <v>1.2441840675131581</v>
      </c>
      <c r="U446" s="360">
        <v>1.5698530092347514</v>
      </c>
      <c r="V446" s="360">
        <v>0.30479827944303267</v>
      </c>
      <c r="W446" s="360">
        <v>1.1218731434927887</v>
      </c>
      <c r="X446" s="360">
        <v>1238.112122965334</v>
      </c>
      <c r="Y446" s="360">
        <v>0.28713381755537998</v>
      </c>
      <c r="Z446" s="360">
        <v>1.2078419456392631</v>
      </c>
      <c r="AA446" s="360">
        <v>483.8774649053272</v>
      </c>
      <c r="AB446" s="360">
        <v>0.27994479827474056</v>
      </c>
      <c r="AC446" s="360">
        <v>1.2299832529607631</v>
      </c>
      <c r="AD446" s="360">
        <v>1.0574726288461698</v>
      </c>
      <c r="AE446" s="360">
        <v>0.28367415261455037</v>
      </c>
      <c r="AF446" s="360">
        <v>1.2078421828296935</v>
      </c>
      <c r="AG446" s="360">
        <v>438.04876828951234</v>
      </c>
      <c r="AH446" s="360">
        <v>762.34398041370275</v>
      </c>
      <c r="AI446" s="360">
        <v>0.26538695967800963</v>
      </c>
      <c r="AJ446" s="360">
        <v>1.3241917546309743</v>
      </c>
      <c r="AK446" s="360">
        <v>1.4245041638835945</v>
      </c>
      <c r="AL446" s="360">
        <v>0.28384550957420301</v>
      </c>
      <c r="AM446" s="360">
        <v>1.2078422901532195</v>
      </c>
      <c r="AN446" s="360">
        <v>620.02650511369507</v>
      </c>
      <c r="AO446" s="360">
        <f t="shared" si="18"/>
        <v>1</v>
      </c>
      <c r="AP446" s="360">
        <f t="shared" si="19"/>
        <v>1</v>
      </c>
      <c r="AQ446" s="360">
        <f t="shared" si="20"/>
        <v>1</v>
      </c>
    </row>
    <row r="447" spans="1:43">
      <c r="A447" s="360" t="s">
        <v>1081</v>
      </c>
      <c r="B447" t="s">
        <v>1074</v>
      </c>
      <c r="C447">
        <v>1</v>
      </c>
      <c r="D447" t="s">
        <v>1078</v>
      </c>
      <c r="E447" t="s">
        <v>1079</v>
      </c>
      <c r="F447" s="360">
        <v>7</v>
      </c>
      <c r="G447" s="360" t="str">
        <f>CONCATENATE(A447," ",B447," ",C447," ","inf+"," ",FanUpsizes!D447," ",FanUpsizes!F447)</f>
        <v>7ACH Infiltration 1 inf+ New 7</v>
      </c>
      <c r="H447" s="360">
        <v>1.9188428696287486E-2</v>
      </c>
      <c r="I447" s="360">
        <v>0.31416476857891401</v>
      </c>
      <c r="J447" s="360">
        <v>1.1218729586678344</v>
      </c>
      <c r="K447" s="360">
        <v>136.03656042320142</v>
      </c>
      <c r="L447" s="360">
        <v>0.3126369480624539</v>
      </c>
      <c r="M447" s="360">
        <v>1.1244928941254373</v>
      </c>
      <c r="N447" s="360">
        <v>1.0082655292852185</v>
      </c>
      <c r="O447" s="360">
        <v>0.31322833747225737</v>
      </c>
      <c r="P447" s="360">
        <v>1.1218734295246691</v>
      </c>
      <c r="Q447" s="360">
        <v>121.14814368333553</v>
      </c>
      <c r="R447" s="360">
        <v>869.79005619655413</v>
      </c>
      <c r="S447" s="360">
        <v>0.29951305066311978</v>
      </c>
      <c r="T447" s="360">
        <v>1.1611926489385875</v>
      </c>
      <c r="U447" s="360">
        <v>1.1377466640516496</v>
      </c>
      <c r="V447" s="360">
        <v>0.30762974190765358</v>
      </c>
      <c r="W447" s="360">
        <v>1.121873494862458</v>
      </c>
      <c r="X447" s="360">
        <v>722.74377213230855</v>
      </c>
      <c r="Y447" s="360">
        <v>0.28713381755537998</v>
      </c>
      <c r="Z447" s="360">
        <v>1.2078419456392631</v>
      </c>
      <c r="AA447" s="360">
        <v>48.602318456039619</v>
      </c>
      <c r="AB447" s="360">
        <v>0.28659894284106724</v>
      </c>
      <c r="AC447" s="360">
        <v>1.2089164704895896</v>
      </c>
      <c r="AD447" s="360">
        <v>1.0025323348516879</v>
      </c>
      <c r="AE447" s="360">
        <v>0.28679289272365932</v>
      </c>
      <c r="AF447" s="360">
        <v>1.2078420747660148</v>
      </c>
      <c r="AG447" s="360">
        <v>44.554428717587932</v>
      </c>
      <c r="AH447" s="360">
        <v>541.21015643949238</v>
      </c>
      <c r="AI447" s="360">
        <v>0.27757693450872717</v>
      </c>
      <c r="AJ447" s="360">
        <v>1.2419586251550461</v>
      </c>
      <c r="AK447" s="360">
        <v>1.0924036794853185</v>
      </c>
      <c r="AL447" s="360">
        <v>0.28324637552730564</v>
      </c>
      <c r="AM447" s="360">
        <v>1.2078419886005716</v>
      </c>
      <c r="AN447" s="360">
        <v>475.15460607620702</v>
      </c>
      <c r="AO447" s="360">
        <f t="shared" si="18"/>
        <v>1</v>
      </c>
      <c r="AP447" s="360">
        <f t="shared" si="19"/>
        <v>1</v>
      </c>
      <c r="AQ447" s="360">
        <f t="shared" si="20"/>
        <v>1</v>
      </c>
    </row>
    <row r="448" spans="1:43">
      <c r="A448" s="360" t="s">
        <v>1081</v>
      </c>
      <c r="B448" t="s">
        <v>1076</v>
      </c>
      <c r="C448">
        <v>1</v>
      </c>
      <c r="D448" t="s">
        <v>1078</v>
      </c>
      <c r="E448" t="s">
        <v>1079</v>
      </c>
      <c r="F448" s="360">
        <v>7</v>
      </c>
      <c r="G448" s="360" t="str">
        <f>CONCATENATE(A448," ",B448," ",C448," ","inf+"," ",FanUpsizes!D448," ",FanUpsizes!F448)</f>
        <v>7ACH 5C 1 inf+ New 7</v>
      </c>
      <c r="H448" s="360">
        <v>1.9188428696287486E-2</v>
      </c>
      <c r="I448" s="360">
        <v>0.31416476857891401</v>
      </c>
      <c r="J448" s="360">
        <v>1.1218729586678344</v>
      </c>
      <c r="K448" s="360">
        <v>1133.718015876231</v>
      </c>
      <c r="L448" s="360">
        <v>0.29725365471417309</v>
      </c>
      <c r="M448" s="360">
        <v>1.1653932808328944</v>
      </c>
      <c r="N448" s="360">
        <v>1.157563479620936</v>
      </c>
      <c r="O448" s="360">
        <v>0.30619188198129571</v>
      </c>
      <c r="P448" s="360">
        <v>1.1218738668013273</v>
      </c>
      <c r="Q448" s="360">
        <v>1007.1024414144497</v>
      </c>
      <c r="R448" s="360">
        <v>1368.6307839230938</v>
      </c>
      <c r="S448" s="360">
        <v>0.29182140398898004</v>
      </c>
      <c r="T448" s="360">
        <v>1.1839972000027852</v>
      </c>
      <c r="U448" s="360">
        <v>1.2386995588549317</v>
      </c>
      <c r="V448" s="360">
        <v>0.30413562736655886</v>
      </c>
      <c r="W448" s="360">
        <v>1.1218744705672243</v>
      </c>
      <c r="X448" s="360">
        <v>1232.8890855973175</v>
      </c>
      <c r="Y448" s="360">
        <v>0.28713381755537998</v>
      </c>
      <c r="Z448" s="360">
        <v>1.2078419456392631</v>
      </c>
      <c r="AA448" s="360">
        <v>483.8774649053272</v>
      </c>
      <c r="AB448" s="360">
        <v>0.27994479827474056</v>
      </c>
      <c r="AC448" s="360">
        <v>1.2299832529607631</v>
      </c>
      <c r="AD448" s="360">
        <v>1.0574726288461698</v>
      </c>
      <c r="AE448" s="360">
        <v>0.28367415261455037</v>
      </c>
      <c r="AF448" s="360">
        <v>1.2078421828296935</v>
      </c>
      <c r="AG448" s="360">
        <v>438.04876828951234</v>
      </c>
      <c r="AH448" s="360">
        <v>658.09472093512102</v>
      </c>
      <c r="AI448" s="360">
        <v>0.27584706188144326</v>
      </c>
      <c r="AJ448" s="360">
        <v>1.2479571624628905</v>
      </c>
      <c r="AK448" s="360">
        <v>1.1126828562969073</v>
      </c>
      <c r="AL448" s="360">
        <v>0.28239257234996101</v>
      </c>
      <c r="AM448" s="360">
        <v>1.2078419474179167</v>
      </c>
      <c r="AN448" s="360">
        <v>603.36457802225073</v>
      </c>
      <c r="AO448" s="360">
        <f t="shared" si="18"/>
        <v>1</v>
      </c>
      <c r="AP448" s="360">
        <f t="shared" si="19"/>
        <v>1</v>
      </c>
      <c r="AQ448" s="360">
        <f t="shared" si="20"/>
        <v>1</v>
      </c>
    </row>
    <row r="449" spans="1:43">
      <c r="A449" s="360" t="s">
        <v>1081</v>
      </c>
      <c r="B449" t="s">
        <v>1075</v>
      </c>
      <c r="C449">
        <v>2</v>
      </c>
      <c r="D449" t="s">
        <v>1078</v>
      </c>
      <c r="E449" t="s">
        <v>1079</v>
      </c>
      <c r="F449" s="360">
        <v>7</v>
      </c>
      <c r="G449" s="360" t="str">
        <f>CONCATENATE(A449," ",B449," ",C449," ","inf+"," ",FanUpsizes!D449," ",FanUpsizes!F449)</f>
        <v>7ACH Percentile 2 inf+ New 7</v>
      </c>
      <c r="H449" s="360">
        <v>1.4421666666666666E-2</v>
      </c>
      <c r="I449" s="360">
        <v>0.37924432255365703</v>
      </c>
      <c r="J449" s="360">
        <v>0.96177437404102162</v>
      </c>
      <c r="K449" s="360">
        <v>852.08140685981459</v>
      </c>
      <c r="L449" s="360">
        <v>0.36653424342317981</v>
      </c>
      <c r="M449" s="360">
        <v>0.98278859144554753</v>
      </c>
      <c r="N449" s="360">
        <v>1.1398528538779766</v>
      </c>
      <c r="O449" s="360">
        <v>0.37225038444258651</v>
      </c>
      <c r="P449" s="360">
        <v>0.96177833069708818</v>
      </c>
      <c r="Q449" s="360">
        <v>767.61598793192593</v>
      </c>
      <c r="R449" s="360">
        <v>1121.296831570133</v>
      </c>
      <c r="S449" s="360">
        <v>0.35463596424481647</v>
      </c>
      <c r="T449" s="360">
        <v>1.0241140973496361</v>
      </c>
      <c r="U449" s="360">
        <v>1.5389576876404343</v>
      </c>
      <c r="V449" s="360">
        <v>0.37035372653937448</v>
      </c>
      <c r="W449" s="360">
        <v>0.96177451370199196</v>
      </c>
      <c r="X449" s="360">
        <v>940.88409593265283</v>
      </c>
      <c r="Y449" s="360">
        <v>0.3468303661588702</v>
      </c>
      <c r="Z449" s="360">
        <v>1.0528686678729642</v>
      </c>
      <c r="AA449" s="360">
        <v>220.42031440987108</v>
      </c>
      <c r="AB449" s="360">
        <v>0.34363232122290355</v>
      </c>
      <c r="AC449" s="360">
        <v>1.059168257192167</v>
      </c>
      <c r="AD449" s="360">
        <v>1.0360558835580294</v>
      </c>
      <c r="AE449" s="360">
        <v>0.34482616429666396</v>
      </c>
      <c r="AF449" s="360">
        <v>1.052870081142296</v>
      </c>
      <c r="AG449" s="360">
        <v>206.3276172187993</v>
      </c>
      <c r="AH449" s="360">
        <v>352.33192501921178</v>
      </c>
      <c r="AI449" s="360">
        <v>0.33666437324137277</v>
      </c>
      <c r="AJ449" s="360">
        <v>1.0942952683778167</v>
      </c>
      <c r="AK449" s="360">
        <v>1.3295647678674434</v>
      </c>
      <c r="AL449" s="360">
        <v>0.3439528816254851</v>
      </c>
      <c r="AM449" s="360">
        <v>1.0528690456497058</v>
      </c>
      <c r="AN449" s="360">
        <v>299.48833170557458</v>
      </c>
      <c r="AO449" s="360">
        <f t="shared" si="18"/>
        <v>1</v>
      </c>
      <c r="AP449" s="360">
        <f t="shared" si="19"/>
        <v>1</v>
      </c>
      <c r="AQ449" s="360">
        <f t="shared" si="20"/>
        <v>1</v>
      </c>
    </row>
    <row r="450" spans="1:43">
      <c r="A450" s="360" t="s">
        <v>1081</v>
      </c>
      <c r="B450" t="s">
        <v>1074</v>
      </c>
      <c r="C450">
        <v>2</v>
      </c>
      <c r="D450" t="s">
        <v>1078</v>
      </c>
      <c r="E450" t="s">
        <v>1079</v>
      </c>
      <c r="F450" s="360">
        <v>7</v>
      </c>
      <c r="G450" s="360" t="str">
        <f>CONCATENATE(A450," ",B450," ",C450," ","inf+"," ",FanUpsizes!D450," ",FanUpsizes!F450)</f>
        <v>7ACH Infiltration 2 inf+ New 7</v>
      </c>
      <c r="H450" s="360">
        <v>1.4421666666666666E-2</v>
      </c>
      <c r="I450" s="360">
        <v>0.37924432255365703</v>
      </c>
      <c r="J450" s="360">
        <v>0.96177437404102162</v>
      </c>
      <c r="K450" s="360">
        <v>582.79055516874826</v>
      </c>
      <c r="L450" s="360">
        <v>0.37126710749710046</v>
      </c>
      <c r="M450" s="360">
        <v>0.9736603356934258</v>
      </c>
      <c r="N450" s="360">
        <v>1.0743652127664263</v>
      </c>
      <c r="O450" s="360">
        <v>0.3746573927504892</v>
      </c>
      <c r="P450" s="360">
        <v>0.96177469770583401</v>
      </c>
      <c r="Q450" s="360">
        <v>517.85112864792518</v>
      </c>
      <c r="R450" s="360">
        <v>963.56157699564028</v>
      </c>
      <c r="S450" s="360">
        <v>0.36194415509474925</v>
      </c>
      <c r="T450" s="360">
        <v>0.99621013737248243</v>
      </c>
      <c r="U450" s="360">
        <v>1.247426076415004</v>
      </c>
      <c r="V450" s="360">
        <v>0.3709402419189673</v>
      </c>
      <c r="W450" s="360">
        <v>0.96177600543146213</v>
      </c>
      <c r="X450" s="360">
        <v>841.70942082845556</v>
      </c>
      <c r="Y450" s="360">
        <v>0.3468303661588702</v>
      </c>
      <c r="Z450" s="360">
        <v>1.0528686678729642</v>
      </c>
      <c r="AA450" s="360">
        <v>143.61068082506515</v>
      </c>
      <c r="AB450" s="360">
        <v>0.34492666267415406</v>
      </c>
      <c r="AC450" s="360">
        <v>1.0562283022819507</v>
      </c>
      <c r="AD450" s="360">
        <v>1.0186695565221433</v>
      </c>
      <c r="AE450" s="360">
        <v>0.34558864695010311</v>
      </c>
      <c r="AF450" s="360">
        <v>1.0528694878519465</v>
      </c>
      <c r="AG450" s="360">
        <v>133.6179002850846</v>
      </c>
      <c r="AH450" s="360">
        <v>317.05570664733222</v>
      </c>
      <c r="AI450" s="360">
        <v>0.34054253147937136</v>
      </c>
      <c r="AJ450" s="360">
        <v>1.0704117472221557</v>
      </c>
      <c r="AK450" s="360">
        <v>1.1121420962448452</v>
      </c>
      <c r="AL450" s="360">
        <v>0.34366544219766354</v>
      </c>
      <c r="AM450" s="360">
        <v>1.0528687073724012</v>
      </c>
      <c r="AN450" s="360">
        <v>293.10362272192066</v>
      </c>
      <c r="AO450" s="360">
        <f t="shared" si="18"/>
        <v>1</v>
      </c>
      <c r="AP450" s="360">
        <f t="shared" si="19"/>
        <v>1</v>
      </c>
      <c r="AQ450" s="360">
        <f t="shared" si="20"/>
        <v>1</v>
      </c>
    </row>
    <row r="451" spans="1:43">
      <c r="A451" s="360" t="s">
        <v>1081</v>
      </c>
      <c r="B451" t="s">
        <v>1076</v>
      </c>
      <c r="C451">
        <v>2</v>
      </c>
      <c r="D451" t="s">
        <v>1078</v>
      </c>
      <c r="E451" t="s">
        <v>1079</v>
      </c>
      <c r="F451" s="360">
        <v>7</v>
      </c>
      <c r="G451" s="360" t="str">
        <f>CONCATENATE(A451," ",B451," ",C451," ","inf+"," ",FanUpsizes!D451," ",FanUpsizes!F451)</f>
        <v>7ACH 5C 2 inf+ New 7</v>
      </c>
      <c r="H451" s="360">
        <v>1.4421666666666666E-2</v>
      </c>
      <c r="I451" s="360">
        <v>0.37924432255365703</v>
      </c>
      <c r="J451" s="360">
        <v>0.96177437404102162</v>
      </c>
      <c r="K451" s="360">
        <v>852.08140685981459</v>
      </c>
      <c r="L451" s="360">
        <v>0.36653424342317981</v>
      </c>
      <c r="M451" s="360">
        <v>0.98278859144554753</v>
      </c>
      <c r="N451" s="360">
        <v>1.1398528538779766</v>
      </c>
      <c r="O451" s="360">
        <v>0.37225038444258651</v>
      </c>
      <c r="P451" s="360">
        <v>0.96177833069708818</v>
      </c>
      <c r="Q451" s="360">
        <v>767.61598793192593</v>
      </c>
      <c r="R451" s="360">
        <v>1098.2070028411756</v>
      </c>
      <c r="S451" s="360">
        <v>0.35957772305778929</v>
      </c>
      <c r="T451" s="360">
        <v>1.0011067674619216</v>
      </c>
      <c r="U451" s="360">
        <v>1.2936710804650098</v>
      </c>
      <c r="V451" s="360">
        <v>0.36957388856659035</v>
      </c>
      <c r="W451" s="360">
        <v>0.96177526255231294</v>
      </c>
      <c r="X451" s="360">
        <v>993.12161924021564</v>
      </c>
      <c r="Y451" s="360">
        <v>0.3468303661588702</v>
      </c>
      <c r="Z451" s="360">
        <v>1.0528686678729642</v>
      </c>
      <c r="AA451" s="360">
        <v>220.42031440987108</v>
      </c>
      <c r="AB451" s="360">
        <v>0.34363232122290355</v>
      </c>
      <c r="AC451" s="360">
        <v>1.059168257192167</v>
      </c>
      <c r="AD451" s="360">
        <v>1.0360558835580294</v>
      </c>
      <c r="AE451" s="360">
        <v>0.34482616429666396</v>
      </c>
      <c r="AF451" s="360">
        <v>1.052870081142296</v>
      </c>
      <c r="AG451" s="360">
        <v>206.3276172187993</v>
      </c>
      <c r="AH451" s="360">
        <v>337.76682766123724</v>
      </c>
      <c r="AI451" s="360">
        <v>0.34021379291476894</v>
      </c>
      <c r="AJ451" s="360">
        <v>1.0711874863827575</v>
      </c>
      <c r="AK451" s="360">
        <v>1.1182746807859258</v>
      </c>
      <c r="AL451" s="360">
        <v>0.34343244780588772</v>
      </c>
      <c r="AM451" s="360">
        <v>1.0528686727674046</v>
      </c>
      <c r="AN451" s="360">
        <v>317.28335404528497</v>
      </c>
      <c r="AO451" s="360">
        <f t="shared" si="18"/>
        <v>1</v>
      </c>
      <c r="AP451" s="360">
        <f t="shared" si="19"/>
        <v>1</v>
      </c>
      <c r="AQ451" s="360">
        <f t="shared" si="20"/>
        <v>1</v>
      </c>
    </row>
    <row r="452" spans="1:43">
      <c r="A452" s="360" t="s">
        <v>1081</v>
      </c>
      <c r="B452" t="s">
        <v>1075</v>
      </c>
      <c r="C452">
        <v>1</v>
      </c>
      <c r="D452" t="s">
        <v>1080</v>
      </c>
      <c r="E452" t="s">
        <v>1079</v>
      </c>
      <c r="F452" s="360">
        <v>7</v>
      </c>
      <c r="G452" s="360" t="str">
        <f>CONCATENATE(A452," ",B452," ",C452," ","inf+"," ",FanUpsizes!D452," ",FanUpsizes!F452)</f>
        <v>7ACH Percentile 1 inf+ Existing 7</v>
      </c>
      <c r="H452" s="360">
        <v>3.5438428696287487E-2</v>
      </c>
      <c r="I452" s="360">
        <v>0.37932701864676255</v>
      </c>
      <c r="J452" s="360">
        <v>1.2279170957615235</v>
      </c>
      <c r="K452" s="360">
        <v>2093.8236112632153</v>
      </c>
      <c r="L452" s="360">
        <v>0.34809448197812037</v>
      </c>
      <c r="M452" s="360">
        <v>1.3214175545039961</v>
      </c>
      <c r="N452" s="360">
        <v>1.1905362706381868</v>
      </c>
      <c r="O452" s="360">
        <v>0.37194183357471861</v>
      </c>
      <c r="P452" s="360">
        <v>1.2279171422088826</v>
      </c>
      <c r="Q452" s="360">
        <v>1805.5407341677455</v>
      </c>
      <c r="R452" s="360">
        <v>2756.0911080726614</v>
      </c>
      <c r="S452" s="360">
        <v>0.3170128929751031</v>
      </c>
      <c r="T452" s="360">
        <v>1.4724592223717194</v>
      </c>
      <c r="U452" s="360">
        <v>1.6624812924243202</v>
      </c>
      <c r="V452" s="360">
        <v>0.37815806320942152</v>
      </c>
      <c r="W452" s="360">
        <v>1.2279173858084629</v>
      </c>
      <c r="X452" s="360">
        <v>2197.466444458405</v>
      </c>
      <c r="Y452" s="360">
        <v>0.36611019852137927</v>
      </c>
      <c r="Z452" s="360">
        <v>1.2426668310027962</v>
      </c>
      <c r="AA452" s="360">
        <v>1478.2988057262553</v>
      </c>
      <c r="AB452" s="360">
        <v>0.34387860146892268</v>
      </c>
      <c r="AC452" s="360">
        <v>1.3180341831231885</v>
      </c>
      <c r="AD452" s="360">
        <v>1.1243071281690034</v>
      </c>
      <c r="AE452" s="360">
        <v>0.36360554907314646</v>
      </c>
      <c r="AF452" s="360">
        <v>1.2426679596209669</v>
      </c>
      <c r="AG452" s="360">
        <v>1218.080054723383</v>
      </c>
      <c r="AH452" s="360">
        <v>2255.27116182181</v>
      </c>
      <c r="AI452" s="360">
        <v>0.3051384884485086</v>
      </c>
      <c r="AJ452" s="360">
        <v>1.5242059230925766</v>
      </c>
      <c r="AK452" s="360">
        <v>1.6348345861728126</v>
      </c>
      <c r="AL452" s="360">
        <v>0.3736878246166076</v>
      </c>
      <c r="AM452" s="360">
        <v>1.2426672131879</v>
      </c>
      <c r="AN452" s="360">
        <v>1646.9127534920376</v>
      </c>
      <c r="AO452" s="360">
        <f t="shared" si="18"/>
        <v>1</v>
      </c>
      <c r="AP452" s="360">
        <f t="shared" si="19"/>
        <v>1</v>
      </c>
      <c r="AQ452" s="360">
        <f t="shared" si="20"/>
        <v>1</v>
      </c>
    </row>
    <row r="453" spans="1:43">
      <c r="A453" s="360" t="s">
        <v>1081</v>
      </c>
      <c r="B453" t="s">
        <v>1074</v>
      </c>
      <c r="C453">
        <v>1</v>
      </c>
      <c r="D453" t="s">
        <v>1080</v>
      </c>
      <c r="E453" t="s">
        <v>1079</v>
      </c>
      <c r="F453" s="360">
        <v>7</v>
      </c>
      <c r="G453" s="360" t="str">
        <f>CONCATENATE(A453," ",B453," ",C453," ","inf+"," ",FanUpsizes!D453," ",FanUpsizes!F453)</f>
        <v>7ACH Infiltration 1 inf+ Existing 7</v>
      </c>
      <c r="H453" s="360">
        <v>3.5438428696287487E-2</v>
      </c>
      <c r="I453" s="360">
        <v>0.37932701864676255</v>
      </c>
      <c r="J453" s="360">
        <v>1.2279170957615235</v>
      </c>
      <c r="K453" s="360">
        <v>0</v>
      </c>
      <c r="L453" s="360">
        <v>0.37932701864676255</v>
      </c>
      <c r="M453" s="360">
        <v>1.2279170957615235</v>
      </c>
      <c r="N453" s="360">
        <v>1</v>
      </c>
      <c r="O453" s="360">
        <v>0.37932701864676255</v>
      </c>
      <c r="P453" s="360">
        <v>1.2279170957615235</v>
      </c>
      <c r="Q453" s="360">
        <v>0</v>
      </c>
      <c r="R453" s="360">
        <v>1041.0942461021698</v>
      </c>
      <c r="S453" s="360">
        <v>0.3638227216437101</v>
      </c>
      <c r="T453" s="360">
        <v>1.2670490084083905</v>
      </c>
      <c r="U453" s="360">
        <v>1.0710344741016873</v>
      </c>
      <c r="V453" s="360">
        <v>0.37360028993349487</v>
      </c>
      <c r="W453" s="360">
        <v>1.2279171910376261</v>
      </c>
      <c r="X453" s="360">
        <v>859.7730991599351</v>
      </c>
      <c r="Y453" s="360">
        <v>0.36611019852137927</v>
      </c>
      <c r="Z453" s="360">
        <v>1.2426668310027962</v>
      </c>
      <c r="AA453" s="360">
        <v>0</v>
      </c>
      <c r="AB453" s="360">
        <v>0.36611019852137927</v>
      </c>
      <c r="AC453" s="360">
        <v>1.2426668310027962</v>
      </c>
      <c r="AD453" s="360">
        <v>1</v>
      </c>
      <c r="AE453" s="360">
        <v>0.36611019852137927</v>
      </c>
      <c r="AF453" s="360">
        <v>1.2426668310027962</v>
      </c>
      <c r="AG453" s="360">
        <v>0</v>
      </c>
      <c r="AH453" s="360">
        <v>1054.7485522846916</v>
      </c>
      <c r="AI453" s="360">
        <v>0.35018714432084092</v>
      </c>
      <c r="AJ453" s="360">
        <v>1.2924762280331985</v>
      </c>
      <c r="AK453" s="360">
        <v>1.075037227466112</v>
      </c>
      <c r="AL453" s="360">
        <v>0.36293985411926888</v>
      </c>
      <c r="AM453" s="360">
        <v>1.2426677521608351</v>
      </c>
      <c r="AN453" s="360">
        <v>837.64436677385936</v>
      </c>
      <c r="AO453" s="360">
        <f t="shared" si="18"/>
        <v>1</v>
      </c>
      <c r="AP453" s="360">
        <f t="shared" si="19"/>
        <v>0</v>
      </c>
      <c r="AQ453" s="360">
        <f t="shared" si="20"/>
        <v>0</v>
      </c>
    </row>
    <row r="454" spans="1:43">
      <c r="A454" s="360" t="s">
        <v>1081</v>
      </c>
      <c r="B454" t="s">
        <v>1076</v>
      </c>
      <c r="C454">
        <v>1</v>
      </c>
      <c r="D454" t="s">
        <v>1080</v>
      </c>
      <c r="E454" t="s">
        <v>1079</v>
      </c>
      <c r="F454" s="360">
        <v>7</v>
      </c>
      <c r="G454" s="360" t="str">
        <f>CONCATENATE(A454," ",B454," ",C454," ","inf+"," ",FanUpsizes!D454," ",FanUpsizes!F454)</f>
        <v>7ACH 5C 1 inf+ Existing 7</v>
      </c>
      <c r="H454" s="360">
        <v>3.5438428696287487E-2</v>
      </c>
      <c r="I454" s="360">
        <v>0.37932701864676255</v>
      </c>
      <c r="J454" s="360">
        <v>1.2279170957615235</v>
      </c>
      <c r="K454" s="360">
        <v>2093.8236112632153</v>
      </c>
      <c r="L454" s="360">
        <v>0.34809448197812037</v>
      </c>
      <c r="M454" s="360">
        <v>1.3214175545039961</v>
      </c>
      <c r="N454" s="360">
        <v>1.1905362706381868</v>
      </c>
      <c r="O454" s="360">
        <v>0.37194183357471861</v>
      </c>
      <c r="P454" s="360">
        <v>1.2279171422088826</v>
      </c>
      <c r="Q454" s="360">
        <v>1805.5407341677455</v>
      </c>
      <c r="R454" s="360">
        <v>2093.8236112632153</v>
      </c>
      <c r="S454" s="360">
        <v>0.34809448197812037</v>
      </c>
      <c r="T454" s="360">
        <v>1.3214175545039961</v>
      </c>
      <c r="U454" s="360">
        <v>1.1905362706381868</v>
      </c>
      <c r="V454" s="360">
        <v>0.37194183357471861</v>
      </c>
      <c r="W454" s="360">
        <v>1.2279171422088826</v>
      </c>
      <c r="X454" s="360">
        <v>1805.5407341677455</v>
      </c>
      <c r="Y454" s="360">
        <v>0.36611019852137927</v>
      </c>
      <c r="Z454" s="360">
        <v>1.2426668310027962</v>
      </c>
      <c r="AA454" s="360">
        <v>1478.2988057262553</v>
      </c>
      <c r="AB454" s="360">
        <v>0.34387860146892268</v>
      </c>
      <c r="AC454" s="360">
        <v>1.3180341831231885</v>
      </c>
      <c r="AD454" s="360">
        <v>1.1243071281690034</v>
      </c>
      <c r="AE454" s="360">
        <v>0.36360554907314646</v>
      </c>
      <c r="AF454" s="360">
        <v>1.2426679596209669</v>
      </c>
      <c r="AG454" s="360">
        <v>1218.080054723383</v>
      </c>
      <c r="AH454" s="360">
        <v>1478.2988057262553</v>
      </c>
      <c r="AI454" s="360">
        <v>0.34387860146892268</v>
      </c>
      <c r="AJ454" s="360">
        <v>1.3180341831231885</v>
      </c>
      <c r="AK454" s="360">
        <v>1.1243071281690034</v>
      </c>
      <c r="AL454" s="360">
        <v>0.36360554907314646</v>
      </c>
      <c r="AM454" s="360">
        <v>1.2426679596209669</v>
      </c>
      <c r="AN454" s="360">
        <v>1218.080054723383</v>
      </c>
      <c r="AO454" s="360">
        <f t="shared" si="18"/>
        <v>1</v>
      </c>
      <c r="AP454" s="360">
        <f t="shared" si="19"/>
        <v>1</v>
      </c>
      <c r="AQ454" s="360">
        <f t="shared" si="20"/>
        <v>1</v>
      </c>
    </row>
    <row r="455" spans="1:43">
      <c r="A455" s="360" t="s">
        <v>1081</v>
      </c>
      <c r="B455" t="s">
        <v>1075</v>
      </c>
      <c r="C455">
        <v>2</v>
      </c>
      <c r="D455" t="s">
        <v>1080</v>
      </c>
      <c r="E455" t="s">
        <v>1079</v>
      </c>
      <c r="F455" s="360">
        <v>7</v>
      </c>
      <c r="G455" s="360" t="str">
        <f>CONCATENATE(A455," ",B455," ",C455," ","inf+"," ",FanUpsizes!D455," ",FanUpsizes!F455)</f>
        <v>7ACH Percentile 2 inf+ Existing 7</v>
      </c>
      <c r="H455" s="360">
        <v>2.7745773700463675E-2</v>
      </c>
      <c r="I455" s="360">
        <v>0.42940430667014717</v>
      </c>
      <c r="J455" s="360">
        <v>1.1317728432503891</v>
      </c>
      <c r="K455" s="360">
        <v>1639.3152355788179</v>
      </c>
      <c r="L455" s="360">
        <v>0.40495144782795245</v>
      </c>
      <c r="M455" s="360">
        <v>1.1812716990032435</v>
      </c>
      <c r="N455" s="360">
        <v>1.1650699701715255</v>
      </c>
      <c r="O455" s="360">
        <v>0.41865684755495131</v>
      </c>
      <c r="P455" s="360">
        <v>1.1317729110371437</v>
      </c>
      <c r="Q455" s="360">
        <v>1447.5114976815719</v>
      </c>
      <c r="R455" s="360">
        <v>2157.2574695337016</v>
      </c>
      <c r="S455" s="360">
        <v>0.38180296686152443</v>
      </c>
      <c r="T455" s="360">
        <v>1.2684827402001777</v>
      </c>
      <c r="U455" s="360">
        <v>1.5879606433181002</v>
      </c>
      <c r="V455" s="360">
        <v>0.41745325896588498</v>
      </c>
      <c r="W455" s="360">
        <v>1.1317728583932372</v>
      </c>
      <c r="X455" s="360">
        <v>1778.6033480054984</v>
      </c>
      <c r="Y455" s="360">
        <v>0.39386290347083913</v>
      </c>
      <c r="Z455" s="360">
        <v>1.2100161027694636</v>
      </c>
      <c r="AA455" s="360">
        <v>760.26692942779289</v>
      </c>
      <c r="AB455" s="360">
        <v>0.38253788606751626</v>
      </c>
      <c r="AC455" s="360">
        <v>1.2375145476051226</v>
      </c>
      <c r="AD455" s="360">
        <v>1.0658532220505885</v>
      </c>
      <c r="AE455" s="360">
        <v>0.38897316104834179</v>
      </c>
      <c r="AF455" s="360">
        <v>1.2100164341371102</v>
      </c>
      <c r="AG455" s="360">
        <v>680.0896952053007</v>
      </c>
      <c r="AH455" s="360">
        <v>1188.344346545173</v>
      </c>
      <c r="AI455" s="360">
        <v>0.36037157793367208</v>
      </c>
      <c r="AJ455" s="360">
        <v>1.3456635123937049</v>
      </c>
      <c r="AK455" s="360">
        <v>1.4581369720693427</v>
      </c>
      <c r="AL455" s="360">
        <v>0.39045916819572185</v>
      </c>
      <c r="AM455" s="360">
        <v>1.2100181565894192</v>
      </c>
      <c r="AN455" s="360">
        <v>951.00962467924364</v>
      </c>
      <c r="AO455" s="360">
        <f t="shared" si="18"/>
        <v>1</v>
      </c>
      <c r="AP455" s="360">
        <f t="shared" si="19"/>
        <v>1</v>
      </c>
      <c r="AQ455" s="360">
        <f t="shared" si="20"/>
        <v>1</v>
      </c>
    </row>
    <row r="456" spans="1:43">
      <c r="A456" s="360" t="s">
        <v>1081</v>
      </c>
      <c r="B456" t="s">
        <v>1074</v>
      </c>
      <c r="C456">
        <v>2</v>
      </c>
      <c r="D456" t="s">
        <v>1080</v>
      </c>
      <c r="E456" t="s">
        <v>1079</v>
      </c>
      <c r="F456" s="360">
        <v>7</v>
      </c>
      <c r="G456" s="360" t="str">
        <f>CONCATENATE(A456," ",B456," ",C456," ","inf+"," ",FanUpsizes!D456," ",FanUpsizes!F456)</f>
        <v>7ACH Infiltration 2 inf+ Existing 7</v>
      </c>
      <c r="H456" s="360">
        <v>2.7745773700463675E-2</v>
      </c>
      <c r="I456" s="360">
        <v>0.42940430667014717</v>
      </c>
      <c r="J456" s="360">
        <v>1.1317728432503891</v>
      </c>
      <c r="K456" s="360">
        <v>92.048676156122525</v>
      </c>
      <c r="L456" s="360">
        <v>0.42841076317034488</v>
      </c>
      <c r="M456" s="360">
        <v>1.1331097591789943</v>
      </c>
      <c r="N456" s="360">
        <v>1.0038300051259628</v>
      </c>
      <c r="O456" s="360">
        <v>0.42881519693131159</v>
      </c>
      <c r="P456" s="360">
        <v>1.1317729772118001</v>
      </c>
      <c r="Q456" s="360">
        <v>81.672346928163535</v>
      </c>
      <c r="R456" s="360">
        <v>1169.2413451950142</v>
      </c>
      <c r="S456" s="360">
        <v>0.40992500970049262</v>
      </c>
      <c r="T456" s="360">
        <v>1.1714053338633432</v>
      </c>
      <c r="U456" s="360">
        <v>1.1257132068956648</v>
      </c>
      <c r="V456" s="360">
        <v>0.42095747617512286</v>
      </c>
      <c r="W456" s="360">
        <v>1.1317731083994849</v>
      </c>
      <c r="X456" s="360">
        <v>964.07386572091093</v>
      </c>
      <c r="Y456" s="360">
        <v>0.39386290347083913</v>
      </c>
      <c r="Z456" s="360">
        <v>1.2100161027694636</v>
      </c>
      <c r="AA456" s="360">
        <v>35.955476291646313</v>
      </c>
      <c r="AB456" s="360">
        <v>0.39348158106973385</v>
      </c>
      <c r="AC456" s="360">
        <v>1.2106170946135839</v>
      </c>
      <c r="AD456" s="360">
        <v>1.0012842306232121</v>
      </c>
      <c r="AE456" s="360">
        <v>0.39363151156043713</v>
      </c>
      <c r="AF456" s="360">
        <v>1.2100165012966311</v>
      </c>
      <c r="AG456" s="360">
        <v>32.693074576944547</v>
      </c>
      <c r="AH456" s="360">
        <v>804.41073608302111</v>
      </c>
      <c r="AI456" s="360">
        <v>0.38000820677694547</v>
      </c>
      <c r="AJ456" s="360">
        <v>1.2473312350901784</v>
      </c>
      <c r="AK456" s="360">
        <v>1.0918233700211515</v>
      </c>
      <c r="AL456" s="360">
        <v>0.3886616344482639</v>
      </c>
      <c r="AM456" s="360">
        <v>1.2100171151712062</v>
      </c>
      <c r="AN456" s="360">
        <v>696.43227349361371</v>
      </c>
      <c r="AO456" s="360">
        <f t="shared" si="18"/>
        <v>1</v>
      </c>
      <c r="AP456" s="360">
        <f t="shared" si="19"/>
        <v>1</v>
      </c>
      <c r="AQ456" s="360">
        <f t="shared" si="20"/>
        <v>1</v>
      </c>
    </row>
    <row r="457" spans="1:43">
      <c r="A457" s="360" t="s">
        <v>1081</v>
      </c>
      <c r="B457" t="s">
        <v>1076</v>
      </c>
      <c r="C457">
        <v>2</v>
      </c>
      <c r="D457" t="s">
        <v>1080</v>
      </c>
      <c r="E457" t="s">
        <v>1079</v>
      </c>
      <c r="F457" s="360">
        <v>7</v>
      </c>
      <c r="G457" s="360" t="str">
        <f>CONCATENATE(A457," ",B457," ",C457," ","inf+"," ",FanUpsizes!D457," ",FanUpsizes!F457)</f>
        <v>7ACH 5C 2 inf+ Existing 7</v>
      </c>
      <c r="H457" s="360">
        <v>2.7745773700463675E-2</v>
      </c>
      <c r="I457" s="360">
        <v>0.42940430667014717</v>
      </c>
      <c r="J457" s="360">
        <v>1.1317728432503891</v>
      </c>
      <c r="K457" s="360">
        <v>1639.3152355788179</v>
      </c>
      <c r="L457" s="360">
        <v>0.40495144782795245</v>
      </c>
      <c r="M457" s="360">
        <v>1.1812716990032435</v>
      </c>
      <c r="N457" s="360">
        <v>1.1650699701715255</v>
      </c>
      <c r="O457" s="360">
        <v>0.41865684755495131</v>
      </c>
      <c r="P457" s="360">
        <v>1.1317729110371437</v>
      </c>
      <c r="Q457" s="360">
        <v>1447.5114976815719</v>
      </c>
      <c r="R457" s="360">
        <v>1942.8746249063468</v>
      </c>
      <c r="S457" s="360">
        <v>0.39819535202929579</v>
      </c>
      <c r="T457" s="360">
        <v>1.1984643493630913</v>
      </c>
      <c r="U457" s="360">
        <v>1.2340245640975906</v>
      </c>
      <c r="V457" s="360">
        <v>0.41614179826328151</v>
      </c>
      <c r="W457" s="360">
        <v>1.1317770414679871</v>
      </c>
      <c r="X457" s="360">
        <v>1741.9891637758119</v>
      </c>
      <c r="Y457" s="360">
        <v>0.39386290347083913</v>
      </c>
      <c r="Z457" s="360">
        <v>1.2100161027694636</v>
      </c>
      <c r="AA457" s="360">
        <v>760.26692942779289</v>
      </c>
      <c r="AB457" s="360">
        <v>0.38253788606751626</v>
      </c>
      <c r="AC457" s="360">
        <v>1.2375145476051226</v>
      </c>
      <c r="AD457" s="360">
        <v>1.0658532220505885</v>
      </c>
      <c r="AE457" s="360">
        <v>0.38897316104834179</v>
      </c>
      <c r="AF457" s="360">
        <v>1.2100164341371102</v>
      </c>
      <c r="AG457" s="360">
        <v>680.0896952053007</v>
      </c>
      <c r="AH457" s="360">
        <v>999.59871598701079</v>
      </c>
      <c r="AI457" s="360">
        <v>0.37714314865393839</v>
      </c>
      <c r="AJ457" s="360">
        <v>1.255164205101492</v>
      </c>
      <c r="AK457" s="360">
        <v>1.1161287115988199</v>
      </c>
      <c r="AL457" s="360">
        <v>0.38746404384938704</v>
      </c>
      <c r="AM457" s="360">
        <v>1.210017540082259</v>
      </c>
      <c r="AN457" s="360">
        <v>907.40109505887699</v>
      </c>
      <c r="AO457" s="360">
        <f t="shared" si="18"/>
        <v>1</v>
      </c>
      <c r="AP457" s="360">
        <f t="shared" si="19"/>
        <v>1</v>
      </c>
      <c r="AQ457" s="360">
        <f t="shared" si="20"/>
        <v>1</v>
      </c>
    </row>
    <row r="458" spans="1:43">
      <c r="A458" s="360" t="s">
        <v>1082</v>
      </c>
      <c r="B458" t="s">
        <v>1075</v>
      </c>
      <c r="C458">
        <v>1</v>
      </c>
      <c r="D458" t="s">
        <v>1078</v>
      </c>
      <c r="E458" t="s">
        <v>1079</v>
      </c>
      <c r="F458" s="360">
        <v>7</v>
      </c>
      <c r="G458" s="360" t="str">
        <f>CONCATENATE(A458," ",B458," ",C458," ","inf+"," ",FanUpsizes!D458," ",FanUpsizes!F458)</f>
        <v>5ACH Percentile 1 inf+ New 7</v>
      </c>
      <c r="H458" s="360">
        <v>2.6067449068776772E-2</v>
      </c>
      <c r="I458" s="360">
        <v>0.27418791389893976</v>
      </c>
      <c r="J458" s="360">
        <v>1.2286316780230988</v>
      </c>
      <c r="K458" s="360">
        <v>1540.1540743629178</v>
      </c>
      <c r="L458" s="360">
        <v>0.25121419331228712</v>
      </c>
      <c r="M458" s="360">
        <v>1.3240878822189861</v>
      </c>
      <c r="N458" s="360">
        <v>1.191494807192814</v>
      </c>
      <c r="O458" s="360">
        <v>0.26909301609777586</v>
      </c>
      <c r="P458" s="360">
        <v>1.228632163457249</v>
      </c>
      <c r="Q458" s="360">
        <v>1325.7432694644535</v>
      </c>
      <c r="R458" s="360">
        <v>2027.5332741797424</v>
      </c>
      <c r="S458" s="360">
        <v>0.22822062387650496</v>
      </c>
      <c r="T458" s="360">
        <v>1.4761262103236694</v>
      </c>
      <c r="U458" s="360">
        <v>1.6606745889897185</v>
      </c>
      <c r="V458" s="360">
        <v>0.27356286857194123</v>
      </c>
      <c r="W458" s="360">
        <v>1.2286324752941202</v>
      </c>
      <c r="X458" s="360">
        <v>1616.1398408750445</v>
      </c>
      <c r="Y458" s="360">
        <v>0.26567630207366089</v>
      </c>
      <c r="Z458" s="360">
        <v>1.2404984563979287</v>
      </c>
      <c r="AA458" s="360">
        <v>1111.4423479465152</v>
      </c>
      <c r="AB458" s="360">
        <v>0.24895644314210466</v>
      </c>
      <c r="AC458" s="360">
        <v>1.3186775693089632</v>
      </c>
      <c r="AD458" s="360">
        <v>1.1277248250504754</v>
      </c>
      <c r="AE458" s="360">
        <v>0.26401133553545048</v>
      </c>
      <c r="AF458" s="360">
        <v>1.2404984603267692</v>
      </c>
      <c r="AG458" s="360">
        <v>912.24317869407923</v>
      </c>
      <c r="AH458" s="360">
        <v>1692.4773109889093</v>
      </c>
      <c r="AI458" s="360">
        <v>0.22005813660235968</v>
      </c>
      <c r="AJ458" s="360">
        <v>1.5262607270326904</v>
      </c>
      <c r="AK458" s="360">
        <v>1.6373374371955258</v>
      </c>
      <c r="AL458" s="360">
        <v>0.27117187458600789</v>
      </c>
      <c r="AM458" s="360">
        <v>1.2404984998955328</v>
      </c>
      <c r="AN458" s="360">
        <v>1236.0109564723878</v>
      </c>
      <c r="AO458" s="360">
        <f t="shared" si="18"/>
        <v>1</v>
      </c>
      <c r="AP458" s="360">
        <f t="shared" si="19"/>
        <v>1</v>
      </c>
      <c r="AQ458" s="360">
        <f t="shared" si="20"/>
        <v>1</v>
      </c>
    </row>
    <row r="459" spans="1:43">
      <c r="A459" s="360" t="s">
        <v>1082</v>
      </c>
      <c r="B459" t="s">
        <v>1074</v>
      </c>
      <c r="C459">
        <v>1</v>
      </c>
      <c r="D459" t="s">
        <v>1078</v>
      </c>
      <c r="E459" t="s">
        <v>1079</v>
      </c>
      <c r="F459" s="360">
        <v>7</v>
      </c>
      <c r="G459" s="360" t="str">
        <f>CONCATENATE(A459," ",B459," ",C459," ","inf+"," ",FanUpsizes!D459," ",FanUpsizes!F459)</f>
        <v>5ACH Infiltration 1 inf+ New 7</v>
      </c>
      <c r="H459" s="360">
        <v>2.6067449068776772E-2</v>
      </c>
      <c r="I459" s="360">
        <v>0.27418791389893976</v>
      </c>
      <c r="J459" s="360">
        <v>1.2286316780230988</v>
      </c>
      <c r="K459" s="360">
        <v>0</v>
      </c>
      <c r="L459" s="360">
        <v>0.27418791389893976</v>
      </c>
      <c r="M459" s="360">
        <v>1.2286316780230988</v>
      </c>
      <c r="N459" s="360">
        <v>1</v>
      </c>
      <c r="O459" s="360">
        <v>0.27418791389893976</v>
      </c>
      <c r="P459" s="360">
        <v>1.2286316780230988</v>
      </c>
      <c r="Q459" s="360">
        <v>0</v>
      </c>
      <c r="R459" s="360">
        <v>732.93627113522314</v>
      </c>
      <c r="S459" s="360">
        <v>0.26339839168269319</v>
      </c>
      <c r="T459" s="360">
        <v>1.2661915139592381</v>
      </c>
      <c r="U459" s="360">
        <v>1.0670901227414409</v>
      </c>
      <c r="V459" s="360">
        <v>0.27029850112510673</v>
      </c>
      <c r="W459" s="360">
        <v>1.2286325335980135</v>
      </c>
      <c r="X459" s="360">
        <v>604.54445157608302</v>
      </c>
      <c r="Y459" s="360">
        <v>0.26567630207366089</v>
      </c>
      <c r="Z459" s="360">
        <v>1.2404984563979287</v>
      </c>
      <c r="AA459" s="360">
        <v>0</v>
      </c>
      <c r="AB459" s="360">
        <v>0.26567630207366089</v>
      </c>
      <c r="AC459" s="360">
        <v>1.2404984563979287</v>
      </c>
      <c r="AD459" s="360">
        <v>1</v>
      </c>
      <c r="AE459" s="360">
        <v>0.26567630207366089</v>
      </c>
      <c r="AF459" s="360">
        <v>1.2404984563979287</v>
      </c>
      <c r="AG459" s="360">
        <v>0</v>
      </c>
      <c r="AH459" s="360">
        <v>755.03170781547669</v>
      </c>
      <c r="AI459" s="360">
        <v>0.25441542677459278</v>
      </c>
      <c r="AJ459" s="360">
        <v>1.2886724441845188</v>
      </c>
      <c r="AK459" s="360">
        <v>1.0712811440056784</v>
      </c>
      <c r="AL459" s="360">
        <v>0.26349719537332061</v>
      </c>
      <c r="AM459" s="360">
        <v>1.2405000684307514</v>
      </c>
      <c r="AN459" s="360">
        <v>596.75183554596197</v>
      </c>
      <c r="AO459" s="360">
        <f t="shared" si="18"/>
        <v>1</v>
      </c>
      <c r="AP459" s="360">
        <f t="shared" si="19"/>
        <v>0</v>
      </c>
      <c r="AQ459" s="360">
        <f t="shared" si="20"/>
        <v>0</v>
      </c>
    </row>
    <row r="460" spans="1:43">
      <c r="A460" s="360" t="s">
        <v>1082</v>
      </c>
      <c r="B460" t="s">
        <v>1076</v>
      </c>
      <c r="C460">
        <v>1</v>
      </c>
      <c r="D460" t="s">
        <v>1078</v>
      </c>
      <c r="E460" t="s">
        <v>1079</v>
      </c>
      <c r="F460" s="360">
        <v>7</v>
      </c>
      <c r="G460" s="360" t="str">
        <f>CONCATENATE(A460," ",B460," ",C460," ","inf+"," ",FanUpsizes!D460," ",FanUpsizes!F460)</f>
        <v>5ACH 5C 1 inf+ New 7</v>
      </c>
      <c r="H460" s="360">
        <v>2.6067449068776772E-2</v>
      </c>
      <c r="I460" s="360">
        <v>0.27418791389893976</v>
      </c>
      <c r="J460" s="360">
        <v>1.2286316780230988</v>
      </c>
      <c r="K460" s="360">
        <v>1540.1540743629178</v>
      </c>
      <c r="L460" s="360">
        <v>0.25121419331228712</v>
      </c>
      <c r="M460" s="360">
        <v>1.3240878822189861</v>
      </c>
      <c r="N460" s="360">
        <v>1.191494807192814</v>
      </c>
      <c r="O460" s="360">
        <v>0.26909301609777586</v>
      </c>
      <c r="P460" s="360">
        <v>1.228632163457249</v>
      </c>
      <c r="Q460" s="360">
        <v>1325.7432694644535</v>
      </c>
      <c r="R460" s="360">
        <v>1540.1540743629178</v>
      </c>
      <c r="S460" s="360">
        <v>0.25121419331228712</v>
      </c>
      <c r="T460" s="360">
        <v>1.3240878822189861</v>
      </c>
      <c r="U460" s="360">
        <v>1.191494807192814</v>
      </c>
      <c r="V460" s="360">
        <v>0.26909301609777586</v>
      </c>
      <c r="W460" s="360">
        <v>1.228632163457249</v>
      </c>
      <c r="X460" s="360">
        <v>1325.7432694644535</v>
      </c>
      <c r="Y460" s="360">
        <v>0.26567630207366089</v>
      </c>
      <c r="Z460" s="360">
        <v>1.2404984563979287</v>
      </c>
      <c r="AA460" s="360">
        <v>1111.4423479465152</v>
      </c>
      <c r="AB460" s="360">
        <v>0.24895644314210466</v>
      </c>
      <c r="AC460" s="360">
        <v>1.3186775693089632</v>
      </c>
      <c r="AD460" s="360">
        <v>1.1277248250504754</v>
      </c>
      <c r="AE460" s="360">
        <v>0.26401133553545048</v>
      </c>
      <c r="AF460" s="360">
        <v>1.2404984603267692</v>
      </c>
      <c r="AG460" s="360">
        <v>912.24317869407923</v>
      </c>
      <c r="AH460" s="360">
        <v>1111.4423479465152</v>
      </c>
      <c r="AI460" s="360">
        <v>0.24895644314210466</v>
      </c>
      <c r="AJ460" s="360">
        <v>1.3186775693089632</v>
      </c>
      <c r="AK460" s="360">
        <v>1.1277248250504754</v>
      </c>
      <c r="AL460" s="360">
        <v>0.26401133553545048</v>
      </c>
      <c r="AM460" s="360">
        <v>1.2404984603267692</v>
      </c>
      <c r="AN460" s="360">
        <v>912.24317869407923</v>
      </c>
      <c r="AO460" s="360">
        <f t="shared" si="18"/>
        <v>1</v>
      </c>
      <c r="AP460" s="360">
        <f t="shared" si="19"/>
        <v>1</v>
      </c>
      <c r="AQ460" s="360">
        <f t="shared" si="20"/>
        <v>1</v>
      </c>
    </row>
    <row r="461" spans="1:43">
      <c r="A461" s="360" t="s">
        <v>1082</v>
      </c>
      <c r="B461" t="s">
        <v>1075</v>
      </c>
      <c r="C461">
        <v>2</v>
      </c>
      <c r="D461" t="s">
        <v>1078</v>
      </c>
      <c r="E461" t="s">
        <v>1079</v>
      </c>
      <c r="F461" s="360">
        <v>7</v>
      </c>
      <c r="G461" s="360" t="str">
        <f>CONCATENATE(A461," ",B461," ",C461," ","inf+"," ",FanUpsizes!D461," ",FanUpsizes!F461)</f>
        <v>5ACH Percentile 2 inf+ New 7</v>
      </c>
      <c r="H461" s="360">
        <v>2.0572695500331192E-2</v>
      </c>
      <c r="I461" s="360">
        <v>0.30961871014041564</v>
      </c>
      <c r="J461" s="360">
        <v>1.1316971651353676</v>
      </c>
      <c r="K461" s="360">
        <v>1215.5052345882903</v>
      </c>
      <c r="L461" s="360">
        <v>0.29148761657265082</v>
      </c>
      <c r="M461" s="360">
        <v>1.1828872188672213</v>
      </c>
      <c r="N461" s="360">
        <v>1.1690388749600333</v>
      </c>
      <c r="O461" s="360">
        <v>0.30195927420003321</v>
      </c>
      <c r="P461" s="360">
        <v>1.1316973208540444</v>
      </c>
      <c r="Q461" s="360">
        <v>1069.868831041475</v>
      </c>
      <c r="R461" s="360">
        <v>1599.544547420157</v>
      </c>
      <c r="S461" s="360">
        <v>0.27429528242465112</v>
      </c>
      <c r="T461" s="360">
        <v>1.2705779770390317</v>
      </c>
      <c r="U461" s="360">
        <v>1.5902334451705107</v>
      </c>
      <c r="V461" s="360">
        <v>0.30105580397934795</v>
      </c>
      <c r="W461" s="360">
        <v>1.1316972389351736</v>
      </c>
      <c r="X461" s="360">
        <v>1317.6901495211471</v>
      </c>
      <c r="Y461" s="360">
        <v>0.28455823248265472</v>
      </c>
      <c r="Z461" s="360">
        <v>1.2082785684428377</v>
      </c>
      <c r="AA461" s="360">
        <v>582.07520021835535</v>
      </c>
      <c r="AB461" s="360">
        <v>0.27587923542411252</v>
      </c>
      <c r="AC461" s="360">
        <v>1.2376113801281248</v>
      </c>
      <c r="AD461" s="360">
        <v>1.0692161790828514</v>
      </c>
      <c r="AE461" s="360">
        <v>0.28099667055883837</v>
      </c>
      <c r="AF461" s="360">
        <v>1.2082835516318504</v>
      </c>
      <c r="AG461" s="360">
        <v>518.05029433290952</v>
      </c>
      <c r="AH461" s="360">
        <v>908.30260366410778</v>
      </c>
      <c r="AI461" s="360">
        <v>0.25902761056937806</v>
      </c>
      <c r="AJ461" s="360">
        <v>1.3472554054307442</v>
      </c>
      <c r="AK461" s="360">
        <v>1.4615235194597693</v>
      </c>
      <c r="AL461" s="360">
        <v>0.28194277402959184</v>
      </c>
      <c r="AM461" s="360">
        <v>1.2082795075679857</v>
      </c>
      <c r="AN461" s="360">
        <v>726.25143098058038</v>
      </c>
      <c r="AO461" s="360">
        <f t="shared" si="18"/>
        <v>1</v>
      </c>
      <c r="AP461" s="360">
        <f t="shared" si="19"/>
        <v>1</v>
      </c>
      <c r="AQ461" s="360">
        <f t="shared" si="20"/>
        <v>1</v>
      </c>
    </row>
    <row r="462" spans="1:43">
      <c r="A462" s="360" t="s">
        <v>1082</v>
      </c>
      <c r="B462" t="s">
        <v>1074</v>
      </c>
      <c r="C462">
        <v>2</v>
      </c>
      <c r="D462" t="s">
        <v>1078</v>
      </c>
      <c r="E462" t="s">
        <v>1079</v>
      </c>
      <c r="F462" s="360">
        <v>7</v>
      </c>
      <c r="G462" s="360" t="str">
        <f>CONCATENATE(A462," ",B462," ",C462," ","inf+"," ",FanUpsizes!D462," ",FanUpsizes!F462)</f>
        <v>5ACH Infiltration 2 inf+ New 7</v>
      </c>
      <c r="H462" s="360">
        <v>2.0572695500331192E-2</v>
      </c>
      <c r="I462" s="360">
        <v>0.30961871014041564</v>
      </c>
      <c r="J462" s="360">
        <v>1.1316971651353676</v>
      </c>
      <c r="K462" s="360">
        <v>54.999033676540499</v>
      </c>
      <c r="L462" s="360">
        <v>0.30902936293075578</v>
      </c>
      <c r="M462" s="360">
        <v>1.1328198853784555</v>
      </c>
      <c r="N462" s="360">
        <v>1.0031727228645255</v>
      </c>
      <c r="O462" s="360">
        <v>0.30927939841597063</v>
      </c>
      <c r="P462" s="360">
        <v>1.1316976210192258</v>
      </c>
      <c r="Q462" s="360">
        <v>48.583591700587093</v>
      </c>
      <c r="R462" s="360">
        <v>838.42505520761472</v>
      </c>
      <c r="S462" s="360">
        <v>0.29583838567925541</v>
      </c>
      <c r="T462" s="360">
        <v>1.1702588637754823</v>
      </c>
      <c r="U462" s="360">
        <v>1.1202805796952062</v>
      </c>
      <c r="V462" s="360">
        <v>0.3037856183290657</v>
      </c>
      <c r="W462" s="360">
        <v>1.1316975350959215</v>
      </c>
      <c r="X462" s="360">
        <v>689.44121552319677</v>
      </c>
      <c r="Y462" s="360">
        <v>0.28455823248265472</v>
      </c>
      <c r="Z462" s="360">
        <v>1.2082785684428377</v>
      </c>
      <c r="AA462" s="360">
        <v>22.422969400206025</v>
      </c>
      <c r="AB462" s="360">
        <v>0.28432180064121887</v>
      </c>
      <c r="AC462" s="360">
        <v>1.2088097940863707</v>
      </c>
      <c r="AD462" s="360">
        <v>1.0011141349662291</v>
      </c>
      <c r="AE462" s="360">
        <v>0.28442045277640965</v>
      </c>
      <c r="AF462" s="360">
        <v>1.208278698533215</v>
      </c>
      <c r="AG462" s="360">
        <v>20.257377337592818</v>
      </c>
      <c r="AH462" s="360">
        <v>595.61473877111575</v>
      </c>
      <c r="AI462" s="360">
        <v>0.27447708573431989</v>
      </c>
      <c r="AJ462" s="360">
        <v>1.2452254368260189</v>
      </c>
      <c r="AK462" s="360">
        <v>1.0887042257020498</v>
      </c>
      <c r="AL462" s="360">
        <v>0.28087748145147157</v>
      </c>
      <c r="AM462" s="360">
        <v>1.2082839509454897</v>
      </c>
      <c r="AN462" s="360">
        <v>513.13679641153658</v>
      </c>
      <c r="AO462" s="360">
        <f t="shared" si="18"/>
        <v>1</v>
      </c>
      <c r="AP462" s="360">
        <f t="shared" si="19"/>
        <v>1</v>
      </c>
      <c r="AQ462" s="360">
        <f t="shared" si="20"/>
        <v>1</v>
      </c>
    </row>
    <row r="463" spans="1:43">
      <c r="A463" s="360" t="s">
        <v>1082</v>
      </c>
      <c r="B463" t="s">
        <v>1076</v>
      </c>
      <c r="C463">
        <v>2</v>
      </c>
      <c r="D463" t="s">
        <v>1078</v>
      </c>
      <c r="E463" t="s">
        <v>1079</v>
      </c>
      <c r="F463" s="360">
        <v>7</v>
      </c>
      <c r="G463" s="360" t="str">
        <f>CONCATENATE(A463," ",B463," ",C463," ","inf+"," ",FanUpsizes!D463," ",FanUpsizes!F463)</f>
        <v>5ACH 5C 2 inf+ New 7</v>
      </c>
      <c r="H463" s="360">
        <v>2.0572695500331192E-2</v>
      </c>
      <c r="I463" s="360">
        <v>0.30961871014041564</v>
      </c>
      <c r="J463" s="360">
        <v>1.1316971651353676</v>
      </c>
      <c r="K463" s="360">
        <v>1215.5052345882903</v>
      </c>
      <c r="L463" s="360">
        <v>0.29148761657265082</v>
      </c>
      <c r="M463" s="360">
        <v>1.1828872188672213</v>
      </c>
      <c r="N463" s="360">
        <v>1.1690388749600333</v>
      </c>
      <c r="O463" s="360">
        <v>0.30195927420003321</v>
      </c>
      <c r="P463" s="360">
        <v>1.1316973208540444</v>
      </c>
      <c r="Q463" s="360">
        <v>1069.868831041475</v>
      </c>
      <c r="R463" s="360">
        <v>1418.6781556635015</v>
      </c>
      <c r="S463" s="360">
        <v>0.28706751250020324</v>
      </c>
      <c r="T463" s="360">
        <v>1.1984440293329774</v>
      </c>
      <c r="U463" s="360">
        <v>1.2307504836471117</v>
      </c>
      <c r="V463" s="360">
        <v>0.30040798391583901</v>
      </c>
      <c r="W463" s="360">
        <v>1.1316974529356054</v>
      </c>
      <c r="X463" s="360">
        <v>1266.756014682742</v>
      </c>
      <c r="Y463" s="360">
        <v>0.28455823248265472</v>
      </c>
      <c r="Z463" s="360">
        <v>1.2082785684428377</v>
      </c>
      <c r="AA463" s="360">
        <v>582.07520021835535</v>
      </c>
      <c r="AB463" s="360">
        <v>0.27587923542411252</v>
      </c>
      <c r="AC463" s="360">
        <v>1.2376113801281248</v>
      </c>
      <c r="AD463" s="360">
        <v>1.0692161790828514</v>
      </c>
      <c r="AE463" s="360">
        <v>0.28099667055883837</v>
      </c>
      <c r="AF463" s="360">
        <v>1.2082835516318504</v>
      </c>
      <c r="AG463" s="360">
        <v>518.05029433290952</v>
      </c>
      <c r="AH463" s="360">
        <v>746.69237893187483</v>
      </c>
      <c r="AI463" s="360">
        <v>0.27226023178759795</v>
      </c>
      <c r="AJ463" s="360">
        <v>1.2536693335756917</v>
      </c>
      <c r="AK463" s="360">
        <v>1.1141416344631667</v>
      </c>
      <c r="AL463" s="360">
        <v>0.28002416222511228</v>
      </c>
      <c r="AM463" s="360">
        <v>1.2082788595872287</v>
      </c>
      <c r="AN463" s="360">
        <v>674.22977619827111</v>
      </c>
      <c r="AO463" s="360">
        <f t="shared" si="18"/>
        <v>1</v>
      </c>
      <c r="AP463" s="360">
        <f t="shared" si="19"/>
        <v>1</v>
      </c>
      <c r="AQ463" s="360">
        <f t="shared" si="20"/>
        <v>1</v>
      </c>
    </row>
    <row r="464" spans="1:43">
      <c r="A464" s="360" t="s">
        <v>1082</v>
      </c>
      <c r="B464" t="s">
        <v>1075</v>
      </c>
      <c r="C464">
        <v>1</v>
      </c>
      <c r="D464" t="s">
        <v>1080</v>
      </c>
      <c r="E464" t="s">
        <v>1079</v>
      </c>
      <c r="F464" s="360">
        <v>7</v>
      </c>
      <c r="G464" s="360" t="str">
        <f>CONCATENATE(A464," ",B464," ",C464," ","inf+"," ",FanUpsizes!D464," ",FanUpsizes!F464)</f>
        <v>5ACH Percentile 1 inf+ Existing 7</v>
      </c>
      <c r="H464" s="360">
        <v>4.2317449068776769E-2</v>
      </c>
      <c r="I464" s="360">
        <v>0.352946455358013</v>
      </c>
      <c r="J464" s="360">
        <v>1.2696653712111794</v>
      </c>
      <c r="K464" s="360">
        <v>2500.2596697498843</v>
      </c>
      <c r="L464" s="360">
        <v>0.31565131196746621</v>
      </c>
      <c r="M464" s="360">
        <v>1.4442325100861695</v>
      </c>
      <c r="N464" s="360">
        <v>1.2477488010500142</v>
      </c>
      <c r="O464" s="360">
        <v>0.36573399958904512</v>
      </c>
      <c r="P464" s="360">
        <v>1.2696653853008364</v>
      </c>
      <c r="Q464" s="360">
        <v>1856.1915798330344</v>
      </c>
      <c r="R464" s="360">
        <v>3363.2155057409518</v>
      </c>
      <c r="S464" s="360">
        <v>0.27078172345255463</v>
      </c>
      <c r="T464" s="360">
        <v>1.7057119701345584</v>
      </c>
      <c r="U464" s="360">
        <v>1.8918136852812006</v>
      </c>
      <c r="V464" s="360">
        <v>0.39209603826256639</v>
      </c>
      <c r="W464" s="360">
        <v>1.2696654192783041</v>
      </c>
      <c r="X464" s="360">
        <v>2337.7684646894918</v>
      </c>
      <c r="Y464" s="360">
        <v>0.36398265642202071</v>
      </c>
      <c r="Z464" s="360">
        <v>1.220130904232249</v>
      </c>
      <c r="AA464" s="360">
        <v>2487.8607422885821</v>
      </c>
      <c r="AB464" s="360">
        <v>0.3264508893666298</v>
      </c>
      <c r="AC464" s="360">
        <v>1.3963809842870438</v>
      </c>
      <c r="AD464" s="360">
        <v>1.2631304522717159</v>
      </c>
      <c r="AE464" s="360">
        <v>0.38340069532231874</v>
      </c>
      <c r="AF464" s="360">
        <v>1.2201348538322667</v>
      </c>
      <c r="AG464" s="360">
        <v>1701.0238960647557</v>
      </c>
      <c r="AH464" s="360">
        <v>3667.763686084968</v>
      </c>
      <c r="AI464" s="360">
        <v>0.26997719395335779</v>
      </c>
      <c r="AJ464" s="360">
        <v>1.7131180759802507</v>
      </c>
      <c r="AK464" s="360">
        <v>1.9369179492683544</v>
      </c>
      <c r="AL464" s="360">
        <v>0.41011327225484639</v>
      </c>
      <c r="AM464" s="360">
        <v>1.2201338773875159</v>
      </c>
      <c r="AN464" s="360">
        <v>2276.7009207524379</v>
      </c>
      <c r="AO464" s="360">
        <f t="shared" si="18"/>
        <v>1</v>
      </c>
      <c r="AP464" s="360">
        <f t="shared" si="19"/>
        <v>1</v>
      </c>
      <c r="AQ464" s="360">
        <f t="shared" si="20"/>
        <v>1</v>
      </c>
    </row>
    <row r="465" spans="1:43">
      <c r="A465" s="360" t="s">
        <v>1082</v>
      </c>
      <c r="B465" t="s">
        <v>1074</v>
      </c>
      <c r="C465">
        <v>1</v>
      </c>
      <c r="D465" t="s">
        <v>1080</v>
      </c>
      <c r="E465" t="s">
        <v>1079</v>
      </c>
      <c r="F465" s="360">
        <v>7</v>
      </c>
      <c r="G465" s="360" t="str">
        <f>CONCATENATE(A465," ",B465," ",C465," ","inf+"," ",FanUpsizes!D465," ",FanUpsizes!F465)</f>
        <v>5ACH Infiltration 1 inf+ Existing 7</v>
      </c>
      <c r="H465" s="360">
        <v>4.2317449068776769E-2</v>
      </c>
      <c r="I465" s="360">
        <v>0.352946455358013</v>
      </c>
      <c r="J465" s="360">
        <v>1.2696653712111794</v>
      </c>
      <c r="K465" s="360">
        <v>0</v>
      </c>
      <c r="L465" s="360">
        <v>0.352946455358013</v>
      </c>
      <c r="M465" s="360">
        <v>1.2696653712111794</v>
      </c>
      <c r="N465" s="360">
        <v>1</v>
      </c>
      <c r="O465" s="360">
        <v>0.352946455358013</v>
      </c>
      <c r="P465" s="360">
        <v>1.2696653712111794</v>
      </c>
      <c r="Q465" s="360">
        <v>0</v>
      </c>
      <c r="R465" s="360">
        <v>225.04735221124645</v>
      </c>
      <c r="S465" s="360">
        <v>0.35034363942349067</v>
      </c>
      <c r="T465" s="360">
        <v>1.2767175531476758</v>
      </c>
      <c r="U465" s="360">
        <v>1.0079402123241044</v>
      </c>
      <c r="V465" s="360">
        <v>0.35213974992620573</v>
      </c>
      <c r="W465" s="360">
        <v>1.2696656521322733</v>
      </c>
      <c r="X465" s="360">
        <v>188.3078372517804</v>
      </c>
      <c r="Y465" s="360">
        <v>0.36398265642202071</v>
      </c>
      <c r="Z465" s="360">
        <v>1.220130904232249</v>
      </c>
      <c r="AA465" s="360">
        <v>0</v>
      </c>
      <c r="AB465" s="360">
        <v>0.36398265642202071</v>
      </c>
      <c r="AC465" s="360">
        <v>1.220130904232249</v>
      </c>
      <c r="AD465" s="360">
        <v>1</v>
      </c>
      <c r="AE465" s="360">
        <v>0.36398265642202071</v>
      </c>
      <c r="AF465" s="360">
        <v>1.220130904232249</v>
      </c>
      <c r="AG465" s="360">
        <v>0</v>
      </c>
      <c r="AH465" s="360">
        <v>281.61067913156785</v>
      </c>
      <c r="AI465" s="360">
        <v>0.36071520294666537</v>
      </c>
      <c r="AJ465" s="360">
        <v>1.2302792048800608</v>
      </c>
      <c r="AK465" s="360">
        <v>1.0109181861122136</v>
      </c>
      <c r="AL465" s="360">
        <v>0.36362679627157213</v>
      </c>
      <c r="AM465" s="360">
        <v>1.2201309762075734</v>
      </c>
      <c r="AN465" s="360">
        <v>211.65382031198828</v>
      </c>
      <c r="AO465" s="360">
        <f t="shared" si="18"/>
        <v>1</v>
      </c>
      <c r="AP465" s="360">
        <f t="shared" si="19"/>
        <v>0</v>
      </c>
      <c r="AQ465" s="360">
        <f t="shared" si="20"/>
        <v>0</v>
      </c>
    </row>
    <row r="466" spans="1:43">
      <c r="A466" s="360" t="s">
        <v>1082</v>
      </c>
      <c r="B466" t="s">
        <v>1076</v>
      </c>
      <c r="C466">
        <v>1</v>
      </c>
      <c r="D466" t="s">
        <v>1080</v>
      </c>
      <c r="E466" t="s">
        <v>1079</v>
      </c>
      <c r="F466" s="360">
        <v>7</v>
      </c>
      <c r="G466" s="360" t="str">
        <f>CONCATENATE(A466," ",B466," ",C466," ","inf+"," ",FanUpsizes!D466," ",FanUpsizes!F466)</f>
        <v>5ACH 5C 1 inf+ Existing 7</v>
      </c>
      <c r="H466" s="360">
        <v>4.2317449068776769E-2</v>
      </c>
      <c r="I466" s="360">
        <v>0.352946455358013</v>
      </c>
      <c r="J466" s="360">
        <v>1.2696653712111794</v>
      </c>
      <c r="K466" s="360">
        <v>2500.2596697498843</v>
      </c>
      <c r="L466" s="360">
        <v>0.31565131196746621</v>
      </c>
      <c r="M466" s="360">
        <v>1.4442325100861695</v>
      </c>
      <c r="N466" s="360">
        <v>1.2477488010500142</v>
      </c>
      <c r="O466" s="360">
        <v>0.36573399958904512</v>
      </c>
      <c r="P466" s="360">
        <v>1.2696653853008364</v>
      </c>
      <c r="Q466" s="360">
        <v>1856.1915798330344</v>
      </c>
      <c r="R466" s="360">
        <v>2500.2596697498843</v>
      </c>
      <c r="S466" s="360">
        <v>0.31565131196746621</v>
      </c>
      <c r="T466" s="360">
        <v>1.4442325100861695</v>
      </c>
      <c r="U466" s="360">
        <v>1.2477488010500142</v>
      </c>
      <c r="V466" s="360">
        <v>0.36573399958904512</v>
      </c>
      <c r="W466" s="360">
        <v>1.2696653853008364</v>
      </c>
      <c r="X466" s="360">
        <v>1856.1915798330344</v>
      </c>
      <c r="Y466" s="360">
        <v>0.36398265642202071</v>
      </c>
      <c r="Z466" s="360">
        <v>1.220130904232249</v>
      </c>
      <c r="AA466" s="360">
        <v>2487.8607422885821</v>
      </c>
      <c r="AB466" s="360">
        <v>0.3264508893666298</v>
      </c>
      <c r="AC466" s="360">
        <v>1.3963809842870438</v>
      </c>
      <c r="AD466" s="360">
        <v>1.2631304522717159</v>
      </c>
      <c r="AE466" s="360">
        <v>0.38340069532231874</v>
      </c>
      <c r="AF466" s="360">
        <v>1.2201348538322667</v>
      </c>
      <c r="AG466" s="360">
        <v>1701.0238960647557</v>
      </c>
      <c r="AH466" s="360">
        <v>2487.8607422885821</v>
      </c>
      <c r="AI466" s="360">
        <v>0.3264508893666298</v>
      </c>
      <c r="AJ466" s="360">
        <v>1.3963809842870438</v>
      </c>
      <c r="AK466" s="360">
        <v>1.2631304522717159</v>
      </c>
      <c r="AL466" s="360">
        <v>0.38340069532231874</v>
      </c>
      <c r="AM466" s="360">
        <v>1.2201348538322667</v>
      </c>
      <c r="AN466" s="360">
        <v>1701.0238960647557</v>
      </c>
      <c r="AO466" s="360">
        <f t="shared" si="18"/>
        <v>1</v>
      </c>
      <c r="AP466" s="360">
        <f t="shared" si="19"/>
        <v>1</v>
      </c>
      <c r="AQ466" s="360">
        <f t="shared" si="20"/>
        <v>1</v>
      </c>
    </row>
    <row r="467" spans="1:43">
      <c r="A467" s="360" t="s">
        <v>1082</v>
      </c>
      <c r="B467" t="s">
        <v>1075</v>
      </c>
      <c r="C467">
        <v>2</v>
      </c>
      <c r="D467" t="s">
        <v>1080</v>
      </c>
      <c r="E467" t="s">
        <v>1079</v>
      </c>
      <c r="F467" s="360">
        <v>7</v>
      </c>
      <c r="G467" s="360" t="str">
        <f>CONCATENATE(A467," ",B467," ",C467," ","inf+"," ",FanUpsizes!D467," ",FanUpsizes!F467)</f>
        <v>5ACH Percentile 2 inf+ Existing 7</v>
      </c>
      <c r="H467" s="360">
        <v>3.6822695500331196E-2</v>
      </c>
      <c r="I467" s="360">
        <v>0.37609612923156416</v>
      </c>
      <c r="J467" s="360">
        <v>1.2316238455766928</v>
      </c>
      <c r="K467" s="360">
        <v>2175.61082997523</v>
      </c>
      <c r="L467" s="360">
        <v>0.34364361285989892</v>
      </c>
      <c r="M467" s="360">
        <v>1.337622558956737</v>
      </c>
      <c r="N467" s="360">
        <v>1.2037377589026241</v>
      </c>
      <c r="O467" s="360">
        <v>0.37134106994348731</v>
      </c>
      <c r="P467" s="360">
        <v>1.2316239346967224</v>
      </c>
      <c r="Q467" s="360">
        <v>1845.4556233193796</v>
      </c>
      <c r="R467" s="360">
        <v>2865.5554471961782</v>
      </c>
      <c r="S467" s="360">
        <v>0.31078732131869619</v>
      </c>
      <c r="T467" s="360">
        <v>1.5010471999049946</v>
      </c>
      <c r="U467" s="360">
        <v>1.7010194651704125</v>
      </c>
      <c r="V467" s="360">
        <v>0.380340434340176</v>
      </c>
      <c r="W467" s="360">
        <v>1.2316256094932823</v>
      </c>
      <c r="X467" s="360">
        <v>2241.7436595750255</v>
      </c>
      <c r="Y467" s="360">
        <v>0.36714151190302508</v>
      </c>
      <c r="Z467" s="360">
        <v>1.2339624465708994</v>
      </c>
      <c r="AA467" s="360">
        <v>1653.8144763102373</v>
      </c>
      <c r="AB467" s="360">
        <v>0.3422473359617379</v>
      </c>
      <c r="AC467" s="360">
        <v>1.324622197526476</v>
      </c>
      <c r="AD467" s="360">
        <v>1.1468582038066675</v>
      </c>
      <c r="AE467" s="360">
        <v>0.36709471144059119</v>
      </c>
      <c r="AF467" s="360">
        <v>1.233968416073203</v>
      </c>
      <c r="AG467" s="360">
        <v>1322.4208868210242</v>
      </c>
      <c r="AH467" s="360">
        <v>2499.5802115087827</v>
      </c>
      <c r="AI467" s="360">
        <v>0.30048422310263118</v>
      </c>
      <c r="AJ467" s="360">
        <v>1.5466363650959067</v>
      </c>
      <c r="AK467" s="360">
        <v>1.6861805804112684</v>
      </c>
      <c r="AL467" s="360">
        <v>0.37971634029227214</v>
      </c>
      <c r="AM467" s="360">
        <v>1.2339625370263918</v>
      </c>
      <c r="AN467" s="360">
        <v>1779.4195316716807</v>
      </c>
      <c r="AO467" s="360">
        <f t="shared" si="18"/>
        <v>1</v>
      </c>
      <c r="AP467" s="360">
        <f t="shared" si="19"/>
        <v>1</v>
      </c>
      <c r="AQ467" s="360">
        <f t="shared" si="20"/>
        <v>1</v>
      </c>
    </row>
    <row r="468" spans="1:43">
      <c r="A468" s="360" t="s">
        <v>1082</v>
      </c>
      <c r="B468" t="s">
        <v>1074</v>
      </c>
      <c r="C468">
        <v>2</v>
      </c>
      <c r="D468" t="s">
        <v>1080</v>
      </c>
      <c r="E468" t="s">
        <v>1079</v>
      </c>
      <c r="F468" s="360">
        <v>7</v>
      </c>
      <c r="G468" s="360" t="str">
        <f>CONCATENATE(A468," ",B468," ",C468," ","inf+"," ",FanUpsizes!D468," ",FanUpsizes!F468)</f>
        <v>5ACH Infiltration 2 inf+ Existing 7</v>
      </c>
      <c r="H468" s="360">
        <v>3.6822695500331196E-2</v>
      </c>
      <c r="I468" s="360">
        <v>0.37609612923156416</v>
      </c>
      <c r="J468" s="360">
        <v>1.2316238455766928</v>
      </c>
      <c r="K468" s="360">
        <v>0</v>
      </c>
      <c r="L468" s="360">
        <v>0.37609612923156416</v>
      </c>
      <c r="M468" s="360">
        <v>1.2316238455766928</v>
      </c>
      <c r="N468" s="360">
        <v>1</v>
      </c>
      <c r="O468" s="360">
        <v>0.37609612923156416</v>
      </c>
      <c r="P468" s="360">
        <v>1.2316238455766928</v>
      </c>
      <c r="Q468" s="360">
        <v>0</v>
      </c>
      <c r="R468" s="360">
        <v>860.82036564351893</v>
      </c>
      <c r="S468" s="360">
        <v>0.36395746094244918</v>
      </c>
      <c r="T468" s="360">
        <v>1.2628853897533878</v>
      </c>
      <c r="U468" s="360">
        <v>1.05228084287711</v>
      </c>
      <c r="V468" s="360">
        <v>0.3718598757933716</v>
      </c>
      <c r="W468" s="360">
        <v>1.2316242380651561</v>
      </c>
      <c r="X468" s="360">
        <v>709.33435709929927</v>
      </c>
      <c r="Y468" s="360">
        <v>0.36714151190302508</v>
      </c>
      <c r="Z468" s="360">
        <v>1.2339624465708994</v>
      </c>
      <c r="AA468" s="360">
        <v>0</v>
      </c>
      <c r="AB468" s="360">
        <v>0.36714151190302508</v>
      </c>
      <c r="AC468" s="360">
        <v>1.2339624465708994</v>
      </c>
      <c r="AD468" s="360">
        <v>1</v>
      </c>
      <c r="AE468" s="360">
        <v>0.36714151190302508</v>
      </c>
      <c r="AF468" s="360">
        <v>1.2339624465708994</v>
      </c>
      <c r="AG468" s="360">
        <v>0</v>
      </c>
      <c r="AH468" s="360">
        <v>914.99980331172014</v>
      </c>
      <c r="AI468" s="360">
        <v>0.35409876302135707</v>
      </c>
      <c r="AJ468" s="360">
        <v>1.2751533074143597</v>
      </c>
      <c r="AK468" s="360">
        <v>1.0578138809423503</v>
      </c>
      <c r="AL468" s="360">
        <v>0.36500668057160929</v>
      </c>
      <c r="AM468" s="360">
        <v>1.2339630264928834</v>
      </c>
      <c r="AN468" s="360">
        <v>709.32957089136085</v>
      </c>
      <c r="AO468" s="360">
        <f t="shared" si="18"/>
        <v>1</v>
      </c>
      <c r="AP468" s="360">
        <f t="shared" si="19"/>
        <v>0</v>
      </c>
      <c r="AQ468" s="360">
        <f t="shared" si="20"/>
        <v>0</v>
      </c>
    </row>
    <row r="469" spans="1:43">
      <c r="A469" s="360" t="s">
        <v>1082</v>
      </c>
      <c r="B469" t="s">
        <v>1076</v>
      </c>
      <c r="C469">
        <v>2</v>
      </c>
      <c r="D469" t="s">
        <v>1080</v>
      </c>
      <c r="E469" t="s">
        <v>1079</v>
      </c>
      <c r="F469" s="360">
        <v>7</v>
      </c>
      <c r="G469" s="360" t="str">
        <f>CONCATENATE(A469," ",B469," ",C469," ","inf+"," ",FanUpsizes!D469," ",FanUpsizes!F469)</f>
        <v>5ACH 5C 2 inf+ Existing 7</v>
      </c>
      <c r="H469" s="360">
        <v>3.6822695500331196E-2</v>
      </c>
      <c r="I469" s="360">
        <v>0.37609612923156416</v>
      </c>
      <c r="J469" s="360">
        <v>1.2316238455766928</v>
      </c>
      <c r="K469" s="360">
        <v>2175.61082997523</v>
      </c>
      <c r="L469" s="360">
        <v>0.34364361285989892</v>
      </c>
      <c r="M469" s="360">
        <v>1.337622558956737</v>
      </c>
      <c r="N469" s="360">
        <v>1.2037377589026241</v>
      </c>
      <c r="O469" s="360">
        <v>0.37134106994348731</v>
      </c>
      <c r="P469" s="360">
        <v>1.2316239346967224</v>
      </c>
      <c r="Q469" s="360">
        <v>1845.4556233193796</v>
      </c>
      <c r="R469" s="360">
        <v>2175.61082997523</v>
      </c>
      <c r="S469" s="360">
        <v>0.34364361285989892</v>
      </c>
      <c r="T469" s="360">
        <v>1.337622558956737</v>
      </c>
      <c r="U469" s="360">
        <v>1.2037377589026241</v>
      </c>
      <c r="V469" s="360">
        <v>0.37134106994348731</v>
      </c>
      <c r="W469" s="360">
        <v>1.2316239346967224</v>
      </c>
      <c r="X469" s="360">
        <v>1845.4556233193796</v>
      </c>
      <c r="Y469" s="360">
        <v>0.36714151190302508</v>
      </c>
      <c r="Z469" s="360">
        <v>1.2339624465708994</v>
      </c>
      <c r="AA469" s="360">
        <v>1653.8144763102373</v>
      </c>
      <c r="AB469" s="360">
        <v>0.3422473359617379</v>
      </c>
      <c r="AC469" s="360">
        <v>1.324622197526476</v>
      </c>
      <c r="AD469" s="360">
        <v>1.1468582038066675</v>
      </c>
      <c r="AE469" s="360">
        <v>0.36709471144059119</v>
      </c>
      <c r="AF469" s="360">
        <v>1.233968416073203</v>
      </c>
      <c r="AG469" s="360">
        <v>1322.4208868210242</v>
      </c>
      <c r="AH469" s="360">
        <v>1653.8144763102373</v>
      </c>
      <c r="AI469" s="360">
        <v>0.3422473359617379</v>
      </c>
      <c r="AJ469" s="360">
        <v>1.324622197526476</v>
      </c>
      <c r="AK469" s="360">
        <v>1.1468582038066675</v>
      </c>
      <c r="AL469" s="360">
        <v>0.36709471144059119</v>
      </c>
      <c r="AM469" s="360">
        <v>1.233968416073203</v>
      </c>
      <c r="AN469" s="360">
        <v>1322.4208868210242</v>
      </c>
      <c r="AO469" s="360">
        <f t="shared" si="18"/>
        <v>1</v>
      </c>
      <c r="AP469" s="360">
        <f t="shared" si="19"/>
        <v>1</v>
      </c>
      <c r="AQ469" s="360">
        <f t="shared" si="20"/>
        <v>1</v>
      </c>
    </row>
    <row r="470" spans="1:43">
      <c r="A470" s="360" t="s">
        <v>1083</v>
      </c>
      <c r="B470" t="s">
        <v>1075</v>
      </c>
      <c r="C470">
        <v>1</v>
      </c>
      <c r="D470" t="s">
        <v>1078</v>
      </c>
      <c r="E470" t="s">
        <v>1079</v>
      </c>
      <c r="F470" s="360">
        <v>7</v>
      </c>
      <c r="G470" s="360" t="str">
        <f>CONCATENATE(A470," ",B470," ",C470," ","inf+"," ",FanUpsizes!D470," ",FanUpsizes!F470)</f>
        <v>3ACH Percentile 1 inf+ New 7</v>
      </c>
      <c r="H470" s="360">
        <v>3.2946469441266057E-2</v>
      </c>
      <c r="I470" s="360">
        <v>0.25560929513759506</v>
      </c>
      <c r="J470" s="360">
        <v>1.2586166135395416</v>
      </c>
      <c r="K470" s="360">
        <v>1989.8042711913811</v>
      </c>
      <c r="L470" s="360">
        <v>0.22579507248752892</v>
      </c>
      <c r="M470" s="360">
        <v>1.4909947102228478</v>
      </c>
      <c r="N470" s="360">
        <v>1.3146702508329338</v>
      </c>
      <c r="O470" s="360">
        <v>0.28017682823979534</v>
      </c>
      <c r="P470" s="360">
        <v>1.25861724370033</v>
      </c>
      <c r="Q470" s="360">
        <v>1247.2483059222388</v>
      </c>
      <c r="R470" s="360">
        <v>2787.2997730250445</v>
      </c>
      <c r="S470" s="360">
        <v>0.18502896821576542</v>
      </c>
      <c r="T470" s="360">
        <v>1.8311124890491368</v>
      </c>
      <c r="U470" s="360">
        <v>2.0532126309235212</v>
      </c>
      <c r="V470" s="360">
        <v>0.30753147019276228</v>
      </c>
      <c r="W470" s="360">
        <v>1.2586170448909317</v>
      </c>
      <c r="X470" s="360">
        <v>1668.5442267862081</v>
      </c>
      <c r="Y470" s="360">
        <v>0.26818668045970823</v>
      </c>
      <c r="Z470" s="360">
        <v>1.1966723787182096</v>
      </c>
      <c r="AA470" s="360">
        <v>2225.9646259980336</v>
      </c>
      <c r="AB470" s="360">
        <v>0.23459819260418416</v>
      </c>
      <c r="AC470" s="360">
        <v>1.4431651071586171</v>
      </c>
      <c r="AD470" s="360">
        <v>1.3737168504815562</v>
      </c>
      <c r="AE470" s="360">
        <v>0.30001433538144373</v>
      </c>
      <c r="AF470" s="360">
        <v>1.1966725940608456</v>
      </c>
      <c r="AG470" s="360">
        <v>1308.166804109133</v>
      </c>
      <c r="AH470" s="360">
        <v>3224.7162560598877</v>
      </c>
      <c r="AI470" s="360">
        <v>0.1875810183997792</v>
      </c>
      <c r="AJ470" s="360">
        <v>1.8120908436952603</v>
      </c>
      <c r="AK470" s="360">
        <v>2.1484774466402463</v>
      </c>
      <c r="AL470" s="360">
        <v>0.3274720271430317</v>
      </c>
      <c r="AM470" s="360">
        <v>1.196674581602168</v>
      </c>
      <c r="AN470" s="360">
        <v>1777.4470073865268</v>
      </c>
      <c r="AO470" s="360">
        <f t="shared" si="18"/>
        <v>1</v>
      </c>
      <c r="AP470" s="360">
        <f t="shared" si="19"/>
        <v>1</v>
      </c>
      <c r="AQ470" s="360">
        <f t="shared" si="20"/>
        <v>1</v>
      </c>
    </row>
    <row r="471" spans="1:43">
      <c r="A471" s="360" t="s">
        <v>1083</v>
      </c>
      <c r="B471" t="s">
        <v>1074</v>
      </c>
      <c r="C471">
        <v>1</v>
      </c>
      <c r="D471" t="s">
        <v>1078</v>
      </c>
      <c r="E471" t="s">
        <v>1079</v>
      </c>
      <c r="F471" s="360">
        <v>7</v>
      </c>
      <c r="G471" s="360" t="str">
        <f>CONCATENATE(A471," ",B471," ",C471," ","inf+"," ",FanUpsizes!D471," ",FanUpsizes!F471)</f>
        <v>3ACH Infiltration 1 inf+ New 7</v>
      </c>
      <c r="H471" s="360">
        <v>3.2946469441266057E-2</v>
      </c>
      <c r="I471" s="360">
        <v>0.25560929513759506</v>
      </c>
      <c r="J471" s="360">
        <v>1.2586166135395416</v>
      </c>
      <c r="K471" s="360">
        <v>0</v>
      </c>
      <c r="L471" s="360">
        <v>0.25560929513759506</v>
      </c>
      <c r="M471" s="360">
        <v>1.2586166135395416</v>
      </c>
      <c r="N471" s="360">
        <v>1</v>
      </c>
      <c r="O471" s="360">
        <v>0.25560929513759506</v>
      </c>
      <c r="P471" s="360">
        <v>1.2586166135395416</v>
      </c>
      <c r="Q471" s="360">
        <v>0</v>
      </c>
      <c r="R471" s="360">
        <v>4.7327608555553988</v>
      </c>
      <c r="S471" s="360">
        <v>0.25556071619611326</v>
      </c>
      <c r="T471" s="360">
        <v>1.258836376789076</v>
      </c>
      <c r="U471" s="360">
        <v>1.0002073181081124</v>
      </c>
      <c r="V471" s="360">
        <v>0.25560320410906301</v>
      </c>
      <c r="W471" s="360">
        <v>1.2586193369913989</v>
      </c>
      <c r="X471" s="360">
        <v>3.7527985852090291</v>
      </c>
      <c r="Y471" s="360">
        <v>0.26818668045970823</v>
      </c>
      <c r="Z471" s="360">
        <v>1.1966723787182096</v>
      </c>
      <c r="AA471" s="360">
        <v>0</v>
      </c>
      <c r="AB471" s="360">
        <v>0.26818668045970823</v>
      </c>
      <c r="AC471" s="360">
        <v>1.1966723787182096</v>
      </c>
      <c r="AD471" s="360">
        <v>1</v>
      </c>
      <c r="AE471" s="360">
        <v>0.26818668045970823</v>
      </c>
      <c r="AF471" s="360">
        <v>1.1966723787182096</v>
      </c>
      <c r="AG471" s="360">
        <v>0</v>
      </c>
      <c r="AH471" s="360">
        <v>6.9172296693379565</v>
      </c>
      <c r="AI471" s="360">
        <v>0.26811543735647086</v>
      </c>
      <c r="AJ471" s="360">
        <v>1.1969822584679621</v>
      </c>
      <c r="AK471" s="360">
        <v>1.0003079006786666</v>
      </c>
      <c r="AL471" s="360">
        <v>0.26818372495637616</v>
      </c>
      <c r="AM471" s="360">
        <v>1.1966723804166497</v>
      </c>
      <c r="AN471" s="360">
        <v>5.1633587938896497</v>
      </c>
      <c r="AO471" s="360">
        <f t="shared" si="18"/>
        <v>1</v>
      </c>
      <c r="AP471" s="360">
        <f t="shared" si="19"/>
        <v>0</v>
      </c>
      <c r="AQ471" s="360">
        <f t="shared" si="20"/>
        <v>0</v>
      </c>
    </row>
    <row r="472" spans="1:43">
      <c r="A472" s="360" t="s">
        <v>1083</v>
      </c>
      <c r="B472" t="s">
        <v>1076</v>
      </c>
      <c r="C472">
        <v>1</v>
      </c>
      <c r="D472" t="s">
        <v>1078</v>
      </c>
      <c r="E472" t="s">
        <v>1079</v>
      </c>
      <c r="F472" s="360">
        <v>7</v>
      </c>
      <c r="G472" s="360" t="str">
        <f>CONCATENATE(A472," ",B472," ",C472," ","inf+"," ",FanUpsizes!D472," ",FanUpsizes!F472)</f>
        <v>3ACH 5C 1 inf+ New 7</v>
      </c>
      <c r="H472" s="360">
        <v>3.2946469441266057E-2</v>
      </c>
      <c r="I472" s="360">
        <v>0.25560929513759506</v>
      </c>
      <c r="J472" s="360">
        <v>1.2586166135395416</v>
      </c>
      <c r="K472" s="360">
        <v>1989.8042711913811</v>
      </c>
      <c r="L472" s="360">
        <v>0.22579507248752892</v>
      </c>
      <c r="M472" s="360">
        <v>1.4909947102228478</v>
      </c>
      <c r="N472" s="360">
        <v>1.3146702508329338</v>
      </c>
      <c r="O472" s="360">
        <v>0.28017682823979534</v>
      </c>
      <c r="P472" s="360">
        <v>1.25861724370033</v>
      </c>
      <c r="Q472" s="360">
        <v>1247.2483059222388</v>
      </c>
      <c r="R472" s="360">
        <v>1989.8042711913811</v>
      </c>
      <c r="S472" s="360">
        <v>0.22579507248752892</v>
      </c>
      <c r="T472" s="360">
        <v>1.4909947102228478</v>
      </c>
      <c r="U472" s="360">
        <v>1.3146702508329338</v>
      </c>
      <c r="V472" s="360">
        <v>0.28017682823979534</v>
      </c>
      <c r="W472" s="360">
        <v>1.25861724370033</v>
      </c>
      <c r="X472" s="360">
        <v>1247.2483059222388</v>
      </c>
      <c r="Y472" s="360">
        <v>0.26818668045970823</v>
      </c>
      <c r="Z472" s="360">
        <v>1.1966723787182096</v>
      </c>
      <c r="AA472" s="360">
        <v>2225.9646259980336</v>
      </c>
      <c r="AB472" s="360">
        <v>0.23459819260418416</v>
      </c>
      <c r="AC472" s="360">
        <v>1.4431651071586171</v>
      </c>
      <c r="AD472" s="360">
        <v>1.3737168504815562</v>
      </c>
      <c r="AE472" s="360">
        <v>0.30001433538144373</v>
      </c>
      <c r="AF472" s="360">
        <v>1.1966725940608456</v>
      </c>
      <c r="AG472" s="360">
        <v>1308.166804109133</v>
      </c>
      <c r="AH472" s="360">
        <v>2225.9646259980336</v>
      </c>
      <c r="AI472" s="360">
        <v>0.23459819260418416</v>
      </c>
      <c r="AJ472" s="360">
        <v>1.4431651071586171</v>
      </c>
      <c r="AK472" s="360">
        <v>1.3737168504815562</v>
      </c>
      <c r="AL472" s="360">
        <v>0.30001433538144373</v>
      </c>
      <c r="AM472" s="360">
        <v>1.1966725940608456</v>
      </c>
      <c r="AN472" s="360">
        <v>1308.166804109133</v>
      </c>
      <c r="AO472" s="360">
        <f t="shared" si="18"/>
        <v>1</v>
      </c>
      <c r="AP472" s="360">
        <f t="shared" si="19"/>
        <v>1</v>
      </c>
      <c r="AQ472" s="360">
        <f t="shared" si="20"/>
        <v>1</v>
      </c>
    </row>
    <row r="473" spans="1:43">
      <c r="A473" s="360" t="s">
        <v>1083</v>
      </c>
      <c r="B473" t="s">
        <v>1075</v>
      </c>
      <c r="C473">
        <v>2</v>
      </c>
      <c r="D473" t="s">
        <v>1078</v>
      </c>
      <c r="E473" t="s">
        <v>1079</v>
      </c>
      <c r="F473" s="360">
        <v>7</v>
      </c>
      <c r="G473" s="360" t="str">
        <f>CONCATENATE(A473," ",B473," ",C473," ","inf+"," ",FanUpsizes!D473," ",FanUpsizes!F473)</f>
        <v>3ACH Percentile 2 inf+ New 7</v>
      </c>
      <c r="H473" s="360">
        <v>2.9649617300198716E-2</v>
      </c>
      <c r="I473" s="360">
        <v>0.26123262546085213</v>
      </c>
      <c r="J473" s="360">
        <v>1.2577582138554835</v>
      </c>
      <c r="K473" s="360">
        <v>1751.8008289847871</v>
      </c>
      <c r="L473" s="360">
        <v>0.23510187436362395</v>
      </c>
      <c r="M473" s="360">
        <v>1.406026961791216</v>
      </c>
      <c r="N473" s="360">
        <v>1.2266575341513666</v>
      </c>
      <c r="O473" s="360">
        <v>0.26490994562416464</v>
      </c>
      <c r="P473" s="360">
        <v>1.257758756559918</v>
      </c>
      <c r="Q473" s="360">
        <v>1385.7877945057346</v>
      </c>
      <c r="R473" s="360">
        <v>2330.0072748671323</v>
      </c>
      <c r="S473" s="360">
        <v>0.20578414523461222</v>
      </c>
      <c r="T473" s="360">
        <v>1.6261488360485055</v>
      </c>
      <c r="U473" s="360">
        <v>1.8122129341666497</v>
      </c>
      <c r="V473" s="360">
        <v>0.27884035075053804</v>
      </c>
      <c r="W473" s="360">
        <v>1.2577640603763953</v>
      </c>
      <c r="X473" s="360">
        <v>1707.9073765820658</v>
      </c>
      <c r="Y473" s="360">
        <v>0.26531688106992946</v>
      </c>
      <c r="Z473" s="360">
        <v>1.2221851943898825</v>
      </c>
      <c r="AA473" s="360">
        <v>1621.8786001231902</v>
      </c>
      <c r="AB473" s="360">
        <v>0.24085944614928045</v>
      </c>
      <c r="AC473" s="360">
        <v>1.3661553622303366</v>
      </c>
      <c r="AD473" s="360">
        <v>1.2170505974512424</v>
      </c>
      <c r="AE473" s="360">
        <v>0.27282875316969313</v>
      </c>
      <c r="AF473" s="360">
        <v>1.2221879410592484</v>
      </c>
      <c r="AG473" s="360">
        <v>1184.273544656126</v>
      </c>
      <c r="AH473" s="360">
        <v>2404.9725891871149</v>
      </c>
      <c r="AI473" s="360">
        <v>0.20306544239586963</v>
      </c>
      <c r="AJ473" s="360">
        <v>1.6474809478507364</v>
      </c>
      <c r="AK473" s="360">
        <v>1.8384704771530271</v>
      </c>
      <c r="AL473" s="360">
        <v>0.28805787704975511</v>
      </c>
      <c r="AM473" s="360">
        <v>1.2221856786609484</v>
      </c>
      <c r="AN473" s="360">
        <v>1582.1646013786178</v>
      </c>
      <c r="AO473" s="360">
        <f t="shared" si="18"/>
        <v>1</v>
      </c>
      <c r="AP473" s="360">
        <f t="shared" si="19"/>
        <v>1</v>
      </c>
      <c r="AQ473" s="360">
        <f t="shared" si="20"/>
        <v>1</v>
      </c>
    </row>
    <row r="474" spans="1:43">
      <c r="A474" s="360" t="s">
        <v>1083</v>
      </c>
      <c r="B474" t="s">
        <v>1074</v>
      </c>
      <c r="C474">
        <v>2</v>
      </c>
      <c r="D474" t="s">
        <v>1078</v>
      </c>
      <c r="E474" t="s">
        <v>1079</v>
      </c>
      <c r="F474" s="360">
        <v>7</v>
      </c>
      <c r="G474" s="360" t="str">
        <f>CONCATENATE(A474," ",B474," ",C474," ","inf+"," ",FanUpsizes!D474," ",FanUpsizes!F474)</f>
        <v>3ACH Infiltration 2 inf+ New 7</v>
      </c>
      <c r="H474" s="360">
        <v>2.9649617300198716E-2</v>
      </c>
      <c r="I474" s="360">
        <v>0.26123262546085213</v>
      </c>
      <c r="J474" s="360">
        <v>1.2577582138554835</v>
      </c>
      <c r="K474" s="360">
        <v>0</v>
      </c>
      <c r="L474" s="360">
        <v>0.26123262546085213</v>
      </c>
      <c r="M474" s="360">
        <v>1.2577582138554835</v>
      </c>
      <c r="N474" s="360">
        <v>1</v>
      </c>
      <c r="O474" s="360">
        <v>0.26123262546085213</v>
      </c>
      <c r="P474" s="360">
        <v>1.2577582138554835</v>
      </c>
      <c r="Q474" s="360">
        <v>0</v>
      </c>
      <c r="R474" s="360">
        <v>254.35342682419045</v>
      </c>
      <c r="S474" s="360">
        <v>0.25814739815635163</v>
      </c>
      <c r="T474" s="360">
        <v>1.2688565193481043</v>
      </c>
      <c r="U474" s="360">
        <v>1.0140185229074594</v>
      </c>
      <c r="V474" s="360">
        <v>0.26020496409216637</v>
      </c>
      <c r="W474" s="360">
        <v>1.2577582154307254</v>
      </c>
      <c r="X474" s="360">
        <v>212.83511312068393</v>
      </c>
      <c r="Y474" s="360">
        <v>0.26531688106992946</v>
      </c>
      <c r="Z474" s="360">
        <v>1.2221851943898825</v>
      </c>
      <c r="AA474" s="360">
        <v>0</v>
      </c>
      <c r="AB474" s="360">
        <v>0.26531688106992946</v>
      </c>
      <c r="AC474" s="360">
        <v>1.2221851943898825</v>
      </c>
      <c r="AD474" s="360">
        <v>1</v>
      </c>
      <c r="AE474" s="360">
        <v>0.26531688106992946</v>
      </c>
      <c r="AF474" s="360">
        <v>1.2221851943898825</v>
      </c>
      <c r="AG474" s="360">
        <v>0</v>
      </c>
      <c r="AH474" s="360">
        <v>303.90743349339198</v>
      </c>
      <c r="AI474" s="360">
        <v>0.26161073411412816</v>
      </c>
      <c r="AJ474" s="360">
        <v>1.2377415338649178</v>
      </c>
      <c r="AK474" s="360">
        <v>1.0179118402636478</v>
      </c>
      <c r="AL474" s="360">
        <v>0.26480717176131841</v>
      </c>
      <c r="AM474" s="360">
        <v>1.2221858361315834</v>
      </c>
      <c r="AN474" s="360">
        <v>230.18975750823952</v>
      </c>
      <c r="AO474" s="360">
        <f t="shared" si="18"/>
        <v>1</v>
      </c>
      <c r="AP474" s="360">
        <f t="shared" si="19"/>
        <v>0</v>
      </c>
      <c r="AQ474" s="360">
        <f t="shared" si="20"/>
        <v>0</v>
      </c>
    </row>
    <row r="475" spans="1:43">
      <c r="A475" s="360" t="s">
        <v>1083</v>
      </c>
      <c r="B475" t="s">
        <v>1076</v>
      </c>
      <c r="C475">
        <v>2</v>
      </c>
      <c r="D475" t="s">
        <v>1078</v>
      </c>
      <c r="E475" t="s">
        <v>1079</v>
      </c>
      <c r="F475" s="360">
        <v>7</v>
      </c>
      <c r="G475" s="360" t="str">
        <f>CONCATENATE(A475," ",B475," ",C475," ","inf+"," ",FanUpsizes!D475," ",FanUpsizes!F475)</f>
        <v>3ACH 5C 2 inf+ New 7</v>
      </c>
      <c r="H475" s="360">
        <v>2.9649617300198716E-2</v>
      </c>
      <c r="I475" s="360">
        <v>0.26123262546085213</v>
      </c>
      <c r="J475" s="360">
        <v>1.2577582138554835</v>
      </c>
      <c r="K475" s="360">
        <v>1751.8008289847871</v>
      </c>
      <c r="L475" s="360">
        <v>0.23510187436362395</v>
      </c>
      <c r="M475" s="360">
        <v>1.406026961791216</v>
      </c>
      <c r="N475" s="360">
        <v>1.2266575341513666</v>
      </c>
      <c r="O475" s="360">
        <v>0.26490994562416464</v>
      </c>
      <c r="P475" s="360">
        <v>1.257758756559918</v>
      </c>
      <c r="Q475" s="360">
        <v>1385.7877945057346</v>
      </c>
      <c r="R475" s="360">
        <v>1751.8008289847871</v>
      </c>
      <c r="S475" s="360">
        <v>0.23510187436362395</v>
      </c>
      <c r="T475" s="360">
        <v>1.406026961791216</v>
      </c>
      <c r="U475" s="360">
        <v>1.2266575341513666</v>
      </c>
      <c r="V475" s="360">
        <v>0.26490994562416464</v>
      </c>
      <c r="W475" s="360">
        <v>1.257758756559918</v>
      </c>
      <c r="X475" s="360">
        <v>1385.7877945057346</v>
      </c>
      <c r="Y475" s="360">
        <v>0.26531688106992946</v>
      </c>
      <c r="Z475" s="360">
        <v>1.2221851943898825</v>
      </c>
      <c r="AA475" s="360">
        <v>1621.8786001231902</v>
      </c>
      <c r="AB475" s="360">
        <v>0.24085944614928045</v>
      </c>
      <c r="AC475" s="360">
        <v>1.3661553622303366</v>
      </c>
      <c r="AD475" s="360">
        <v>1.2170505974512424</v>
      </c>
      <c r="AE475" s="360">
        <v>0.27282875316969313</v>
      </c>
      <c r="AF475" s="360">
        <v>1.2221879410592484</v>
      </c>
      <c r="AG475" s="360">
        <v>1184.273544656126</v>
      </c>
      <c r="AH475" s="360">
        <v>1621.8786001231902</v>
      </c>
      <c r="AI475" s="360">
        <v>0.24085944614928045</v>
      </c>
      <c r="AJ475" s="360">
        <v>1.3661553622303366</v>
      </c>
      <c r="AK475" s="360">
        <v>1.2170505974512424</v>
      </c>
      <c r="AL475" s="360">
        <v>0.27282875316969313</v>
      </c>
      <c r="AM475" s="360">
        <v>1.2221879410592484</v>
      </c>
      <c r="AN475" s="360">
        <v>1184.273544656126</v>
      </c>
      <c r="AO475" s="360">
        <f t="shared" si="18"/>
        <v>1</v>
      </c>
      <c r="AP475" s="360">
        <f t="shared" si="19"/>
        <v>1</v>
      </c>
      <c r="AQ475" s="360">
        <f t="shared" si="20"/>
        <v>1</v>
      </c>
    </row>
    <row r="476" spans="1:43">
      <c r="A476" s="360" t="s">
        <v>1083</v>
      </c>
      <c r="B476" t="s">
        <v>1075</v>
      </c>
      <c r="C476">
        <v>1</v>
      </c>
      <c r="D476" t="s">
        <v>1080</v>
      </c>
      <c r="E476" t="s">
        <v>1079</v>
      </c>
      <c r="F476" s="360">
        <v>7</v>
      </c>
      <c r="G476" s="360" t="str">
        <f>CONCATENATE(A476," ",B476," ",C476," ","inf+"," ",FanUpsizes!D476," ",FanUpsizes!F476)</f>
        <v>3ACH Percentile 1 inf+ Existing 7</v>
      </c>
      <c r="H476" s="360">
        <v>4.9196469441266058E-2</v>
      </c>
      <c r="I476" s="360">
        <v>0.36593250598701521</v>
      </c>
      <c r="J476" s="360">
        <v>1.2014214337020062</v>
      </c>
      <c r="K476" s="360">
        <v>3558.339022548239</v>
      </c>
      <c r="L476" s="360">
        <v>0.31215997995252354</v>
      </c>
      <c r="M476" s="360">
        <v>1.6012123373416489</v>
      </c>
      <c r="N476" s="360">
        <v>1.6637581012255653</v>
      </c>
      <c r="O476" s="360">
        <v>0.49420449100353631</v>
      </c>
      <c r="P476" s="360">
        <v>1.2014233597218806</v>
      </c>
      <c r="Q476" s="360">
        <v>966.61389095454103</v>
      </c>
      <c r="R476" s="360">
        <v>5084.0483302337507</v>
      </c>
      <c r="S476" s="360">
        <v>0.23937003373879043</v>
      </c>
      <c r="T476" s="360">
        <v>2.0675020489875835</v>
      </c>
      <c r="U476" s="360">
        <v>2.6810651797883738</v>
      </c>
      <c r="V476" s="360">
        <v>0.55845135474172747</v>
      </c>
      <c r="W476" s="360">
        <v>1.2014222417610378</v>
      </c>
      <c r="X476" s="360">
        <v>1723.4487875192613</v>
      </c>
      <c r="Y476" s="360">
        <v>0.38063609318382169</v>
      </c>
      <c r="Z476" s="360">
        <v>1.1557255595001197</v>
      </c>
      <c r="AA476" s="360">
        <v>3934.9807687127495</v>
      </c>
      <c r="AB476" s="360">
        <v>0.32128635415688878</v>
      </c>
      <c r="AC476" s="360">
        <v>1.5684286189851877</v>
      </c>
      <c r="AD476" s="360">
        <v>1.7737155606153616</v>
      </c>
      <c r="AE476" s="360">
        <v>0.53066870232017549</v>
      </c>
      <c r="AF476" s="360">
        <v>1.1557257566402126</v>
      </c>
      <c r="AG476" s="360">
        <v>952.12344620952069</v>
      </c>
      <c r="AH476" s="360">
        <v>5561.5342931594096</v>
      </c>
      <c r="AI476" s="360">
        <v>0.24613160512047655</v>
      </c>
      <c r="AJ476" s="360">
        <v>2.0124016101673821</v>
      </c>
      <c r="AK476" s="360">
        <v>2.8486081783691333</v>
      </c>
      <c r="AL476" s="360">
        <v>0.59727666605073459</v>
      </c>
      <c r="AM476" s="360">
        <v>1.1557256971219618</v>
      </c>
      <c r="AN476" s="360">
        <v>1763.5881723018172</v>
      </c>
      <c r="AO476" s="360">
        <f t="shared" si="18"/>
        <v>1</v>
      </c>
      <c r="AP476" s="360">
        <f t="shared" si="19"/>
        <v>1</v>
      </c>
      <c r="AQ476" s="360">
        <f t="shared" si="20"/>
        <v>1</v>
      </c>
    </row>
    <row r="477" spans="1:43">
      <c r="A477" s="360" t="s">
        <v>1083</v>
      </c>
      <c r="B477" t="s">
        <v>1074</v>
      </c>
      <c r="C477">
        <v>1</v>
      </c>
      <c r="D477" t="s">
        <v>1080</v>
      </c>
      <c r="E477" t="s">
        <v>1079</v>
      </c>
      <c r="F477" s="360">
        <v>7</v>
      </c>
      <c r="G477" s="360" t="str">
        <f>CONCATENATE(A477," ",B477," ",C477," ","inf+"," ",FanUpsizes!D477," ",FanUpsizes!F477)</f>
        <v>3ACH Infiltration 1 inf+ Existing 7</v>
      </c>
      <c r="H477" s="360">
        <v>4.9196469441266058E-2</v>
      </c>
      <c r="I477" s="360">
        <v>0.36593250598701521</v>
      </c>
      <c r="J477" s="360">
        <v>1.2014214337020062</v>
      </c>
      <c r="K477" s="360">
        <v>0</v>
      </c>
      <c r="L477" s="360">
        <v>0.36593250598701521</v>
      </c>
      <c r="M477" s="360">
        <v>1.2014214337020062</v>
      </c>
      <c r="N477" s="360">
        <v>1</v>
      </c>
      <c r="O477" s="360">
        <v>0.36593250598701521</v>
      </c>
      <c r="P477" s="360">
        <v>1.2014214337020062</v>
      </c>
      <c r="Q477" s="360">
        <v>0</v>
      </c>
      <c r="R477" s="360">
        <v>0</v>
      </c>
      <c r="S477" s="360">
        <v>0.36593250598701521</v>
      </c>
      <c r="T477" s="360">
        <v>1.2014214337020062</v>
      </c>
      <c r="U477" s="360">
        <v>1</v>
      </c>
      <c r="V477" s="360">
        <v>0.36593250598701521</v>
      </c>
      <c r="W477" s="360">
        <v>1.2014214337020062</v>
      </c>
      <c r="X477" s="360">
        <v>0</v>
      </c>
      <c r="Y477" s="360">
        <v>0.38063609318382169</v>
      </c>
      <c r="Z477" s="360">
        <v>1.1557255595001197</v>
      </c>
      <c r="AA477" s="360">
        <v>0</v>
      </c>
      <c r="AB477" s="360">
        <v>0.38063609318382169</v>
      </c>
      <c r="AC477" s="360">
        <v>1.1557255595001197</v>
      </c>
      <c r="AD477" s="360">
        <v>1</v>
      </c>
      <c r="AE477" s="360">
        <v>0.38063609318382169</v>
      </c>
      <c r="AF477" s="360">
        <v>1.1557255595001197</v>
      </c>
      <c r="AG477" s="360">
        <v>0</v>
      </c>
      <c r="AH477" s="360">
        <v>0</v>
      </c>
      <c r="AI477" s="360">
        <v>0.38063609318382169</v>
      </c>
      <c r="AJ477" s="360">
        <v>1.1557255595001197</v>
      </c>
      <c r="AK477" s="360">
        <v>1</v>
      </c>
      <c r="AL477" s="360">
        <v>0.38063609318382169</v>
      </c>
      <c r="AM477" s="360">
        <v>1.1557255595001197</v>
      </c>
      <c r="AN477" s="360">
        <v>0</v>
      </c>
      <c r="AO477" s="360">
        <f t="shared" si="18"/>
        <v>1</v>
      </c>
      <c r="AP477" s="360">
        <f t="shared" si="19"/>
        <v>0</v>
      </c>
      <c r="AQ477" s="360">
        <f t="shared" si="20"/>
        <v>0</v>
      </c>
    </row>
    <row r="478" spans="1:43">
      <c r="A478" s="360" t="s">
        <v>1083</v>
      </c>
      <c r="B478" t="s">
        <v>1076</v>
      </c>
      <c r="C478">
        <v>1</v>
      </c>
      <c r="D478" t="s">
        <v>1080</v>
      </c>
      <c r="E478" t="s">
        <v>1079</v>
      </c>
      <c r="F478" s="360">
        <v>7</v>
      </c>
      <c r="G478" s="360" t="str">
        <f>CONCATENATE(A478," ",B478," ",C478," ","inf+"," ",FanUpsizes!D478," ",FanUpsizes!F478)</f>
        <v>3ACH 5C 1 inf+ Existing 7</v>
      </c>
      <c r="H478" s="360">
        <v>4.9196469441266058E-2</v>
      </c>
      <c r="I478" s="360">
        <v>0.36593250598701521</v>
      </c>
      <c r="J478" s="360">
        <v>1.2014214337020062</v>
      </c>
      <c r="K478" s="360">
        <v>3558.339022548239</v>
      </c>
      <c r="L478" s="360">
        <v>0.31215997995252354</v>
      </c>
      <c r="M478" s="360">
        <v>1.6012123373416489</v>
      </c>
      <c r="N478" s="360">
        <v>1.6637581012255653</v>
      </c>
      <c r="O478" s="360">
        <v>0.49420449100353631</v>
      </c>
      <c r="P478" s="360">
        <v>1.2014233597218806</v>
      </c>
      <c r="Q478" s="360">
        <v>966.61389095454103</v>
      </c>
      <c r="R478" s="360">
        <v>3558.339022548239</v>
      </c>
      <c r="S478" s="360">
        <v>0.31215997995252354</v>
      </c>
      <c r="T478" s="360">
        <v>1.6012123373416489</v>
      </c>
      <c r="U478" s="360">
        <v>1.6637581012255653</v>
      </c>
      <c r="V478" s="360">
        <v>0.49420449100353631</v>
      </c>
      <c r="W478" s="360">
        <v>1.2014233597218806</v>
      </c>
      <c r="X478" s="360">
        <v>966.61389095454103</v>
      </c>
      <c r="Y478" s="360">
        <v>0.38063609318382169</v>
      </c>
      <c r="Z478" s="360">
        <v>1.1557255595001197</v>
      </c>
      <c r="AA478" s="360">
        <v>3934.9807687127495</v>
      </c>
      <c r="AB478" s="360">
        <v>0.32128635415688878</v>
      </c>
      <c r="AC478" s="360">
        <v>1.5684286189851877</v>
      </c>
      <c r="AD478" s="360">
        <v>1.7737155606153616</v>
      </c>
      <c r="AE478" s="360">
        <v>0.53066870232017549</v>
      </c>
      <c r="AF478" s="360">
        <v>1.1557257566402126</v>
      </c>
      <c r="AG478" s="360">
        <v>952.12344620952069</v>
      </c>
      <c r="AH478" s="360">
        <v>3934.9807687127495</v>
      </c>
      <c r="AI478" s="360">
        <v>0.32128635415688878</v>
      </c>
      <c r="AJ478" s="360">
        <v>1.5684286189851877</v>
      </c>
      <c r="AK478" s="360">
        <v>1.7737155606153616</v>
      </c>
      <c r="AL478" s="360">
        <v>0.53066870232017549</v>
      </c>
      <c r="AM478" s="360">
        <v>1.1557257566402126</v>
      </c>
      <c r="AN478" s="360">
        <v>952.12344620952069</v>
      </c>
      <c r="AO478" s="360">
        <f t="shared" si="18"/>
        <v>1</v>
      </c>
      <c r="AP478" s="360">
        <f t="shared" si="19"/>
        <v>1</v>
      </c>
      <c r="AQ478" s="360">
        <f t="shared" si="20"/>
        <v>1</v>
      </c>
    </row>
    <row r="479" spans="1:43">
      <c r="A479" s="360" t="s">
        <v>1083</v>
      </c>
      <c r="B479" t="s">
        <v>1075</v>
      </c>
      <c r="C479">
        <v>2</v>
      </c>
      <c r="D479" t="s">
        <v>1080</v>
      </c>
      <c r="E479" t="s">
        <v>1079</v>
      </c>
      <c r="F479" s="360">
        <v>7</v>
      </c>
      <c r="G479" s="360" t="str">
        <f>CONCATENATE(A479," ",B479," ",C479," ","inf+"," ",FanUpsizes!D479," ",FanUpsizes!F479)</f>
        <v>3ACH Percentile 2 inf+ Existing 7</v>
      </c>
      <c r="H479" s="360">
        <v>4.5899617300198717E-2</v>
      </c>
      <c r="I479" s="360">
        <v>0.35419138786548771</v>
      </c>
      <c r="J479" s="360">
        <v>1.2491881926400337</v>
      </c>
      <c r="K479" s="360">
        <v>2833.3810371692539</v>
      </c>
      <c r="L479" s="360">
        <v>0.3116337944901551</v>
      </c>
      <c r="M479" s="360">
        <v>1.5073880993967914</v>
      </c>
      <c r="N479" s="360">
        <v>1.365385705508446</v>
      </c>
      <c r="O479" s="360">
        <v>0.40029884970170837</v>
      </c>
      <c r="P479" s="360">
        <v>1.2491885731499617</v>
      </c>
      <c r="Q479" s="360">
        <v>1614.9009962144403</v>
      </c>
      <c r="R479" s="360">
        <v>3984.610653371381</v>
      </c>
      <c r="S479" s="360">
        <v>0.25352268962514801</v>
      </c>
      <c r="T479" s="360">
        <v>1.8632288162578128</v>
      </c>
      <c r="U479" s="360">
        <v>2.145785238591789</v>
      </c>
      <c r="V479" s="360">
        <v>0.44188118611353594</v>
      </c>
      <c r="W479" s="360">
        <v>1.2491885771028701</v>
      </c>
      <c r="X479" s="360">
        <v>2216.8309971771018</v>
      </c>
      <c r="Y479" s="360">
        <v>0.37146456598917821</v>
      </c>
      <c r="Z479" s="360">
        <v>1.1884158809535867</v>
      </c>
      <c r="AA479" s="360">
        <v>3184.4178762872471</v>
      </c>
      <c r="AB479" s="360">
        <v>0.32341699586006312</v>
      </c>
      <c r="AC479" s="360">
        <v>1.4620385815879196</v>
      </c>
      <c r="AD479" s="360">
        <v>1.4361774143245212</v>
      </c>
      <c r="AE479" s="360">
        <v>0.4302877880773826</v>
      </c>
      <c r="AF479" s="360">
        <v>1.1884162313784927</v>
      </c>
      <c r="AG479" s="360">
        <v>1680.9735386377247</v>
      </c>
      <c r="AH479" s="360">
        <v>4589.369067439342</v>
      </c>
      <c r="AI479" s="360">
        <v>0.25746991788034773</v>
      </c>
      <c r="AJ479" s="360">
        <v>1.8386999990012165</v>
      </c>
      <c r="AK479" s="360">
        <v>2.2573992030824508</v>
      </c>
      <c r="AL479" s="360">
        <v>0.47216250828373463</v>
      </c>
      <c r="AM479" s="360">
        <v>1.1884159116003772</v>
      </c>
      <c r="AN479" s="360">
        <v>2351.7280147829961</v>
      </c>
      <c r="AO479" s="360">
        <f t="shared" si="18"/>
        <v>1</v>
      </c>
      <c r="AP479" s="360">
        <f t="shared" si="19"/>
        <v>1</v>
      </c>
      <c r="AQ479" s="360">
        <f t="shared" si="20"/>
        <v>1</v>
      </c>
    </row>
    <row r="480" spans="1:43">
      <c r="A480" s="360" t="s">
        <v>1083</v>
      </c>
      <c r="B480" t="s">
        <v>1074</v>
      </c>
      <c r="C480">
        <v>2</v>
      </c>
      <c r="D480" t="s">
        <v>1080</v>
      </c>
      <c r="E480" t="s">
        <v>1079</v>
      </c>
      <c r="F480" s="360">
        <v>7</v>
      </c>
      <c r="G480" s="360" t="str">
        <f>CONCATENATE(A480," ",B480," ",C480," ","inf+"," ",FanUpsizes!D480," ",FanUpsizes!F480)</f>
        <v>3ACH Infiltration 2 inf+ Existing 7</v>
      </c>
      <c r="H480" s="360">
        <v>4.5899617300198717E-2</v>
      </c>
      <c r="I480" s="360">
        <v>0.35419138786548771</v>
      </c>
      <c r="J480" s="360">
        <v>1.2491881926400337</v>
      </c>
      <c r="K480" s="360">
        <v>0</v>
      </c>
      <c r="L480" s="360">
        <v>0.35419138786548771</v>
      </c>
      <c r="M480" s="360">
        <v>1.2491881926400337</v>
      </c>
      <c r="N480" s="360">
        <v>1</v>
      </c>
      <c r="O480" s="360">
        <v>0.35419138786548771</v>
      </c>
      <c r="P480" s="360">
        <v>1.2491881926400337</v>
      </c>
      <c r="Q480" s="360">
        <v>0</v>
      </c>
      <c r="R480" s="360">
        <v>0</v>
      </c>
      <c r="S480" s="360">
        <v>0.35419138786548771</v>
      </c>
      <c r="T480" s="360">
        <v>1.2491881926400337</v>
      </c>
      <c r="U480" s="360">
        <v>1</v>
      </c>
      <c r="V480" s="360">
        <v>0.35419138786548771</v>
      </c>
      <c r="W480" s="360">
        <v>1.2491881926400337</v>
      </c>
      <c r="X480" s="360">
        <v>0</v>
      </c>
      <c r="Y480" s="360">
        <v>0.37146456598917821</v>
      </c>
      <c r="Z480" s="360">
        <v>1.1884158809535867</v>
      </c>
      <c r="AA480" s="360">
        <v>0</v>
      </c>
      <c r="AB480" s="360">
        <v>0.37146456598917821</v>
      </c>
      <c r="AC480" s="360">
        <v>1.1884158809535867</v>
      </c>
      <c r="AD480" s="360">
        <v>1</v>
      </c>
      <c r="AE480" s="360">
        <v>0.37146456598917821</v>
      </c>
      <c r="AF480" s="360">
        <v>1.1884158809535867</v>
      </c>
      <c r="AG480" s="360">
        <v>0</v>
      </c>
      <c r="AH480" s="360">
        <v>0</v>
      </c>
      <c r="AI480" s="360">
        <v>0.37146456598917821</v>
      </c>
      <c r="AJ480" s="360">
        <v>1.1884158809535867</v>
      </c>
      <c r="AK480" s="360">
        <v>1</v>
      </c>
      <c r="AL480" s="360">
        <v>0.37146456598917821</v>
      </c>
      <c r="AM480" s="360">
        <v>1.1884158809535867</v>
      </c>
      <c r="AN480" s="360">
        <v>0</v>
      </c>
      <c r="AO480" s="360">
        <f t="shared" si="18"/>
        <v>1</v>
      </c>
      <c r="AP480" s="360">
        <f t="shared" si="19"/>
        <v>0</v>
      </c>
      <c r="AQ480" s="360">
        <f t="shared" si="20"/>
        <v>0</v>
      </c>
    </row>
    <row r="481" spans="1:43">
      <c r="A481" s="360" t="s">
        <v>1083</v>
      </c>
      <c r="B481" t="s">
        <v>1076</v>
      </c>
      <c r="C481">
        <v>2</v>
      </c>
      <c r="D481" t="s">
        <v>1080</v>
      </c>
      <c r="E481" t="s">
        <v>1079</v>
      </c>
      <c r="F481" s="360">
        <v>7</v>
      </c>
      <c r="G481" s="360" t="str">
        <f>CONCATENATE(A481," ",B481," ",C481," ","inf+"," ",FanUpsizes!D481," ",FanUpsizes!F481)</f>
        <v>3ACH 5C 2 inf+ Existing 7</v>
      </c>
      <c r="H481" s="360">
        <v>4.5899617300198717E-2</v>
      </c>
      <c r="I481" s="360">
        <v>0.35419138786548771</v>
      </c>
      <c r="J481" s="360">
        <v>1.2491881926400337</v>
      </c>
      <c r="K481" s="360">
        <v>2833.3810371692539</v>
      </c>
      <c r="L481" s="360">
        <v>0.3116337944901551</v>
      </c>
      <c r="M481" s="360">
        <v>1.5073880993967914</v>
      </c>
      <c r="N481" s="360">
        <v>1.365385705508446</v>
      </c>
      <c r="O481" s="360">
        <v>0.40029884970170837</v>
      </c>
      <c r="P481" s="360">
        <v>1.2491885731499617</v>
      </c>
      <c r="Q481" s="360">
        <v>1614.9009962144403</v>
      </c>
      <c r="R481" s="360">
        <v>2833.3810371692539</v>
      </c>
      <c r="S481" s="360">
        <v>0.3116337944901551</v>
      </c>
      <c r="T481" s="360">
        <v>1.5073880993967914</v>
      </c>
      <c r="U481" s="360">
        <v>1.365385705508446</v>
      </c>
      <c r="V481" s="360">
        <v>0.40029884970170837</v>
      </c>
      <c r="W481" s="360">
        <v>1.2491885731499617</v>
      </c>
      <c r="X481" s="360">
        <v>1614.9009962144403</v>
      </c>
      <c r="Y481" s="360">
        <v>0.37146456598917821</v>
      </c>
      <c r="Z481" s="360">
        <v>1.1884158809535867</v>
      </c>
      <c r="AA481" s="360">
        <v>3184.4178762872471</v>
      </c>
      <c r="AB481" s="360">
        <v>0.32341699586006312</v>
      </c>
      <c r="AC481" s="360">
        <v>1.4620385815879196</v>
      </c>
      <c r="AD481" s="360">
        <v>1.4361774143245212</v>
      </c>
      <c r="AE481" s="360">
        <v>0.4302877880773826</v>
      </c>
      <c r="AF481" s="360">
        <v>1.1884162313784927</v>
      </c>
      <c r="AG481" s="360">
        <v>1680.9735386377247</v>
      </c>
      <c r="AH481" s="360">
        <v>3184.4178762872471</v>
      </c>
      <c r="AI481" s="360">
        <v>0.32341699586006312</v>
      </c>
      <c r="AJ481" s="360">
        <v>1.4620385815879196</v>
      </c>
      <c r="AK481" s="360">
        <v>1.4361774143245212</v>
      </c>
      <c r="AL481" s="360">
        <v>0.4302877880773826</v>
      </c>
      <c r="AM481" s="360">
        <v>1.1884162313784927</v>
      </c>
      <c r="AN481" s="360">
        <v>1680.9735386377247</v>
      </c>
      <c r="AO481" s="360">
        <f t="shared" si="18"/>
        <v>1</v>
      </c>
      <c r="AP481" s="360">
        <f t="shared" si="19"/>
        <v>1</v>
      </c>
      <c r="AQ481" s="360">
        <f t="shared" si="20"/>
        <v>1</v>
      </c>
    </row>
    <row r="482" spans="1:43">
      <c r="A482" s="360" t="s">
        <v>1084</v>
      </c>
      <c r="B482" t="s">
        <v>1075</v>
      </c>
      <c r="C482">
        <v>1</v>
      </c>
      <c r="D482" t="s">
        <v>1078</v>
      </c>
      <c r="E482" t="s">
        <v>1079</v>
      </c>
      <c r="F482" s="360">
        <v>7</v>
      </c>
      <c r="G482" s="360" t="str">
        <f>CONCATENATE(A482," ",B482," ",C482," ","inf+"," ",FanUpsizes!D482," ",FanUpsizes!F482)</f>
        <v>1.5ACH Percentile 1 inf+ New 7</v>
      </c>
      <c r="H482" s="360">
        <v>3.8105734720633028E-2</v>
      </c>
      <c r="I482" s="360">
        <v>0.28136285816590612</v>
      </c>
      <c r="J482" s="360">
        <v>1.1349085896281839</v>
      </c>
      <c r="K482" s="360">
        <v>3318.0103093785801</v>
      </c>
      <c r="L482" s="360">
        <v>0.23128645685518429</v>
      </c>
      <c r="M482" s="360">
        <v>1.7465910549601502</v>
      </c>
      <c r="N482" s="360">
        <v>2.4611841196552726</v>
      </c>
      <c r="O482" s="360">
        <v>0.54404072609306264</v>
      </c>
      <c r="P482" s="360">
        <v>1.1349085950956386</v>
      </c>
      <c r="Q482" s="360">
        <v>-1181.2537776151303</v>
      </c>
      <c r="R482" s="360">
        <v>4651.5890283177505</v>
      </c>
      <c r="S482" s="360">
        <v>0.17013078163662251</v>
      </c>
      <c r="T482" s="360">
        <v>2.3029084401252788</v>
      </c>
      <c r="U482" s="360">
        <v>4.0567739173340902</v>
      </c>
      <c r="V482" s="360">
        <v>0.63112790938729346</v>
      </c>
      <c r="W482" s="360">
        <v>1.1349088930843516</v>
      </c>
      <c r="X482" s="360">
        <v>-457.25094867158884</v>
      </c>
      <c r="Y482" s="360">
        <v>0.28705291047406978</v>
      </c>
      <c r="Z482" s="360">
        <v>1.1127385587947536</v>
      </c>
      <c r="AA482" s="360">
        <v>3472.1369737060559</v>
      </c>
      <c r="AB482" s="360">
        <v>0.2347275517253139</v>
      </c>
      <c r="AC482" s="360">
        <v>1.729248162447262</v>
      </c>
      <c r="AD482" s="360">
        <v>2.5882706148775569</v>
      </c>
      <c r="AE482" s="360">
        <v>0.57262324337656145</v>
      </c>
      <c r="AF482" s="360">
        <v>1.1127394889623612</v>
      </c>
      <c r="AG482" s="360">
        <v>-1375.3791345942147</v>
      </c>
      <c r="AH482" s="360">
        <v>4799.7048447283432</v>
      </c>
      <c r="AI482" s="360">
        <v>0.1741279895126138</v>
      </c>
      <c r="AJ482" s="360">
        <v>2.2482666701996181</v>
      </c>
      <c r="AK482" s="360">
        <v>4.264532936909645</v>
      </c>
      <c r="AL482" s="360">
        <v>0.66397119481608802</v>
      </c>
      <c r="AM482" s="360">
        <v>1.1127385907711671</v>
      </c>
      <c r="AN482" s="360">
        <v>-616.26177499904736</v>
      </c>
      <c r="AO482" s="360">
        <f t="shared" si="18"/>
        <v>1</v>
      </c>
      <c r="AP482" s="360">
        <f t="shared" si="19"/>
        <v>1</v>
      </c>
      <c r="AQ482" s="360">
        <f t="shared" si="20"/>
        <v>1</v>
      </c>
    </row>
    <row r="483" spans="1:43">
      <c r="A483" s="360" t="s">
        <v>1084</v>
      </c>
      <c r="B483" t="s">
        <v>1074</v>
      </c>
      <c r="C483">
        <v>1</v>
      </c>
      <c r="D483" t="s">
        <v>1078</v>
      </c>
      <c r="E483" t="s">
        <v>1079</v>
      </c>
      <c r="F483" s="360">
        <v>7</v>
      </c>
      <c r="G483" s="360" t="str">
        <f>CONCATENATE(A483," ",B483," ",C483," ","inf+"," ",FanUpsizes!D483," ",FanUpsizes!F483)</f>
        <v>1.5ACH Infiltration 1 inf+ New 7</v>
      </c>
      <c r="H483" s="360">
        <v>3.8105734720633028E-2</v>
      </c>
      <c r="I483" s="360">
        <v>0.28136285816590612</v>
      </c>
      <c r="J483" s="360">
        <v>1.1349085896281839</v>
      </c>
      <c r="K483" s="360">
        <v>0</v>
      </c>
      <c r="L483" s="360">
        <v>0.28136285816590612</v>
      </c>
      <c r="M483" s="360">
        <v>1.1349085896281839</v>
      </c>
      <c r="N483" s="360">
        <v>1</v>
      </c>
      <c r="O483" s="360">
        <v>0.28136285816590612</v>
      </c>
      <c r="P483" s="360">
        <v>1.1349085896281839</v>
      </c>
      <c r="Q483" s="360">
        <v>0</v>
      </c>
      <c r="R483" s="360">
        <v>0</v>
      </c>
      <c r="S483" s="360">
        <v>0.28136285816590612</v>
      </c>
      <c r="T483" s="360">
        <v>1.1349085896281839</v>
      </c>
      <c r="U483" s="360">
        <v>1</v>
      </c>
      <c r="V483" s="360">
        <v>0.28136285816590612</v>
      </c>
      <c r="W483" s="360">
        <v>1.1349085896281839</v>
      </c>
      <c r="X483" s="360">
        <v>0</v>
      </c>
      <c r="Y483" s="360">
        <v>0.28705291047406978</v>
      </c>
      <c r="Z483" s="360">
        <v>1.1127385587947536</v>
      </c>
      <c r="AA483" s="360">
        <v>0</v>
      </c>
      <c r="AB483" s="360">
        <v>0.28705291047406978</v>
      </c>
      <c r="AC483" s="360">
        <v>1.1127385587947536</v>
      </c>
      <c r="AD483" s="360">
        <v>1</v>
      </c>
      <c r="AE483" s="360">
        <v>0.28705291047406978</v>
      </c>
      <c r="AF483" s="360">
        <v>1.1127385587947536</v>
      </c>
      <c r="AG483" s="360">
        <v>0</v>
      </c>
      <c r="AH483" s="360">
        <v>0</v>
      </c>
      <c r="AI483" s="360">
        <v>0.28705291047406978</v>
      </c>
      <c r="AJ483" s="360">
        <v>1.1127385587947536</v>
      </c>
      <c r="AK483" s="360">
        <v>1</v>
      </c>
      <c r="AL483" s="360">
        <v>0.28705291047406978</v>
      </c>
      <c r="AM483" s="360">
        <v>1.1127385587947536</v>
      </c>
      <c r="AN483" s="360">
        <v>0</v>
      </c>
      <c r="AO483" s="360">
        <f t="shared" si="18"/>
        <v>1</v>
      </c>
      <c r="AP483" s="360">
        <f t="shared" si="19"/>
        <v>0</v>
      </c>
      <c r="AQ483" s="360">
        <f t="shared" si="20"/>
        <v>0</v>
      </c>
    </row>
    <row r="484" spans="1:43">
      <c r="A484" s="360" t="s">
        <v>1084</v>
      </c>
      <c r="B484" t="s">
        <v>1076</v>
      </c>
      <c r="C484">
        <v>1</v>
      </c>
      <c r="D484" t="s">
        <v>1078</v>
      </c>
      <c r="E484" t="s">
        <v>1079</v>
      </c>
      <c r="F484" s="360">
        <v>7</v>
      </c>
      <c r="G484" s="360" t="str">
        <f>CONCATENATE(A484," ",B484," ",C484," ","inf+"," ",FanUpsizes!D484," ",FanUpsizes!F484)</f>
        <v>1.5ACH 5C 1 inf+ New 7</v>
      </c>
      <c r="H484" s="360">
        <v>3.8105734720633028E-2</v>
      </c>
      <c r="I484" s="360">
        <v>0.28136285816590612</v>
      </c>
      <c r="J484" s="360">
        <v>1.1349085896281839</v>
      </c>
      <c r="K484" s="360">
        <v>3318.0103093785801</v>
      </c>
      <c r="L484" s="360">
        <v>0.23128645685518429</v>
      </c>
      <c r="M484" s="360">
        <v>1.7465910549601502</v>
      </c>
      <c r="N484" s="360">
        <v>2.4611841196552726</v>
      </c>
      <c r="O484" s="360">
        <v>0.54404072609306264</v>
      </c>
      <c r="P484" s="360">
        <v>1.1349085950956386</v>
      </c>
      <c r="Q484" s="360">
        <v>-1181.2537776151303</v>
      </c>
      <c r="R484" s="360">
        <v>3318.0103093785801</v>
      </c>
      <c r="S484" s="360">
        <v>0.23128645685518429</v>
      </c>
      <c r="T484" s="360">
        <v>1.7465910549601502</v>
      </c>
      <c r="U484" s="360">
        <v>2.4611841196552726</v>
      </c>
      <c r="V484" s="360">
        <v>0.54404072609306264</v>
      </c>
      <c r="W484" s="360">
        <v>1.1349085950956386</v>
      </c>
      <c r="X484" s="360">
        <v>-1181.2537776151303</v>
      </c>
      <c r="Y484" s="360">
        <v>0.28705291047406978</v>
      </c>
      <c r="Z484" s="360">
        <v>1.1127385587947536</v>
      </c>
      <c r="AA484" s="360">
        <v>3472.1369737060559</v>
      </c>
      <c r="AB484" s="360">
        <v>0.2347275517253139</v>
      </c>
      <c r="AC484" s="360">
        <v>1.729248162447262</v>
      </c>
      <c r="AD484" s="360">
        <v>2.5882706148775569</v>
      </c>
      <c r="AE484" s="360">
        <v>0.57262324337656145</v>
      </c>
      <c r="AF484" s="360">
        <v>1.1127394889623612</v>
      </c>
      <c r="AG484" s="360">
        <v>-1375.3791345942147</v>
      </c>
      <c r="AH484" s="360">
        <v>3472.1369737060559</v>
      </c>
      <c r="AI484" s="360">
        <v>0.2347275517253139</v>
      </c>
      <c r="AJ484" s="360">
        <v>1.729248162447262</v>
      </c>
      <c r="AK484" s="360">
        <v>2.5882706148775569</v>
      </c>
      <c r="AL484" s="360">
        <v>0.57262324337656145</v>
      </c>
      <c r="AM484" s="360">
        <v>1.1127394889623612</v>
      </c>
      <c r="AN484" s="360">
        <v>-1375.3791345942147</v>
      </c>
      <c r="AO484" s="360">
        <f t="shared" si="18"/>
        <v>1</v>
      </c>
      <c r="AP484" s="360">
        <f t="shared" si="19"/>
        <v>1</v>
      </c>
      <c r="AQ484" s="360">
        <f t="shared" si="20"/>
        <v>1</v>
      </c>
    </row>
    <row r="485" spans="1:43">
      <c r="A485" s="360" t="s">
        <v>1084</v>
      </c>
      <c r="B485" t="s">
        <v>1075</v>
      </c>
      <c r="C485">
        <v>2</v>
      </c>
      <c r="D485" t="s">
        <v>1078</v>
      </c>
      <c r="E485" t="s">
        <v>1079</v>
      </c>
      <c r="F485" s="360">
        <v>7</v>
      </c>
      <c r="G485" s="360" t="str">
        <f>CONCATENATE(A485," ",B485," ",C485," ","inf+"," ",FanUpsizes!D485," ",FanUpsizes!F485)</f>
        <v>1.5ACH Percentile 2 inf+ New 7</v>
      </c>
      <c r="H485" s="360">
        <v>3.6457308650099357E-2</v>
      </c>
      <c r="I485" s="360">
        <v>0.27039499027502073</v>
      </c>
      <c r="J485" s="360">
        <v>1.1814668445690621</v>
      </c>
      <c r="K485" s="360">
        <v>2790.899176949813</v>
      </c>
      <c r="L485" s="360">
        <v>0.22822564052358885</v>
      </c>
      <c r="M485" s="360">
        <v>1.6221320702346527</v>
      </c>
      <c r="N485" s="360">
        <v>1.7592646159974841</v>
      </c>
      <c r="O485" s="360">
        <v>0.38302017023423518</v>
      </c>
      <c r="P485" s="360">
        <v>1.1814707783116054</v>
      </c>
      <c r="Q485" s="360">
        <v>578.40190834902239</v>
      </c>
      <c r="R485" s="360">
        <v>3964.4985153985936</v>
      </c>
      <c r="S485" s="360">
        <v>0.17298954229690217</v>
      </c>
      <c r="T485" s="360">
        <v>2.1115787331529248</v>
      </c>
      <c r="U485" s="360">
        <v>2.8555173338566022</v>
      </c>
      <c r="V485" s="360">
        <v>0.43624467498713809</v>
      </c>
      <c r="W485" s="360">
        <v>1.1814680044874506</v>
      </c>
      <c r="X485" s="360">
        <v>1142.1502535229399</v>
      </c>
      <c r="Y485" s="360">
        <v>0.27988398724511276</v>
      </c>
      <c r="Z485" s="360">
        <v>1.1421082367638622</v>
      </c>
      <c r="AA485" s="360">
        <v>3033.6952250647064</v>
      </c>
      <c r="AB485" s="360">
        <v>0.23413916164388462</v>
      </c>
      <c r="AC485" s="360">
        <v>1.5925101568213134</v>
      </c>
      <c r="AD485" s="360">
        <v>1.8646806100089413</v>
      </c>
      <c r="AE485" s="360">
        <v>0.4082530001280249</v>
      </c>
      <c r="AF485" s="360">
        <v>1.1421086971394994</v>
      </c>
      <c r="AG485" s="360">
        <v>548.06472478958415</v>
      </c>
      <c r="AH485" s="360">
        <v>4256.5872068998951</v>
      </c>
      <c r="AI485" s="360">
        <v>0.1778426993154833</v>
      </c>
      <c r="AJ485" s="360">
        <v>2.0555128801469298</v>
      </c>
      <c r="AK485" s="360">
        <v>3.0189143970479355</v>
      </c>
      <c r="AL485" s="360">
        <v>0.46357940130609326</v>
      </c>
      <c r="AM485" s="360">
        <v>1.1421087097000755</v>
      </c>
      <c r="AN485" s="360">
        <v>1146.4881460900688</v>
      </c>
      <c r="AO485" s="360">
        <f t="shared" ref="AO485:AO548" si="21">IF(ROUND(P485,3)=ROUND(J485,3),1,0)</f>
        <v>1</v>
      </c>
      <c r="AP485" s="360">
        <f t="shared" ref="AP485:AP548" si="22">IF(O485&gt;L485,1,0)</f>
        <v>1</v>
      </c>
      <c r="AQ485" s="360">
        <f t="shared" ref="AQ485:AQ548" si="23">IF(I485&gt;L485,1,0)</f>
        <v>1</v>
      </c>
    </row>
    <row r="486" spans="1:43">
      <c r="A486" s="360" t="s">
        <v>1084</v>
      </c>
      <c r="B486" t="s">
        <v>1074</v>
      </c>
      <c r="C486">
        <v>2</v>
      </c>
      <c r="D486" t="s">
        <v>1078</v>
      </c>
      <c r="E486" t="s">
        <v>1079</v>
      </c>
      <c r="F486" s="360">
        <v>7</v>
      </c>
      <c r="G486" s="360" t="str">
        <f>CONCATENATE(A486," ",B486," ",C486," ","inf+"," ",FanUpsizes!D486," ",FanUpsizes!F486)</f>
        <v>1.5ACH Infiltration 2 inf+ New 7</v>
      </c>
      <c r="H486" s="360">
        <v>3.6457308650099357E-2</v>
      </c>
      <c r="I486" s="360">
        <v>0.27039499027502073</v>
      </c>
      <c r="J486" s="360">
        <v>1.1814668445690621</v>
      </c>
      <c r="K486" s="360">
        <v>0</v>
      </c>
      <c r="L486" s="360">
        <v>0.27039499027502073</v>
      </c>
      <c r="M486" s="360">
        <v>1.1814668445690621</v>
      </c>
      <c r="N486" s="360">
        <v>1</v>
      </c>
      <c r="O486" s="360">
        <v>0.27039499027502073</v>
      </c>
      <c r="P486" s="360">
        <v>1.1814668445690621</v>
      </c>
      <c r="Q486" s="360">
        <v>0</v>
      </c>
      <c r="R486" s="360">
        <v>0</v>
      </c>
      <c r="S486" s="360">
        <v>0.27039499027502073</v>
      </c>
      <c r="T486" s="360">
        <v>1.1814668445690621</v>
      </c>
      <c r="U486" s="360">
        <v>1</v>
      </c>
      <c r="V486" s="360">
        <v>0.27039499027502073</v>
      </c>
      <c r="W486" s="360">
        <v>1.1814668445690621</v>
      </c>
      <c r="X486" s="360">
        <v>0</v>
      </c>
      <c r="Y486" s="360">
        <v>0.27988398724511276</v>
      </c>
      <c r="Z486" s="360">
        <v>1.1421082367638622</v>
      </c>
      <c r="AA486" s="360">
        <v>0</v>
      </c>
      <c r="AB486" s="360">
        <v>0.27988398724511276</v>
      </c>
      <c r="AC486" s="360">
        <v>1.1421082367638622</v>
      </c>
      <c r="AD486" s="360">
        <v>1</v>
      </c>
      <c r="AE486" s="360">
        <v>0.27988398724511276</v>
      </c>
      <c r="AF486" s="360">
        <v>1.1421082367638622</v>
      </c>
      <c r="AG486" s="360">
        <v>0</v>
      </c>
      <c r="AH486" s="360">
        <v>0</v>
      </c>
      <c r="AI486" s="360">
        <v>0.27988398724511276</v>
      </c>
      <c r="AJ486" s="360">
        <v>1.1421082367638622</v>
      </c>
      <c r="AK486" s="360">
        <v>1</v>
      </c>
      <c r="AL486" s="360">
        <v>0.27988398724511276</v>
      </c>
      <c r="AM486" s="360">
        <v>1.1421082367638622</v>
      </c>
      <c r="AN486" s="360">
        <v>0</v>
      </c>
      <c r="AO486" s="360">
        <f t="shared" si="21"/>
        <v>1</v>
      </c>
      <c r="AP486" s="360">
        <f t="shared" si="22"/>
        <v>0</v>
      </c>
      <c r="AQ486" s="360">
        <f t="shared" si="23"/>
        <v>0</v>
      </c>
    </row>
    <row r="487" spans="1:43">
      <c r="A487" s="360" t="s">
        <v>1084</v>
      </c>
      <c r="B487" t="s">
        <v>1076</v>
      </c>
      <c r="C487">
        <v>2</v>
      </c>
      <c r="D487" t="s">
        <v>1078</v>
      </c>
      <c r="E487" t="s">
        <v>1079</v>
      </c>
      <c r="F487" s="360">
        <v>7</v>
      </c>
      <c r="G487" s="360" t="str">
        <f>CONCATENATE(A487," ",B487," ",C487," ","inf+"," ",FanUpsizes!D487," ",FanUpsizes!F487)</f>
        <v>1.5ACH 5C 2 inf+ New 7</v>
      </c>
      <c r="H487" s="360">
        <v>3.6457308650099357E-2</v>
      </c>
      <c r="I487" s="360">
        <v>0.27039499027502073</v>
      </c>
      <c r="J487" s="360">
        <v>1.1814668445690621</v>
      </c>
      <c r="K487" s="360">
        <v>2790.899176949813</v>
      </c>
      <c r="L487" s="360">
        <v>0.22822564052358885</v>
      </c>
      <c r="M487" s="360">
        <v>1.6221320702346527</v>
      </c>
      <c r="N487" s="360">
        <v>1.7592646159974841</v>
      </c>
      <c r="O487" s="360">
        <v>0.38302017023423518</v>
      </c>
      <c r="P487" s="360">
        <v>1.1814707783116054</v>
      </c>
      <c r="Q487" s="360">
        <v>578.40190834902239</v>
      </c>
      <c r="R487" s="360">
        <v>2790.899176949813</v>
      </c>
      <c r="S487" s="360">
        <v>0.22822564052358885</v>
      </c>
      <c r="T487" s="360">
        <v>1.6221320702346527</v>
      </c>
      <c r="U487" s="360">
        <v>1.7592646159974841</v>
      </c>
      <c r="V487" s="360">
        <v>0.38302017023423518</v>
      </c>
      <c r="W487" s="360">
        <v>1.1814707783116054</v>
      </c>
      <c r="X487" s="360">
        <v>578.40190834902239</v>
      </c>
      <c r="Y487" s="360">
        <v>0.27988398724511276</v>
      </c>
      <c r="Z487" s="360">
        <v>1.1421082367638622</v>
      </c>
      <c r="AA487" s="360">
        <v>3033.6952250647064</v>
      </c>
      <c r="AB487" s="360">
        <v>0.23413916164388462</v>
      </c>
      <c r="AC487" s="360">
        <v>1.5925101568213134</v>
      </c>
      <c r="AD487" s="360">
        <v>1.8646806100089413</v>
      </c>
      <c r="AE487" s="360">
        <v>0.4082530001280249</v>
      </c>
      <c r="AF487" s="360">
        <v>1.1421086971394994</v>
      </c>
      <c r="AG487" s="360">
        <v>548.06472478958415</v>
      </c>
      <c r="AH487" s="360">
        <v>3033.6952250647064</v>
      </c>
      <c r="AI487" s="360">
        <v>0.23413916164388462</v>
      </c>
      <c r="AJ487" s="360">
        <v>1.5925101568213134</v>
      </c>
      <c r="AK487" s="360">
        <v>1.8646806100089413</v>
      </c>
      <c r="AL487" s="360">
        <v>0.4082530001280249</v>
      </c>
      <c r="AM487" s="360">
        <v>1.1421086971394994</v>
      </c>
      <c r="AN487" s="360">
        <v>548.06472478958415</v>
      </c>
      <c r="AO487" s="360">
        <f t="shared" si="21"/>
        <v>1</v>
      </c>
      <c r="AP487" s="360">
        <f t="shared" si="22"/>
        <v>1</v>
      </c>
      <c r="AQ487" s="360">
        <f t="shared" si="23"/>
        <v>1</v>
      </c>
    </row>
    <row r="488" spans="1:43">
      <c r="A488" s="360" t="s">
        <v>1084</v>
      </c>
      <c r="B488" t="s">
        <v>1075</v>
      </c>
      <c r="C488">
        <v>1</v>
      </c>
      <c r="D488" t="s">
        <v>1080</v>
      </c>
      <c r="E488" t="s">
        <v>1079</v>
      </c>
      <c r="F488" s="360">
        <v>7</v>
      </c>
      <c r="G488" s="360" t="str">
        <f>CONCATENATE(A488," ",B488," ",C488," ","inf+"," ",FanUpsizes!D488," ",FanUpsizes!F488)</f>
        <v>1.5ACH Percentile 1 inf+ Existing 7</v>
      </c>
      <c r="H488" s="360">
        <v>5.4355734720633028E-2</v>
      </c>
      <c r="I488" s="360">
        <v>0.40119165929961947</v>
      </c>
      <c r="J488" s="360">
        <v>1.0948806148994015</v>
      </c>
      <c r="K488" s="360">
        <v>5220.2358172401009</v>
      </c>
      <c r="L488" s="360">
        <v>0.3225193923318127</v>
      </c>
      <c r="M488" s="360">
        <v>1.9833092979150286</v>
      </c>
      <c r="N488" s="360">
        <v>7.3589291370237522</v>
      </c>
      <c r="O488" s="360">
        <v>2.2644146195904598</v>
      </c>
      <c r="P488" s="360">
        <v>1.1081430250338473</v>
      </c>
      <c r="Q488" s="360">
        <v>-22724.8107553236</v>
      </c>
      <c r="R488" s="360">
        <v>7186.5299151649888</v>
      </c>
      <c r="S488" s="360">
        <v>0.23345657135713346</v>
      </c>
      <c r="T488" s="360">
        <v>2.5751033445623923</v>
      </c>
      <c r="U488" s="360">
        <v>7.3589291370237522</v>
      </c>
      <c r="V488" s="360">
        <v>1.6058693003652984</v>
      </c>
      <c r="W488" s="360">
        <v>1.1986717148268904</v>
      </c>
      <c r="X488" s="360">
        <v>-8131.7240839608812</v>
      </c>
      <c r="Y488" s="360">
        <v>0.40529822223068374</v>
      </c>
      <c r="Z488" s="360">
        <v>1.0838844715726497</v>
      </c>
      <c r="AA488" s="360">
        <v>5331.8260949424557</v>
      </c>
      <c r="AB488" s="360">
        <v>0.32499757358695658</v>
      </c>
      <c r="AC488" s="360">
        <v>1.9744736469333364</v>
      </c>
      <c r="AD488" s="360">
        <v>7.3589291370237522</v>
      </c>
      <c r="AE488" s="360">
        <v>2.2647546031729333</v>
      </c>
      <c r="AF488" s="360">
        <v>1.1081207705684664</v>
      </c>
      <c r="AG488" s="360">
        <v>-22567.17577582951</v>
      </c>
      <c r="AH488" s="360">
        <v>7267.9577503676164</v>
      </c>
      <c r="AI488" s="360">
        <v>0.23709469128294439</v>
      </c>
      <c r="AJ488" s="360">
        <v>2.5345791307380066</v>
      </c>
      <c r="AK488" s="360">
        <v>7.3589291370237522</v>
      </c>
      <c r="AL488" s="360">
        <v>1.6064395844439725</v>
      </c>
      <c r="AM488" s="360">
        <v>1.1985234518461689</v>
      </c>
      <c r="AN488" s="360">
        <v>-7980.971439722176</v>
      </c>
      <c r="AO488" s="360">
        <f t="shared" si="21"/>
        <v>0</v>
      </c>
      <c r="AP488" s="360">
        <f t="shared" si="22"/>
        <v>1</v>
      </c>
      <c r="AQ488" s="360">
        <f t="shared" si="23"/>
        <v>1</v>
      </c>
    </row>
    <row r="489" spans="1:43">
      <c r="A489" s="360" t="s">
        <v>1084</v>
      </c>
      <c r="B489" t="s">
        <v>1074</v>
      </c>
      <c r="C489">
        <v>1</v>
      </c>
      <c r="D489" t="s">
        <v>1080</v>
      </c>
      <c r="E489" t="s">
        <v>1079</v>
      </c>
      <c r="F489" s="360">
        <v>7</v>
      </c>
      <c r="G489" s="360" t="str">
        <f>CONCATENATE(A489," ",B489," ",C489," ","inf+"," ",FanUpsizes!D489," ",FanUpsizes!F489)</f>
        <v>1.5ACH Infiltration 1 inf+ Existing 7</v>
      </c>
      <c r="H489" s="360">
        <v>5.4355734720633028E-2</v>
      </c>
      <c r="I489" s="360">
        <v>0.40119165929961947</v>
      </c>
      <c r="J489" s="360">
        <v>1.0948806148994015</v>
      </c>
      <c r="K489" s="360">
        <v>0</v>
      </c>
      <c r="L489" s="360">
        <v>0.40119165929961947</v>
      </c>
      <c r="M489" s="360">
        <v>1.0948806148994015</v>
      </c>
      <c r="N489" s="360">
        <v>1</v>
      </c>
      <c r="O489" s="360">
        <v>0.40119165929961947</v>
      </c>
      <c r="P489" s="360">
        <v>1.0948806148994015</v>
      </c>
      <c r="Q489" s="360">
        <v>0</v>
      </c>
      <c r="R489" s="360">
        <v>0</v>
      </c>
      <c r="S489" s="360">
        <v>0.40119165929961947</v>
      </c>
      <c r="T489" s="360">
        <v>1.0948806148994015</v>
      </c>
      <c r="U489" s="360">
        <v>1</v>
      </c>
      <c r="V489" s="360">
        <v>0.40119165929961947</v>
      </c>
      <c r="W489" s="360">
        <v>1.0948806148994015</v>
      </c>
      <c r="X489" s="360">
        <v>0</v>
      </c>
      <c r="Y489" s="360">
        <v>0.40529822223068374</v>
      </c>
      <c r="Z489" s="360">
        <v>1.0838844715726497</v>
      </c>
      <c r="AA489" s="360">
        <v>0</v>
      </c>
      <c r="AB489" s="360">
        <v>0.40529822223068374</v>
      </c>
      <c r="AC489" s="360">
        <v>1.0838844715726497</v>
      </c>
      <c r="AD489" s="360">
        <v>1</v>
      </c>
      <c r="AE489" s="360">
        <v>0.40529822223068374</v>
      </c>
      <c r="AF489" s="360">
        <v>1.0838844715726497</v>
      </c>
      <c r="AG489" s="360">
        <v>0</v>
      </c>
      <c r="AH489" s="360">
        <v>0</v>
      </c>
      <c r="AI489" s="360">
        <v>0.40529822223068374</v>
      </c>
      <c r="AJ489" s="360">
        <v>1.0838844715726497</v>
      </c>
      <c r="AK489" s="360">
        <v>1</v>
      </c>
      <c r="AL489" s="360">
        <v>0.40529822223068374</v>
      </c>
      <c r="AM489" s="360">
        <v>1.0838844715726497</v>
      </c>
      <c r="AN489" s="360">
        <v>0</v>
      </c>
      <c r="AO489" s="360">
        <f t="shared" si="21"/>
        <v>1</v>
      </c>
      <c r="AP489" s="360">
        <f t="shared" si="22"/>
        <v>0</v>
      </c>
      <c r="AQ489" s="360">
        <f t="shared" si="23"/>
        <v>0</v>
      </c>
    </row>
    <row r="490" spans="1:43">
      <c r="A490" s="360" t="s">
        <v>1084</v>
      </c>
      <c r="B490" t="s">
        <v>1076</v>
      </c>
      <c r="C490">
        <v>1</v>
      </c>
      <c r="D490" t="s">
        <v>1080</v>
      </c>
      <c r="E490" t="s">
        <v>1079</v>
      </c>
      <c r="F490" s="360">
        <v>7</v>
      </c>
      <c r="G490" s="360" t="str">
        <f>CONCATENATE(A490," ",B490," ",C490," ","inf+"," ",FanUpsizes!D490," ",FanUpsizes!F490)</f>
        <v>1.5ACH 5C 1 inf+ Existing 7</v>
      </c>
      <c r="H490" s="360">
        <v>5.4355734720633028E-2</v>
      </c>
      <c r="I490" s="360">
        <v>0.40119165929961947</v>
      </c>
      <c r="J490" s="360">
        <v>1.0948806148994015</v>
      </c>
      <c r="K490" s="360">
        <v>5220.2358172401009</v>
      </c>
      <c r="L490" s="360">
        <v>0.3225193923318127</v>
      </c>
      <c r="M490" s="360">
        <v>1.9833092979150286</v>
      </c>
      <c r="N490" s="360">
        <v>7.3589291370237522</v>
      </c>
      <c r="O490" s="360">
        <v>2.2644146195904598</v>
      </c>
      <c r="P490" s="360">
        <v>1.1081430250338473</v>
      </c>
      <c r="Q490" s="360">
        <v>-22724.8107553236</v>
      </c>
      <c r="R490" s="360">
        <v>5220.2358172401009</v>
      </c>
      <c r="S490" s="360">
        <v>0.3225193923318127</v>
      </c>
      <c r="T490" s="360">
        <v>1.9833092979150286</v>
      </c>
      <c r="U490" s="360">
        <v>7.3589291370237522</v>
      </c>
      <c r="V490" s="360">
        <v>2.2644146195904598</v>
      </c>
      <c r="W490" s="360">
        <v>1.1081430250338473</v>
      </c>
      <c r="X490" s="360">
        <v>-22724.8107553236</v>
      </c>
      <c r="Y490" s="360">
        <v>0.40529822223068374</v>
      </c>
      <c r="Z490" s="360">
        <v>1.0838844715726497</v>
      </c>
      <c r="AA490" s="360">
        <v>5331.8260949424557</v>
      </c>
      <c r="AB490" s="360">
        <v>0.32499757358695658</v>
      </c>
      <c r="AC490" s="360">
        <v>1.9744736469333364</v>
      </c>
      <c r="AD490" s="360">
        <v>7.3589291370237522</v>
      </c>
      <c r="AE490" s="360">
        <v>2.2647546031729333</v>
      </c>
      <c r="AF490" s="360">
        <v>1.1081207705684664</v>
      </c>
      <c r="AG490" s="360">
        <v>-22567.17577582951</v>
      </c>
      <c r="AH490" s="360">
        <v>5331.8260949424557</v>
      </c>
      <c r="AI490" s="360">
        <v>0.32499757358695658</v>
      </c>
      <c r="AJ490" s="360">
        <v>1.9744736469333364</v>
      </c>
      <c r="AK490" s="360">
        <v>7.3589291370237522</v>
      </c>
      <c r="AL490" s="360">
        <v>2.2647546031729333</v>
      </c>
      <c r="AM490" s="360">
        <v>1.1081207705684664</v>
      </c>
      <c r="AN490" s="360">
        <v>-22567.17577582951</v>
      </c>
      <c r="AO490" s="360">
        <f t="shared" si="21"/>
        <v>0</v>
      </c>
      <c r="AP490" s="360">
        <f t="shared" si="22"/>
        <v>1</v>
      </c>
      <c r="AQ490" s="360">
        <f t="shared" si="23"/>
        <v>1</v>
      </c>
    </row>
    <row r="491" spans="1:43">
      <c r="A491" s="360" t="s">
        <v>1084</v>
      </c>
      <c r="B491" t="s">
        <v>1075</v>
      </c>
      <c r="C491">
        <v>2</v>
      </c>
      <c r="D491" t="s">
        <v>1080</v>
      </c>
      <c r="E491" t="s">
        <v>1079</v>
      </c>
      <c r="F491" s="360">
        <v>7</v>
      </c>
      <c r="G491" s="360" t="str">
        <f>CONCATENATE(A491," ",B491," ",C491," ","inf+"," ",FanUpsizes!D491," ",FanUpsizes!F491)</f>
        <v>1.5ACH Percentile 2 inf+ Existing 7</v>
      </c>
      <c r="H491" s="360">
        <v>5.2707308650099358E-2</v>
      </c>
      <c r="I491" s="360">
        <v>0.38917198941704728</v>
      </c>
      <c r="J491" s="360">
        <v>1.1287128948216558</v>
      </c>
      <c r="K491" s="360">
        <v>4659.0911119870061</v>
      </c>
      <c r="L491" s="360">
        <v>0.31887334112025456</v>
      </c>
      <c r="M491" s="360">
        <v>1.8011697791841199</v>
      </c>
      <c r="N491" s="360">
        <v>3.0358104416699829</v>
      </c>
      <c r="O491" s="360">
        <v>0.92162945234380067</v>
      </c>
      <c r="P491" s="360">
        <v>1.1287137394272742</v>
      </c>
      <c r="Q491" s="360">
        <v>-4012.943669963608</v>
      </c>
      <c r="R491" s="360">
        <v>6506.3104129971143</v>
      </c>
      <c r="S491" s="360">
        <v>0.23422546361697866</v>
      </c>
      <c r="T491" s="360">
        <v>2.3525039410785089</v>
      </c>
      <c r="U491" s="360">
        <v>4.9909648097183394</v>
      </c>
      <c r="V491" s="360">
        <v>1.0674966470554337</v>
      </c>
      <c r="W491" s="360">
        <v>1.1287129569195133</v>
      </c>
      <c r="X491" s="360">
        <v>-2747.3820344725114</v>
      </c>
      <c r="Y491" s="360">
        <v>0.39664051351913232</v>
      </c>
      <c r="Z491" s="360">
        <v>1.1077818899365546</v>
      </c>
      <c r="AA491" s="360">
        <v>4856.054396835324</v>
      </c>
      <c r="AB491" s="360">
        <v>0.32346748113305757</v>
      </c>
      <c r="AC491" s="360">
        <v>1.7850993119255034</v>
      </c>
      <c r="AD491" s="360">
        <v>3.2323623783384874</v>
      </c>
      <c r="AE491" s="360">
        <v>0.981304783839965</v>
      </c>
      <c r="AF491" s="360">
        <v>1.1077821318327556</v>
      </c>
      <c r="AG491" s="360">
        <v>-4588.4903838498767</v>
      </c>
      <c r="AH491" s="360">
        <v>6695.8815618050012</v>
      </c>
      <c r="AI491" s="360">
        <v>0.23954014056831127</v>
      </c>
      <c r="AJ491" s="360">
        <v>2.3002444986692479</v>
      </c>
      <c r="AK491" s="360">
        <v>5.3128608869347724</v>
      </c>
      <c r="AL491" s="360">
        <v>1.1363848703846622</v>
      </c>
      <c r="AM491" s="360">
        <v>1.1077819104085365</v>
      </c>
      <c r="AN491" s="360">
        <v>-3243.7102169517789</v>
      </c>
      <c r="AO491" s="360">
        <f t="shared" si="21"/>
        <v>1</v>
      </c>
      <c r="AP491" s="360">
        <f t="shared" si="22"/>
        <v>1</v>
      </c>
      <c r="AQ491" s="360">
        <f t="shared" si="23"/>
        <v>1</v>
      </c>
    </row>
    <row r="492" spans="1:43">
      <c r="A492" s="360" t="s">
        <v>1084</v>
      </c>
      <c r="B492" t="s">
        <v>1074</v>
      </c>
      <c r="C492">
        <v>2</v>
      </c>
      <c r="D492" t="s">
        <v>1080</v>
      </c>
      <c r="E492" t="s">
        <v>1079</v>
      </c>
      <c r="F492" s="360">
        <v>7</v>
      </c>
      <c r="G492" s="360" t="str">
        <f>CONCATENATE(A492," ",B492," ",C492," ","inf+"," ",FanUpsizes!D492," ",FanUpsizes!F492)</f>
        <v>1.5ACH Infiltration 2 inf+ Existing 7</v>
      </c>
      <c r="H492" s="360">
        <v>5.2707308650099358E-2</v>
      </c>
      <c r="I492" s="360">
        <v>0.38917198941704728</v>
      </c>
      <c r="J492" s="360">
        <v>1.1287128948216558</v>
      </c>
      <c r="K492" s="360">
        <v>0</v>
      </c>
      <c r="L492" s="360">
        <v>0.38917198941704728</v>
      </c>
      <c r="M492" s="360">
        <v>1.1287128948216558</v>
      </c>
      <c r="N492" s="360">
        <v>1</v>
      </c>
      <c r="O492" s="360">
        <v>0.38917198941704728</v>
      </c>
      <c r="P492" s="360">
        <v>1.1287128948216558</v>
      </c>
      <c r="Q492" s="360">
        <v>0</v>
      </c>
      <c r="R492" s="360">
        <v>0</v>
      </c>
      <c r="S492" s="360">
        <v>0.38917198941704728</v>
      </c>
      <c r="T492" s="360">
        <v>1.1287128948216558</v>
      </c>
      <c r="U492" s="360">
        <v>1</v>
      </c>
      <c r="V492" s="360">
        <v>0.38917198941704728</v>
      </c>
      <c r="W492" s="360">
        <v>1.1287128948216558</v>
      </c>
      <c r="X492" s="360">
        <v>0</v>
      </c>
      <c r="Y492" s="360">
        <v>0.39664051351913232</v>
      </c>
      <c r="Z492" s="360">
        <v>1.1077818899365546</v>
      </c>
      <c r="AA492" s="360">
        <v>0</v>
      </c>
      <c r="AB492" s="360">
        <v>0.39664051351913232</v>
      </c>
      <c r="AC492" s="360">
        <v>1.1077818899365546</v>
      </c>
      <c r="AD492" s="360">
        <v>1</v>
      </c>
      <c r="AE492" s="360">
        <v>0.39664051351913232</v>
      </c>
      <c r="AF492" s="360">
        <v>1.1077818899365546</v>
      </c>
      <c r="AG492" s="360">
        <v>0</v>
      </c>
      <c r="AH492" s="360">
        <v>0</v>
      </c>
      <c r="AI492" s="360">
        <v>0.39664051351913232</v>
      </c>
      <c r="AJ492" s="360">
        <v>1.1077818899365546</v>
      </c>
      <c r="AK492" s="360">
        <v>1</v>
      </c>
      <c r="AL492" s="360">
        <v>0.39664051351913232</v>
      </c>
      <c r="AM492" s="360">
        <v>1.1077818899365546</v>
      </c>
      <c r="AN492" s="360">
        <v>0</v>
      </c>
      <c r="AO492" s="360">
        <f t="shared" si="21"/>
        <v>1</v>
      </c>
      <c r="AP492" s="360">
        <f t="shared" si="22"/>
        <v>0</v>
      </c>
      <c r="AQ492" s="360">
        <f t="shared" si="23"/>
        <v>0</v>
      </c>
    </row>
    <row r="493" spans="1:43">
      <c r="A493" s="360" t="s">
        <v>1084</v>
      </c>
      <c r="B493" t="s">
        <v>1076</v>
      </c>
      <c r="C493">
        <v>2</v>
      </c>
      <c r="D493" t="s">
        <v>1080</v>
      </c>
      <c r="E493" t="s">
        <v>1079</v>
      </c>
      <c r="F493" s="360">
        <v>7</v>
      </c>
      <c r="G493" s="360" t="str">
        <f>CONCATENATE(A493," ",B493," ",C493," ","inf+"," ",FanUpsizes!D493," ",FanUpsizes!F493)</f>
        <v>1.5ACH 5C 2 inf+ Existing 7</v>
      </c>
      <c r="H493" s="360">
        <v>5.2707308650099358E-2</v>
      </c>
      <c r="I493" s="360">
        <v>0.38917198941704728</v>
      </c>
      <c r="J493" s="360">
        <v>1.1287128948216558</v>
      </c>
      <c r="K493" s="360">
        <v>4659.0911119870061</v>
      </c>
      <c r="L493" s="360">
        <v>0.31887334112025456</v>
      </c>
      <c r="M493" s="360">
        <v>1.8011697791841199</v>
      </c>
      <c r="N493" s="360">
        <v>3.0358104416699829</v>
      </c>
      <c r="O493" s="360">
        <v>0.92162945234380067</v>
      </c>
      <c r="P493" s="360">
        <v>1.1287137394272742</v>
      </c>
      <c r="Q493" s="360">
        <v>-4012.943669963608</v>
      </c>
      <c r="R493" s="360">
        <v>4659.0911119870061</v>
      </c>
      <c r="S493" s="360">
        <v>0.31887334112025456</v>
      </c>
      <c r="T493" s="360">
        <v>1.8011697791841199</v>
      </c>
      <c r="U493" s="360">
        <v>3.0358104416699829</v>
      </c>
      <c r="V493" s="360">
        <v>0.92162945234380067</v>
      </c>
      <c r="W493" s="360">
        <v>1.1287137394272742</v>
      </c>
      <c r="X493" s="360">
        <v>-4012.943669963608</v>
      </c>
      <c r="Y493" s="360">
        <v>0.39664051351913232</v>
      </c>
      <c r="Z493" s="360">
        <v>1.1077818899365546</v>
      </c>
      <c r="AA493" s="360">
        <v>4856.054396835324</v>
      </c>
      <c r="AB493" s="360">
        <v>0.32346748113305757</v>
      </c>
      <c r="AC493" s="360">
        <v>1.7850993119255034</v>
      </c>
      <c r="AD493" s="360">
        <v>3.2323623783384874</v>
      </c>
      <c r="AE493" s="360">
        <v>0.981304783839965</v>
      </c>
      <c r="AF493" s="360">
        <v>1.1077821318327556</v>
      </c>
      <c r="AG493" s="360">
        <v>-4588.4903838498767</v>
      </c>
      <c r="AH493" s="360">
        <v>4856.054396835324</v>
      </c>
      <c r="AI493" s="360">
        <v>0.32346748113305757</v>
      </c>
      <c r="AJ493" s="360">
        <v>1.7850993119255034</v>
      </c>
      <c r="AK493" s="360">
        <v>3.2323623783384874</v>
      </c>
      <c r="AL493" s="360">
        <v>0.981304783839965</v>
      </c>
      <c r="AM493" s="360">
        <v>1.1077821318327556</v>
      </c>
      <c r="AN493" s="360">
        <v>-4588.4903838498767</v>
      </c>
      <c r="AO493" s="360">
        <f t="shared" si="21"/>
        <v>1</v>
      </c>
      <c r="AP493" s="360">
        <f t="shared" si="22"/>
        <v>1</v>
      </c>
      <c r="AQ493" s="360">
        <f t="shared" si="23"/>
        <v>1</v>
      </c>
    </row>
    <row r="494" spans="1:43">
      <c r="A494" s="360" t="s">
        <v>1085</v>
      </c>
      <c r="B494" t="s">
        <v>1075</v>
      </c>
      <c r="C494">
        <v>1</v>
      </c>
      <c r="D494" t="s">
        <v>1078</v>
      </c>
      <c r="E494" t="s">
        <v>1079</v>
      </c>
      <c r="F494" s="360">
        <v>7</v>
      </c>
      <c r="G494" s="360" t="str">
        <f>CONCATENATE(A494," ",B494," ",C494," ","inf+"," ",FanUpsizes!D494," ",FanUpsizes!F494)</f>
        <v>0.6ACH Percentile 1 inf+ New 7</v>
      </c>
      <c r="H494" s="360">
        <v>4.1201293888253214E-2</v>
      </c>
      <c r="I494" s="360">
        <v>0.30409976011833284</v>
      </c>
      <c r="J494" s="360">
        <v>1.0500665749847535</v>
      </c>
      <c r="K494" s="360">
        <v>4369.7500570368356</v>
      </c>
      <c r="L494" s="360">
        <v>0.23833170670459156</v>
      </c>
      <c r="M494" s="360">
        <v>2.4123889135672223</v>
      </c>
      <c r="N494" s="360">
        <v>9.7084329702092909</v>
      </c>
      <c r="O494" s="360">
        <v>2.2541323335864902</v>
      </c>
      <c r="P494" s="360">
        <v>1.4027048744004127</v>
      </c>
      <c r="Q494" s="360">
        <v>-24638.868801510427</v>
      </c>
      <c r="R494" s="360">
        <v>5872.8418914715867</v>
      </c>
      <c r="S494" s="360">
        <v>0.17050054554911612</v>
      </c>
      <c r="T494" s="360">
        <v>3.1048772542870156</v>
      </c>
      <c r="U494" s="360">
        <v>9.7084329702092909</v>
      </c>
      <c r="V494" s="360">
        <v>1.595587014361324</v>
      </c>
      <c r="W494" s="360">
        <v>1.4836319130044389</v>
      </c>
      <c r="X494" s="360">
        <v>-10045.782130147789</v>
      </c>
      <c r="Y494" s="360">
        <v>0.30497324430900824</v>
      </c>
      <c r="Z494" s="360">
        <v>1.047067933073661</v>
      </c>
      <c r="AA494" s="360">
        <v>4393.5118131671125</v>
      </c>
      <c r="AB494" s="360">
        <v>0.23885852772760485</v>
      </c>
      <c r="AC494" s="360">
        <v>2.4093758945178028</v>
      </c>
      <c r="AD494" s="360">
        <v>9.7084329702092909</v>
      </c>
      <c r="AE494" s="360">
        <v>2.254186738994489</v>
      </c>
      <c r="AF494" s="360">
        <v>1.4027018169830812</v>
      </c>
      <c r="AG494" s="360">
        <v>-24604.907126064983</v>
      </c>
      <c r="AH494" s="360">
        <v>5886.190181584665</v>
      </c>
      <c r="AI494" s="360">
        <v>0.17137722527886964</v>
      </c>
      <c r="AJ494" s="360">
        <v>3.0880782864311218</v>
      </c>
      <c r="AK494" s="360">
        <v>9.7084329702092909</v>
      </c>
      <c r="AL494" s="360">
        <v>1.5956783113402833</v>
      </c>
      <c r="AM494" s="360">
        <v>1.4836094496776837</v>
      </c>
      <c r="AN494" s="360">
        <v>-10012.923142247118</v>
      </c>
      <c r="AO494" s="360">
        <f t="shared" si="21"/>
        <v>0</v>
      </c>
      <c r="AP494" s="360">
        <f t="shared" si="22"/>
        <v>1</v>
      </c>
      <c r="AQ494" s="360">
        <f t="shared" si="23"/>
        <v>1</v>
      </c>
    </row>
    <row r="495" spans="1:43">
      <c r="A495" s="360" t="s">
        <v>1085</v>
      </c>
      <c r="B495" t="s">
        <v>1074</v>
      </c>
      <c r="C495">
        <v>1</v>
      </c>
      <c r="D495" t="s">
        <v>1078</v>
      </c>
      <c r="E495" t="s">
        <v>1079</v>
      </c>
      <c r="F495" s="360">
        <v>7</v>
      </c>
      <c r="G495" s="360" t="str">
        <f>CONCATENATE(A495," ",B495," ",C495," ","inf+"," ",FanUpsizes!D495," ",FanUpsizes!F495)</f>
        <v>0.6ACH Infiltration 1 inf+ New 7</v>
      </c>
      <c r="H495" s="360">
        <v>4.1201293888253214E-2</v>
      </c>
      <c r="I495" s="360">
        <v>0.30409976011833284</v>
      </c>
      <c r="J495" s="360">
        <v>1.0500665749847535</v>
      </c>
      <c r="K495" s="360">
        <v>0</v>
      </c>
      <c r="L495" s="360">
        <v>0.30409976011833284</v>
      </c>
      <c r="M495" s="360">
        <v>1.0500665749847535</v>
      </c>
      <c r="N495" s="360">
        <v>1</v>
      </c>
      <c r="O495" s="360">
        <v>0.30409976011833284</v>
      </c>
      <c r="P495" s="360">
        <v>1.0500665749847535</v>
      </c>
      <c r="Q495" s="360">
        <v>0</v>
      </c>
      <c r="R495" s="360">
        <v>0</v>
      </c>
      <c r="S495" s="360">
        <v>0.30409976011833284</v>
      </c>
      <c r="T495" s="360">
        <v>1.0500665749847535</v>
      </c>
      <c r="U495" s="360">
        <v>1</v>
      </c>
      <c r="V495" s="360">
        <v>0.30409976011833284</v>
      </c>
      <c r="W495" s="360">
        <v>1.0500665749847535</v>
      </c>
      <c r="X495" s="360">
        <v>0</v>
      </c>
      <c r="Y495" s="360">
        <v>0.30497324430900824</v>
      </c>
      <c r="Z495" s="360">
        <v>1.047067933073661</v>
      </c>
      <c r="AA495" s="360">
        <v>0</v>
      </c>
      <c r="AB495" s="360">
        <v>0.30497324430900824</v>
      </c>
      <c r="AC495" s="360">
        <v>1.047067933073661</v>
      </c>
      <c r="AD495" s="360">
        <v>1</v>
      </c>
      <c r="AE495" s="360">
        <v>0.30497324430900824</v>
      </c>
      <c r="AF495" s="360">
        <v>1.047067933073661</v>
      </c>
      <c r="AG495" s="360">
        <v>0</v>
      </c>
      <c r="AH495" s="360">
        <v>0</v>
      </c>
      <c r="AI495" s="360">
        <v>0.30497324430900824</v>
      </c>
      <c r="AJ495" s="360">
        <v>1.047067933073661</v>
      </c>
      <c r="AK495" s="360">
        <v>1</v>
      </c>
      <c r="AL495" s="360">
        <v>0.30497324430900824</v>
      </c>
      <c r="AM495" s="360">
        <v>1.047067933073661</v>
      </c>
      <c r="AN495" s="360">
        <v>0</v>
      </c>
      <c r="AO495" s="360">
        <f t="shared" si="21"/>
        <v>1</v>
      </c>
      <c r="AP495" s="360">
        <f t="shared" si="22"/>
        <v>0</v>
      </c>
      <c r="AQ495" s="360">
        <f t="shared" si="23"/>
        <v>0</v>
      </c>
    </row>
    <row r="496" spans="1:43">
      <c r="A496" s="360" t="s">
        <v>1085</v>
      </c>
      <c r="B496" t="s">
        <v>1076</v>
      </c>
      <c r="C496">
        <v>1</v>
      </c>
      <c r="D496" t="s">
        <v>1078</v>
      </c>
      <c r="E496" t="s">
        <v>1079</v>
      </c>
      <c r="F496" s="360">
        <v>7</v>
      </c>
      <c r="G496" s="360" t="str">
        <f>CONCATENATE(A496," ",B496," ",C496," ","inf+"," ",FanUpsizes!D496," ",FanUpsizes!F496)</f>
        <v>0.6ACH 5C 1 inf+ New 7</v>
      </c>
      <c r="H496" s="360">
        <v>4.1201293888253214E-2</v>
      </c>
      <c r="I496" s="360">
        <v>0.30409976011833284</v>
      </c>
      <c r="J496" s="360">
        <v>1.0500665749847535</v>
      </c>
      <c r="K496" s="360">
        <v>4369.7500570368356</v>
      </c>
      <c r="L496" s="360">
        <v>0.23833170670459156</v>
      </c>
      <c r="M496" s="360">
        <v>2.4123889135672223</v>
      </c>
      <c r="N496" s="360">
        <v>9.7084329702092909</v>
      </c>
      <c r="O496" s="360">
        <v>2.2541323335864902</v>
      </c>
      <c r="P496" s="360">
        <v>1.4027048744004127</v>
      </c>
      <c r="Q496" s="360">
        <v>-24638.868801510427</v>
      </c>
      <c r="R496" s="360">
        <v>4369.7500570368356</v>
      </c>
      <c r="S496" s="360">
        <v>0.23833170670459156</v>
      </c>
      <c r="T496" s="360">
        <v>2.4123889135672223</v>
      </c>
      <c r="U496" s="360">
        <v>9.7084329702092909</v>
      </c>
      <c r="V496" s="360">
        <v>2.2541323335864902</v>
      </c>
      <c r="W496" s="360">
        <v>1.4027048744004127</v>
      </c>
      <c r="X496" s="360">
        <v>-24638.868801510427</v>
      </c>
      <c r="Y496" s="360">
        <v>0.30497324430900824</v>
      </c>
      <c r="Z496" s="360">
        <v>1.047067933073661</v>
      </c>
      <c r="AA496" s="360">
        <v>4393.5118131671125</v>
      </c>
      <c r="AB496" s="360">
        <v>0.23885852772760485</v>
      </c>
      <c r="AC496" s="360">
        <v>2.4093758945178028</v>
      </c>
      <c r="AD496" s="360">
        <v>9.7084329702092909</v>
      </c>
      <c r="AE496" s="360">
        <v>2.254186738994489</v>
      </c>
      <c r="AF496" s="360">
        <v>1.4027018169830812</v>
      </c>
      <c r="AG496" s="360">
        <v>-24604.907126064983</v>
      </c>
      <c r="AH496" s="360">
        <v>4393.5118131671125</v>
      </c>
      <c r="AI496" s="360">
        <v>0.23885852772760485</v>
      </c>
      <c r="AJ496" s="360">
        <v>2.4093758945178028</v>
      </c>
      <c r="AK496" s="360">
        <v>9.7084329702092909</v>
      </c>
      <c r="AL496" s="360">
        <v>2.254186738994489</v>
      </c>
      <c r="AM496" s="360">
        <v>1.4027018169830812</v>
      </c>
      <c r="AN496" s="360">
        <v>-24604.907126064983</v>
      </c>
      <c r="AO496" s="360">
        <f t="shared" si="21"/>
        <v>0</v>
      </c>
      <c r="AP496" s="360">
        <f t="shared" si="22"/>
        <v>1</v>
      </c>
      <c r="AQ496" s="360">
        <f t="shared" si="23"/>
        <v>1</v>
      </c>
    </row>
    <row r="497" spans="1:43">
      <c r="A497" s="360" t="s">
        <v>1085</v>
      </c>
      <c r="B497" t="s">
        <v>1075</v>
      </c>
      <c r="C497">
        <v>2</v>
      </c>
      <c r="D497" t="s">
        <v>1078</v>
      </c>
      <c r="E497" t="s">
        <v>1079</v>
      </c>
      <c r="F497" s="360">
        <v>7</v>
      </c>
      <c r="G497" s="360" t="str">
        <f>CONCATENATE(A497," ",B497," ",C497," ","inf+"," ",FanUpsizes!D497," ",FanUpsizes!F497)</f>
        <v>0.6ACH Percentile 2 inf+ New 7</v>
      </c>
      <c r="H497" s="360">
        <v>4.0541923460039743E-2</v>
      </c>
      <c r="I497" s="360">
        <v>0.29923305885420914</v>
      </c>
      <c r="J497" s="360">
        <v>1.0671372817803804</v>
      </c>
      <c r="K497" s="360">
        <v>4143.6764880899627</v>
      </c>
      <c r="L497" s="360">
        <v>0.23683864351998832</v>
      </c>
      <c r="M497" s="360">
        <v>2.1696208694226233</v>
      </c>
      <c r="N497" s="360">
        <v>9.8663301062728586</v>
      </c>
      <c r="O497" s="360">
        <v>2.2563437411814307</v>
      </c>
      <c r="P497" s="360">
        <v>1.1941477456628165</v>
      </c>
      <c r="Q497" s="360">
        <v>-24918.251998147804</v>
      </c>
      <c r="R497" s="360">
        <v>5621.0879145930012</v>
      </c>
      <c r="S497" s="360">
        <v>0.17013583979071503</v>
      </c>
      <c r="T497" s="360">
        <v>2.8186593913070448</v>
      </c>
      <c r="U497" s="360">
        <v>9.8663301062728586</v>
      </c>
      <c r="V497" s="360">
        <v>1.5977984219562731</v>
      </c>
      <c r="W497" s="360">
        <v>1.2698951568497967</v>
      </c>
      <c r="X497" s="360">
        <v>-10325.1653267851</v>
      </c>
      <c r="Y497" s="360">
        <v>0.30084032369512614</v>
      </c>
      <c r="Z497" s="360">
        <v>1.0614650828143062</v>
      </c>
      <c r="AA497" s="360">
        <v>4186.1938565420751</v>
      </c>
      <c r="AB497" s="360">
        <v>0.23782536781355526</v>
      </c>
      <c r="AC497" s="360">
        <v>2.1643204145072352</v>
      </c>
      <c r="AD497" s="360">
        <v>9.8663301062728586</v>
      </c>
      <c r="AE497" s="360">
        <v>2.2564442613811213</v>
      </c>
      <c r="AF497" s="360">
        <v>1.1941424390553352</v>
      </c>
      <c r="AG497" s="360">
        <v>-24856.761877868339</v>
      </c>
      <c r="AH497" s="360">
        <v>5646.1942409784706</v>
      </c>
      <c r="AI497" s="360">
        <v>0.17172425938703093</v>
      </c>
      <c r="AJ497" s="360">
        <v>2.7908599472516311</v>
      </c>
      <c r="AK497" s="360">
        <v>9.8663301062728586</v>
      </c>
      <c r="AL497" s="360">
        <v>1.5979669604360227</v>
      </c>
      <c r="AM497" s="360">
        <v>1.2698574533196381</v>
      </c>
      <c r="AN497" s="360">
        <v>-10265.697771658182</v>
      </c>
      <c r="AO497" s="360">
        <f t="shared" si="21"/>
        <v>0</v>
      </c>
      <c r="AP497" s="360">
        <f t="shared" si="22"/>
        <v>1</v>
      </c>
      <c r="AQ497" s="360">
        <f t="shared" si="23"/>
        <v>1</v>
      </c>
    </row>
    <row r="498" spans="1:43">
      <c r="A498" s="360" t="s">
        <v>1085</v>
      </c>
      <c r="B498" t="s">
        <v>1074</v>
      </c>
      <c r="C498">
        <v>2</v>
      </c>
      <c r="D498" t="s">
        <v>1078</v>
      </c>
      <c r="E498" t="s">
        <v>1079</v>
      </c>
      <c r="F498" s="360">
        <v>7</v>
      </c>
      <c r="G498" s="360" t="str">
        <f>CONCATENATE(A498," ",B498," ",C498," ","inf+"," ",FanUpsizes!D498," ",FanUpsizes!F498)</f>
        <v>0.6ACH Infiltration 2 inf+ New 7</v>
      </c>
      <c r="H498" s="360">
        <v>4.0541923460039743E-2</v>
      </c>
      <c r="I498" s="360">
        <v>0.29923305885420914</v>
      </c>
      <c r="J498" s="360">
        <v>1.0671372817803804</v>
      </c>
      <c r="K498" s="360">
        <v>0</v>
      </c>
      <c r="L498" s="360">
        <v>0.29923305885420914</v>
      </c>
      <c r="M498" s="360">
        <v>1.0671372817803804</v>
      </c>
      <c r="N498" s="360">
        <v>1</v>
      </c>
      <c r="O498" s="360">
        <v>0.29923305885420914</v>
      </c>
      <c r="P498" s="360">
        <v>1.0671372817803804</v>
      </c>
      <c r="Q498" s="360">
        <v>0</v>
      </c>
      <c r="R498" s="360">
        <v>0</v>
      </c>
      <c r="S498" s="360">
        <v>0.29923305885420914</v>
      </c>
      <c r="T498" s="360">
        <v>1.0671372817803804</v>
      </c>
      <c r="U498" s="360">
        <v>1</v>
      </c>
      <c r="V498" s="360">
        <v>0.29923305885420914</v>
      </c>
      <c r="W498" s="360">
        <v>1.0671372817803804</v>
      </c>
      <c r="X498" s="360">
        <v>0</v>
      </c>
      <c r="Y498" s="360">
        <v>0.30084032369512614</v>
      </c>
      <c r="Z498" s="360">
        <v>1.0614650828143062</v>
      </c>
      <c r="AA498" s="360">
        <v>0</v>
      </c>
      <c r="AB498" s="360">
        <v>0.30084032369512614</v>
      </c>
      <c r="AC498" s="360">
        <v>1.0614650828143062</v>
      </c>
      <c r="AD498" s="360">
        <v>1</v>
      </c>
      <c r="AE498" s="360">
        <v>0.30084032369512614</v>
      </c>
      <c r="AF498" s="360">
        <v>1.0614650828143062</v>
      </c>
      <c r="AG498" s="360">
        <v>0</v>
      </c>
      <c r="AH498" s="360">
        <v>0</v>
      </c>
      <c r="AI498" s="360">
        <v>0.30084032369512614</v>
      </c>
      <c r="AJ498" s="360">
        <v>1.0614650828143062</v>
      </c>
      <c r="AK498" s="360">
        <v>1</v>
      </c>
      <c r="AL498" s="360">
        <v>0.30084032369512614</v>
      </c>
      <c r="AM498" s="360">
        <v>1.0614650828143062</v>
      </c>
      <c r="AN498" s="360">
        <v>0</v>
      </c>
      <c r="AO498" s="360">
        <f t="shared" si="21"/>
        <v>1</v>
      </c>
      <c r="AP498" s="360">
        <f t="shared" si="22"/>
        <v>0</v>
      </c>
      <c r="AQ498" s="360">
        <f t="shared" si="23"/>
        <v>0</v>
      </c>
    </row>
    <row r="499" spans="1:43">
      <c r="A499" s="360" t="s">
        <v>1085</v>
      </c>
      <c r="B499" t="s">
        <v>1076</v>
      </c>
      <c r="C499">
        <v>2</v>
      </c>
      <c r="D499" t="s">
        <v>1078</v>
      </c>
      <c r="E499" t="s">
        <v>1079</v>
      </c>
      <c r="F499" s="360">
        <v>7</v>
      </c>
      <c r="G499" s="360" t="str">
        <f>CONCATENATE(A499," ",B499," ",C499," ","inf+"," ",FanUpsizes!D499," ",FanUpsizes!F499)</f>
        <v>0.6ACH 5C 2 inf+ New 7</v>
      </c>
      <c r="H499" s="360">
        <v>4.0541923460039743E-2</v>
      </c>
      <c r="I499" s="360">
        <v>0.29923305885420914</v>
      </c>
      <c r="J499" s="360">
        <v>1.0671372817803804</v>
      </c>
      <c r="K499" s="360">
        <v>4143.6764880899627</v>
      </c>
      <c r="L499" s="360">
        <v>0.23683864351998832</v>
      </c>
      <c r="M499" s="360">
        <v>2.1696208694226233</v>
      </c>
      <c r="N499" s="360">
        <v>9.8663301062728586</v>
      </c>
      <c r="O499" s="360">
        <v>2.2563437411814307</v>
      </c>
      <c r="P499" s="360">
        <v>1.1941477456628165</v>
      </c>
      <c r="Q499" s="360">
        <v>-24918.251998147804</v>
      </c>
      <c r="R499" s="360">
        <v>4143.6764880899627</v>
      </c>
      <c r="S499" s="360">
        <v>0.23683864351998832</v>
      </c>
      <c r="T499" s="360">
        <v>2.1696208694226233</v>
      </c>
      <c r="U499" s="360">
        <v>9.8663301062728586</v>
      </c>
      <c r="V499" s="360">
        <v>2.2563437411814307</v>
      </c>
      <c r="W499" s="360">
        <v>1.1941477456628165</v>
      </c>
      <c r="X499" s="360">
        <v>-24918.251998147804</v>
      </c>
      <c r="Y499" s="360">
        <v>0.30084032369512614</v>
      </c>
      <c r="Z499" s="360">
        <v>1.0614650828143062</v>
      </c>
      <c r="AA499" s="360">
        <v>4186.1938565420751</v>
      </c>
      <c r="AB499" s="360">
        <v>0.23782536781355526</v>
      </c>
      <c r="AC499" s="360">
        <v>2.1643204145072352</v>
      </c>
      <c r="AD499" s="360">
        <v>9.8663301062728586</v>
      </c>
      <c r="AE499" s="360">
        <v>2.2564442613811213</v>
      </c>
      <c r="AF499" s="360">
        <v>1.1941424390553352</v>
      </c>
      <c r="AG499" s="360">
        <v>-24856.761877868339</v>
      </c>
      <c r="AH499" s="360">
        <v>4186.1938565420751</v>
      </c>
      <c r="AI499" s="360">
        <v>0.23782536781355526</v>
      </c>
      <c r="AJ499" s="360">
        <v>2.1643204145072352</v>
      </c>
      <c r="AK499" s="360">
        <v>9.8663301062728586</v>
      </c>
      <c r="AL499" s="360">
        <v>2.2564442613811213</v>
      </c>
      <c r="AM499" s="360">
        <v>1.1941424390553352</v>
      </c>
      <c r="AN499" s="360">
        <v>-24856.761877868339</v>
      </c>
      <c r="AO499" s="360">
        <f t="shared" si="21"/>
        <v>0</v>
      </c>
      <c r="AP499" s="360">
        <f t="shared" si="22"/>
        <v>1</v>
      </c>
      <c r="AQ499" s="360">
        <f t="shared" si="23"/>
        <v>1</v>
      </c>
    </row>
    <row r="500" spans="1:43">
      <c r="A500" s="360" t="s">
        <v>1085</v>
      </c>
      <c r="B500" t="s">
        <v>1075</v>
      </c>
      <c r="C500">
        <v>1</v>
      </c>
      <c r="D500" t="s">
        <v>1080</v>
      </c>
      <c r="E500" t="s">
        <v>1079</v>
      </c>
      <c r="F500" s="360">
        <v>7</v>
      </c>
      <c r="G500" s="360" t="str">
        <f>CONCATENATE(A500," ",B500," ",C500," ","inf+"," ",FanUpsizes!D500," ",FanUpsizes!F500)</f>
        <v>0.6ACH Percentile 1 inf+ Existing 7</v>
      </c>
      <c r="H500" s="360">
        <v>5.7451293888253215E-2</v>
      </c>
      <c r="I500" s="360">
        <v>0.42403825319885735</v>
      </c>
      <c r="J500" s="360">
        <v>1.0359091033627432</v>
      </c>
      <c r="K500" s="360">
        <v>6275.1360282988981</v>
      </c>
      <c r="L500" s="360">
        <v>0.32962735417729544</v>
      </c>
      <c r="M500" s="360">
        <v>2.8871671381682757</v>
      </c>
      <c r="N500" s="360">
        <v>6.9624193456465573</v>
      </c>
      <c r="O500" s="360">
        <v>2.2541323335864902</v>
      </c>
      <c r="P500" s="360">
        <v>1.9290943348018961</v>
      </c>
      <c r="Q500" s="360">
        <v>-21419.681948523408</v>
      </c>
      <c r="R500" s="360">
        <v>8371.1153060319102</v>
      </c>
      <c r="S500" s="360">
        <v>0.23504165249343556</v>
      </c>
      <c r="T500" s="360">
        <v>3.6085440780790026</v>
      </c>
      <c r="U500" s="360">
        <v>6.9624193456465573</v>
      </c>
      <c r="V500" s="360">
        <v>1.595587014361324</v>
      </c>
      <c r="W500" s="360">
        <v>2.0403745488533338</v>
      </c>
      <c r="X500" s="360">
        <v>-6826.5952771607681</v>
      </c>
      <c r="Y500" s="360">
        <v>0.42466556107162678</v>
      </c>
      <c r="Z500" s="360">
        <v>1.034381615827227</v>
      </c>
      <c r="AA500" s="360">
        <v>6292.2054917838786</v>
      </c>
      <c r="AB500" s="360">
        <v>0.33000564466500365</v>
      </c>
      <c r="AC500" s="360">
        <v>2.8855870057323716</v>
      </c>
      <c r="AD500" s="360">
        <v>6.9624193456465573</v>
      </c>
      <c r="AE500" s="360">
        <v>2.254186738994489</v>
      </c>
      <c r="AF500" s="360">
        <v>1.9290901301734344</v>
      </c>
      <c r="AG500" s="360">
        <v>-21395.616751257185</v>
      </c>
      <c r="AH500" s="360">
        <v>8380.6004382454885</v>
      </c>
      <c r="AI500" s="360">
        <v>0.23567412063738022</v>
      </c>
      <c r="AJ500" s="360">
        <v>3.5992368534871364</v>
      </c>
      <c r="AK500" s="360">
        <v>6.9624193456465573</v>
      </c>
      <c r="AL500" s="360">
        <v>1.5956783113402833</v>
      </c>
      <c r="AM500" s="360">
        <v>2.0403436827789228</v>
      </c>
      <c r="AN500" s="360">
        <v>-6803.6327674393233</v>
      </c>
      <c r="AO500" s="360">
        <f t="shared" si="21"/>
        <v>0</v>
      </c>
      <c r="AP500" s="360">
        <f t="shared" si="22"/>
        <v>1</v>
      </c>
      <c r="AQ500" s="360">
        <f t="shared" si="23"/>
        <v>1</v>
      </c>
    </row>
    <row r="501" spans="1:43">
      <c r="A501" s="360" t="s">
        <v>1085</v>
      </c>
      <c r="B501" t="s">
        <v>1074</v>
      </c>
      <c r="C501">
        <v>1</v>
      </c>
      <c r="D501" t="s">
        <v>1080</v>
      </c>
      <c r="E501" t="s">
        <v>1079</v>
      </c>
      <c r="F501" s="360">
        <v>7</v>
      </c>
      <c r="G501" s="360" t="str">
        <f>CONCATENATE(A501," ",B501," ",C501," ","inf+"," ",FanUpsizes!D501," ",FanUpsizes!F501)</f>
        <v>0.6ACH Infiltration 1 inf+ Existing 7</v>
      </c>
      <c r="H501" s="360">
        <v>5.7451293888253215E-2</v>
      </c>
      <c r="I501" s="360">
        <v>0.42403825319885735</v>
      </c>
      <c r="J501" s="360">
        <v>1.0359091033627432</v>
      </c>
      <c r="K501" s="360">
        <v>0</v>
      </c>
      <c r="L501" s="360">
        <v>0.42403825319885735</v>
      </c>
      <c r="M501" s="360">
        <v>1.0359091033627432</v>
      </c>
      <c r="N501" s="360">
        <v>1</v>
      </c>
      <c r="O501" s="360">
        <v>0.42403825319885735</v>
      </c>
      <c r="P501" s="360">
        <v>1.0359091033627432</v>
      </c>
      <c r="Q501" s="360">
        <v>0</v>
      </c>
      <c r="R501" s="360">
        <v>0</v>
      </c>
      <c r="S501" s="360">
        <v>0.42403825319885735</v>
      </c>
      <c r="T501" s="360">
        <v>1.0359091033627432</v>
      </c>
      <c r="U501" s="360">
        <v>1</v>
      </c>
      <c r="V501" s="360">
        <v>0.42403825319885735</v>
      </c>
      <c r="W501" s="360">
        <v>1.0359091033627432</v>
      </c>
      <c r="X501" s="360">
        <v>0</v>
      </c>
      <c r="Y501" s="360">
        <v>0.42466556107162678</v>
      </c>
      <c r="Z501" s="360">
        <v>1.034381615827227</v>
      </c>
      <c r="AA501" s="360">
        <v>0</v>
      </c>
      <c r="AB501" s="360">
        <v>0.42466556107162678</v>
      </c>
      <c r="AC501" s="360">
        <v>1.034381615827227</v>
      </c>
      <c r="AD501" s="360">
        <v>1</v>
      </c>
      <c r="AE501" s="360">
        <v>0.42466556107162678</v>
      </c>
      <c r="AF501" s="360">
        <v>1.034381615827227</v>
      </c>
      <c r="AG501" s="360">
        <v>0</v>
      </c>
      <c r="AH501" s="360">
        <v>0</v>
      </c>
      <c r="AI501" s="360">
        <v>0.42466556107162678</v>
      </c>
      <c r="AJ501" s="360">
        <v>1.034381615827227</v>
      </c>
      <c r="AK501" s="360">
        <v>1</v>
      </c>
      <c r="AL501" s="360">
        <v>0.42466556107162678</v>
      </c>
      <c r="AM501" s="360">
        <v>1.034381615827227</v>
      </c>
      <c r="AN501" s="360">
        <v>0</v>
      </c>
      <c r="AO501" s="360">
        <f t="shared" si="21"/>
        <v>1</v>
      </c>
      <c r="AP501" s="360">
        <f t="shared" si="22"/>
        <v>0</v>
      </c>
      <c r="AQ501" s="360">
        <f t="shared" si="23"/>
        <v>0</v>
      </c>
    </row>
    <row r="502" spans="1:43">
      <c r="A502" s="360" t="s">
        <v>1085</v>
      </c>
      <c r="B502" t="s">
        <v>1076</v>
      </c>
      <c r="C502">
        <v>1</v>
      </c>
      <c r="D502" t="s">
        <v>1080</v>
      </c>
      <c r="E502" t="s">
        <v>1079</v>
      </c>
      <c r="F502" s="360">
        <v>7</v>
      </c>
      <c r="G502" s="360" t="str">
        <f>CONCATENATE(A502," ",B502," ",C502," ","inf+"," ",FanUpsizes!D502," ",FanUpsizes!F502)</f>
        <v>0.6ACH 5C 1 inf+ Existing 7</v>
      </c>
      <c r="H502" s="360">
        <v>5.7451293888253215E-2</v>
      </c>
      <c r="I502" s="360">
        <v>0.42403825319885735</v>
      </c>
      <c r="J502" s="360">
        <v>1.0359091033627432</v>
      </c>
      <c r="K502" s="360">
        <v>6275.1360282988981</v>
      </c>
      <c r="L502" s="360">
        <v>0.32962735417729544</v>
      </c>
      <c r="M502" s="360">
        <v>2.8871671381682757</v>
      </c>
      <c r="N502" s="360">
        <v>6.9624193456465573</v>
      </c>
      <c r="O502" s="360">
        <v>2.2541323335864902</v>
      </c>
      <c r="P502" s="360">
        <v>1.9290943348018961</v>
      </c>
      <c r="Q502" s="360">
        <v>-21419.681948523408</v>
      </c>
      <c r="R502" s="360">
        <v>6275.1360282988981</v>
      </c>
      <c r="S502" s="360">
        <v>0.32962735417729544</v>
      </c>
      <c r="T502" s="360">
        <v>2.8871671381682757</v>
      </c>
      <c r="U502" s="360">
        <v>6.9624193456465573</v>
      </c>
      <c r="V502" s="360">
        <v>2.2541323335864902</v>
      </c>
      <c r="W502" s="360">
        <v>1.9290943348018961</v>
      </c>
      <c r="X502" s="360">
        <v>-21419.681948523408</v>
      </c>
      <c r="Y502" s="360">
        <v>0.42466556107162678</v>
      </c>
      <c r="Z502" s="360">
        <v>1.034381615827227</v>
      </c>
      <c r="AA502" s="360">
        <v>6292.2054917838786</v>
      </c>
      <c r="AB502" s="360">
        <v>0.33000564466500365</v>
      </c>
      <c r="AC502" s="360">
        <v>2.8855870057323716</v>
      </c>
      <c r="AD502" s="360">
        <v>6.9624193456465573</v>
      </c>
      <c r="AE502" s="360">
        <v>2.254186738994489</v>
      </c>
      <c r="AF502" s="360">
        <v>1.9290901301734344</v>
      </c>
      <c r="AG502" s="360">
        <v>-21395.616751257185</v>
      </c>
      <c r="AH502" s="360">
        <v>6292.2054917838786</v>
      </c>
      <c r="AI502" s="360">
        <v>0.33000564466500365</v>
      </c>
      <c r="AJ502" s="360">
        <v>2.8855870057323716</v>
      </c>
      <c r="AK502" s="360">
        <v>6.9624193456465573</v>
      </c>
      <c r="AL502" s="360">
        <v>2.254186738994489</v>
      </c>
      <c r="AM502" s="360">
        <v>1.9290901301734344</v>
      </c>
      <c r="AN502" s="360">
        <v>-21395.616751257185</v>
      </c>
      <c r="AO502" s="360">
        <f t="shared" si="21"/>
        <v>0</v>
      </c>
      <c r="AP502" s="360">
        <f t="shared" si="22"/>
        <v>1</v>
      </c>
      <c r="AQ502" s="360">
        <f t="shared" si="23"/>
        <v>1</v>
      </c>
    </row>
    <row r="503" spans="1:43">
      <c r="A503" s="360" t="s">
        <v>1085</v>
      </c>
      <c r="B503" t="s">
        <v>1075</v>
      </c>
      <c r="C503">
        <v>2</v>
      </c>
      <c r="D503" t="s">
        <v>1080</v>
      </c>
      <c r="E503" t="s">
        <v>1079</v>
      </c>
      <c r="F503" s="360">
        <v>7</v>
      </c>
      <c r="G503" s="360" t="str">
        <f>CONCATENATE(A503," ",B503," ",C503," ","inf+"," ",FanUpsizes!D503," ",FanUpsizes!F503)</f>
        <v>0.6ACH Percentile 2 inf+ Existing 7</v>
      </c>
      <c r="H503" s="360">
        <v>5.6791923460039744E-2</v>
      </c>
      <c r="I503" s="360">
        <v>0.41917155193462607</v>
      </c>
      <c r="J503" s="360">
        <v>1.0479323208388855</v>
      </c>
      <c r="K503" s="360">
        <v>6049.0624593519788</v>
      </c>
      <c r="L503" s="360">
        <v>0.32813429099258545</v>
      </c>
      <c r="M503" s="360">
        <v>2.5645056151140326</v>
      </c>
      <c r="N503" s="360">
        <v>7.0432550199052564</v>
      </c>
      <c r="O503" s="360">
        <v>2.2563437411814307</v>
      </c>
      <c r="P503" s="360">
        <v>1.6422359287254573</v>
      </c>
      <c r="Q503" s="360">
        <v>-21699.065145160825</v>
      </c>
      <c r="R503" s="360">
        <v>8120.9219448794156</v>
      </c>
      <c r="S503" s="360">
        <v>0.23463583439134209</v>
      </c>
      <c r="T503" s="360">
        <v>3.2381918395870932</v>
      </c>
      <c r="U503" s="360">
        <v>7.0432550199052564</v>
      </c>
      <c r="V503" s="360">
        <v>1.5977984219562731</v>
      </c>
      <c r="W503" s="360">
        <v>1.7464014426505647</v>
      </c>
      <c r="X503" s="360">
        <v>-7105.9784737981217</v>
      </c>
      <c r="Y503" s="360">
        <v>0.42032207651604392</v>
      </c>
      <c r="Z503" s="360">
        <v>1.045072429226221</v>
      </c>
      <c r="AA503" s="360">
        <v>6079.5115655905283</v>
      </c>
      <c r="AB503" s="360">
        <v>0.32884044676366503</v>
      </c>
      <c r="AC503" s="360">
        <v>2.561751981904266</v>
      </c>
      <c r="AD503" s="360">
        <v>7.0432550199052564</v>
      </c>
      <c r="AE503" s="360">
        <v>2.2564442613811213</v>
      </c>
      <c r="AF503" s="360">
        <v>1.6422286306143845</v>
      </c>
      <c r="AG503" s="360">
        <v>-21655.640030804101</v>
      </c>
      <c r="AH503" s="360">
        <v>8137.5202859906849</v>
      </c>
      <c r="AI503" s="360">
        <v>0.23580980047229613</v>
      </c>
      <c r="AJ503" s="360">
        <v>3.2224981309068399</v>
      </c>
      <c r="AK503" s="360">
        <v>7.0432550199052564</v>
      </c>
      <c r="AL503" s="360">
        <v>1.5979669604360227</v>
      </c>
      <c r="AM503" s="360">
        <v>1.7463496255652877</v>
      </c>
      <c r="AN503" s="360">
        <v>-7064.5759245939462</v>
      </c>
      <c r="AO503" s="360">
        <f t="shared" si="21"/>
        <v>0</v>
      </c>
      <c r="AP503" s="360">
        <f t="shared" si="22"/>
        <v>1</v>
      </c>
      <c r="AQ503" s="360">
        <f t="shared" si="23"/>
        <v>1</v>
      </c>
    </row>
    <row r="504" spans="1:43">
      <c r="A504" s="360" t="s">
        <v>1085</v>
      </c>
      <c r="B504" t="s">
        <v>1074</v>
      </c>
      <c r="C504">
        <v>2</v>
      </c>
      <c r="D504" t="s">
        <v>1080</v>
      </c>
      <c r="E504" t="s">
        <v>1079</v>
      </c>
      <c r="F504" s="360">
        <v>7</v>
      </c>
      <c r="G504" s="360" t="str">
        <f>CONCATENATE(A504," ",B504," ",C504," ","inf+"," ",FanUpsizes!D504," ",FanUpsizes!F504)</f>
        <v>0.6ACH Infiltration 2 inf+ Existing 7</v>
      </c>
      <c r="H504" s="360">
        <v>5.6791923460039744E-2</v>
      </c>
      <c r="I504" s="360">
        <v>0.41917155193462607</v>
      </c>
      <c r="J504" s="360">
        <v>1.0479323208388855</v>
      </c>
      <c r="K504" s="360">
        <v>0</v>
      </c>
      <c r="L504" s="360">
        <v>0.41917155193462607</v>
      </c>
      <c r="M504" s="360">
        <v>1.0479323208388855</v>
      </c>
      <c r="N504" s="360">
        <v>1</v>
      </c>
      <c r="O504" s="360">
        <v>0.41917155193462607</v>
      </c>
      <c r="P504" s="360">
        <v>1.0479323208388855</v>
      </c>
      <c r="Q504" s="360">
        <v>0</v>
      </c>
      <c r="R504" s="360">
        <v>0</v>
      </c>
      <c r="S504" s="360">
        <v>0.41917155193462607</v>
      </c>
      <c r="T504" s="360">
        <v>1.0479323208388855</v>
      </c>
      <c r="U504" s="360">
        <v>1</v>
      </c>
      <c r="V504" s="360">
        <v>0.41917155193462607</v>
      </c>
      <c r="W504" s="360">
        <v>1.0479323208388855</v>
      </c>
      <c r="X504" s="360">
        <v>0</v>
      </c>
      <c r="Y504" s="360">
        <v>0.42032207651604392</v>
      </c>
      <c r="Z504" s="360">
        <v>1.045072429226221</v>
      </c>
      <c r="AA504" s="360">
        <v>0</v>
      </c>
      <c r="AB504" s="360">
        <v>0.42032207651604392</v>
      </c>
      <c r="AC504" s="360">
        <v>1.045072429226221</v>
      </c>
      <c r="AD504" s="360">
        <v>1</v>
      </c>
      <c r="AE504" s="360">
        <v>0.42032207651604392</v>
      </c>
      <c r="AF504" s="360">
        <v>1.045072429226221</v>
      </c>
      <c r="AG504" s="360">
        <v>0</v>
      </c>
      <c r="AH504" s="360">
        <v>0</v>
      </c>
      <c r="AI504" s="360">
        <v>0.42032207651604392</v>
      </c>
      <c r="AJ504" s="360">
        <v>1.045072429226221</v>
      </c>
      <c r="AK504" s="360">
        <v>1</v>
      </c>
      <c r="AL504" s="360">
        <v>0.42032207651604392</v>
      </c>
      <c r="AM504" s="360">
        <v>1.045072429226221</v>
      </c>
      <c r="AN504" s="360">
        <v>0</v>
      </c>
      <c r="AO504" s="360">
        <f t="shared" si="21"/>
        <v>1</v>
      </c>
      <c r="AP504" s="360">
        <f t="shared" si="22"/>
        <v>0</v>
      </c>
      <c r="AQ504" s="360">
        <f t="shared" si="23"/>
        <v>0</v>
      </c>
    </row>
    <row r="505" spans="1:43">
      <c r="A505" s="360" t="s">
        <v>1085</v>
      </c>
      <c r="B505" t="s">
        <v>1076</v>
      </c>
      <c r="C505">
        <v>2</v>
      </c>
      <c r="D505" t="s">
        <v>1080</v>
      </c>
      <c r="E505" t="s">
        <v>1079</v>
      </c>
      <c r="F505" s="360">
        <v>7</v>
      </c>
      <c r="G505" s="360" t="str">
        <f>CONCATENATE(A505," ",B505," ",C505," ","inf+"," ",FanUpsizes!D505," ",FanUpsizes!F505)</f>
        <v>0.6ACH 5C 2 inf+ Existing 7</v>
      </c>
      <c r="H505" s="360">
        <v>5.6791923460039744E-2</v>
      </c>
      <c r="I505" s="360">
        <v>0.41917155193462607</v>
      </c>
      <c r="J505" s="360">
        <v>1.0479323208388855</v>
      </c>
      <c r="K505" s="360">
        <v>6049.0624593519788</v>
      </c>
      <c r="L505" s="360">
        <v>0.32813429099258545</v>
      </c>
      <c r="M505" s="360">
        <v>2.5645056151140326</v>
      </c>
      <c r="N505" s="360">
        <v>7.0432550199052564</v>
      </c>
      <c r="O505" s="360">
        <v>2.2563437411814307</v>
      </c>
      <c r="P505" s="360">
        <v>1.6422359287254573</v>
      </c>
      <c r="Q505" s="360">
        <v>-21699.065145160825</v>
      </c>
      <c r="R505" s="360">
        <v>6049.0624593519788</v>
      </c>
      <c r="S505" s="360">
        <v>0.32813429099258545</v>
      </c>
      <c r="T505" s="360">
        <v>2.5645056151140326</v>
      </c>
      <c r="U505" s="360">
        <v>7.0432550199052564</v>
      </c>
      <c r="V505" s="360">
        <v>2.2563437411814307</v>
      </c>
      <c r="W505" s="360">
        <v>1.6422359287254573</v>
      </c>
      <c r="X505" s="360">
        <v>-21699.065145160825</v>
      </c>
      <c r="Y505" s="360">
        <v>0.42032207651604392</v>
      </c>
      <c r="Z505" s="360">
        <v>1.045072429226221</v>
      </c>
      <c r="AA505" s="360">
        <v>6079.5115655905283</v>
      </c>
      <c r="AB505" s="360">
        <v>0.32884044676366503</v>
      </c>
      <c r="AC505" s="360">
        <v>2.561751981904266</v>
      </c>
      <c r="AD505" s="360">
        <v>7.0432550199052564</v>
      </c>
      <c r="AE505" s="360">
        <v>2.2564442613811213</v>
      </c>
      <c r="AF505" s="360">
        <v>1.6422286306143845</v>
      </c>
      <c r="AG505" s="360">
        <v>-21655.640030804101</v>
      </c>
      <c r="AH505" s="360">
        <v>6079.5115655905283</v>
      </c>
      <c r="AI505" s="360">
        <v>0.32884044676366503</v>
      </c>
      <c r="AJ505" s="360">
        <v>2.561751981904266</v>
      </c>
      <c r="AK505" s="360">
        <v>7.0432550199052564</v>
      </c>
      <c r="AL505" s="360">
        <v>2.2564442613811213</v>
      </c>
      <c r="AM505" s="360">
        <v>1.6422286306143845</v>
      </c>
      <c r="AN505" s="360">
        <v>-21655.640030804101</v>
      </c>
      <c r="AO505" s="360">
        <f t="shared" si="21"/>
        <v>0</v>
      </c>
      <c r="AP505" s="360">
        <f t="shared" si="22"/>
        <v>1</v>
      </c>
      <c r="AQ505" s="360">
        <f t="shared" si="23"/>
        <v>1</v>
      </c>
    </row>
    <row r="506" spans="1:43">
      <c r="A506" s="360" t="s">
        <v>1077</v>
      </c>
      <c r="B506" t="s">
        <v>1075</v>
      </c>
      <c r="C506">
        <v>1</v>
      </c>
      <c r="D506" t="s">
        <v>1078</v>
      </c>
      <c r="E506" t="s">
        <v>1079</v>
      </c>
      <c r="F506">
        <v>8</v>
      </c>
      <c r="G506" s="360" t="str">
        <f>CONCATENATE(A506," ",B506," ",C506," ","inf+"," ",FanUpsizes!D506," ",FanUpsizes!F506)</f>
        <v>10ACH Percentile 1 inf+ New 8</v>
      </c>
      <c r="H506" s="360">
        <v>1.4421666666666666E-2</v>
      </c>
      <c r="I506" s="360">
        <v>0.41335567885263802</v>
      </c>
      <c r="J506" s="360">
        <v>0.873205308359435</v>
      </c>
      <c r="K506" s="360">
        <v>844.49912450939541</v>
      </c>
      <c r="L506" s="360">
        <v>0.40023853695842071</v>
      </c>
      <c r="M506" s="360">
        <v>0.8955877915803343</v>
      </c>
      <c r="N506" s="360">
        <v>1.1936014434963922</v>
      </c>
      <c r="O506" s="360">
        <v>0.40808318119845088</v>
      </c>
      <c r="P506" s="360">
        <v>0.87320564162824665</v>
      </c>
      <c r="Q506" s="360">
        <v>720.35503431121322</v>
      </c>
      <c r="R506" s="360">
        <v>1149.6586391748449</v>
      </c>
      <c r="S506" s="360">
        <v>0.38827308723481385</v>
      </c>
      <c r="T506" s="360">
        <v>0.93213338548910585</v>
      </c>
      <c r="U506" s="360">
        <v>1.6992020003743007</v>
      </c>
      <c r="V506" s="360">
        <v>0.40823902236702875</v>
      </c>
      <c r="W506" s="360">
        <v>0.87320570843669887</v>
      </c>
      <c r="X506" s="360">
        <v>914.67373987993926</v>
      </c>
      <c r="Y506" s="360">
        <v>0.37938033350177569</v>
      </c>
      <c r="Z506" s="360">
        <v>0.95492912401847296</v>
      </c>
      <c r="AA506" s="360">
        <v>223.84351301762385</v>
      </c>
      <c r="AB506" s="360">
        <v>0.37603781021144994</v>
      </c>
      <c r="AC506" s="360">
        <v>0.96156490565337172</v>
      </c>
      <c r="AD506" s="360">
        <v>1.0536590710236511</v>
      </c>
      <c r="AE506" s="360">
        <v>0.37766775980837425</v>
      </c>
      <c r="AF506" s="360">
        <v>0.9549294229830938</v>
      </c>
      <c r="AG506" s="360">
        <v>201.17795357727289</v>
      </c>
      <c r="AH506" s="360">
        <v>375.99031883171432</v>
      </c>
      <c r="AI506" s="360">
        <v>0.36917228561841292</v>
      </c>
      <c r="AJ506" s="360">
        <v>0.99107082368298971</v>
      </c>
      <c r="AK506" s="360">
        <v>1.4345644075128716</v>
      </c>
      <c r="AL506" s="360">
        <v>0.3778108118389919</v>
      </c>
      <c r="AM506" s="360">
        <v>0.95492917859865345</v>
      </c>
      <c r="AN506" s="360">
        <v>308.93819435779449</v>
      </c>
      <c r="AO506" s="360">
        <f t="shared" si="21"/>
        <v>1</v>
      </c>
      <c r="AP506" s="360">
        <f t="shared" si="22"/>
        <v>1</v>
      </c>
      <c r="AQ506" s="360">
        <f t="shared" si="23"/>
        <v>1</v>
      </c>
    </row>
    <row r="507" spans="1:43">
      <c r="A507" s="360" t="s">
        <v>1077</v>
      </c>
      <c r="B507" t="s">
        <v>1074</v>
      </c>
      <c r="C507">
        <v>1</v>
      </c>
      <c r="D507" t="s">
        <v>1078</v>
      </c>
      <c r="E507" t="s">
        <v>1079</v>
      </c>
      <c r="F507" s="360">
        <v>8</v>
      </c>
      <c r="G507" s="360" t="str">
        <f>CONCATENATE(A507," ",B507," ",C507," ","inf+"," ",FanUpsizes!D507," ",FanUpsizes!F507)</f>
        <v>10ACH Infiltration 1 inf+ New 8</v>
      </c>
      <c r="H507" s="360">
        <v>1.4421666666666666E-2</v>
      </c>
      <c r="I507" s="360">
        <v>0.41335567885263802</v>
      </c>
      <c r="J507" s="360">
        <v>0.873205308359435</v>
      </c>
      <c r="K507" s="360">
        <v>734.52790764100348</v>
      </c>
      <c r="L507" s="360">
        <v>0.40217664175890921</v>
      </c>
      <c r="M507" s="360">
        <v>0.8918419209824946</v>
      </c>
      <c r="N507" s="360">
        <v>1.1561129729067807</v>
      </c>
      <c r="O507" s="360">
        <v>0.40880235340158283</v>
      </c>
      <c r="P507" s="360">
        <v>0.87320635031600979</v>
      </c>
      <c r="Q507" s="360">
        <v>617.2548165610433</v>
      </c>
      <c r="R507" s="360">
        <v>1073.1296136271335</v>
      </c>
      <c r="S507" s="360">
        <v>0.39414474662960974</v>
      </c>
      <c r="T507" s="360">
        <v>0.91070167561439197</v>
      </c>
      <c r="U507" s="360">
        <v>1.3668513090955667</v>
      </c>
      <c r="V507" s="360">
        <v>0.40679099770668026</v>
      </c>
      <c r="W507" s="360">
        <v>0.87320531153863956</v>
      </c>
      <c r="X507" s="360">
        <v>921.76497872470668</v>
      </c>
      <c r="Y507" s="360">
        <v>0.37938033350177569</v>
      </c>
      <c r="Z507" s="360">
        <v>0.95492912401847296</v>
      </c>
      <c r="AA507" s="360">
        <v>192.27737412440538</v>
      </c>
      <c r="AB507" s="360">
        <v>0.37656824692986551</v>
      </c>
      <c r="AC507" s="360">
        <v>0.9603614864576292</v>
      </c>
      <c r="AD507" s="360">
        <v>1.0432115225509344</v>
      </c>
      <c r="AE507" s="360">
        <v>0.37792153324726857</v>
      </c>
      <c r="AF507" s="360">
        <v>0.95492929567554963</v>
      </c>
      <c r="AG507" s="360">
        <v>171.4593280395205</v>
      </c>
      <c r="AH507" s="360">
        <v>352.94589924362009</v>
      </c>
      <c r="AI507" s="360">
        <v>0.37277993046815633</v>
      </c>
      <c r="AJ507" s="360">
        <v>0.97197611824125962</v>
      </c>
      <c r="AK507" s="360">
        <v>1.1589962507108877</v>
      </c>
      <c r="AL507" s="360">
        <v>0.37673821044663419</v>
      </c>
      <c r="AM507" s="360">
        <v>0.95492915108379561</v>
      </c>
      <c r="AN507" s="360">
        <v>324.04563917589036</v>
      </c>
      <c r="AO507" s="360">
        <f t="shared" si="21"/>
        <v>1</v>
      </c>
      <c r="AP507" s="360">
        <f t="shared" si="22"/>
        <v>1</v>
      </c>
      <c r="AQ507" s="360">
        <f t="shared" si="23"/>
        <v>1</v>
      </c>
    </row>
    <row r="508" spans="1:43">
      <c r="A508" s="360" t="s">
        <v>1077</v>
      </c>
      <c r="B508" t="s">
        <v>1076</v>
      </c>
      <c r="C508">
        <v>1</v>
      </c>
      <c r="D508" t="s">
        <v>1078</v>
      </c>
      <c r="E508" t="s">
        <v>1079</v>
      </c>
      <c r="F508" s="360">
        <v>8</v>
      </c>
      <c r="G508" s="360" t="str">
        <f>CONCATENATE(A508," ",B508," ",C508," ","inf+"," ",FanUpsizes!D508," ",FanUpsizes!F508)</f>
        <v>10ACH 5C 1 inf+ New 8</v>
      </c>
      <c r="H508" s="360">
        <v>1.4421666666666666E-2</v>
      </c>
      <c r="I508" s="360">
        <v>0.41335567885263802</v>
      </c>
      <c r="J508" s="360">
        <v>0.873205308359435</v>
      </c>
      <c r="K508" s="360">
        <v>797.55603190854583</v>
      </c>
      <c r="L508" s="360">
        <v>0.40108911586772605</v>
      </c>
      <c r="M508" s="360">
        <v>0.89391025240277044</v>
      </c>
      <c r="N508" s="360">
        <v>1.1764889550989224</v>
      </c>
      <c r="O508" s="360">
        <v>0.40838926760077304</v>
      </c>
      <c r="P508" s="360">
        <v>0.87320783029935412</v>
      </c>
      <c r="Q508" s="360">
        <v>676.10013690727976</v>
      </c>
      <c r="R508" s="360">
        <v>1104.6436757608974</v>
      </c>
      <c r="S508" s="360">
        <v>0.39360098368401791</v>
      </c>
      <c r="T508" s="360">
        <v>0.91181285719412986</v>
      </c>
      <c r="U508" s="360">
        <v>1.3821220261020659</v>
      </c>
      <c r="V508" s="360">
        <v>0.40656930733686814</v>
      </c>
      <c r="W508" s="360">
        <v>0.87320618894230473</v>
      </c>
      <c r="X508" s="360">
        <v>959.02048600121816</v>
      </c>
      <c r="Y508" s="360">
        <v>0.37938033350177569</v>
      </c>
      <c r="Z508" s="360">
        <v>0.95492912401847296</v>
      </c>
      <c r="AA508" s="360">
        <v>210.02353441083591</v>
      </c>
      <c r="AB508" s="360">
        <v>0.37627694078940938</v>
      </c>
      <c r="AC508" s="360">
        <v>0.9610146471397677</v>
      </c>
      <c r="AD508" s="360">
        <v>1.0488257870496094</v>
      </c>
      <c r="AE508" s="360">
        <v>0.3777807702652648</v>
      </c>
      <c r="AF508" s="360">
        <v>0.95493099002933424</v>
      </c>
      <c r="AG508" s="360">
        <v>188.13070218619447</v>
      </c>
      <c r="AH508" s="360">
        <v>357.72770595657659</v>
      </c>
      <c r="AI508" s="360">
        <v>0.37270598874001482</v>
      </c>
      <c r="AJ508" s="360">
        <v>0.97214861357276072</v>
      </c>
      <c r="AK508" s="360">
        <v>1.1611016778944334</v>
      </c>
      <c r="AL508" s="360">
        <v>0.37669395482701601</v>
      </c>
      <c r="AM508" s="360">
        <v>0.95492970415174339</v>
      </c>
      <c r="AN508" s="360">
        <v>329.97279643622124</v>
      </c>
      <c r="AO508" s="360">
        <f t="shared" si="21"/>
        <v>1</v>
      </c>
      <c r="AP508" s="360">
        <f t="shared" si="22"/>
        <v>1</v>
      </c>
      <c r="AQ508" s="360">
        <f t="shared" si="23"/>
        <v>1</v>
      </c>
    </row>
    <row r="509" spans="1:43">
      <c r="A509" s="360" t="s">
        <v>1077</v>
      </c>
      <c r="B509" t="s">
        <v>1075</v>
      </c>
      <c r="C509">
        <v>2</v>
      </c>
      <c r="D509" t="s">
        <v>1078</v>
      </c>
      <c r="E509" t="s">
        <v>1079</v>
      </c>
      <c r="F509" s="360">
        <v>8</v>
      </c>
      <c r="G509" s="360" t="str">
        <f>CONCATENATE(A509," ",B509," ",C509," ","inf+"," ",FanUpsizes!D509," ",FanUpsizes!F509)</f>
        <v>10ACH Percentile 2 inf+ New 8</v>
      </c>
      <c r="H509" s="360">
        <v>1.4421666666666666E-2</v>
      </c>
      <c r="I509" s="360">
        <v>0.53691713859385948</v>
      </c>
      <c r="J509" s="360">
        <v>0.68772157463760253</v>
      </c>
      <c r="K509" s="360">
        <v>844.49912450936029</v>
      </c>
      <c r="L509" s="360">
        <v>0.52379999669964339</v>
      </c>
      <c r="M509" s="360">
        <v>0.70122812047958905</v>
      </c>
      <c r="N509" s="360">
        <v>1.1854453183582787</v>
      </c>
      <c r="O509" s="360">
        <v>0.53127780393650148</v>
      </c>
      <c r="P509" s="360">
        <v>0.68772158819269935</v>
      </c>
      <c r="Q509" s="360">
        <v>725.58503010319282</v>
      </c>
      <c r="R509" s="360">
        <v>1149.6586391748097</v>
      </c>
      <c r="S509" s="360">
        <v>0.51185226538114437</v>
      </c>
      <c r="T509" s="360">
        <v>0.72415037124558601</v>
      </c>
      <c r="U509" s="360">
        <v>1.6937428500441591</v>
      </c>
      <c r="V509" s="360">
        <v>0.53152839096568949</v>
      </c>
      <c r="W509" s="360">
        <v>0.68772170855218595</v>
      </c>
      <c r="X509" s="360">
        <v>916.50842841035706</v>
      </c>
      <c r="Y509" s="360">
        <v>0.49856701028521411</v>
      </c>
      <c r="Z509" s="360">
        <v>0.74700785812944381</v>
      </c>
      <c r="AA509" s="360">
        <v>175.6233679138966</v>
      </c>
      <c r="AB509" s="360">
        <v>0.49599129013633936</v>
      </c>
      <c r="AC509" s="360">
        <v>0.75005894570355547</v>
      </c>
      <c r="AD509" s="360">
        <v>1.0474825064880575</v>
      </c>
      <c r="AE509" s="360">
        <v>0.49712869445622154</v>
      </c>
      <c r="AF509" s="360">
        <v>0.74700801084501434</v>
      </c>
      <c r="AG509" s="360">
        <v>159.61960813981477</v>
      </c>
      <c r="AH509" s="360">
        <v>295.62368318803078</v>
      </c>
      <c r="AI509" s="360">
        <v>0.49065131602882667</v>
      </c>
      <c r="AJ509" s="360">
        <v>0.76494924764624128</v>
      </c>
      <c r="AK509" s="360">
        <v>1.4193971245914272</v>
      </c>
      <c r="AL509" s="360">
        <v>0.49722215540342551</v>
      </c>
      <c r="AM509" s="360">
        <v>0.74700934025169297</v>
      </c>
      <c r="AN509" s="360">
        <v>243.41544035644688</v>
      </c>
      <c r="AO509" s="360">
        <f t="shared" si="21"/>
        <v>1</v>
      </c>
      <c r="AP509" s="360">
        <f t="shared" si="22"/>
        <v>1</v>
      </c>
      <c r="AQ509" s="360">
        <f t="shared" si="23"/>
        <v>1</v>
      </c>
    </row>
    <row r="510" spans="1:43">
      <c r="A510" s="360" t="s">
        <v>1077</v>
      </c>
      <c r="B510" t="s">
        <v>1074</v>
      </c>
      <c r="C510">
        <v>2</v>
      </c>
      <c r="D510" t="s">
        <v>1078</v>
      </c>
      <c r="E510" t="s">
        <v>1079</v>
      </c>
      <c r="F510" s="360">
        <v>8</v>
      </c>
      <c r="G510" s="360" t="str">
        <f>CONCATENATE(A510," ",B510," ",C510," ","inf+"," ",FanUpsizes!D510," ",FanUpsizes!F510)</f>
        <v>10ACH Infiltration 2 inf+ New 8</v>
      </c>
      <c r="H510" s="360">
        <v>1.4421666666666666E-2</v>
      </c>
      <c r="I510" s="360">
        <v>0.53691713859385948</v>
      </c>
      <c r="J510" s="360">
        <v>0.68772157463760253</v>
      </c>
      <c r="K510" s="360">
        <v>1138.1135040650379</v>
      </c>
      <c r="L510" s="360">
        <v>0.51770620637083387</v>
      </c>
      <c r="M510" s="360">
        <v>0.70924549834709461</v>
      </c>
      <c r="N510" s="360">
        <v>1.3325892879154317</v>
      </c>
      <c r="O510" s="360">
        <v>0.52909704625510279</v>
      </c>
      <c r="P510" s="360">
        <v>0.68772176294123055</v>
      </c>
      <c r="Q510" s="360">
        <v>1022.4984916365141</v>
      </c>
      <c r="R510" s="360">
        <v>1293.3180398890381</v>
      </c>
      <c r="S510" s="360">
        <v>0.51185847636936155</v>
      </c>
      <c r="T510" s="360">
        <v>0.7202240635155811</v>
      </c>
      <c r="U510" s="360">
        <v>1.5905028184809158</v>
      </c>
      <c r="V510" s="360">
        <v>0.52867310064141027</v>
      </c>
      <c r="W510" s="360">
        <v>0.68772216076171477</v>
      </c>
      <c r="X510" s="360">
        <v>1179.6955904309946</v>
      </c>
      <c r="Y510" s="360">
        <v>0.49856701028521411</v>
      </c>
      <c r="Z510" s="360">
        <v>0.74700785812944381</v>
      </c>
      <c r="AA510" s="360">
        <v>246.90328990053951</v>
      </c>
      <c r="AB510" s="360">
        <v>0.49462026262282899</v>
      </c>
      <c r="AC510" s="360">
        <v>0.75222214011527844</v>
      </c>
      <c r="AD510" s="360">
        <v>1.0859908611472822</v>
      </c>
      <c r="AE510" s="360">
        <v>0.49647043543487029</v>
      </c>
      <c r="AF510" s="360">
        <v>0.74700795378759299</v>
      </c>
      <c r="AG510" s="360">
        <v>229.47412005956085</v>
      </c>
      <c r="AH510" s="360">
        <v>312.06109630097177</v>
      </c>
      <c r="AI510" s="360">
        <v>0.49213788285731491</v>
      </c>
      <c r="AJ510" s="360">
        <v>0.75859668351419463</v>
      </c>
      <c r="AK510" s="360">
        <v>1.2284702845876565</v>
      </c>
      <c r="AL510" s="360">
        <v>0.49612272502072291</v>
      </c>
      <c r="AM510" s="360">
        <v>0.74700790212828161</v>
      </c>
      <c r="AN510" s="360">
        <v>293.59533247218656</v>
      </c>
      <c r="AO510" s="360">
        <f t="shared" si="21"/>
        <v>1</v>
      </c>
      <c r="AP510" s="360">
        <f t="shared" si="22"/>
        <v>1</v>
      </c>
      <c r="AQ510" s="360">
        <f t="shared" si="23"/>
        <v>1</v>
      </c>
    </row>
    <row r="511" spans="1:43">
      <c r="A511" s="360" t="s">
        <v>1077</v>
      </c>
      <c r="B511" t="s">
        <v>1076</v>
      </c>
      <c r="C511">
        <v>2</v>
      </c>
      <c r="D511" t="s">
        <v>1078</v>
      </c>
      <c r="E511" t="s">
        <v>1079</v>
      </c>
      <c r="F511" s="360">
        <v>8</v>
      </c>
      <c r="G511" s="360" t="str">
        <f>CONCATENATE(A511," ",B511," ",C511," ","inf+"," ",FanUpsizes!D511," ",FanUpsizes!F511)</f>
        <v>10ACH 5C 2 inf+ New 8</v>
      </c>
      <c r="H511" s="360">
        <v>1.4421666666666666E-2</v>
      </c>
      <c r="I511" s="360">
        <v>0.53691713859385948</v>
      </c>
      <c r="J511" s="360">
        <v>0.68772157463760253</v>
      </c>
      <c r="K511" s="360">
        <v>797.55603190850866</v>
      </c>
      <c r="L511" s="360">
        <v>0.52465057560894812</v>
      </c>
      <c r="M511" s="360">
        <v>0.70020833729726073</v>
      </c>
      <c r="N511" s="360">
        <v>1.1690047912490371</v>
      </c>
      <c r="O511" s="360">
        <v>0.53160919490111058</v>
      </c>
      <c r="P511" s="360">
        <v>0.68772189870086187</v>
      </c>
      <c r="Q511" s="360">
        <v>681.25057716122592</v>
      </c>
      <c r="R511" s="360">
        <v>1123.0393038107816</v>
      </c>
      <c r="S511" s="360">
        <v>0.51533066098842084</v>
      </c>
      <c r="T511" s="360">
        <v>0.71543677946803985</v>
      </c>
      <c r="U511" s="360">
        <v>1.4607608880221903</v>
      </c>
      <c r="V511" s="360">
        <v>0.53003836132200643</v>
      </c>
      <c r="W511" s="360">
        <v>0.68772164881998887</v>
      </c>
      <c r="X511" s="360">
        <v>955.92355293335891</v>
      </c>
      <c r="Y511" s="360">
        <v>0.49856701028521411</v>
      </c>
      <c r="Z511" s="360">
        <v>0.74700785812944381</v>
      </c>
      <c r="AA511" s="360">
        <v>164.78793932205539</v>
      </c>
      <c r="AB511" s="360">
        <v>0.49617527807348627</v>
      </c>
      <c r="AC511" s="360">
        <v>0.74980256297380643</v>
      </c>
      <c r="AD511" s="360">
        <v>1.043204536535387</v>
      </c>
      <c r="AE511" s="360">
        <v>0.49722442568290676</v>
      </c>
      <c r="AF511" s="360">
        <v>0.74700795331943914</v>
      </c>
      <c r="AG511" s="360">
        <v>149.34615566204678</v>
      </c>
      <c r="AH511" s="360">
        <v>289.52207803207943</v>
      </c>
      <c r="AI511" s="360">
        <v>0.49253104448428303</v>
      </c>
      <c r="AJ511" s="360">
        <v>0.75796758851377366</v>
      </c>
      <c r="AK511" s="360">
        <v>1.2111150492533209</v>
      </c>
      <c r="AL511" s="360">
        <v>0.49637336260043619</v>
      </c>
      <c r="AM511" s="360">
        <v>0.7470079800723638</v>
      </c>
      <c r="AN511" s="360">
        <v>262.98793355160331</v>
      </c>
      <c r="AO511" s="360">
        <f t="shared" si="21"/>
        <v>1</v>
      </c>
      <c r="AP511" s="360">
        <f t="shared" si="22"/>
        <v>1</v>
      </c>
      <c r="AQ511" s="360">
        <f t="shared" si="23"/>
        <v>1</v>
      </c>
    </row>
    <row r="512" spans="1:43">
      <c r="A512" s="360" t="s">
        <v>1077</v>
      </c>
      <c r="B512" t="s">
        <v>1075</v>
      </c>
      <c r="C512">
        <v>1</v>
      </c>
      <c r="D512" t="s">
        <v>1080</v>
      </c>
      <c r="E512" t="s">
        <v>1079</v>
      </c>
      <c r="F512" s="360">
        <v>8</v>
      </c>
      <c r="G512" s="360" t="str">
        <f>CONCATENATE(A512," ",B512," ",C512," ","inf+"," ",FanUpsizes!D512," ",FanUpsizes!F512)</f>
        <v>10ACH Percentile 1 inf+ Existing 8</v>
      </c>
      <c r="H512" s="360">
        <v>2.2368289988557832E-2</v>
      </c>
      <c r="I512" s="360">
        <v>0.44298082669197347</v>
      </c>
      <c r="J512" s="360">
        <v>1.104469008250043</v>
      </c>
      <c r="K512" s="360">
        <v>1309.8348303785006</v>
      </c>
      <c r="L512" s="360">
        <v>0.42263588040438121</v>
      </c>
      <c r="M512" s="360">
        <v>1.1486049301794132</v>
      </c>
      <c r="N512" s="360">
        <v>1.2126028441663106</v>
      </c>
      <c r="O512" s="360">
        <v>0.43618297039460718</v>
      </c>
      <c r="P512" s="360">
        <v>1.1044690083445878</v>
      </c>
      <c r="Q512" s="360">
        <v>1098.3866947772335</v>
      </c>
      <c r="R512" s="360">
        <v>1783.1432679241723</v>
      </c>
      <c r="S512" s="360">
        <v>0.403982219059416</v>
      </c>
      <c r="T512" s="360">
        <v>1.2172271071845362</v>
      </c>
      <c r="U512" s="360">
        <v>1.7291964887022073</v>
      </c>
      <c r="V512" s="360">
        <v>0.43711975586943774</v>
      </c>
      <c r="W512" s="360">
        <v>1.1044691723776174</v>
      </c>
      <c r="X512" s="360">
        <v>1403.0421105124112</v>
      </c>
      <c r="Y512" s="360">
        <v>0.40345115215654231</v>
      </c>
      <c r="Z512" s="360">
        <v>1.2045265161906757</v>
      </c>
      <c r="AA512" s="360">
        <v>515.35934554435437</v>
      </c>
      <c r="AB512" s="360">
        <v>0.39559600439586323</v>
      </c>
      <c r="AC512" s="360">
        <v>1.2246045303247031</v>
      </c>
      <c r="AD512" s="360">
        <v>1.0716701798945969</v>
      </c>
      <c r="AE512" s="360">
        <v>0.40021795375858255</v>
      </c>
      <c r="AF512" s="360">
        <v>1.2045269315052045</v>
      </c>
      <c r="AG512" s="360">
        <v>449.79219258876896</v>
      </c>
      <c r="AH512" s="360">
        <v>853.63806774929424</v>
      </c>
      <c r="AI512" s="360">
        <v>0.38050248497005967</v>
      </c>
      <c r="AJ512" s="360">
        <v>1.2993470370133469</v>
      </c>
      <c r="AK512" s="360">
        <v>1.4978649412070482</v>
      </c>
      <c r="AL512" s="360">
        <v>0.40165654556952313</v>
      </c>
      <c r="AM512" s="360">
        <v>1.204526801941612</v>
      </c>
      <c r="AN512" s="360">
        <v>683.8749879461958</v>
      </c>
      <c r="AO512" s="360">
        <f t="shared" si="21"/>
        <v>1</v>
      </c>
      <c r="AP512" s="360">
        <f t="shared" si="22"/>
        <v>1</v>
      </c>
      <c r="AQ512" s="360">
        <f t="shared" si="23"/>
        <v>1</v>
      </c>
    </row>
    <row r="513" spans="1:43">
      <c r="A513" s="360" t="s">
        <v>1077</v>
      </c>
      <c r="B513" t="s">
        <v>1074</v>
      </c>
      <c r="C513">
        <v>1</v>
      </c>
      <c r="D513" t="s">
        <v>1080</v>
      </c>
      <c r="E513" t="s">
        <v>1079</v>
      </c>
      <c r="F513" s="360">
        <v>8</v>
      </c>
      <c r="G513" s="360" t="str">
        <f>CONCATENATE(A513," ",B513," ",C513," ","inf+"," ",FanUpsizes!D513," ",FanUpsizes!F513)</f>
        <v>10ACH Infiltration 1 inf+ Existing 8</v>
      </c>
      <c r="H513" s="360">
        <v>2.2368289988557832E-2</v>
      </c>
      <c r="I513" s="360">
        <v>0.44298082669197347</v>
      </c>
      <c r="J513" s="360">
        <v>1.104469008250043</v>
      </c>
      <c r="K513" s="360">
        <v>53.197245975182774</v>
      </c>
      <c r="L513" s="360">
        <v>0.44232119434360323</v>
      </c>
      <c r="M513" s="360">
        <v>1.1055520944130663</v>
      </c>
      <c r="N513" s="360">
        <v>1.0043194312038819</v>
      </c>
      <c r="O513" s="360">
        <v>0.4426804423690156</v>
      </c>
      <c r="P513" s="360">
        <v>1.1044690356177647</v>
      </c>
      <c r="Q513" s="360">
        <v>43.473315278292702</v>
      </c>
      <c r="R513" s="360">
        <v>993.90665741418525</v>
      </c>
      <c r="S513" s="360">
        <v>0.42569374750504008</v>
      </c>
      <c r="T513" s="360">
        <v>1.1430927739962933</v>
      </c>
      <c r="U513" s="360">
        <v>1.178027205363446</v>
      </c>
      <c r="V513" s="360">
        <v>0.43756998932150298</v>
      </c>
      <c r="W513" s="360">
        <v>1.1044693484240682</v>
      </c>
      <c r="X513" s="360">
        <v>760.60256042570427</v>
      </c>
      <c r="Y513" s="360">
        <v>0.40345115215654231</v>
      </c>
      <c r="Z513" s="360">
        <v>1.2045265161906757</v>
      </c>
      <c r="AA513" s="360">
        <v>18.37781686920443</v>
      </c>
      <c r="AB513" s="360">
        <v>0.40322885857689666</v>
      </c>
      <c r="AC513" s="360">
        <v>1.2049578706652708</v>
      </c>
      <c r="AD513" s="360">
        <v>1.0013648832237245</v>
      </c>
      <c r="AE513" s="360">
        <v>0.40333501139113798</v>
      </c>
      <c r="AF513" s="360">
        <v>1.2045285844213296</v>
      </c>
      <c r="AG513" s="360">
        <v>15.879221040004378</v>
      </c>
      <c r="AH513" s="360">
        <v>593.44340335684058</v>
      </c>
      <c r="AI513" s="360">
        <v>0.39304034212002964</v>
      </c>
      <c r="AJ513" s="360">
        <v>1.234548531814194</v>
      </c>
      <c r="AK513" s="360">
        <v>1.112696483498095</v>
      </c>
      <c r="AL513" s="360">
        <v>0.3998744911290098</v>
      </c>
      <c r="AM513" s="360">
        <v>1.2045268172400854</v>
      </c>
      <c r="AN513" s="360">
        <v>504.17977304377115</v>
      </c>
      <c r="AO513" s="360">
        <f t="shared" si="21"/>
        <v>1</v>
      </c>
      <c r="AP513" s="360">
        <f t="shared" si="22"/>
        <v>1</v>
      </c>
      <c r="AQ513" s="360">
        <f t="shared" si="23"/>
        <v>1</v>
      </c>
    </row>
    <row r="514" spans="1:43">
      <c r="A514" s="360" t="s">
        <v>1077</v>
      </c>
      <c r="B514" t="s">
        <v>1076</v>
      </c>
      <c r="C514">
        <v>1</v>
      </c>
      <c r="D514" t="s">
        <v>1080</v>
      </c>
      <c r="E514" t="s">
        <v>1079</v>
      </c>
      <c r="F514" s="360">
        <v>8</v>
      </c>
      <c r="G514" s="360" t="str">
        <f>CONCATENATE(A514," ",B514," ",C514," ","inf+"," ",FanUpsizes!D514," ",FanUpsizes!F514)</f>
        <v>10ACH 5C 1 inf+ Existing 8</v>
      </c>
      <c r="H514" s="360">
        <v>2.2368289988557832E-2</v>
      </c>
      <c r="I514" s="360">
        <v>0.44298082669197347</v>
      </c>
      <c r="J514" s="360">
        <v>1.104469008250043</v>
      </c>
      <c r="K514" s="360">
        <v>1237.0251661056143</v>
      </c>
      <c r="L514" s="360">
        <v>0.4239551451011217</v>
      </c>
      <c r="M514" s="360">
        <v>1.1452844454098448</v>
      </c>
      <c r="N514" s="360">
        <v>1.1935349418225332</v>
      </c>
      <c r="O514" s="360">
        <v>0.43653589465675685</v>
      </c>
      <c r="P514" s="360">
        <v>1.1044692947893813</v>
      </c>
      <c r="Q514" s="360">
        <v>1030.4501553242083</v>
      </c>
      <c r="R514" s="360">
        <v>1585.8206174794134</v>
      </c>
      <c r="S514" s="360">
        <v>0.41651072288379926</v>
      </c>
      <c r="T514" s="360">
        <v>1.1651224722551166</v>
      </c>
      <c r="U514" s="360">
        <v>1.3130158817942368</v>
      </c>
      <c r="V514" s="360">
        <v>0.43462383158178464</v>
      </c>
      <c r="W514" s="360">
        <v>1.1044690875614889</v>
      </c>
      <c r="X514" s="360">
        <v>1360.8927514973388</v>
      </c>
      <c r="Y514" s="360">
        <v>0.40345115215654231</v>
      </c>
      <c r="Z514" s="360">
        <v>1.2045265161906757</v>
      </c>
      <c r="AA514" s="360">
        <v>483.75175847617453</v>
      </c>
      <c r="AB514" s="360">
        <v>0.39615487821072687</v>
      </c>
      <c r="AC514" s="360">
        <v>1.2229536597597448</v>
      </c>
      <c r="AD514" s="360">
        <v>1.0651020762459456</v>
      </c>
      <c r="AE514" s="360">
        <v>0.40041608050310012</v>
      </c>
      <c r="AF514" s="360">
        <v>1.2045268416341028</v>
      </c>
      <c r="AG514" s="360">
        <v>420.38395973394967</v>
      </c>
      <c r="AH514" s="360">
        <v>717.90656223178667</v>
      </c>
      <c r="AI514" s="360">
        <v>0.39121790808677576</v>
      </c>
      <c r="AJ514" s="360">
        <v>1.2395463040192114</v>
      </c>
      <c r="AK514" s="360">
        <v>1.1367640086783088</v>
      </c>
      <c r="AL514" s="360">
        <v>0.39904488881956046</v>
      </c>
      <c r="AM514" s="360">
        <v>1.2045271973190905</v>
      </c>
      <c r="AN514" s="360">
        <v>643.09761126198998</v>
      </c>
      <c r="AO514" s="360">
        <f t="shared" si="21"/>
        <v>1</v>
      </c>
      <c r="AP514" s="360">
        <f t="shared" si="22"/>
        <v>1</v>
      </c>
      <c r="AQ514" s="360">
        <f t="shared" si="23"/>
        <v>1</v>
      </c>
    </row>
    <row r="515" spans="1:43">
      <c r="A515" s="360" t="s">
        <v>1077</v>
      </c>
      <c r="B515" t="s">
        <v>1075</v>
      </c>
      <c r="C515">
        <v>2</v>
      </c>
      <c r="D515" t="s">
        <v>1080</v>
      </c>
      <c r="E515" t="s">
        <v>1079</v>
      </c>
      <c r="F515" s="360">
        <v>8</v>
      </c>
      <c r="G515" s="360" t="str">
        <f>CONCATENATE(A515," ",B515," ",C515," ","inf+"," ",FanUpsizes!D515," ",FanUpsizes!F515)</f>
        <v>10ACH Percentile 2 inf+ Existing 8</v>
      </c>
      <c r="H515" s="360">
        <v>1.0499622280715368E-2</v>
      </c>
      <c r="I515" s="360">
        <v>0.52240123542144734</v>
      </c>
      <c r="J515" s="360">
        <v>0.9794446786830342</v>
      </c>
      <c r="K515" s="360">
        <v>614.83336348617445</v>
      </c>
      <c r="L515" s="360">
        <v>0.51285136587619407</v>
      </c>
      <c r="M515" s="360">
        <v>0.99339820667452639</v>
      </c>
      <c r="N515" s="360">
        <v>1.1776417869787714</v>
      </c>
      <c r="O515" s="360">
        <v>0.51805026382493347</v>
      </c>
      <c r="P515" s="360">
        <v>0.97944540684104942</v>
      </c>
      <c r="Q515" s="360">
        <v>531.90161636953133</v>
      </c>
      <c r="R515" s="360">
        <v>837.00322175641043</v>
      </c>
      <c r="S515" s="360">
        <v>0.50416182501391771</v>
      </c>
      <c r="T515" s="360">
        <v>1.0176598991946921</v>
      </c>
      <c r="U515" s="360">
        <v>1.6755784679509607</v>
      </c>
      <c r="V515" s="360">
        <v>0.51807466356607812</v>
      </c>
      <c r="W515" s="360">
        <v>0.97944502269628442</v>
      </c>
      <c r="X515" s="360">
        <v>671.7038077549887</v>
      </c>
      <c r="Y515" s="360">
        <v>0.49172699347091059</v>
      </c>
      <c r="Z515" s="360">
        <v>1.0511915716362785</v>
      </c>
      <c r="AA515" s="360">
        <v>96.197107149610304</v>
      </c>
      <c r="AB515" s="360">
        <v>0.49035496543677404</v>
      </c>
      <c r="AC515" s="360">
        <v>1.0534588203209798</v>
      </c>
      <c r="AD515" s="360">
        <v>1.0427254208715226</v>
      </c>
      <c r="AE515" s="360">
        <v>0.49092110972567643</v>
      </c>
      <c r="AF515" s="360">
        <v>1.0511925489715601</v>
      </c>
      <c r="AG515" s="360">
        <v>88.09696606223082</v>
      </c>
      <c r="AH515" s="360">
        <v>162.9349389680703</v>
      </c>
      <c r="AI515" s="360">
        <v>0.48744464417043781</v>
      </c>
      <c r="AJ515" s="360">
        <v>1.0652611635269369</v>
      </c>
      <c r="AK515" s="360">
        <v>1.3987320908933059</v>
      </c>
      <c r="AL515" s="360">
        <v>0.49089874821149504</v>
      </c>
      <c r="AM515" s="360">
        <v>1.0511916046010776</v>
      </c>
      <c r="AN515" s="360">
        <v>134.31693990772135</v>
      </c>
      <c r="AO515" s="360">
        <f t="shared" si="21"/>
        <v>1</v>
      </c>
      <c r="AP515" s="360">
        <f t="shared" si="22"/>
        <v>1</v>
      </c>
      <c r="AQ515" s="360">
        <f t="shared" si="23"/>
        <v>1</v>
      </c>
    </row>
    <row r="516" spans="1:43">
      <c r="A516" s="360" t="s">
        <v>1077</v>
      </c>
      <c r="B516" t="s">
        <v>1074</v>
      </c>
      <c r="C516">
        <v>2</v>
      </c>
      <c r="D516" t="s">
        <v>1080</v>
      </c>
      <c r="E516" t="s">
        <v>1079</v>
      </c>
      <c r="F516" s="360">
        <v>8</v>
      </c>
      <c r="G516" s="360" t="str">
        <f>CONCATENATE(A516," ",B516," ",C516," ","inf+"," ",FanUpsizes!D516," ",FanUpsizes!F516)</f>
        <v>10ACH Infiltration 2 inf+ Existing 8</v>
      </c>
      <c r="H516" s="360">
        <v>1.0499622280715368E-2</v>
      </c>
      <c r="I516" s="360">
        <v>0.52240123542144734</v>
      </c>
      <c r="J516" s="360">
        <v>0.9794446786830342</v>
      </c>
      <c r="K516" s="360">
        <v>436.17772892243579</v>
      </c>
      <c r="L516" s="360">
        <v>0.51594766447817519</v>
      </c>
      <c r="M516" s="360">
        <v>0.98834230610671958</v>
      </c>
      <c r="N516" s="360">
        <v>1.1063360834243523</v>
      </c>
      <c r="O516" s="360">
        <v>0.51938877921721105</v>
      </c>
      <c r="P516" s="360">
        <v>0.97944471236941311</v>
      </c>
      <c r="Q516" s="360">
        <v>367.53738014506479</v>
      </c>
      <c r="R516" s="360">
        <v>724.13638779667883</v>
      </c>
      <c r="S516" s="360">
        <v>0.50957813592552637</v>
      </c>
      <c r="T516" s="360">
        <v>1.0009524118708242</v>
      </c>
      <c r="U516" s="360">
        <v>1.2995218225544491</v>
      </c>
      <c r="V516" s="360">
        <v>0.51737334330846751</v>
      </c>
      <c r="W516" s="360">
        <v>0.9794449407858915</v>
      </c>
      <c r="X516" s="360">
        <v>617.043807454079</v>
      </c>
      <c r="Y516" s="360">
        <v>0.49172699347091059</v>
      </c>
      <c r="Z516" s="360">
        <v>1.0511915716362785</v>
      </c>
      <c r="AA516" s="360">
        <v>66.124728834056427</v>
      </c>
      <c r="AB516" s="360">
        <v>0.4908293070968337</v>
      </c>
      <c r="AC516" s="360">
        <v>1.0525744067391993</v>
      </c>
      <c r="AD516" s="360">
        <v>1.0253723326278275</v>
      </c>
      <c r="AE516" s="360">
        <v>0.49118719491686086</v>
      </c>
      <c r="AF516" s="360">
        <v>1.0511920966547927</v>
      </c>
      <c r="AG516" s="360">
        <v>59.894762765645453</v>
      </c>
      <c r="AH516" s="360">
        <v>144.27327102256194</v>
      </c>
      <c r="AI516" s="360">
        <v>0.48917689169457901</v>
      </c>
      <c r="AJ516" s="360">
        <v>1.0567496262504275</v>
      </c>
      <c r="AK516" s="360">
        <v>1.116292379733538</v>
      </c>
      <c r="AL516" s="360">
        <v>0.49048175126687266</v>
      </c>
      <c r="AM516" s="360">
        <v>1.0511915893103478</v>
      </c>
      <c r="AN516" s="360">
        <v>132.7882599816966</v>
      </c>
      <c r="AO516" s="360">
        <f t="shared" si="21"/>
        <v>1</v>
      </c>
      <c r="AP516" s="360">
        <f t="shared" si="22"/>
        <v>1</v>
      </c>
      <c r="AQ516" s="360">
        <f t="shared" si="23"/>
        <v>1</v>
      </c>
    </row>
    <row r="517" spans="1:43">
      <c r="A517" s="360" t="s">
        <v>1077</v>
      </c>
      <c r="B517" t="s">
        <v>1076</v>
      </c>
      <c r="C517">
        <v>2</v>
      </c>
      <c r="D517" t="s">
        <v>1080</v>
      </c>
      <c r="E517" t="s">
        <v>1079</v>
      </c>
      <c r="F517" s="360">
        <v>8</v>
      </c>
      <c r="G517" s="360" t="str">
        <f>CONCATENATE(A517," ",B517," ",C517," ","inf+"," ",FanUpsizes!D517," ",FanUpsizes!F517)</f>
        <v>10ACH 5C 2 inf+ Existing 8</v>
      </c>
      <c r="H517" s="360">
        <v>1.0499622280715368E-2</v>
      </c>
      <c r="I517" s="360">
        <v>0.52240123542144734</v>
      </c>
      <c r="J517" s="360">
        <v>0.9794446786830342</v>
      </c>
      <c r="K517" s="360">
        <v>580.65667972349274</v>
      </c>
      <c r="L517" s="360">
        <v>0.5134706255965904</v>
      </c>
      <c r="M517" s="360">
        <v>0.99234515882620256</v>
      </c>
      <c r="N517" s="360">
        <v>1.1620156659112111</v>
      </c>
      <c r="O517" s="360">
        <v>0.5183124944408648</v>
      </c>
      <c r="P517" s="360">
        <v>0.97944584305637261</v>
      </c>
      <c r="Q517" s="360">
        <v>499.48280080040212</v>
      </c>
      <c r="R517" s="360">
        <v>796.37586319721754</v>
      </c>
      <c r="S517" s="360">
        <v>0.50833961648473414</v>
      </c>
      <c r="T517" s="360">
        <v>1.0030406719372869</v>
      </c>
      <c r="U517" s="360">
        <v>1.3388831947173079</v>
      </c>
      <c r="V517" s="360">
        <v>0.51674181657108031</v>
      </c>
      <c r="W517" s="360">
        <v>0.97944488905338101</v>
      </c>
      <c r="X517" s="360">
        <v>699.69055864327538</v>
      </c>
      <c r="Y517" s="360">
        <v>0.49172699347091059</v>
      </c>
      <c r="Z517" s="360">
        <v>1.0511915716362785</v>
      </c>
      <c r="AA517" s="360">
        <v>90.246728497372331</v>
      </c>
      <c r="AB517" s="360">
        <v>0.49045309381123386</v>
      </c>
      <c r="AC517" s="360">
        <v>1.0532677648024509</v>
      </c>
      <c r="AD517" s="360">
        <v>1.0389121367831469</v>
      </c>
      <c r="AE517" s="360">
        <v>0.49097558589402124</v>
      </c>
      <c r="AF517" s="360">
        <v>1.0511916245776325</v>
      </c>
      <c r="AG517" s="360">
        <v>82.437602346729918</v>
      </c>
      <c r="AH517" s="360">
        <v>150.97090061603808</v>
      </c>
      <c r="AI517" s="360">
        <v>0.48908238335256554</v>
      </c>
      <c r="AJ517" s="360">
        <v>1.0569260311265145</v>
      </c>
      <c r="AK517" s="360">
        <v>1.1207571292156744</v>
      </c>
      <c r="AL517" s="360">
        <v>0.49041564794603132</v>
      </c>
      <c r="AM517" s="360">
        <v>1.0511915896411861</v>
      </c>
      <c r="AN517" s="360">
        <v>140.56607618064598</v>
      </c>
      <c r="AO517" s="360">
        <f t="shared" si="21"/>
        <v>1</v>
      </c>
      <c r="AP517" s="360">
        <f t="shared" si="22"/>
        <v>1</v>
      </c>
      <c r="AQ517" s="360">
        <f t="shared" si="23"/>
        <v>1</v>
      </c>
    </row>
    <row r="518" spans="1:43">
      <c r="A518" s="360" t="s">
        <v>1081</v>
      </c>
      <c r="B518" t="s">
        <v>1075</v>
      </c>
      <c r="C518">
        <v>1</v>
      </c>
      <c r="D518" t="s">
        <v>1078</v>
      </c>
      <c r="E518" t="s">
        <v>1079</v>
      </c>
      <c r="F518" s="360">
        <v>8</v>
      </c>
      <c r="G518" s="360" t="str">
        <f>CONCATENATE(A518," ",B518," ",C518," ","inf+"," ",FanUpsizes!D518," ",FanUpsizes!F518)</f>
        <v>7ACH Percentile 1 inf+ New 8</v>
      </c>
      <c r="H518" s="360">
        <v>1.7262302991990486E-2</v>
      </c>
      <c r="I518" s="360">
        <v>0.31610713324334666</v>
      </c>
      <c r="J518" s="360">
        <v>1.1089398604865186</v>
      </c>
      <c r="K518" s="360">
        <v>1010.8401546574503</v>
      </c>
      <c r="L518" s="360">
        <v>0.30040630732630996</v>
      </c>
      <c r="M518" s="360">
        <v>1.1582755825221094</v>
      </c>
      <c r="N518" s="360">
        <v>1.2246152788698843</v>
      </c>
      <c r="O518" s="360">
        <v>0.31155181856606906</v>
      </c>
      <c r="P518" s="360">
        <v>1.1089398677612001</v>
      </c>
      <c r="Q518" s="360">
        <v>838.43905346571489</v>
      </c>
      <c r="R518" s="360">
        <v>1376.1069525109428</v>
      </c>
      <c r="S518" s="360">
        <v>0.2859837153695064</v>
      </c>
      <c r="T518" s="360">
        <v>1.2301706938051922</v>
      </c>
      <c r="U518" s="360">
        <v>1.7393857899551808</v>
      </c>
      <c r="V518" s="360">
        <v>0.31219892312884578</v>
      </c>
      <c r="W518" s="360">
        <v>1.108943154377015</v>
      </c>
      <c r="X518" s="360">
        <v>1078.6722251028152</v>
      </c>
      <c r="Y518" s="360">
        <v>0.28821435126077555</v>
      </c>
      <c r="Z518" s="360">
        <v>1.2059901092701659</v>
      </c>
      <c r="AA518" s="360">
        <v>433.42006627915885</v>
      </c>
      <c r="AB518" s="360">
        <v>0.28158567177739152</v>
      </c>
      <c r="AC518" s="360">
        <v>1.2305393280533483</v>
      </c>
      <c r="AD518" s="360">
        <v>1.0811031822208839</v>
      </c>
      <c r="AE518" s="360">
        <v>0.28588291090044621</v>
      </c>
      <c r="AF518" s="360">
        <v>1.2059902437485805</v>
      </c>
      <c r="AG518" s="360">
        <v>372.05329003973679</v>
      </c>
      <c r="AH518" s="360">
        <v>715.01426746978973</v>
      </c>
      <c r="AI518" s="360">
        <v>0.26908443570179114</v>
      </c>
      <c r="AJ518" s="360">
        <v>1.3118851770986384</v>
      </c>
      <c r="AK518" s="360">
        <v>1.5109951118996376</v>
      </c>
      <c r="AL518" s="360">
        <v>0.28692299408927735</v>
      </c>
      <c r="AM518" s="360">
        <v>1.205990160864824</v>
      </c>
      <c r="AN518" s="360">
        <v>569.83515008270138</v>
      </c>
      <c r="AO518" s="360">
        <f t="shared" si="21"/>
        <v>1</v>
      </c>
      <c r="AP518" s="360">
        <f t="shared" si="22"/>
        <v>1</v>
      </c>
      <c r="AQ518" s="360">
        <f t="shared" si="23"/>
        <v>1</v>
      </c>
    </row>
    <row r="519" spans="1:43">
      <c r="A519" s="360" t="s">
        <v>1081</v>
      </c>
      <c r="B519" t="s">
        <v>1074</v>
      </c>
      <c r="C519">
        <v>1</v>
      </c>
      <c r="D519" t="s">
        <v>1078</v>
      </c>
      <c r="E519" t="s">
        <v>1079</v>
      </c>
      <c r="F519" s="360">
        <v>8</v>
      </c>
      <c r="G519" s="360" t="str">
        <f>CONCATENATE(A519," ",B519," ",C519," ","inf+"," ",FanUpsizes!D519," ",FanUpsizes!F519)</f>
        <v>7ACH Infiltration 1 inf+ New 8</v>
      </c>
      <c r="H519" s="360">
        <v>1.7262302991990486E-2</v>
      </c>
      <c r="I519" s="360">
        <v>0.31610713324334666</v>
      </c>
      <c r="J519" s="360">
        <v>1.1089398604865186</v>
      </c>
      <c r="K519" s="360">
        <v>8.6281312769241172</v>
      </c>
      <c r="L519" s="360">
        <v>0.31600532149585303</v>
      </c>
      <c r="M519" s="360">
        <v>1.1091846952494733</v>
      </c>
      <c r="N519" s="360">
        <v>1.0009189239627705</v>
      </c>
      <c r="O519" s="360">
        <v>0.31606478381373299</v>
      </c>
      <c r="P519" s="360">
        <v>1.1089403924946577</v>
      </c>
      <c r="Q519" s="360">
        <v>7.0018641843409783</v>
      </c>
      <c r="R519" s="360">
        <v>730.23014500496242</v>
      </c>
      <c r="S519" s="360">
        <v>0.30350792949102262</v>
      </c>
      <c r="T519" s="360">
        <v>1.1487171336666555</v>
      </c>
      <c r="U519" s="360">
        <v>1.1711483836041878</v>
      </c>
      <c r="V519" s="360">
        <v>0.31250693243858696</v>
      </c>
      <c r="W519" s="360">
        <v>1.1089431642752587</v>
      </c>
      <c r="X519" s="360">
        <v>550.8410488575355</v>
      </c>
      <c r="Y519" s="360">
        <v>0.28821435126077555</v>
      </c>
      <c r="Z519" s="360">
        <v>1.2059901092701659</v>
      </c>
      <c r="AA519" s="360">
        <v>3.2713131899273153</v>
      </c>
      <c r="AB519" s="360">
        <v>0.28817652443213326</v>
      </c>
      <c r="AC519" s="360">
        <v>1.2060991008874218</v>
      </c>
      <c r="AD519" s="360">
        <v>1.0003141595507379</v>
      </c>
      <c r="AE519" s="360">
        <v>0.28819673212995578</v>
      </c>
      <c r="AF519" s="360">
        <v>1.2059908064899367</v>
      </c>
      <c r="AG519" s="360">
        <v>2.7863040486423869</v>
      </c>
      <c r="AH519" s="360">
        <v>478.79846900803273</v>
      </c>
      <c r="AI519" s="360">
        <v>0.27990949391644315</v>
      </c>
      <c r="AJ519" s="360">
        <v>1.2394452708464894</v>
      </c>
      <c r="AK519" s="360">
        <v>1.1147642915636626</v>
      </c>
      <c r="AL519" s="360">
        <v>0.28571478111496623</v>
      </c>
      <c r="AM519" s="360">
        <v>1.2059983905452019</v>
      </c>
      <c r="AN519" s="360">
        <v>399.16821293375926</v>
      </c>
      <c r="AO519" s="360">
        <f t="shared" si="21"/>
        <v>1</v>
      </c>
      <c r="AP519" s="360">
        <f t="shared" si="22"/>
        <v>1</v>
      </c>
      <c r="AQ519" s="360">
        <f t="shared" si="23"/>
        <v>1</v>
      </c>
    </row>
    <row r="520" spans="1:43">
      <c r="A520" s="360" t="s">
        <v>1081</v>
      </c>
      <c r="B520" t="s">
        <v>1076</v>
      </c>
      <c r="C520">
        <v>1</v>
      </c>
      <c r="D520" t="s">
        <v>1078</v>
      </c>
      <c r="E520" t="s">
        <v>1079</v>
      </c>
      <c r="F520" s="360">
        <v>8</v>
      </c>
      <c r="G520" s="360" t="str">
        <f>CONCATENATE(A520," ",B520," ",C520," ","inf+"," ",FanUpsizes!D520," ",FanUpsizes!F520)</f>
        <v>7ACH 5C 1 inf+ New 8</v>
      </c>
      <c r="H520" s="360">
        <v>1.7262302991990486E-2</v>
      </c>
      <c r="I520" s="360">
        <v>0.31610713324334666</v>
      </c>
      <c r="J520" s="360">
        <v>1.1089398604865186</v>
      </c>
      <c r="K520" s="360">
        <v>954.65067901731447</v>
      </c>
      <c r="L520" s="360">
        <v>0.30142442480124482</v>
      </c>
      <c r="M520" s="360">
        <v>1.1546381851280505</v>
      </c>
      <c r="N520" s="360">
        <v>1.2048385858856085</v>
      </c>
      <c r="O520" s="360">
        <v>0.31178676855614795</v>
      </c>
      <c r="P520" s="360">
        <v>1.1089399303702951</v>
      </c>
      <c r="Q520" s="360">
        <v>785.91919834599355</v>
      </c>
      <c r="R520" s="360">
        <v>1203.2414188751691</v>
      </c>
      <c r="S520" s="360">
        <v>0.29621748114371815</v>
      </c>
      <c r="T520" s="360">
        <v>1.1741310814053834</v>
      </c>
      <c r="U520" s="360">
        <v>1.3157009235593549</v>
      </c>
      <c r="V520" s="360">
        <v>0.31063845861159911</v>
      </c>
      <c r="W520" s="360">
        <v>1.1089400703708807</v>
      </c>
      <c r="X520" s="360">
        <v>1021.6697433535577</v>
      </c>
      <c r="Y520" s="360">
        <v>0.28821435126077555</v>
      </c>
      <c r="Z520" s="360">
        <v>1.2059901092701659</v>
      </c>
      <c r="AA520" s="360">
        <v>406.89246077468016</v>
      </c>
      <c r="AB520" s="360">
        <v>0.28205642293964095</v>
      </c>
      <c r="AC520" s="360">
        <v>1.2285773018469381</v>
      </c>
      <c r="AD520" s="360">
        <v>1.0737900295497453</v>
      </c>
      <c r="AE520" s="360">
        <v>0.28602555803395502</v>
      </c>
      <c r="AF520" s="360">
        <v>1.2059901215506594</v>
      </c>
      <c r="AG520" s="360">
        <v>347.45817678880036</v>
      </c>
      <c r="AH520" s="360">
        <v>586.96169651611979</v>
      </c>
      <c r="AI520" s="360">
        <v>0.27832390840740495</v>
      </c>
      <c r="AJ520" s="360">
        <v>1.2457996181931874</v>
      </c>
      <c r="AK520" s="360">
        <v>1.1430170339087729</v>
      </c>
      <c r="AL520" s="360">
        <v>0.28513741033399803</v>
      </c>
      <c r="AM520" s="360">
        <v>1.2059925070833146</v>
      </c>
      <c r="AN520" s="360">
        <v>518.17731499165382</v>
      </c>
      <c r="AO520" s="360">
        <f t="shared" si="21"/>
        <v>1</v>
      </c>
      <c r="AP520" s="360">
        <f t="shared" si="22"/>
        <v>1</v>
      </c>
      <c r="AQ520" s="360">
        <f t="shared" si="23"/>
        <v>1</v>
      </c>
    </row>
    <row r="521" spans="1:43">
      <c r="A521" s="360" t="s">
        <v>1081</v>
      </c>
      <c r="B521" t="s">
        <v>1075</v>
      </c>
      <c r="C521">
        <v>2</v>
      </c>
      <c r="D521" t="s">
        <v>1078</v>
      </c>
      <c r="E521" t="s">
        <v>1079</v>
      </c>
      <c r="F521" s="360">
        <v>8</v>
      </c>
      <c r="G521" s="360" t="str">
        <f>CONCATENATE(A521," ",B521," ",C521," ","inf+"," ",FanUpsizes!D521," ",FanUpsizes!F521)</f>
        <v>7ACH Percentile 2 inf+ New 8</v>
      </c>
      <c r="H521" s="360">
        <v>1.4421666666666666E-2</v>
      </c>
      <c r="I521" s="360">
        <v>0.39189132866436072</v>
      </c>
      <c r="J521" s="360">
        <v>0.92011760633075013</v>
      </c>
      <c r="K521" s="360">
        <v>844.49912450935824</v>
      </c>
      <c r="L521" s="360">
        <v>0.37877418677014141</v>
      </c>
      <c r="M521" s="360">
        <v>0.94640788660956798</v>
      </c>
      <c r="N521" s="360">
        <v>1.2077845929363333</v>
      </c>
      <c r="O521" s="360">
        <v>0.38719851916283443</v>
      </c>
      <c r="P521" s="360">
        <v>0.9201189754221748</v>
      </c>
      <c r="Q521" s="360">
        <v>711.26029745613857</v>
      </c>
      <c r="R521" s="360">
        <v>1149.6586391748449</v>
      </c>
      <c r="S521" s="360">
        <v>0.36679451066331448</v>
      </c>
      <c r="T521" s="360">
        <v>0.98697293138821396</v>
      </c>
      <c r="U521" s="360">
        <v>1.7241126973071419</v>
      </c>
      <c r="V521" s="360">
        <v>0.3875133988098009</v>
      </c>
      <c r="W521" s="360">
        <v>0.92011977562566483</v>
      </c>
      <c r="X521" s="360">
        <v>906.30185649429188</v>
      </c>
      <c r="Y521" s="360">
        <v>0.35907481641423306</v>
      </c>
      <c r="Z521" s="360">
        <v>1.0071168126815029</v>
      </c>
      <c r="AA521" s="360">
        <v>242.64837755293277</v>
      </c>
      <c r="AB521" s="360">
        <v>0.35543428706002023</v>
      </c>
      <c r="AC521" s="360">
        <v>1.0156707462047607</v>
      </c>
      <c r="AD521" s="360">
        <v>1.0605736851353489</v>
      </c>
      <c r="AE521" s="360">
        <v>0.35736812887832486</v>
      </c>
      <c r="AF521" s="360">
        <v>1.0071168355513509</v>
      </c>
      <c r="AG521" s="360">
        <v>215.41888766820549</v>
      </c>
      <c r="AH521" s="360">
        <v>404.99968879574789</v>
      </c>
      <c r="AI521" s="360">
        <v>0.34817037958174391</v>
      </c>
      <c r="AJ521" s="360">
        <v>1.0500061602737281</v>
      </c>
      <c r="AK521" s="360">
        <v>1.452691703100591</v>
      </c>
      <c r="AL521" s="360">
        <v>0.35762860305492788</v>
      </c>
      <c r="AM521" s="360">
        <v>1.0071169368491133</v>
      </c>
      <c r="AN521" s="360">
        <v>330.50502733474957</v>
      </c>
      <c r="AO521" s="360">
        <f t="shared" si="21"/>
        <v>1</v>
      </c>
      <c r="AP521" s="360">
        <f t="shared" si="22"/>
        <v>1</v>
      </c>
      <c r="AQ521" s="360">
        <f t="shared" si="23"/>
        <v>1</v>
      </c>
    </row>
    <row r="522" spans="1:43">
      <c r="A522" s="360" t="s">
        <v>1081</v>
      </c>
      <c r="B522" t="s">
        <v>1074</v>
      </c>
      <c r="C522">
        <v>2</v>
      </c>
      <c r="D522" t="s">
        <v>1078</v>
      </c>
      <c r="E522" t="s">
        <v>1079</v>
      </c>
      <c r="F522" s="360">
        <v>8</v>
      </c>
      <c r="G522" s="360" t="str">
        <f>CONCATENATE(A522," ",B522," ",C522," ","inf+"," ",FanUpsizes!D522," ",FanUpsizes!F522)</f>
        <v>7ACH Infiltration 2 inf+ New 8</v>
      </c>
      <c r="H522" s="360">
        <v>1.4421666666666666E-2</v>
      </c>
      <c r="I522" s="360">
        <v>0.39189132866436072</v>
      </c>
      <c r="J522" s="360">
        <v>0.92011760633075013</v>
      </c>
      <c r="K522" s="360">
        <v>477.30497697863689</v>
      </c>
      <c r="L522" s="360">
        <v>0.38500771506262504</v>
      </c>
      <c r="M522" s="360">
        <v>0.9328778308902288</v>
      </c>
      <c r="N522" s="360">
        <v>1.0910599091327458</v>
      </c>
      <c r="O522" s="360">
        <v>0.38926434572152857</v>
      </c>
      <c r="P522" s="360">
        <v>0.9201184163224807</v>
      </c>
      <c r="Q522" s="360">
        <v>385.47747818232858</v>
      </c>
      <c r="R522" s="360">
        <v>933.72660509467596</v>
      </c>
      <c r="S522" s="360">
        <v>0.37527162433289563</v>
      </c>
      <c r="T522" s="360">
        <v>0.9569695153498784</v>
      </c>
      <c r="U522" s="360">
        <v>1.3114559611094596</v>
      </c>
      <c r="V522" s="360">
        <v>0.38682591832700614</v>
      </c>
      <c r="W522" s="360">
        <v>0.9201176367029964</v>
      </c>
      <c r="X522" s="360">
        <v>761.80046227137598</v>
      </c>
      <c r="Y522" s="360">
        <v>0.35907481641423306</v>
      </c>
      <c r="Z522" s="360">
        <v>1.0071168126815029</v>
      </c>
      <c r="AA522" s="360">
        <v>131.38293223817456</v>
      </c>
      <c r="AB522" s="360">
        <v>0.35724841847104954</v>
      </c>
      <c r="AC522" s="360">
        <v>1.0110550318049929</v>
      </c>
      <c r="AD522" s="360">
        <v>1.0264187537343199</v>
      </c>
      <c r="AE522" s="360">
        <v>0.35817618634622705</v>
      </c>
      <c r="AF522" s="360">
        <v>1.0071172209995498</v>
      </c>
      <c r="AG522" s="360">
        <v>114.01206547729883</v>
      </c>
      <c r="AH522" s="360">
        <v>353.57677383817332</v>
      </c>
      <c r="AI522" s="360">
        <v>0.35252384940512349</v>
      </c>
      <c r="AJ522" s="360">
        <v>1.0262803760901769</v>
      </c>
      <c r="AK522" s="360">
        <v>1.1535550174142175</v>
      </c>
      <c r="AL522" s="360">
        <v>0.35668977907744503</v>
      </c>
      <c r="AM522" s="360">
        <v>1.0071189322210203</v>
      </c>
      <c r="AN522" s="360">
        <v>315.77649028658755</v>
      </c>
      <c r="AO522" s="360">
        <f t="shared" si="21"/>
        <v>1</v>
      </c>
      <c r="AP522" s="360">
        <f t="shared" si="22"/>
        <v>1</v>
      </c>
      <c r="AQ522" s="360">
        <f t="shared" si="23"/>
        <v>1</v>
      </c>
    </row>
    <row r="523" spans="1:43">
      <c r="A523" s="360" t="s">
        <v>1081</v>
      </c>
      <c r="B523" t="s">
        <v>1076</v>
      </c>
      <c r="C523">
        <v>2</v>
      </c>
      <c r="D523" t="s">
        <v>1078</v>
      </c>
      <c r="E523" t="s">
        <v>1079</v>
      </c>
      <c r="F523" s="360">
        <v>8</v>
      </c>
      <c r="G523" s="360" t="str">
        <f>CONCATENATE(A523," ",B523," ",C523," ","inf+"," ",FanUpsizes!D523," ",FanUpsizes!F523)</f>
        <v>7ACH 5C 2 inf+ New 8</v>
      </c>
      <c r="H523" s="360">
        <v>1.4421666666666666E-2</v>
      </c>
      <c r="I523" s="360">
        <v>0.39189132866436072</v>
      </c>
      <c r="J523" s="360">
        <v>0.92011760633075013</v>
      </c>
      <c r="K523" s="360">
        <v>797.5560319085107</v>
      </c>
      <c r="L523" s="360">
        <v>0.37962476567944714</v>
      </c>
      <c r="M523" s="360">
        <v>0.94446275236207045</v>
      </c>
      <c r="N523" s="360">
        <v>1.1894667646016941</v>
      </c>
      <c r="O523" s="360">
        <v>0.38746671845486969</v>
      </c>
      <c r="P523" s="360">
        <v>0.92011765358772757</v>
      </c>
      <c r="Q523" s="360">
        <v>667.16908812053953</v>
      </c>
      <c r="R523" s="360">
        <v>1093.8521325596159</v>
      </c>
      <c r="S523" s="360">
        <v>0.37258014964130715</v>
      </c>
      <c r="T523" s="360">
        <v>0.96323308057431822</v>
      </c>
      <c r="U523" s="360">
        <v>1.3861744768565436</v>
      </c>
      <c r="V523" s="360">
        <v>0.38588151959912192</v>
      </c>
      <c r="W523" s="360">
        <v>0.92011852110775127</v>
      </c>
      <c r="X523" s="360">
        <v>942.51717253765139</v>
      </c>
      <c r="Y523" s="360">
        <v>0.35907481641423306</v>
      </c>
      <c r="Z523" s="360">
        <v>1.0071168126815029</v>
      </c>
      <c r="AA523" s="360">
        <v>227.73399343750521</v>
      </c>
      <c r="AB523" s="360">
        <v>0.35569365851110812</v>
      </c>
      <c r="AC523" s="360">
        <v>1.0149742156932244</v>
      </c>
      <c r="AD523" s="360">
        <v>1.0551746862695943</v>
      </c>
      <c r="AE523" s="360">
        <v>0.35748028650533337</v>
      </c>
      <c r="AF523" s="360">
        <v>1.0071170713139261</v>
      </c>
      <c r="AG523" s="360">
        <v>201.38646316850009</v>
      </c>
      <c r="AH523" s="360">
        <v>379.45319457192693</v>
      </c>
      <c r="AI523" s="360">
        <v>0.35212837349516185</v>
      </c>
      <c r="AJ523" s="360">
        <v>1.0273231362574067</v>
      </c>
      <c r="AK523" s="360">
        <v>1.1646031383502513</v>
      </c>
      <c r="AL523" s="360">
        <v>0.35647061744056441</v>
      </c>
      <c r="AM523" s="360">
        <v>1.0071175404142831</v>
      </c>
      <c r="AN523" s="360">
        <v>347.3928650524357</v>
      </c>
      <c r="AO523" s="360">
        <f t="shared" si="21"/>
        <v>1</v>
      </c>
      <c r="AP523" s="360">
        <f t="shared" si="22"/>
        <v>1</v>
      </c>
      <c r="AQ523" s="360">
        <f t="shared" si="23"/>
        <v>1</v>
      </c>
    </row>
    <row r="524" spans="1:43">
      <c r="A524" s="360" t="s">
        <v>1081</v>
      </c>
      <c r="B524" t="s">
        <v>1075</v>
      </c>
      <c r="C524">
        <v>1</v>
      </c>
      <c r="D524" t="s">
        <v>1080</v>
      </c>
      <c r="E524" t="s">
        <v>1079</v>
      </c>
      <c r="F524" s="360">
        <v>8</v>
      </c>
      <c r="G524" s="360" t="str">
        <f>CONCATENATE(A524," ",B524," ",C524," ","inf+"," ",FanUpsizes!D524," ",FanUpsizes!F524)</f>
        <v>7ACH Percentile 1 inf+ Existing 8</v>
      </c>
      <c r="H524" s="360">
        <v>3.3512302991990484E-2</v>
      </c>
      <c r="I524" s="360">
        <v>0.37992354011616175</v>
      </c>
      <c r="J524" s="360">
        <v>1.2301257092040085</v>
      </c>
      <c r="K524" s="360">
        <v>1962.4022098945022</v>
      </c>
      <c r="L524" s="360">
        <v>0.34944262250044972</v>
      </c>
      <c r="M524" s="360">
        <v>1.3374552645644633</v>
      </c>
      <c r="N524" s="360">
        <v>1.2469860525104079</v>
      </c>
      <c r="O524" s="360">
        <v>0.37776957517116871</v>
      </c>
      <c r="P524" s="360">
        <v>1.2301268586104137</v>
      </c>
      <c r="Q524" s="360">
        <v>1580.3561128536592</v>
      </c>
      <c r="R524" s="360">
        <v>2673.0749983827513</v>
      </c>
      <c r="S524" s="360">
        <v>0.31972543812826903</v>
      </c>
      <c r="T524" s="360">
        <v>1.4849959971109128</v>
      </c>
      <c r="U524" s="360">
        <v>1.8064279520554958</v>
      </c>
      <c r="V524" s="360">
        <v>0.38581591134269727</v>
      </c>
      <c r="W524" s="360">
        <v>1.2301260712967483</v>
      </c>
      <c r="X524" s="360">
        <v>2038.7700014711345</v>
      </c>
      <c r="Y524" s="360">
        <v>0.36339952229810601</v>
      </c>
      <c r="Z524" s="360">
        <v>1.2593841052993959</v>
      </c>
      <c r="AA524" s="360">
        <v>1446.0450857673616</v>
      </c>
      <c r="AB524" s="360">
        <v>0.34095106404074904</v>
      </c>
      <c r="AC524" s="360">
        <v>1.346810656837456</v>
      </c>
      <c r="AD524" s="360">
        <v>1.1579920685125873</v>
      </c>
      <c r="AE524" s="360">
        <v>0.36351796237997469</v>
      </c>
      <c r="AF524" s="360">
        <v>1.2593842269595374</v>
      </c>
      <c r="AG524" s="360">
        <v>1108.8820442957308</v>
      </c>
      <c r="AH524" s="360">
        <v>2296.6133657260953</v>
      </c>
      <c r="AI524" s="360">
        <v>0.30483755055796685</v>
      </c>
      <c r="AJ524" s="360">
        <v>1.54561658086864</v>
      </c>
      <c r="AK524" s="360">
        <v>1.7233882388774209</v>
      </c>
      <c r="AL524" s="360">
        <v>0.37457222016561831</v>
      </c>
      <c r="AM524" s="360">
        <v>1.2593841607248648</v>
      </c>
      <c r="AN524" s="360">
        <v>1646.4578011240237</v>
      </c>
      <c r="AO524" s="360">
        <f t="shared" si="21"/>
        <v>1</v>
      </c>
      <c r="AP524" s="360">
        <f t="shared" si="22"/>
        <v>1</v>
      </c>
      <c r="AQ524" s="360">
        <f t="shared" si="23"/>
        <v>1</v>
      </c>
    </row>
    <row r="525" spans="1:43">
      <c r="A525" s="360" t="s">
        <v>1081</v>
      </c>
      <c r="B525" t="s">
        <v>1074</v>
      </c>
      <c r="C525">
        <v>1</v>
      </c>
      <c r="D525" t="s">
        <v>1080</v>
      </c>
      <c r="E525" t="s">
        <v>1079</v>
      </c>
      <c r="F525" s="360">
        <v>8</v>
      </c>
      <c r="G525" s="360" t="str">
        <f>CONCATENATE(A525," ",B525," ",C525," ","inf+"," ",FanUpsizes!D525," ",FanUpsizes!F525)</f>
        <v>7ACH Infiltration 1 inf+ Existing 8</v>
      </c>
      <c r="H525" s="360">
        <v>3.3512302991990484E-2</v>
      </c>
      <c r="I525" s="360">
        <v>0.37992354011616175</v>
      </c>
      <c r="J525" s="360">
        <v>1.2301257092040085</v>
      </c>
      <c r="K525" s="360">
        <v>0</v>
      </c>
      <c r="L525" s="360">
        <v>0.37992354011616175</v>
      </c>
      <c r="M525" s="360">
        <v>1.2301257092040085</v>
      </c>
      <c r="N525" s="360">
        <v>1</v>
      </c>
      <c r="O525" s="360">
        <v>0.37992354011616175</v>
      </c>
      <c r="P525" s="360">
        <v>1.2301257092040085</v>
      </c>
      <c r="Q525" s="360">
        <v>0</v>
      </c>
      <c r="R525" s="360">
        <v>926.24699434083777</v>
      </c>
      <c r="S525" s="360">
        <v>0.36567840538978208</v>
      </c>
      <c r="T525" s="360">
        <v>1.2727834258501143</v>
      </c>
      <c r="U525" s="360">
        <v>1.0858358290030561</v>
      </c>
      <c r="V525" s="360">
        <v>0.37660205070445751</v>
      </c>
      <c r="W525" s="360">
        <v>1.2301294374363199</v>
      </c>
      <c r="X525" s="360">
        <v>707.0124154739176</v>
      </c>
      <c r="Y525" s="360">
        <v>0.36339952229810601</v>
      </c>
      <c r="Z525" s="360">
        <v>1.2593841052993959</v>
      </c>
      <c r="AA525" s="360">
        <v>0</v>
      </c>
      <c r="AB525" s="360">
        <v>0.36339952229810601</v>
      </c>
      <c r="AC525" s="360">
        <v>1.2593841052993959</v>
      </c>
      <c r="AD525" s="360">
        <v>1</v>
      </c>
      <c r="AE525" s="360">
        <v>0.36339952229810601</v>
      </c>
      <c r="AF525" s="360">
        <v>1.2593841052993959</v>
      </c>
      <c r="AG525" s="360">
        <v>0</v>
      </c>
      <c r="AH525" s="360">
        <v>974.1303832376193</v>
      </c>
      <c r="AI525" s="360">
        <v>0.34834015325915291</v>
      </c>
      <c r="AJ525" s="360">
        <v>1.3136391102517817</v>
      </c>
      <c r="AK525" s="360">
        <v>1.0876050215995681</v>
      </c>
      <c r="AL525" s="360">
        <v>0.36196450235665462</v>
      </c>
      <c r="AM525" s="360">
        <v>1.2593865923520313</v>
      </c>
      <c r="AN525" s="360">
        <v>710.74224823663894</v>
      </c>
      <c r="AO525" s="360">
        <f t="shared" si="21"/>
        <v>1</v>
      </c>
      <c r="AP525" s="360">
        <f t="shared" si="22"/>
        <v>0</v>
      </c>
      <c r="AQ525" s="360">
        <f t="shared" si="23"/>
        <v>0</v>
      </c>
    </row>
    <row r="526" spans="1:43">
      <c r="A526" s="360" t="s">
        <v>1081</v>
      </c>
      <c r="B526" t="s">
        <v>1076</v>
      </c>
      <c r="C526">
        <v>1</v>
      </c>
      <c r="D526" t="s">
        <v>1080</v>
      </c>
      <c r="E526" t="s">
        <v>1079</v>
      </c>
      <c r="F526" s="360">
        <v>8</v>
      </c>
      <c r="G526" s="360" t="str">
        <f>CONCATENATE(A526," ",B526," ",C526," ","inf+"," ",FanUpsizes!D526," ",FanUpsizes!F526)</f>
        <v>7ACH 5C 1 inf+ Existing 8</v>
      </c>
      <c r="H526" s="360">
        <v>3.3512302991990484E-2</v>
      </c>
      <c r="I526" s="360">
        <v>0.37992354011616175</v>
      </c>
      <c r="J526" s="360">
        <v>1.2301257092040085</v>
      </c>
      <c r="K526" s="360">
        <v>1853.3183446948772</v>
      </c>
      <c r="L526" s="360">
        <v>0.35141915259132478</v>
      </c>
      <c r="M526" s="360">
        <v>1.3294190425794359</v>
      </c>
      <c r="N526" s="360">
        <v>1.2248329268359792</v>
      </c>
      <c r="O526" s="360">
        <v>0.37753096415008791</v>
      </c>
      <c r="P526" s="360">
        <v>1.2301257115887625</v>
      </c>
      <c r="Q526" s="360">
        <v>1482.0236632147553</v>
      </c>
      <c r="R526" s="360">
        <v>1853.3183446948772</v>
      </c>
      <c r="S526" s="360">
        <v>0.35141915259132478</v>
      </c>
      <c r="T526" s="360">
        <v>1.3294190425794359</v>
      </c>
      <c r="U526" s="360">
        <v>1.2248329268359792</v>
      </c>
      <c r="V526" s="360">
        <v>0.37753096415008791</v>
      </c>
      <c r="W526" s="360">
        <v>1.2301257115887625</v>
      </c>
      <c r="X526" s="360">
        <v>1482.0236632147553</v>
      </c>
      <c r="Y526" s="360">
        <v>0.36339952229810601</v>
      </c>
      <c r="Z526" s="360">
        <v>1.2593841052993959</v>
      </c>
      <c r="AA526" s="360">
        <v>1359.4113223578584</v>
      </c>
      <c r="AB526" s="360">
        <v>0.3425140450473757</v>
      </c>
      <c r="AC526" s="360">
        <v>1.3399055658847612</v>
      </c>
      <c r="AD526" s="360">
        <v>1.1425817495575223</v>
      </c>
      <c r="AE526" s="360">
        <v>0.36322558255078535</v>
      </c>
      <c r="AF526" s="360">
        <v>1.259389705755279</v>
      </c>
      <c r="AG526" s="360">
        <v>1034.3278634635326</v>
      </c>
      <c r="AH526" s="360">
        <v>1359.4113223578584</v>
      </c>
      <c r="AI526" s="360">
        <v>0.3425140450473757</v>
      </c>
      <c r="AJ526" s="360">
        <v>1.3399055658847612</v>
      </c>
      <c r="AK526" s="360">
        <v>1.1425817495575223</v>
      </c>
      <c r="AL526" s="360">
        <v>0.36322558255078535</v>
      </c>
      <c r="AM526" s="360">
        <v>1.259389705755279</v>
      </c>
      <c r="AN526" s="360">
        <v>1034.3278634635326</v>
      </c>
      <c r="AO526" s="360">
        <f t="shared" si="21"/>
        <v>1</v>
      </c>
      <c r="AP526" s="360">
        <f t="shared" si="22"/>
        <v>1</v>
      </c>
      <c r="AQ526" s="360">
        <f t="shared" si="23"/>
        <v>1</v>
      </c>
    </row>
    <row r="527" spans="1:43">
      <c r="A527" s="360" t="s">
        <v>1081</v>
      </c>
      <c r="B527" t="s">
        <v>1075</v>
      </c>
      <c r="C527">
        <v>2</v>
      </c>
      <c r="D527" t="s">
        <v>1080</v>
      </c>
      <c r="E527" t="s">
        <v>1079</v>
      </c>
      <c r="F527" s="360">
        <v>8</v>
      </c>
      <c r="G527" s="360" t="str">
        <f>CONCATENATE(A527," ",B527," ",C527," ","inf+"," ",FanUpsizes!D527," ",FanUpsizes!F527)</f>
        <v>7ACH Percentile 2 inf+ Existing 8</v>
      </c>
      <c r="H527" s="360">
        <v>2.5204235596500764E-2</v>
      </c>
      <c r="I527" s="360">
        <v>0.4322273417509308</v>
      </c>
      <c r="J527" s="360">
        <v>1.1247955773977367</v>
      </c>
      <c r="K527" s="360">
        <v>1475.9011830698391</v>
      </c>
      <c r="L527" s="360">
        <v>0.40930297785485281</v>
      </c>
      <c r="M527" s="360">
        <v>1.1811899070684264</v>
      </c>
      <c r="N527" s="360">
        <v>1.2317594439176658</v>
      </c>
      <c r="O527" s="360">
        <v>0.42628015453483525</v>
      </c>
      <c r="P527" s="360">
        <v>1.1247976578630046</v>
      </c>
      <c r="Q527" s="360">
        <v>1216.1766487139473</v>
      </c>
      <c r="R527" s="360">
        <v>2009.2176491839441</v>
      </c>
      <c r="S527" s="360">
        <v>0.3881925076733459</v>
      </c>
      <c r="T527" s="360">
        <v>1.2628510854380817</v>
      </c>
      <c r="U527" s="360">
        <v>1.7619045154583488</v>
      </c>
      <c r="V527" s="360">
        <v>0.42813563150810696</v>
      </c>
      <c r="W527" s="360">
        <v>1.1247957174089152</v>
      </c>
      <c r="X527" s="360">
        <v>1561.7140878870314</v>
      </c>
      <c r="Y527" s="360">
        <v>0.39516354021283784</v>
      </c>
      <c r="Z527" s="360">
        <v>1.2160177744573371</v>
      </c>
      <c r="AA527" s="360">
        <v>696.55963347117734</v>
      </c>
      <c r="AB527" s="360">
        <v>0.38447616038029059</v>
      </c>
      <c r="AC527" s="360">
        <v>1.2469904437170751</v>
      </c>
      <c r="AD527" s="360">
        <v>1.0905553576092408</v>
      </c>
      <c r="AE527" s="360">
        <v>0.39184443732421154</v>
      </c>
      <c r="AF527" s="360">
        <v>1.2160184260230145</v>
      </c>
      <c r="AG527" s="360">
        <v>589.81314454891105</v>
      </c>
      <c r="AH527" s="360">
        <v>1139.0352400116035</v>
      </c>
      <c r="AI527" s="360">
        <v>0.36507074480490082</v>
      </c>
      <c r="AJ527" s="360">
        <v>1.3446336200210456</v>
      </c>
      <c r="AK527" s="360">
        <v>1.5503057582477975</v>
      </c>
      <c r="AL527" s="360">
        <v>0.39471760850750143</v>
      </c>
      <c r="AM527" s="360">
        <v>1.2160214114336616</v>
      </c>
      <c r="AN527" s="360">
        <v>891.12071573160597</v>
      </c>
      <c r="AO527" s="360">
        <f t="shared" si="21"/>
        <v>1</v>
      </c>
      <c r="AP527" s="360">
        <f t="shared" si="22"/>
        <v>1</v>
      </c>
      <c r="AQ527" s="360">
        <f t="shared" si="23"/>
        <v>1</v>
      </c>
    </row>
    <row r="528" spans="1:43">
      <c r="A528" s="360" t="s">
        <v>1081</v>
      </c>
      <c r="B528" t="s">
        <v>1074</v>
      </c>
      <c r="C528">
        <v>2</v>
      </c>
      <c r="D528" t="s">
        <v>1080</v>
      </c>
      <c r="E528" t="s">
        <v>1079</v>
      </c>
      <c r="F528" s="360">
        <v>8</v>
      </c>
      <c r="G528" s="360" t="str">
        <f>CONCATENATE(A528," ",B528," ",C528," ","inf+"," ",FanUpsizes!D528," ",FanUpsizes!F528)</f>
        <v>7ACH Infiltration 2 inf+ Existing 8</v>
      </c>
      <c r="H528" s="360">
        <v>2.5204235596500764E-2</v>
      </c>
      <c r="I528" s="360">
        <v>0.4322273417509308</v>
      </c>
      <c r="J528" s="360">
        <v>1.1247955773977367</v>
      </c>
      <c r="K528" s="360">
        <v>0</v>
      </c>
      <c r="L528" s="360">
        <v>0.4322273417509308</v>
      </c>
      <c r="M528" s="360">
        <v>1.1247955773977367</v>
      </c>
      <c r="N528" s="360">
        <v>1</v>
      </c>
      <c r="O528" s="360">
        <v>0.4322273417509308</v>
      </c>
      <c r="P528" s="360">
        <v>1.1247955773977367</v>
      </c>
      <c r="Q528" s="360">
        <v>0</v>
      </c>
      <c r="R528" s="360">
        <v>1025.9852815179518</v>
      </c>
      <c r="S528" s="360">
        <v>0.41470225485400097</v>
      </c>
      <c r="T528" s="360">
        <v>1.1670613024659073</v>
      </c>
      <c r="U528" s="360">
        <v>1.1616153571751078</v>
      </c>
      <c r="V528" s="360">
        <v>0.42736882826298189</v>
      </c>
      <c r="W528" s="360">
        <v>1.1247959516879664</v>
      </c>
      <c r="X528" s="360">
        <v>772.15540171165503</v>
      </c>
      <c r="Y528" s="360">
        <v>0.39516354021283784</v>
      </c>
      <c r="Z528" s="360">
        <v>1.2160177744573371</v>
      </c>
      <c r="AA528" s="360">
        <v>0</v>
      </c>
      <c r="AB528" s="360">
        <v>0.39516354021283784</v>
      </c>
      <c r="AC528" s="360">
        <v>1.2160177744573371</v>
      </c>
      <c r="AD528" s="360">
        <v>1</v>
      </c>
      <c r="AE528" s="360">
        <v>0.39516354021283784</v>
      </c>
      <c r="AF528" s="360">
        <v>1.2160177744573371</v>
      </c>
      <c r="AG528" s="360">
        <v>0</v>
      </c>
      <c r="AH528" s="360">
        <v>734.93962343143664</v>
      </c>
      <c r="AI528" s="360">
        <v>0.38256715202586217</v>
      </c>
      <c r="AJ528" s="360">
        <v>1.2549845327436124</v>
      </c>
      <c r="AK528" s="360">
        <v>1.116720416826372</v>
      </c>
      <c r="AL528" s="360">
        <v>0.39177602132081024</v>
      </c>
      <c r="AM528" s="360">
        <v>1.2160182637910544</v>
      </c>
      <c r="AN528" s="360">
        <v>601.17421085650119</v>
      </c>
      <c r="AO528" s="360">
        <f t="shared" si="21"/>
        <v>1</v>
      </c>
      <c r="AP528" s="360">
        <f t="shared" si="22"/>
        <v>0</v>
      </c>
      <c r="AQ528" s="360">
        <f t="shared" si="23"/>
        <v>0</v>
      </c>
    </row>
    <row r="529" spans="1:43">
      <c r="A529" s="360" t="s">
        <v>1081</v>
      </c>
      <c r="B529" t="s">
        <v>1076</v>
      </c>
      <c r="C529">
        <v>2</v>
      </c>
      <c r="D529" t="s">
        <v>1080</v>
      </c>
      <c r="E529" t="s">
        <v>1079</v>
      </c>
      <c r="F529" s="360">
        <v>8</v>
      </c>
      <c r="G529" s="360" t="str">
        <f>CONCATENATE(A529," ",B529," ",C529," ","inf+"," ",FanUpsizes!D529," ",FanUpsizes!F529)</f>
        <v>7ACH 5C 2 inf+ Existing 8</v>
      </c>
      <c r="H529" s="360">
        <v>2.5204235596500764E-2</v>
      </c>
      <c r="I529" s="360">
        <v>0.4322273417509308</v>
      </c>
      <c r="J529" s="360">
        <v>1.1247955773977367</v>
      </c>
      <c r="K529" s="360">
        <v>1393.8604042273482</v>
      </c>
      <c r="L529" s="360">
        <v>0.41078950446228651</v>
      </c>
      <c r="M529" s="360">
        <v>1.1769884976624041</v>
      </c>
      <c r="N529" s="360">
        <v>1.2110015422973359</v>
      </c>
      <c r="O529" s="360">
        <v>0.42654249744793021</v>
      </c>
      <c r="P529" s="360">
        <v>1.1247956560182708</v>
      </c>
      <c r="Q529" s="360">
        <v>1140.0877782367593</v>
      </c>
      <c r="R529" s="360">
        <v>1722.9154836316443</v>
      </c>
      <c r="S529" s="360">
        <v>0.40398333620967797</v>
      </c>
      <c r="T529" s="360">
        <v>1.1964851079660896</v>
      </c>
      <c r="U529" s="360">
        <v>1.3105755330168551</v>
      </c>
      <c r="V529" s="360">
        <v>0.42518876623548024</v>
      </c>
      <c r="W529" s="360">
        <v>1.1247957509140651</v>
      </c>
      <c r="X529" s="360">
        <v>1451.5811702308458</v>
      </c>
      <c r="Y529" s="360">
        <v>0.39516354021283784</v>
      </c>
      <c r="Z529" s="360">
        <v>1.2160177744573371</v>
      </c>
      <c r="AA529" s="360">
        <v>654.18192416169177</v>
      </c>
      <c r="AB529" s="360">
        <v>0.38523089489663115</v>
      </c>
      <c r="AC529" s="360">
        <v>1.2444959212291093</v>
      </c>
      <c r="AD529" s="360">
        <v>1.0822050708976263</v>
      </c>
      <c r="AE529" s="360">
        <v>0.39202417821479418</v>
      </c>
      <c r="AF529" s="360">
        <v>1.2160213904313379</v>
      </c>
      <c r="AG529" s="360">
        <v>550.9359488850597</v>
      </c>
      <c r="AH529" s="360">
        <v>911.01523970793153</v>
      </c>
      <c r="AI529" s="360">
        <v>0.37997290636449521</v>
      </c>
      <c r="AJ529" s="360">
        <v>1.2632302656884413</v>
      </c>
      <c r="AK529" s="360">
        <v>1.1492242149516434</v>
      </c>
      <c r="AL529" s="360">
        <v>0.39103298187540703</v>
      </c>
      <c r="AM529" s="360">
        <v>1.2160195311535611</v>
      </c>
      <c r="AN529" s="360">
        <v>791.64496414267558</v>
      </c>
      <c r="AO529" s="360">
        <f t="shared" si="21"/>
        <v>1</v>
      </c>
      <c r="AP529" s="360">
        <f t="shared" si="22"/>
        <v>1</v>
      </c>
      <c r="AQ529" s="360">
        <f t="shared" si="23"/>
        <v>1</v>
      </c>
    </row>
    <row r="530" spans="1:43">
      <c r="A530" s="360" t="s">
        <v>1082</v>
      </c>
      <c r="B530" t="s">
        <v>1075</v>
      </c>
      <c r="C530">
        <v>1</v>
      </c>
      <c r="D530" t="s">
        <v>1078</v>
      </c>
      <c r="E530" t="s">
        <v>1079</v>
      </c>
      <c r="F530" s="360">
        <v>8</v>
      </c>
      <c r="G530" s="360" t="str">
        <f>CONCATENATE(A530," ",B530," ",C530," ","inf+"," ",FanUpsizes!D530," ",FanUpsizes!F530)</f>
        <v>5ACH Percentile 1 inf+ New 8</v>
      </c>
      <c r="H530" s="360">
        <v>2.4691644994278915E-2</v>
      </c>
      <c r="I530" s="360">
        <v>0.27453690842731132</v>
      </c>
      <c r="J530" s="360">
        <v>1.22809920823612</v>
      </c>
      <c r="K530" s="360">
        <v>1445.8850743347832</v>
      </c>
      <c r="L530" s="360">
        <v>0.25207876829152598</v>
      </c>
      <c r="M530" s="360">
        <v>1.3379591195179701</v>
      </c>
      <c r="N530" s="360">
        <v>1.2492329152592736</v>
      </c>
      <c r="O530" s="360">
        <v>0.27344968146520604</v>
      </c>
      <c r="P530" s="360">
        <v>1.2280992974701594</v>
      </c>
      <c r="Q530" s="360">
        <v>1159.1296891848208</v>
      </c>
      <c r="R530" s="360">
        <v>1969.9696180709418</v>
      </c>
      <c r="S530" s="360">
        <v>0.23003338431707546</v>
      </c>
      <c r="T530" s="360">
        <v>1.4852640764658591</v>
      </c>
      <c r="U530" s="360">
        <v>1.8033285079487189</v>
      </c>
      <c r="V530" s="360">
        <v>0.27908582564752205</v>
      </c>
      <c r="W530" s="360">
        <v>1.2281020647939904</v>
      </c>
      <c r="X530" s="360">
        <v>1503.7497645228614</v>
      </c>
      <c r="Y530" s="360">
        <v>0.2636114997744593</v>
      </c>
      <c r="Z530" s="360">
        <v>1.2550396434502546</v>
      </c>
      <c r="AA530" s="360">
        <v>1089.9028585329233</v>
      </c>
      <c r="AB530" s="360">
        <v>0.24668463924239037</v>
      </c>
      <c r="AC530" s="360">
        <v>1.3458711963559071</v>
      </c>
      <c r="AD530" s="360">
        <v>1.1626261945231038</v>
      </c>
      <c r="AE530" s="360">
        <v>0.26399293501705445</v>
      </c>
      <c r="AF530" s="360">
        <v>1.2550482992521939</v>
      </c>
      <c r="AG530" s="360">
        <v>830.86648654705107</v>
      </c>
      <c r="AH530" s="360">
        <v>1727.2583089442376</v>
      </c>
      <c r="AI530" s="360">
        <v>0.21968094848498326</v>
      </c>
      <c r="AJ530" s="360">
        <v>1.5439754508299428</v>
      </c>
      <c r="AK530" s="360">
        <v>1.7245338381797006</v>
      </c>
      <c r="AL530" s="360">
        <v>0.27171949939778495</v>
      </c>
      <c r="AM530" s="360">
        <v>1.2550400102076176</v>
      </c>
      <c r="AN530" s="360">
        <v>1239.1970079959626</v>
      </c>
      <c r="AO530" s="360">
        <f t="shared" si="21"/>
        <v>1</v>
      </c>
      <c r="AP530" s="360">
        <f t="shared" si="22"/>
        <v>1</v>
      </c>
      <c r="AQ530" s="360">
        <f t="shared" si="23"/>
        <v>1</v>
      </c>
    </row>
    <row r="531" spans="1:43">
      <c r="A531" s="360" t="s">
        <v>1082</v>
      </c>
      <c r="B531" t="s">
        <v>1074</v>
      </c>
      <c r="C531">
        <v>1</v>
      </c>
      <c r="D531" t="s">
        <v>1078</v>
      </c>
      <c r="E531" t="s">
        <v>1079</v>
      </c>
      <c r="F531" s="360">
        <v>8</v>
      </c>
      <c r="G531" s="360" t="str">
        <f>CONCATENATE(A531," ",B531," ",C531," ","inf+"," ",FanUpsizes!D531," ",FanUpsizes!F531)</f>
        <v>5ACH Infiltration 1 inf+ New 8</v>
      </c>
      <c r="H531" s="360">
        <v>2.4691644994278915E-2</v>
      </c>
      <c r="I531" s="360">
        <v>0.27453690842731132</v>
      </c>
      <c r="J531" s="360">
        <v>1.22809920823612</v>
      </c>
      <c r="K531" s="360">
        <v>0</v>
      </c>
      <c r="L531" s="360">
        <v>0.27453690842731132</v>
      </c>
      <c r="M531" s="360">
        <v>1.22809920823612</v>
      </c>
      <c r="N531" s="360">
        <v>1</v>
      </c>
      <c r="O531" s="360">
        <v>0.27453690842731132</v>
      </c>
      <c r="P531" s="360">
        <v>1.22809920823612</v>
      </c>
      <c r="Q531" s="360">
        <v>0</v>
      </c>
      <c r="R531" s="360">
        <v>628.80049695582329</v>
      </c>
      <c r="S531" s="360">
        <v>0.26496697377009898</v>
      </c>
      <c r="T531" s="360">
        <v>1.26784492709375</v>
      </c>
      <c r="U531" s="360">
        <v>1.0788978393575999</v>
      </c>
      <c r="V531" s="360">
        <v>0.27250336821845966</v>
      </c>
      <c r="W531" s="360">
        <v>1.2281008950063239</v>
      </c>
      <c r="X531" s="360">
        <v>475.63029783478208</v>
      </c>
      <c r="Y531" s="360">
        <v>0.2636114997744593</v>
      </c>
      <c r="Z531" s="360">
        <v>1.2550396434502546</v>
      </c>
      <c r="AA531" s="360">
        <v>0</v>
      </c>
      <c r="AB531" s="360">
        <v>0.2636114997744593</v>
      </c>
      <c r="AC531" s="360">
        <v>1.2550396434502546</v>
      </c>
      <c r="AD531" s="360">
        <v>1</v>
      </c>
      <c r="AE531" s="360">
        <v>0.2636114997744593</v>
      </c>
      <c r="AF531" s="360">
        <v>1.2550396434502546</v>
      </c>
      <c r="AG531" s="360">
        <v>0</v>
      </c>
      <c r="AH531" s="360">
        <v>673.10343602187027</v>
      </c>
      <c r="AI531" s="360">
        <v>0.25331074828790939</v>
      </c>
      <c r="AJ531" s="360">
        <v>1.3058302915750413</v>
      </c>
      <c r="AK531" s="360">
        <v>1.0803713493468923</v>
      </c>
      <c r="AL531" s="360">
        <v>0.26275868971730759</v>
      </c>
      <c r="AM531" s="360">
        <v>1.255040618055842</v>
      </c>
      <c r="AN531" s="360">
        <v>484.54569512946574</v>
      </c>
      <c r="AO531" s="360">
        <f t="shared" si="21"/>
        <v>1</v>
      </c>
      <c r="AP531" s="360">
        <f t="shared" si="22"/>
        <v>0</v>
      </c>
      <c r="AQ531" s="360">
        <f t="shared" si="23"/>
        <v>0</v>
      </c>
    </row>
    <row r="532" spans="1:43">
      <c r="A532" s="360" t="s">
        <v>1082</v>
      </c>
      <c r="B532" t="s">
        <v>1076</v>
      </c>
      <c r="C532">
        <v>1</v>
      </c>
      <c r="D532" t="s">
        <v>1078</v>
      </c>
      <c r="E532" t="s">
        <v>1079</v>
      </c>
      <c r="F532" s="360">
        <v>8</v>
      </c>
      <c r="G532" s="360" t="str">
        <f>CONCATENATE(A532," ",B532," ",C532," ","inf+"," ",FanUpsizes!D532," ",FanUpsizes!F532)</f>
        <v>5ACH 5C 1 inf+ New 8</v>
      </c>
      <c r="H532" s="360">
        <v>2.4691644994278915E-2</v>
      </c>
      <c r="I532" s="360">
        <v>0.27453690842731132</v>
      </c>
      <c r="J532" s="360">
        <v>1.22809920823612</v>
      </c>
      <c r="K532" s="360">
        <v>1365.5127980768088</v>
      </c>
      <c r="L532" s="360">
        <v>0.25353506269588494</v>
      </c>
      <c r="M532" s="360">
        <v>1.3298434451424144</v>
      </c>
      <c r="N532" s="360">
        <v>1.2272370916945872</v>
      </c>
      <c r="O532" s="360">
        <v>0.27326092684819431</v>
      </c>
      <c r="P532" s="360">
        <v>1.2280999273185158</v>
      </c>
      <c r="Q532" s="360">
        <v>1086.6775029252374</v>
      </c>
      <c r="R532" s="360">
        <v>1365.5127980768088</v>
      </c>
      <c r="S532" s="360">
        <v>0.25353506269588494</v>
      </c>
      <c r="T532" s="360">
        <v>1.3298434451424144</v>
      </c>
      <c r="U532" s="360">
        <v>1.2272370916945872</v>
      </c>
      <c r="V532" s="360">
        <v>0.27326092684819431</v>
      </c>
      <c r="W532" s="360">
        <v>1.2280999273185158</v>
      </c>
      <c r="X532" s="360">
        <v>1086.6775029252374</v>
      </c>
      <c r="Y532" s="360">
        <v>0.2636114997744593</v>
      </c>
      <c r="Z532" s="360">
        <v>1.2550396434502546</v>
      </c>
      <c r="AA532" s="360">
        <v>1024.6904016098442</v>
      </c>
      <c r="AB532" s="360">
        <v>0.24786174652758128</v>
      </c>
      <c r="AC532" s="360">
        <v>1.3388055066691809</v>
      </c>
      <c r="AD532" s="360">
        <v>1.1470104373687635</v>
      </c>
      <c r="AE532" s="360">
        <v>0.26377588921683787</v>
      </c>
      <c r="AF532" s="360">
        <v>1.2550407247930055</v>
      </c>
      <c r="AG532" s="360">
        <v>774.45878219129884</v>
      </c>
      <c r="AH532" s="360">
        <v>1024.6904016098442</v>
      </c>
      <c r="AI532" s="360">
        <v>0.24786174652758128</v>
      </c>
      <c r="AJ532" s="360">
        <v>1.3388055066691809</v>
      </c>
      <c r="AK532" s="360">
        <v>1.1470104373687635</v>
      </c>
      <c r="AL532" s="360">
        <v>0.26377588921683787</v>
      </c>
      <c r="AM532" s="360">
        <v>1.2550407247930055</v>
      </c>
      <c r="AN532" s="360">
        <v>774.45878219129884</v>
      </c>
      <c r="AO532" s="360">
        <f t="shared" si="21"/>
        <v>1</v>
      </c>
      <c r="AP532" s="360">
        <f t="shared" si="22"/>
        <v>1</v>
      </c>
      <c r="AQ532" s="360">
        <f t="shared" si="23"/>
        <v>1</v>
      </c>
    </row>
    <row r="533" spans="1:43">
      <c r="A533" s="360" t="s">
        <v>1082</v>
      </c>
      <c r="B533" t="s">
        <v>1075</v>
      </c>
      <c r="C533">
        <v>2</v>
      </c>
      <c r="D533" t="s">
        <v>1078</v>
      </c>
      <c r="E533" t="s">
        <v>1079</v>
      </c>
      <c r="F533" s="360">
        <v>8</v>
      </c>
      <c r="G533" s="360" t="str">
        <f>CONCATENATE(A533," ",B533," ",C533," ","inf+"," ",FanUpsizes!D533," ",FanUpsizes!F533)</f>
        <v>5ACH Percentile 2 inf+ New 8</v>
      </c>
      <c r="H533" s="360">
        <v>1.8757311140357683E-2</v>
      </c>
      <c r="I533" s="360">
        <v>0.31158492922425202</v>
      </c>
      <c r="J533" s="360">
        <v>1.1214016210571345</v>
      </c>
      <c r="K533" s="360">
        <v>1098.384340888615</v>
      </c>
      <c r="L533" s="360">
        <v>0.29452432745963458</v>
      </c>
      <c r="M533" s="360">
        <v>1.180225929157384</v>
      </c>
      <c r="N533" s="360">
        <v>1.2399441630206203</v>
      </c>
      <c r="O533" s="360">
        <v>0.30768838481834582</v>
      </c>
      <c r="P533" s="360">
        <v>1.1214017138720633</v>
      </c>
      <c r="Q533" s="360">
        <v>898.26789660844588</v>
      </c>
      <c r="R533" s="360">
        <v>1495.2852051452226</v>
      </c>
      <c r="S533" s="360">
        <v>0.27879441054321474</v>
      </c>
      <c r="T533" s="360">
        <v>1.2613570179076086</v>
      </c>
      <c r="U533" s="360">
        <v>1.7660992751673485</v>
      </c>
      <c r="V533" s="360">
        <v>0.30889672489658426</v>
      </c>
      <c r="W533" s="360">
        <v>1.1214016579025925</v>
      </c>
      <c r="X533" s="360">
        <v>1160.4107517909554</v>
      </c>
      <c r="Y533" s="360">
        <v>0.28527702195243454</v>
      </c>
      <c r="Z533" s="360">
        <v>1.2108632092034408</v>
      </c>
      <c r="AA533" s="360">
        <v>536.95108906918892</v>
      </c>
      <c r="AB533" s="360">
        <v>0.2770289707617058</v>
      </c>
      <c r="AC533" s="360">
        <v>1.244311728369577</v>
      </c>
      <c r="AD533" s="360">
        <v>1.0968545712500386</v>
      </c>
      <c r="AE533" s="360">
        <v>0.28303892823989835</v>
      </c>
      <c r="AF533" s="360">
        <v>1.2108649231371607</v>
      </c>
      <c r="AG533" s="360">
        <v>449.63934499654761</v>
      </c>
      <c r="AH533" s="360">
        <v>876.29927542848179</v>
      </c>
      <c r="AI533" s="360">
        <v>0.26218209262116898</v>
      </c>
      <c r="AJ533" s="360">
        <v>1.3419596330173724</v>
      </c>
      <c r="AK533" s="360">
        <v>1.5532655142475686</v>
      </c>
      <c r="AL533" s="360">
        <v>0.28489130443962934</v>
      </c>
      <c r="AM533" s="360">
        <v>1.2108632111683821</v>
      </c>
      <c r="AN533" s="360">
        <v>685.1129161104692</v>
      </c>
      <c r="AO533" s="360">
        <f t="shared" si="21"/>
        <v>1</v>
      </c>
      <c r="AP533" s="360">
        <f t="shared" si="22"/>
        <v>1</v>
      </c>
      <c r="AQ533" s="360">
        <f t="shared" si="23"/>
        <v>1</v>
      </c>
    </row>
    <row r="534" spans="1:43">
      <c r="A534" s="360" t="s">
        <v>1082</v>
      </c>
      <c r="B534" t="s">
        <v>1074</v>
      </c>
      <c r="C534">
        <v>2</v>
      </c>
      <c r="D534" t="s">
        <v>1078</v>
      </c>
      <c r="E534" t="s">
        <v>1079</v>
      </c>
      <c r="F534" s="360">
        <v>8</v>
      </c>
      <c r="G534" s="360" t="str">
        <f>CONCATENATE(A534," ",B534," ",C534," ","inf+"," ",FanUpsizes!D534," ",FanUpsizes!F534)</f>
        <v>5ACH Infiltration 2 inf+ New 8</v>
      </c>
      <c r="H534" s="360">
        <v>1.8757311140357683E-2</v>
      </c>
      <c r="I534" s="360">
        <v>0.31158492922425202</v>
      </c>
      <c r="J534" s="360">
        <v>1.1214016210571345</v>
      </c>
      <c r="K534" s="360">
        <v>0</v>
      </c>
      <c r="L534" s="360">
        <v>0.31158492922425202</v>
      </c>
      <c r="M534" s="360">
        <v>1.1214016210571345</v>
      </c>
      <c r="N534" s="360">
        <v>1</v>
      </c>
      <c r="O534" s="360">
        <v>0.31158492922425202</v>
      </c>
      <c r="P534" s="360">
        <v>1.1214016210571345</v>
      </c>
      <c r="Q534" s="360">
        <v>0</v>
      </c>
      <c r="R534" s="360">
        <v>740.13460448829937</v>
      </c>
      <c r="S534" s="360">
        <v>0.29909173265646155</v>
      </c>
      <c r="T534" s="360">
        <v>1.1629669048806153</v>
      </c>
      <c r="U534" s="360">
        <v>1.1566012479168994</v>
      </c>
      <c r="V534" s="360">
        <v>0.30835672274624293</v>
      </c>
      <c r="W534" s="360">
        <v>1.1214047623388463</v>
      </c>
      <c r="X534" s="360">
        <v>553.42484192695201</v>
      </c>
      <c r="Y534" s="360">
        <v>0.28527702195243454</v>
      </c>
      <c r="Z534" s="360">
        <v>1.2108632092034408</v>
      </c>
      <c r="AA534" s="360">
        <v>0</v>
      </c>
      <c r="AB534" s="360">
        <v>0.28527702195243454</v>
      </c>
      <c r="AC534" s="360">
        <v>1.2108632092034408</v>
      </c>
      <c r="AD534" s="360">
        <v>1</v>
      </c>
      <c r="AE534" s="360">
        <v>0.28527702195243454</v>
      </c>
      <c r="AF534" s="360">
        <v>1.2108632092034408</v>
      </c>
      <c r="AG534" s="360">
        <v>0</v>
      </c>
      <c r="AH534" s="360">
        <v>545.4156115812948</v>
      </c>
      <c r="AI534" s="360">
        <v>0.27603995904035722</v>
      </c>
      <c r="AJ534" s="360">
        <v>1.2499138565861778</v>
      </c>
      <c r="AK534" s="360">
        <v>1.1144865780532478</v>
      </c>
      <c r="AL534" s="360">
        <v>0.28301501314270128</v>
      </c>
      <c r="AM534" s="360">
        <v>1.2108632431539752</v>
      </c>
      <c r="AN534" s="360">
        <v>440.76470076326444</v>
      </c>
      <c r="AO534" s="360">
        <f t="shared" si="21"/>
        <v>1</v>
      </c>
      <c r="AP534" s="360">
        <f t="shared" si="22"/>
        <v>0</v>
      </c>
      <c r="AQ534" s="360">
        <f t="shared" si="23"/>
        <v>0</v>
      </c>
    </row>
    <row r="535" spans="1:43">
      <c r="A535" s="360" t="s">
        <v>1082</v>
      </c>
      <c r="B535" t="s">
        <v>1076</v>
      </c>
      <c r="C535">
        <v>2</v>
      </c>
      <c r="D535" t="s">
        <v>1078</v>
      </c>
      <c r="E535" t="s">
        <v>1079</v>
      </c>
      <c r="F535" s="360">
        <v>8</v>
      </c>
      <c r="G535" s="360" t="str">
        <f>CONCATENATE(A535," ",B535," ",C535," ","inf+"," ",FanUpsizes!D535," ",FanUpsizes!F535)</f>
        <v>5ACH 5C 2 inf+ New 8</v>
      </c>
      <c r="H535" s="360">
        <v>1.8757311140357683E-2</v>
      </c>
      <c r="I535" s="360">
        <v>0.31158492922425202</v>
      </c>
      <c r="J535" s="360">
        <v>1.1214016210571345</v>
      </c>
      <c r="K535" s="360">
        <v>1037.3285548857439</v>
      </c>
      <c r="L535" s="360">
        <v>0.29563061937582102</v>
      </c>
      <c r="M535" s="360">
        <v>1.1759262922032498</v>
      </c>
      <c r="N535" s="360">
        <v>1.2187685911383563</v>
      </c>
      <c r="O535" s="360">
        <v>0.30786019319241997</v>
      </c>
      <c r="P535" s="360">
        <v>1.1214036785157471</v>
      </c>
      <c r="Q535" s="360">
        <v>841.5157151142929</v>
      </c>
      <c r="R535" s="360">
        <v>1258.7988819311797</v>
      </c>
      <c r="S535" s="360">
        <v>0.29111457773224525</v>
      </c>
      <c r="T535" s="360">
        <v>1.1937386287648384</v>
      </c>
      <c r="U535" s="360">
        <v>1.3090530111838508</v>
      </c>
      <c r="V535" s="360">
        <v>0.30709317682328963</v>
      </c>
      <c r="W535" s="360">
        <v>1.1214036238203147</v>
      </c>
      <c r="X535" s="360">
        <v>1050.6213876194684</v>
      </c>
      <c r="Y535" s="360">
        <v>0.28527702195243454</v>
      </c>
      <c r="Z535" s="360">
        <v>1.2108632092034408</v>
      </c>
      <c r="AA535" s="360">
        <v>504.31848827989211</v>
      </c>
      <c r="AB535" s="360">
        <v>0.27761087869796625</v>
      </c>
      <c r="AC535" s="360">
        <v>1.2416835084173083</v>
      </c>
      <c r="AD535" s="360">
        <v>1.0880881084812326</v>
      </c>
      <c r="AE535" s="360">
        <v>0.28316276657268202</v>
      </c>
      <c r="AF535" s="360">
        <v>1.2108655114854421</v>
      </c>
      <c r="AG535" s="360">
        <v>419.69304513715224</v>
      </c>
      <c r="AH535" s="360">
        <v>681.42876390428125</v>
      </c>
      <c r="AI535" s="360">
        <v>0.27403108543879801</v>
      </c>
      <c r="AJ535" s="360">
        <v>1.2588943800103307</v>
      </c>
      <c r="AK535" s="360">
        <v>1.1489614670379573</v>
      </c>
      <c r="AL535" s="360">
        <v>0.28255898756290621</v>
      </c>
      <c r="AM535" s="360">
        <v>1.2108633176686208</v>
      </c>
      <c r="AN535" s="360">
        <v>584.96679423305034</v>
      </c>
      <c r="AO535" s="360">
        <f t="shared" si="21"/>
        <v>1</v>
      </c>
      <c r="AP535" s="360">
        <f t="shared" si="22"/>
        <v>1</v>
      </c>
      <c r="AQ535" s="360">
        <f t="shared" si="23"/>
        <v>1</v>
      </c>
    </row>
    <row r="536" spans="1:43">
      <c r="A536" s="360" t="s">
        <v>1082</v>
      </c>
      <c r="B536" t="s">
        <v>1075</v>
      </c>
      <c r="C536">
        <v>1</v>
      </c>
      <c r="D536" t="s">
        <v>1080</v>
      </c>
      <c r="E536" t="s">
        <v>1079</v>
      </c>
      <c r="F536" s="360">
        <v>8</v>
      </c>
      <c r="G536" s="360" t="str">
        <f>CONCATENATE(A536," ",B536," ",C536," ","inf+"," ",FanUpsizes!D536," ",FanUpsizes!F536)</f>
        <v>5ACH Percentile 1 inf+ Existing 8</v>
      </c>
      <c r="H536" s="360">
        <v>4.0941644994278915E-2</v>
      </c>
      <c r="I536" s="360">
        <v>0.3509850388012275</v>
      </c>
      <c r="J536" s="360">
        <v>1.2827952063300667</v>
      </c>
      <c r="K536" s="360">
        <v>2397.4471295718195</v>
      </c>
      <c r="L536" s="360">
        <v>0.31374680696677792</v>
      </c>
      <c r="M536" s="360">
        <v>1.4775474682484298</v>
      </c>
      <c r="N536" s="360">
        <v>1.2857630760040479</v>
      </c>
      <c r="O536" s="360">
        <v>0.36784894424180387</v>
      </c>
      <c r="P536" s="360">
        <v>1.2827952574281836</v>
      </c>
      <c r="Q536" s="360">
        <v>1577.047245878309</v>
      </c>
      <c r="R536" s="360">
        <v>3379.7142434440266</v>
      </c>
      <c r="S536" s="360">
        <v>0.26941283541196503</v>
      </c>
      <c r="T536" s="360">
        <v>1.7437378131645502</v>
      </c>
      <c r="U536" s="360">
        <v>2.0005303347962951</v>
      </c>
      <c r="V536" s="360">
        <v>0.39557445533103802</v>
      </c>
      <c r="W536" s="360">
        <v>1.2827960803727003</v>
      </c>
      <c r="X536" s="360">
        <v>2280.0683478842948</v>
      </c>
      <c r="Y536" s="360">
        <v>0.35989201348361255</v>
      </c>
      <c r="Z536" s="360">
        <v>1.2377817802418596</v>
      </c>
      <c r="AA536" s="360">
        <v>2501.1437783096094</v>
      </c>
      <c r="AB536" s="360">
        <v>0.32086681002568729</v>
      </c>
      <c r="AC536" s="360">
        <v>1.4358421629454132</v>
      </c>
      <c r="AD536" s="360">
        <v>1.3019082050481257</v>
      </c>
      <c r="AE536" s="360">
        <v>0.38220613121768787</v>
      </c>
      <c r="AF536" s="360">
        <v>1.23778186281931</v>
      </c>
      <c r="AG536" s="360">
        <v>1564.2796657777435</v>
      </c>
      <c r="AH536" s="360">
        <v>3820.4946898808666</v>
      </c>
      <c r="AI536" s="360">
        <v>0.26657892079790629</v>
      </c>
      <c r="AJ536" s="360">
        <v>1.7560627755541358</v>
      </c>
      <c r="AK536" s="360">
        <v>2.035422192769758</v>
      </c>
      <c r="AL536" s="360">
        <v>0.41124276733008142</v>
      </c>
      <c r="AM536" s="360">
        <v>1.2377819207419287</v>
      </c>
      <c r="AN536" s="360">
        <v>2324.7959182422387</v>
      </c>
      <c r="AO536" s="360">
        <f t="shared" si="21"/>
        <v>1</v>
      </c>
      <c r="AP536" s="360">
        <f t="shared" si="22"/>
        <v>1</v>
      </c>
      <c r="AQ536" s="360">
        <f t="shared" si="23"/>
        <v>1</v>
      </c>
    </row>
    <row r="537" spans="1:43">
      <c r="A537" s="360" t="s">
        <v>1082</v>
      </c>
      <c r="B537" t="s">
        <v>1074</v>
      </c>
      <c r="C537">
        <v>1</v>
      </c>
      <c r="D537" t="s">
        <v>1080</v>
      </c>
      <c r="E537" t="s">
        <v>1079</v>
      </c>
      <c r="F537" s="360">
        <v>8</v>
      </c>
      <c r="G537" s="360" t="str">
        <f>CONCATENATE(A537," ",B537," ",C537," ","inf+"," ",FanUpsizes!D537," ",FanUpsizes!F537)</f>
        <v>5ACH Infiltration 1 inf+ Existing 8</v>
      </c>
      <c r="H537" s="360">
        <v>4.0941644994278915E-2</v>
      </c>
      <c r="I537" s="360">
        <v>0.3509850388012275</v>
      </c>
      <c r="J537" s="360">
        <v>1.2827952063300667</v>
      </c>
      <c r="K537" s="360">
        <v>0</v>
      </c>
      <c r="L537" s="360">
        <v>0.3509850388012275</v>
      </c>
      <c r="M537" s="360">
        <v>1.2827952063300667</v>
      </c>
      <c r="N537" s="360">
        <v>1</v>
      </c>
      <c r="O537" s="360">
        <v>0.3509850388012275</v>
      </c>
      <c r="P537" s="360">
        <v>1.2827952063300667</v>
      </c>
      <c r="Q537" s="360">
        <v>0</v>
      </c>
      <c r="R537" s="360">
        <v>48.684605763415682</v>
      </c>
      <c r="S537" s="360">
        <v>0.35038136204615317</v>
      </c>
      <c r="T537" s="360">
        <v>1.2848418128995702</v>
      </c>
      <c r="U537" s="360">
        <v>1.0023912799452719</v>
      </c>
      <c r="V537" s="360">
        <v>0.35089448357787534</v>
      </c>
      <c r="W537" s="360">
        <v>1.2828014173650755</v>
      </c>
      <c r="X537" s="360">
        <v>36.881339090094741</v>
      </c>
      <c r="Y537" s="360">
        <v>0.35989201348361255</v>
      </c>
      <c r="Z537" s="360">
        <v>1.2377817802418596</v>
      </c>
      <c r="AA537" s="360">
        <v>0</v>
      </c>
      <c r="AB537" s="360">
        <v>0.35989201348361255</v>
      </c>
      <c r="AC537" s="360">
        <v>1.2377817802418596</v>
      </c>
      <c r="AD537" s="360">
        <v>1</v>
      </c>
      <c r="AE537" s="360">
        <v>0.35989201348361255</v>
      </c>
      <c r="AF537" s="360">
        <v>1.2377817802418596</v>
      </c>
      <c r="AG537" s="360">
        <v>0</v>
      </c>
      <c r="AH537" s="360">
        <v>65.898117313007759</v>
      </c>
      <c r="AI537" s="360">
        <v>0.35907206799449998</v>
      </c>
      <c r="AJ537" s="360">
        <v>1.2406457860827607</v>
      </c>
      <c r="AK537" s="360">
        <v>1.0030965993788072</v>
      </c>
      <c r="AL537" s="360">
        <v>0.35987007401001431</v>
      </c>
      <c r="AM537" s="360">
        <v>1.2377826766113496</v>
      </c>
      <c r="AN537" s="360">
        <v>44.834646148743111</v>
      </c>
      <c r="AO537" s="360">
        <f t="shared" si="21"/>
        <v>1</v>
      </c>
      <c r="AP537" s="360">
        <f t="shared" si="22"/>
        <v>0</v>
      </c>
      <c r="AQ537" s="360">
        <f t="shared" si="23"/>
        <v>0</v>
      </c>
    </row>
    <row r="538" spans="1:43">
      <c r="A538" s="360" t="s">
        <v>1082</v>
      </c>
      <c r="B538" t="s">
        <v>1076</v>
      </c>
      <c r="C538">
        <v>1</v>
      </c>
      <c r="D538" t="s">
        <v>1080</v>
      </c>
      <c r="E538" t="s">
        <v>1079</v>
      </c>
      <c r="F538" s="360">
        <v>8</v>
      </c>
      <c r="G538" s="360" t="str">
        <f>CONCATENATE(A538," ",B538," ",C538," ","inf+"," ",FanUpsizes!D538," ",FanUpsizes!F538)</f>
        <v>5ACH 5C 1 inf+ Existing 8</v>
      </c>
      <c r="H538" s="360">
        <v>4.0941644994278915E-2</v>
      </c>
      <c r="I538" s="360">
        <v>0.3509850388012275</v>
      </c>
      <c r="J538" s="360">
        <v>1.2827952063300667</v>
      </c>
      <c r="K538" s="360">
        <v>2264.1804637543592</v>
      </c>
      <c r="L538" s="360">
        <v>0.31616151398707543</v>
      </c>
      <c r="M538" s="360">
        <v>1.4629678671493911</v>
      </c>
      <c r="N538" s="360">
        <v>1.2574057559627168</v>
      </c>
      <c r="O538" s="360">
        <v>0.36553971515223577</v>
      </c>
      <c r="P538" s="360">
        <v>1.2827980329177404</v>
      </c>
      <c r="Q538" s="360">
        <v>1481.9171048805119</v>
      </c>
      <c r="R538" s="360">
        <v>2264.1804637543592</v>
      </c>
      <c r="S538" s="360">
        <v>0.31616151398707543</v>
      </c>
      <c r="T538" s="360">
        <v>1.4629678671493911</v>
      </c>
      <c r="U538" s="360">
        <v>1.2574057559627168</v>
      </c>
      <c r="V538" s="360">
        <v>0.36553971515223577</v>
      </c>
      <c r="W538" s="360">
        <v>1.2827980329177404</v>
      </c>
      <c r="X538" s="360">
        <v>1481.9171048805119</v>
      </c>
      <c r="Y538" s="360">
        <v>0.35989201348361255</v>
      </c>
      <c r="Z538" s="360">
        <v>1.2377817802418596</v>
      </c>
      <c r="AA538" s="360">
        <v>2354.8243874472223</v>
      </c>
      <c r="AB538" s="360">
        <v>0.32352383488565561</v>
      </c>
      <c r="AC538" s="360">
        <v>1.4202720614428468</v>
      </c>
      <c r="AD538" s="360">
        <v>1.2690624946435882</v>
      </c>
      <c r="AE538" s="360">
        <v>0.37918129392931643</v>
      </c>
      <c r="AF538" s="360">
        <v>1.2377817848770893</v>
      </c>
      <c r="AG538" s="360">
        <v>1460.8156897772828</v>
      </c>
      <c r="AH538" s="360">
        <v>2354.8243874472223</v>
      </c>
      <c r="AI538" s="360">
        <v>0.32352383488565561</v>
      </c>
      <c r="AJ538" s="360">
        <v>1.4202720614428468</v>
      </c>
      <c r="AK538" s="360">
        <v>1.2690624946435882</v>
      </c>
      <c r="AL538" s="360">
        <v>0.37918129392931643</v>
      </c>
      <c r="AM538" s="360">
        <v>1.2377817848770893</v>
      </c>
      <c r="AN538" s="360">
        <v>1460.8156897772828</v>
      </c>
      <c r="AO538" s="360">
        <f t="shared" si="21"/>
        <v>1</v>
      </c>
      <c r="AP538" s="360">
        <f t="shared" si="22"/>
        <v>1</v>
      </c>
      <c r="AQ538" s="360">
        <f t="shared" si="23"/>
        <v>1</v>
      </c>
    </row>
    <row r="539" spans="1:43">
      <c r="A539" s="360" t="s">
        <v>1082</v>
      </c>
      <c r="B539" t="s">
        <v>1075</v>
      </c>
      <c r="C539">
        <v>2</v>
      </c>
      <c r="D539" t="s">
        <v>1080</v>
      </c>
      <c r="E539" t="s">
        <v>1079</v>
      </c>
      <c r="F539" s="360">
        <v>8</v>
      </c>
      <c r="G539" s="360" t="str">
        <f>CONCATENATE(A539," ",B539," ",C539," ","inf+"," ",FanUpsizes!D539," ",FanUpsizes!F539)</f>
        <v>5ACH Percentile 2 inf+ Existing 8</v>
      </c>
      <c r="H539" s="360">
        <v>3.5007311140357683E-2</v>
      </c>
      <c r="I539" s="360">
        <v>0.37662899111062859</v>
      </c>
      <c r="J539" s="360">
        <v>1.2361075893322055</v>
      </c>
      <c r="K539" s="360">
        <v>2049.9463961256879</v>
      </c>
      <c r="L539" s="360">
        <v>0.34478829764733893</v>
      </c>
      <c r="M539" s="360">
        <v>1.3582370583163783</v>
      </c>
      <c r="N539" s="360">
        <v>1.2610688573842228</v>
      </c>
      <c r="O539" s="360">
        <v>0.37755861004386132</v>
      </c>
      <c r="P539" s="360">
        <v>1.2361076729283016</v>
      </c>
      <c r="Q539" s="360">
        <v>1608.6797587310873</v>
      </c>
      <c r="R539" s="360">
        <v>2795.9897328076286</v>
      </c>
      <c r="S539" s="360">
        <v>0.31307462820717558</v>
      </c>
      <c r="T539" s="360">
        <v>1.5200888912457386</v>
      </c>
      <c r="U539" s="360">
        <v>1.8479091140013904</v>
      </c>
      <c r="V539" s="360">
        <v>0.38852452200519066</v>
      </c>
      <c r="W539" s="360">
        <v>1.2361079425401882</v>
      </c>
      <c r="X539" s="360">
        <v>2094.1770060927593</v>
      </c>
      <c r="Y539" s="360">
        <v>0.364544073871791</v>
      </c>
      <c r="Z539" s="360">
        <v>1.2510450102930701</v>
      </c>
      <c r="AA539" s="360">
        <v>1636.4360147930277</v>
      </c>
      <c r="AB539" s="360">
        <v>0.33910821884285863</v>
      </c>
      <c r="AC539" s="360">
        <v>1.3567527947026614</v>
      </c>
      <c r="AD539" s="360">
        <v>1.1852089835590416</v>
      </c>
      <c r="AE539" s="360">
        <v>0.36759174635485437</v>
      </c>
      <c r="AF539" s="360">
        <v>1.2510510866658513</v>
      </c>
      <c r="AG539" s="360">
        <v>1207.0496505534925</v>
      </c>
      <c r="AH539" s="360">
        <v>2571.1458431319743</v>
      </c>
      <c r="AI539" s="360">
        <v>0.29983466142994819</v>
      </c>
      <c r="AJ539" s="360">
        <v>1.5737908822349063</v>
      </c>
      <c r="AK539" s="360">
        <v>1.7841660756647839</v>
      </c>
      <c r="AL539" s="360">
        <v>0.38157091771697532</v>
      </c>
      <c r="AM539" s="360">
        <v>1.2510452446016946</v>
      </c>
      <c r="AN539" s="360">
        <v>1788.3893514580229</v>
      </c>
      <c r="AO539" s="360">
        <f t="shared" si="21"/>
        <v>1</v>
      </c>
      <c r="AP539" s="360">
        <f t="shared" si="22"/>
        <v>1</v>
      </c>
      <c r="AQ539" s="360">
        <f t="shared" si="23"/>
        <v>1</v>
      </c>
    </row>
    <row r="540" spans="1:43">
      <c r="A540" s="360" t="s">
        <v>1082</v>
      </c>
      <c r="B540" t="s">
        <v>1074</v>
      </c>
      <c r="C540">
        <v>2</v>
      </c>
      <c r="D540" t="s">
        <v>1080</v>
      </c>
      <c r="E540" t="s">
        <v>1079</v>
      </c>
      <c r="F540" s="360">
        <v>8</v>
      </c>
      <c r="G540" s="360" t="str">
        <f>CONCATENATE(A540," ",B540," ",C540," ","inf+"," ",FanUpsizes!D540," ",FanUpsizes!F540)</f>
        <v>5ACH Infiltration 2 inf+ Existing 8</v>
      </c>
      <c r="H540" s="360">
        <v>3.5007311140357683E-2</v>
      </c>
      <c r="I540" s="360">
        <v>0.37662899111062859</v>
      </c>
      <c r="J540" s="360">
        <v>1.2361075893322055</v>
      </c>
      <c r="K540" s="360">
        <v>0</v>
      </c>
      <c r="L540" s="360">
        <v>0.37662899111062859</v>
      </c>
      <c r="M540" s="360">
        <v>1.2361075893322055</v>
      </c>
      <c r="N540" s="360">
        <v>1</v>
      </c>
      <c r="O540" s="360">
        <v>0.37662899111062859</v>
      </c>
      <c r="P540" s="360">
        <v>1.2361075893322055</v>
      </c>
      <c r="Q540" s="360">
        <v>0</v>
      </c>
      <c r="R540" s="360">
        <v>727.14089424571466</v>
      </c>
      <c r="S540" s="360">
        <v>0.36587040570929746</v>
      </c>
      <c r="T540" s="360">
        <v>1.2696153346860233</v>
      </c>
      <c r="U540" s="360">
        <v>1.0611903464546919</v>
      </c>
      <c r="V540" s="360">
        <v>0.37448611785113728</v>
      </c>
      <c r="W540" s="360">
        <v>1.2361076258246286</v>
      </c>
      <c r="X540" s="360">
        <v>546.73959043494017</v>
      </c>
      <c r="Y540" s="360">
        <v>0.364544073871791</v>
      </c>
      <c r="Z540" s="360">
        <v>1.2510450102930701</v>
      </c>
      <c r="AA540" s="360">
        <v>0</v>
      </c>
      <c r="AB540" s="360">
        <v>0.364544073871791</v>
      </c>
      <c r="AC540" s="360">
        <v>1.2510450102930701</v>
      </c>
      <c r="AD540" s="360">
        <v>1</v>
      </c>
      <c r="AE540" s="360">
        <v>0.364544073871791</v>
      </c>
      <c r="AF540" s="360">
        <v>1.2510450102930701</v>
      </c>
      <c r="AG540" s="360">
        <v>0</v>
      </c>
      <c r="AH540" s="360">
        <v>812.10842564696668</v>
      </c>
      <c r="AI540" s="360">
        <v>0.35246878449914448</v>
      </c>
      <c r="AJ540" s="360">
        <v>1.2954091844416888</v>
      </c>
      <c r="AK540" s="360">
        <v>1.0655495722668906</v>
      </c>
      <c r="AL540" s="360">
        <v>0.36394906057186532</v>
      </c>
      <c r="AM540" s="360">
        <v>1.2510472472562852</v>
      </c>
      <c r="AN540" s="360">
        <v>566.63882753906682</v>
      </c>
      <c r="AO540" s="360">
        <f t="shared" si="21"/>
        <v>1</v>
      </c>
      <c r="AP540" s="360">
        <f t="shared" si="22"/>
        <v>0</v>
      </c>
      <c r="AQ540" s="360">
        <f t="shared" si="23"/>
        <v>0</v>
      </c>
    </row>
    <row r="541" spans="1:43">
      <c r="A541" s="360" t="s">
        <v>1082</v>
      </c>
      <c r="B541" t="s">
        <v>1076</v>
      </c>
      <c r="C541">
        <v>2</v>
      </c>
      <c r="D541" t="s">
        <v>1080</v>
      </c>
      <c r="E541" t="s">
        <v>1079</v>
      </c>
      <c r="F541" s="360">
        <v>8</v>
      </c>
      <c r="G541" s="360" t="str">
        <f>CONCATENATE(A541," ",B541," ",C541," ","inf+"," ",FanUpsizes!D541," ",FanUpsizes!F541)</f>
        <v>5ACH 5C 2 inf+ Existing 8</v>
      </c>
      <c r="H541" s="360">
        <v>3.5007311140357683E-2</v>
      </c>
      <c r="I541" s="360">
        <v>0.37662899111062859</v>
      </c>
      <c r="J541" s="360">
        <v>1.2361075893322055</v>
      </c>
      <c r="K541" s="360">
        <v>1935.9962205633274</v>
      </c>
      <c r="L541" s="360">
        <v>0.34685300217946491</v>
      </c>
      <c r="M541" s="360">
        <v>1.3491520476863355</v>
      </c>
      <c r="N541" s="360">
        <v>1.2376145212992542</v>
      </c>
      <c r="O541" s="360">
        <v>0.37701168518218137</v>
      </c>
      <c r="P541" s="360">
        <v>1.2361076461272444</v>
      </c>
      <c r="Q541" s="360">
        <v>1509.607550313877</v>
      </c>
      <c r="R541" s="360">
        <v>1935.9962205633274</v>
      </c>
      <c r="S541" s="360">
        <v>0.34685300217946491</v>
      </c>
      <c r="T541" s="360">
        <v>1.3491520476863355</v>
      </c>
      <c r="U541" s="360">
        <v>1.2376145212992542</v>
      </c>
      <c r="V541" s="360">
        <v>0.37701168518218137</v>
      </c>
      <c r="W541" s="360">
        <v>1.2361076461272444</v>
      </c>
      <c r="X541" s="360">
        <v>1509.607550313877</v>
      </c>
      <c r="Y541" s="360">
        <v>0.364544073871791</v>
      </c>
      <c r="Z541" s="360">
        <v>1.2510450102930701</v>
      </c>
      <c r="AA541" s="360">
        <v>1539.1543753828109</v>
      </c>
      <c r="AB541" s="360">
        <v>0.34086630210356583</v>
      </c>
      <c r="AC541" s="360">
        <v>1.3484984520443322</v>
      </c>
      <c r="AD541" s="360">
        <v>1.1669104739445957</v>
      </c>
      <c r="AE541" s="360">
        <v>0.36697907734907631</v>
      </c>
      <c r="AF541" s="360">
        <v>1.2510463663841767</v>
      </c>
      <c r="AG541" s="360">
        <v>1125.4344450599572</v>
      </c>
      <c r="AH541" s="360">
        <v>1539.1543753828109</v>
      </c>
      <c r="AI541" s="360">
        <v>0.34086630210356583</v>
      </c>
      <c r="AJ541" s="360">
        <v>1.3484984520443322</v>
      </c>
      <c r="AK541" s="360">
        <v>1.1669104739445957</v>
      </c>
      <c r="AL541" s="360">
        <v>0.36697907734907631</v>
      </c>
      <c r="AM541" s="360">
        <v>1.2510463663841767</v>
      </c>
      <c r="AN541" s="360">
        <v>1125.4344450599572</v>
      </c>
      <c r="AO541" s="360">
        <f t="shared" si="21"/>
        <v>1</v>
      </c>
      <c r="AP541" s="360">
        <f t="shared" si="22"/>
        <v>1</v>
      </c>
      <c r="AQ541" s="360">
        <f t="shared" si="23"/>
        <v>1</v>
      </c>
    </row>
    <row r="542" spans="1:43">
      <c r="A542" s="360" t="s">
        <v>1083</v>
      </c>
      <c r="B542" t="s">
        <v>1075</v>
      </c>
      <c r="C542">
        <v>1</v>
      </c>
      <c r="D542" t="s">
        <v>1078</v>
      </c>
      <c r="E542" t="s">
        <v>1079</v>
      </c>
      <c r="F542" s="360">
        <v>8</v>
      </c>
      <c r="G542" s="360" t="str">
        <f>CONCATENATE(A542," ",B542," ",C542," ","inf+"," ",FanUpsizes!D542," ",FanUpsizes!F542)</f>
        <v>3ACH Percentile 1 inf+ New 8</v>
      </c>
      <c r="H542" s="360">
        <v>3.2120986996567347E-2</v>
      </c>
      <c r="I542" s="360">
        <v>0.25368512156098155</v>
      </c>
      <c r="J542" s="360">
        <v>1.2722121273583462</v>
      </c>
      <c r="K542" s="360">
        <v>1948.3170540142403</v>
      </c>
      <c r="L542" s="360">
        <v>0.22331081316132606</v>
      </c>
      <c r="M542" s="360">
        <v>1.5204660313759406</v>
      </c>
      <c r="N542" s="360">
        <v>1.3320028662511902</v>
      </c>
      <c r="O542" s="360">
        <v>0.27697279223460503</v>
      </c>
      <c r="P542" s="360">
        <v>1.2722121301967062</v>
      </c>
      <c r="Q542" s="360">
        <v>1117.4731714882275</v>
      </c>
      <c r="R542" s="360">
        <v>2887.6559028151264</v>
      </c>
      <c r="S542" s="360">
        <v>0.18287313931698365</v>
      </c>
      <c r="T542" s="360">
        <v>1.8750456154834885</v>
      </c>
      <c r="U542" s="360">
        <v>2.1211852525088162</v>
      </c>
      <c r="V542" s="360">
        <v>0.30546471385182089</v>
      </c>
      <c r="W542" s="360">
        <v>1.2722121273968334</v>
      </c>
      <c r="X542" s="360">
        <v>1698.4869723182276</v>
      </c>
      <c r="Y542" s="360">
        <v>0.26513699670485685</v>
      </c>
      <c r="Z542" s="360">
        <v>1.2120949844204092</v>
      </c>
      <c r="AA542" s="360">
        <v>2247.1112129472972</v>
      </c>
      <c r="AB542" s="360">
        <v>0.23003144736801862</v>
      </c>
      <c r="AC542" s="360">
        <v>1.476868078474268</v>
      </c>
      <c r="AD542" s="360">
        <v>1.386510077987253</v>
      </c>
      <c r="AE542" s="360">
        <v>0.29437617780451864</v>
      </c>
      <c r="AF542" s="360">
        <v>1.2120950833619211</v>
      </c>
      <c r="AG542" s="360">
        <v>1258.9356787944623</v>
      </c>
      <c r="AH542" s="360">
        <v>3367.9675093013716</v>
      </c>
      <c r="AI542" s="360">
        <v>0.18439514096266385</v>
      </c>
      <c r="AJ542" s="360">
        <v>1.8605655106036081</v>
      </c>
      <c r="AK542" s="360">
        <v>2.2143932493791318</v>
      </c>
      <c r="AL542" s="360">
        <v>0.32434755177215158</v>
      </c>
      <c r="AM542" s="360">
        <v>1.2120988459487119</v>
      </c>
      <c r="AN542" s="360">
        <v>1869.8860230561479</v>
      </c>
      <c r="AO542" s="360">
        <f t="shared" si="21"/>
        <v>1</v>
      </c>
      <c r="AP542" s="360">
        <f t="shared" si="22"/>
        <v>1</v>
      </c>
      <c r="AQ542" s="360">
        <f t="shared" si="23"/>
        <v>1</v>
      </c>
    </row>
    <row r="543" spans="1:43">
      <c r="A543" s="360" t="s">
        <v>1083</v>
      </c>
      <c r="B543" t="s">
        <v>1074</v>
      </c>
      <c r="C543">
        <v>1</v>
      </c>
      <c r="D543" t="s">
        <v>1078</v>
      </c>
      <c r="E543" t="s">
        <v>1079</v>
      </c>
      <c r="F543" s="360">
        <v>8</v>
      </c>
      <c r="G543" s="360" t="str">
        <f>CONCATENATE(A543," ",B543," ",C543," ","inf+"," ",FanUpsizes!D543," ",FanUpsizes!F543)</f>
        <v>3ACH Infiltration 1 inf+ New 8</v>
      </c>
      <c r="H543" s="360">
        <v>3.2120986996567347E-2</v>
      </c>
      <c r="I543" s="360">
        <v>0.25368512156098155</v>
      </c>
      <c r="J543" s="360">
        <v>1.2722121273583462</v>
      </c>
      <c r="K543" s="360">
        <v>0</v>
      </c>
      <c r="L543" s="360">
        <v>0.25368512156098155</v>
      </c>
      <c r="M543" s="360">
        <v>1.2722121273583462</v>
      </c>
      <c r="N543" s="360">
        <v>1</v>
      </c>
      <c r="O543" s="360">
        <v>0.25368512156098155</v>
      </c>
      <c r="P543" s="360">
        <v>1.2722121273583462</v>
      </c>
      <c r="Q543" s="360">
        <v>0</v>
      </c>
      <c r="R543" s="360">
        <v>0</v>
      </c>
      <c r="S543" s="360">
        <v>0.25368512156098155</v>
      </c>
      <c r="T543" s="360">
        <v>1.2722121273583462</v>
      </c>
      <c r="U543" s="360">
        <v>1</v>
      </c>
      <c r="V543" s="360">
        <v>0.25368512156098155</v>
      </c>
      <c r="W543" s="360">
        <v>1.2722121273583462</v>
      </c>
      <c r="X543" s="360">
        <v>0</v>
      </c>
      <c r="Y543" s="360">
        <v>0.26513699670485685</v>
      </c>
      <c r="Z543" s="360">
        <v>1.2120949844204092</v>
      </c>
      <c r="AA543" s="360">
        <v>0</v>
      </c>
      <c r="AB543" s="360">
        <v>0.26513699670485685</v>
      </c>
      <c r="AC543" s="360">
        <v>1.2120949844204092</v>
      </c>
      <c r="AD543" s="360">
        <v>1</v>
      </c>
      <c r="AE543" s="360">
        <v>0.26513699670485685</v>
      </c>
      <c r="AF543" s="360">
        <v>1.2120949844204092</v>
      </c>
      <c r="AG543" s="360">
        <v>0</v>
      </c>
      <c r="AH543" s="360">
        <v>0</v>
      </c>
      <c r="AI543" s="360">
        <v>0.26513699670485685</v>
      </c>
      <c r="AJ543" s="360">
        <v>1.2120949844204092</v>
      </c>
      <c r="AK543" s="360">
        <v>1</v>
      </c>
      <c r="AL543" s="360">
        <v>0.26513699670485685</v>
      </c>
      <c r="AM543" s="360">
        <v>1.2120949844204092</v>
      </c>
      <c r="AN543" s="360">
        <v>0</v>
      </c>
      <c r="AO543" s="360">
        <f t="shared" si="21"/>
        <v>1</v>
      </c>
      <c r="AP543" s="360">
        <f t="shared" si="22"/>
        <v>0</v>
      </c>
      <c r="AQ543" s="360">
        <f t="shared" si="23"/>
        <v>0</v>
      </c>
    </row>
    <row r="544" spans="1:43">
      <c r="A544" s="360" t="s">
        <v>1083</v>
      </c>
      <c r="B544" t="s">
        <v>1076</v>
      </c>
      <c r="C544">
        <v>1</v>
      </c>
      <c r="D544" t="s">
        <v>1078</v>
      </c>
      <c r="E544" t="s">
        <v>1079</v>
      </c>
      <c r="F544" s="360">
        <v>8</v>
      </c>
      <c r="G544" s="360" t="str">
        <f>CONCATENATE(A544," ",B544," ",C544," ","inf+"," ",FanUpsizes!D544," ",FanUpsizes!F544)</f>
        <v>3ACH 5C 1 inf+ New 8</v>
      </c>
      <c r="H544" s="360">
        <v>3.2120986996567347E-2</v>
      </c>
      <c r="I544" s="360">
        <v>0.25368512156098155</v>
      </c>
      <c r="J544" s="360">
        <v>1.2722121273583462</v>
      </c>
      <c r="K544" s="360">
        <v>1832.5471396857142</v>
      </c>
      <c r="L544" s="360">
        <v>0.22541318793085385</v>
      </c>
      <c r="M544" s="360">
        <v>1.5006066475463264</v>
      </c>
      <c r="N544" s="360">
        <v>1.2943658636738427</v>
      </c>
      <c r="O544" s="360">
        <v>0.27386470679059305</v>
      </c>
      <c r="P544" s="360">
        <v>1.2722121272797922</v>
      </c>
      <c r="Q544" s="360">
        <v>1042.4608036967525</v>
      </c>
      <c r="R544" s="360">
        <v>1832.5471396857142</v>
      </c>
      <c r="S544" s="360">
        <v>0.22541318793085385</v>
      </c>
      <c r="T544" s="360">
        <v>1.5006066475463264</v>
      </c>
      <c r="U544" s="360">
        <v>1.2943658636738427</v>
      </c>
      <c r="V544" s="360">
        <v>0.27386470679059305</v>
      </c>
      <c r="W544" s="360">
        <v>1.2722121272797922</v>
      </c>
      <c r="X544" s="360">
        <v>1042.4608036967525</v>
      </c>
      <c r="Y544" s="360">
        <v>0.26513699670485685</v>
      </c>
      <c r="Z544" s="360">
        <v>1.2120949844204092</v>
      </c>
      <c r="AA544" s="360">
        <v>2117.1336484748908</v>
      </c>
      <c r="AB544" s="360">
        <v>0.23239630677468573</v>
      </c>
      <c r="AC544" s="360">
        <v>1.4556219942303428</v>
      </c>
      <c r="AD544" s="360">
        <v>1.3419655446995282</v>
      </c>
      <c r="AE544" s="360">
        <v>0.29039427263240586</v>
      </c>
      <c r="AF544" s="360">
        <v>1.2120969907739925</v>
      </c>
      <c r="AG544" s="360">
        <v>1180.1095718062552</v>
      </c>
      <c r="AH544" s="360">
        <v>2117.1336484748908</v>
      </c>
      <c r="AI544" s="360">
        <v>0.23239630677468573</v>
      </c>
      <c r="AJ544" s="360">
        <v>1.4556219942303428</v>
      </c>
      <c r="AK544" s="360">
        <v>1.3419655446995282</v>
      </c>
      <c r="AL544" s="360">
        <v>0.29039427263240586</v>
      </c>
      <c r="AM544" s="360">
        <v>1.2120969907739925</v>
      </c>
      <c r="AN544" s="360">
        <v>1180.1095718062552</v>
      </c>
      <c r="AO544" s="360">
        <f t="shared" si="21"/>
        <v>1</v>
      </c>
      <c r="AP544" s="360">
        <f t="shared" si="22"/>
        <v>1</v>
      </c>
      <c r="AQ544" s="360">
        <f t="shared" si="23"/>
        <v>1</v>
      </c>
    </row>
    <row r="545" spans="1:43">
      <c r="A545" s="360" t="s">
        <v>1083</v>
      </c>
      <c r="B545" t="s">
        <v>1075</v>
      </c>
      <c r="C545">
        <v>2</v>
      </c>
      <c r="D545" t="s">
        <v>1078</v>
      </c>
      <c r="E545" t="s">
        <v>1079</v>
      </c>
      <c r="F545" s="360">
        <v>8</v>
      </c>
      <c r="G545" s="360" t="str">
        <f>CONCATENATE(A545," ",B545," ",C545," ","inf+"," ",FanUpsizes!D545," ",FanUpsizes!F545)</f>
        <v>3ACH Percentile 2 inf+ New 8</v>
      </c>
      <c r="H545" s="360">
        <v>2.8560386684214616E-2</v>
      </c>
      <c r="I545" s="360">
        <v>0.26057411852841406</v>
      </c>
      <c r="J545" s="360">
        <v>1.2658561461924487</v>
      </c>
      <c r="K545" s="360">
        <v>1672.4295539444006</v>
      </c>
      <c r="L545" s="360">
        <v>0.23459718719658554</v>
      </c>
      <c r="M545" s="360">
        <v>1.4337902207371296</v>
      </c>
      <c r="N545" s="360">
        <v>1.2708413176340152</v>
      </c>
      <c r="O545" s="360">
        <v>0.26787823339390565</v>
      </c>
      <c r="P545" s="360">
        <v>1.265856662553313</v>
      </c>
      <c r="Q545" s="360">
        <v>1186.8115422011447</v>
      </c>
      <c r="R545" s="360">
        <v>2318.2046309719631</v>
      </c>
      <c r="S545" s="360">
        <v>0.20569453367897067</v>
      </c>
      <c r="T545" s="360">
        <v>1.6557359007121035</v>
      </c>
      <c r="U545" s="360">
        <v>1.9344510343640817</v>
      </c>
      <c r="V545" s="360">
        <v>0.2829999635825739</v>
      </c>
      <c r="W545" s="360">
        <v>1.2658569239786031</v>
      </c>
      <c r="X545" s="360">
        <v>1648.0560732885381</v>
      </c>
      <c r="Y545" s="360">
        <v>0.26279084607227038</v>
      </c>
      <c r="Z545" s="360">
        <v>1.2382268506792384</v>
      </c>
      <c r="AA545" s="360">
        <v>1629.6405556392208</v>
      </c>
      <c r="AB545" s="360">
        <v>0.23738747244388828</v>
      </c>
      <c r="AC545" s="360">
        <v>1.4023890229817713</v>
      </c>
      <c r="AD545" s="360">
        <v>1.2561574131385398</v>
      </c>
      <c r="AE545" s="360">
        <v>0.27249839353536554</v>
      </c>
      <c r="AF545" s="360">
        <v>1.2382269786307034</v>
      </c>
      <c r="AG545" s="360">
        <v>1094.3138276705668</v>
      </c>
      <c r="AH545" s="360">
        <v>2504.9503501238933</v>
      </c>
      <c r="AI545" s="360">
        <v>0.2012349504588985</v>
      </c>
      <c r="AJ545" s="360">
        <v>1.6829411497347286</v>
      </c>
      <c r="AK545" s="360">
        <v>1.9372434037486352</v>
      </c>
      <c r="AL545" s="360">
        <v>0.28919569015967744</v>
      </c>
      <c r="AM545" s="360">
        <v>1.2382269736425373</v>
      </c>
      <c r="AN545" s="360">
        <v>1613.1098147059993</v>
      </c>
      <c r="AO545" s="360">
        <f t="shared" si="21"/>
        <v>1</v>
      </c>
      <c r="AP545" s="360">
        <f t="shared" si="22"/>
        <v>1</v>
      </c>
      <c r="AQ545" s="360">
        <f t="shared" si="23"/>
        <v>1</v>
      </c>
    </row>
    <row r="546" spans="1:43">
      <c r="A546" s="360" t="s">
        <v>1083</v>
      </c>
      <c r="B546" t="s">
        <v>1074</v>
      </c>
      <c r="C546">
        <v>2</v>
      </c>
      <c r="D546" t="s">
        <v>1078</v>
      </c>
      <c r="E546" t="s">
        <v>1079</v>
      </c>
      <c r="F546" s="360">
        <v>8</v>
      </c>
      <c r="G546" s="360" t="str">
        <f>CONCATENATE(A546," ",B546," ",C546," ","inf+"," ",FanUpsizes!D546," ",FanUpsizes!F546)</f>
        <v>3ACH Infiltration 2 inf+ New 8</v>
      </c>
      <c r="H546" s="360">
        <v>2.8560386684214616E-2</v>
      </c>
      <c r="I546" s="360">
        <v>0.26057411852841406</v>
      </c>
      <c r="J546" s="360">
        <v>1.2658561461924487</v>
      </c>
      <c r="K546" s="360">
        <v>0</v>
      </c>
      <c r="L546" s="360">
        <v>0.26057411852841406</v>
      </c>
      <c r="M546" s="360">
        <v>1.2658561461924487</v>
      </c>
      <c r="N546" s="360">
        <v>1</v>
      </c>
      <c r="O546" s="360">
        <v>0.26057411852841406</v>
      </c>
      <c r="P546" s="360">
        <v>1.2658561461924487</v>
      </c>
      <c r="Q546" s="360">
        <v>0</v>
      </c>
      <c r="R546" s="360">
        <v>112.94514667275799</v>
      </c>
      <c r="S546" s="360">
        <v>0.25910020741764572</v>
      </c>
      <c r="T546" s="360">
        <v>1.2725688073354011</v>
      </c>
      <c r="U546" s="360">
        <v>1.0089934790789201</v>
      </c>
      <c r="V546" s="360">
        <v>0.26034823348930536</v>
      </c>
      <c r="W546" s="360">
        <v>1.2658583674627848</v>
      </c>
      <c r="X546" s="360">
        <v>84.711239456414106</v>
      </c>
      <c r="Y546" s="360">
        <v>0.26279084607227038</v>
      </c>
      <c r="Z546" s="360">
        <v>1.2382268506792384</v>
      </c>
      <c r="AA546" s="360">
        <v>0</v>
      </c>
      <c r="AB546" s="360">
        <v>0.26279084607227038</v>
      </c>
      <c r="AC546" s="360">
        <v>1.2382268506792384</v>
      </c>
      <c r="AD546" s="360">
        <v>1</v>
      </c>
      <c r="AE546" s="360">
        <v>0.26279084607227038</v>
      </c>
      <c r="AF546" s="360">
        <v>1.2382268506792384</v>
      </c>
      <c r="AG546" s="360">
        <v>0</v>
      </c>
      <c r="AH546" s="360">
        <v>145.29212470414686</v>
      </c>
      <c r="AI546" s="360">
        <v>0.2608878385491713</v>
      </c>
      <c r="AJ546" s="360">
        <v>1.2475075231959121</v>
      </c>
      <c r="AK546" s="360">
        <v>1.0108521331788376</v>
      </c>
      <c r="AL546" s="360">
        <v>0.26274818291920843</v>
      </c>
      <c r="AM546" s="360">
        <v>1.2382306533363756</v>
      </c>
      <c r="AN546" s="360">
        <v>97.444800674845979</v>
      </c>
      <c r="AO546" s="360">
        <f t="shared" si="21"/>
        <v>1</v>
      </c>
      <c r="AP546" s="360">
        <f t="shared" si="22"/>
        <v>0</v>
      </c>
      <c r="AQ546" s="360">
        <f t="shared" si="23"/>
        <v>0</v>
      </c>
    </row>
    <row r="547" spans="1:43">
      <c r="A547" s="360" t="s">
        <v>1083</v>
      </c>
      <c r="B547" t="s">
        <v>1076</v>
      </c>
      <c r="C547">
        <v>2</v>
      </c>
      <c r="D547" t="s">
        <v>1078</v>
      </c>
      <c r="E547" t="s">
        <v>1079</v>
      </c>
      <c r="F547" s="360">
        <v>8</v>
      </c>
      <c r="G547" s="360" t="str">
        <f>CONCATENATE(A547," ",B547," ",C547," ","inf+"," ",FanUpsizes!D547," ",FanUpsizes!F547)</f>
        <v>3ACH 5C 2 inf+ New 8</v>
      </c>
      <c r="H547" s="360">
        <v>2.8560386684214616E-2</v>
      </c>
      <c r="I547" s="360">
        <v>0.26057411852841406</v>
      </c>
      <c r="J547" s="360">
        <v>1.2658561461924487</v>
      </c>
      <c r="K547" s="360">
        <v>1579.4643712216641</v>
      </c>
      <c r="L547" s="360">
        <v>0.23628165703746384</v>
      </c>
      <c r="M547" s="360">
        <v>1.421383566649594</v>
      </c>
      <c r="N547" s="360">
        <v>1.2464062916412539</v>
      </c>
      <c r="O547" s="360">
        <v>0.26685200715584201</v>
      </c>
      <c r="P547" s="360">
        <v>1.2658561670186605</v>
      </c>
      <c r="Q547" s="360">
        <v>1116.7733250791505</v>
      </c>
      <c r="R547" s="360">
        <v>1579.4643712216641</v>
      </c>
      <c r="S547" s="360">
        <v>0.23628165703746384</v>
      </c>
      <c r="T547" s="360">
        <v>1.421383566649594</v>
      </c>
      <c r="U547" s="360">
        <v>1.2464062916412539</v>
      </c>
      <c r="V547" s="360">
        <v>0.26685200715584201</v>
      </c>
      <c r="W547" s="360">
        <v>1.2658561670186605</v>
      </c>
      <c r="X547" s="360">
        <v>1116.7733250791505</v>
      </c>
      <c r="Y547" s="360">
        <v>0.26279084607227038</v>
      </c>
      <c r="Z547" s="360">
        <v>1.2382268506792384</v>
      </c>
      <c r="AA547" s="360">
        <v>1534.0597891529064</v>
      </c>
      <c r="AB547" s="360">
        <v>0.23912123073893068</v>
      </c>
      <c r="AC547" s="360">
        <v>1.3896577530632663</v>
      </c>
      <c r="AD547" s="360">
        <v>1.2297503991538523</v>
      </c>
      <c r="AE547" s="360">
        <v>0.27117959989478163</v>
      </c>
      <c r="AF547" s="360">
        <v>1.2382292884228694</v>
      </c>
      <c r="AG547" s="360">
        <v>1020.0415006849283</v>
      </c>
      <c r="AH547" s="360">
        <v>1534.0597891529064</v>
      </c>
      <c r="AI547" s="360">
        <v>0.23912123073893068</v>
      </c>
      <c r="AJ547" s="360">
        <v>1.3896577530632663</v>
      </c>
      <c r="AK547" s="360">
        <v>1.2297503991538523</v>
      </c>
      <c r="AL547" s="360">
        <v>0.27117959989478163</v>
      </c>
      <c r="AM547" s="360">
        <v>1.2382292884228694</v>
      </c>
      <c r="AN547" s="360">
        <v>1020.0415006849283</v>
      </c>
      <c r="AO547" s="360">
        <f t="shared" si="21"/>
        <v>1</v>
      </c>
      <c r="AP547" s="360">
        <f t="shared" si="22"/>
        <v>1</v>
      </c>
      <c r="AQ547" s="360">
        <f t="shared" si="23"/>
        <v>1</v>
      </c>
    </row>
    <row r="548" spans="1:43">
      <c r="A548" s="360" t="s">
        <v>1083</v>
      </c>
      <c r="B548" t="s">
        <v>1075</v>
      </c>
      <c r="C548">
        <v>1</v>
      </c>
      <c r="D548" t="s">
        <v>1080</v>
      </c>
      <c r="E548" t="s">
        <v>1079</v>
      </c>
      <c r="F548" s="360">
        <v>8</v>
      </c>
      <c r="G548" s="360" t="str">
        <f>CONCATENATE(A548," ",B548," ",C548," ","inf+"," ",FanUpsizes!D548," ",FanUpsizes!F548)</f>
        <v>3ACH Percentile 1 inf+ Existing 8</v>
      </c>
      <c r="H548" s="360">
        <v>4.8370986996567347E-2</v>
      </c>
      <c r="I548" s="360">
        <v>0.36321679795376527</v>
      </c>
      <c r="J548" s="360">
        <v>1.2121089736632029</v>
      </c>
      <c r="K548" s="360">
        <v>3650.7442013196446</v>
      </c>
      <c r="L548" s="360">
        <v>0.30609714672757338</v>
      </c>
      <c r="M548" s="360">
        <v>1.6196887252002792</v>
      </c>
      <c r="N548" s="360">
        <v>1.6120365188460295</v>
      </c>
      <c r="O548" s="360">
        <v>0.46613182327422914</v>
      </c>
      <c r="P548" s="360">
        <v>1.212111893063015</v>
      </c>
      <c r="Q548" s="360">
        <v>1180.0554972711723</v>
      </c>
      <c r="R548" s="360">
        <v>5420.2587102486959</v>
      </c>
      <c r="S548" s="360">
        <v>0.23470366186738623</v>
      </c>
      <c r="T548" s="360">
        <v>2.1244863107140128</v>
      </c>
      <c r="U548" s="360">
        <v>2.6485855904491356</v>
      </c>
      <c r="V548" s="360">
        <v>0.53345944192354944</v>
      </c>
      <c r="W548" s="360">
        <v>1.212109177389507</v>
      </c>
      <c r="X548" s="360">
        <v>2156.017770994803</v>
      </c>
      <c r="Y548" s="360">
        <v>0.37677370646205821</v>
      </c>
      <c r="Z548" s="360">
        <v>1.1683184773504867</v>
      </c>
      <c r="AA548" s="360">
        <v>3971.6015213024612</v>
      </c>
      <c r="AB548" s="360">
        <v>0.31466109115248869</v>
      </c>
      <c r="AC548" s="360">
        <v>1.5855589914310275</v>
      </c>
      <c r="AD548" s="360">
        <v>1.6897966293219102</v>
      </c>
      <c r="AE548" s="360">
        <v>0.49491336354103943</v>
      </c>
      <c r="AF548" s="360">
        <v>1.1683185736608683</v>
      </c>
      <c r="AG548" s="360">
        <v>1190.4780073330844</v>
      </c>
      <c r="AH548" s="360">
        <v>5801.7988094965121</v>
      </c>
      <c r="AI548" s="360">
        <v>0.2408954088455387</v>
      </c>
      <c r="AJ548" s="360">
        <v>2.0701000640499236</v>
      </c>
      <c r="AK548" s="360">
        <v>2.7752713056170797</v>
      </c>
      <c r="AL548" s="360">
        <v>0.56446835643662707</v>
      </c>
      <c r="AM548" s="360">
        <v>1.1683189780624572</v>
      </c>
      <c r="AN548" s="360">
        <v>2211.1613851622478</v>
      </c>
      <c r="AO548" s="360">
        <f t="shared" si="21"/>
        <v>1</v>
      </c>
      <c r="AP548" s="360">
        <f t="shared" si="22"/>
        <v>1</v>
      </c>
      <c r="AQ548" s="360">
        <f t="shared" si="23"/>
        <v>1</v>
      </c>
    </row>
    <row r="549" spans="1:43">
      <c r="A549" s="360" t="s">
        <v>1083</v>
      </c>
      <c r="B549" t="s">
        <v>1074</v>
      </c>
      <c r="C549">
        <v>1</v>
      </c>
      <c r="D549" t="s">
        <v>1080</v>
      </c>
      <c r="E549" t="s">
        <v>1079</v>
      </c>
      <c r="F549" s="360">
        <v>8</v>
      </c>
      <c r="G549" s="360" t="str">
        <f>CONCATENATE(A549," ",B549," ",C549," ","inf+"," ",FanUpsizes!D549," ",FanUpsizes!F549)</f>
        <v>3ACH Infiltration 1 inf+ Existing 8</v>
      </c>
      <c r="H549" s="360">
        <v>4.8370986996567347E-2</v>
      </c>
      <c r="I549" s="360">
        <v>0.36321679795376527</v>
      </c>
      <c r="J549" s="360">
        <v>1.2121089736632029</v>
      </c>
      <c r="K549" s="360">
        <v>0</v>
      </c>
      <c r="L549" s="360">
        <v>0.36321679795376527</v>
      </c>
      <c r="M549" s="360">
        <v>1.2121089736632029</v>
      </c>
      <c r="N549" s="360">
        <v>1</v>
      </c>
      <c r="O549" s="360">
        <v>0.36321679795376527</v>
      </c>
      <c r="P549" s="360">
        <v>1.2121089736632029</v>
      </c>
      <c r="Q549" s="360">
        <v>0</v>
      </c>
      <c r="R549" s="360">
        <v>0</v>
      </c>
      <c r="S549" s="360">
        <v>0.36321679795376527</v>
      </c>
      <c r="T549" s="360">
        <v>1.2121089736632029</v>
      </c>
      <c r="U549" s="360">
        <v>1</v>
      </c>
      <c r="V549" s="360">
        <v>0.36321679795376527</v>
      </c>
      <c r="W549" s="360">
        <v>1.2121089736632029</v>
      </c>
      <c r="X549" s="360">
        <v>0</v>
      </c>
      <c r="Y549" s="360">
        <v>0.37677370646205821</v>
      </c>
      <c r="Z549" s="360">
        <v>1.1683184773504867</v>
      </c>
      <c r="AA549" s="360">
        <v>0</v>
      </c>
      <c r="AB549" s="360">
        <v>0.37677370646205821</v>
      </c>
      <c r="AC549" s="360">
        <v>1.1683184773504867</v>
      </c>
      <c r="AD549" s="360">
        <v>1</v>
      </c>
      <c r="AE549" s="360">
        <v>0.37677370646205821</v>
      </c>
      <c r="AF549" s="360">
        <v>1.1683184773504867</v>
      </c>
      <c r="AG549" s="360">
        <v>0</v>
      </c>
      <c r="AH549" s="360">
        <v>0</v>
      </c>
      <c r="AI549" s="360">
        <v>0.37677370646205821</v>
      </c>
      <c r="AJ549" s="360">
        <v>1.1683184773504867</v>
      </c>
      <c r="AK549" s="360">
        <v>1</v>
      </c>
      <c r="AL549" s="360">
        <v>0.37677370646205821</v>
      </c>
      <c r="AM549" s="360">
        <v>1.1683184773504867</v>
      </c>
      <c r="AN549" s="360">
        <v>0</v>
      </c>
      <c r="AO549" s="360">
        <f t="shared" ref="AO549:AO612" si="24">IF(ROUND(P549,3)=ROUND(J549,3),1,0)</f>
        <v>1</v>
      </c>
      <c r="AP549" s="360">
        <f t="shared" ref="AP549:AP612" si="25">IF(O549&gt;L549,1,0)</f>
        <v>0</v>
      </c>
      <c r="AQ549" s="360">
        <f t="shared" ref="AQ549:AQ612" si="26">IF(I549&gt;L549,1,0)</f>
        <v>0</v>
      </c>
    </row>
    <row r="550" spans="1:43">
      <c r="A550" s="360" t="s">
        <v>1083</v>
      </c>
      <c r="B550" t="s">
        <v>1076</v>
      </c>
      <c r="C550">
        <v>1</v>
      </c>
      <c r="D550" t="s">
        <v>1080</v>
      </c>
      <c r="E550" t="s">
        <v>1079</v>
      </c>
      <c r="F550" s="360">
        <v>8</v>
      </c>
      <c r="G550" s="360" t="str">
        <f>CONCATENATE(A550," ",B550," ",C550," ","inf+"," ",FanUpsizes!D550," ",FanUpsizes!F550)</f>
        <v>3ACH 5C 1 inf+ Existing 8</v>
      </c>
      <c r="H550" s="360">
        <v>4.8370986996567347E-2</v>
      </c>
      <c r="I550" s="360">
        <v>0.36321679795376527</v>
      </c>
      <c r="J550" s="360">
        <v>1.2121089736632029</v>
      </c>
      <c r="K550" s="360">
        <v>3437.1638866440921</v>
      </c>
      <c r="L550" s="360">
        <v>0.30998867869541946</v>
      </c>
      <c r="M550" s="360">
        <v>1.5855807210851989</v>
      </c>
      <c r="N550" s="360">
        <v>1.5266105984713065</v>
      </c>
      <c r="O550" s="360">
        <v>0.45021562934150855</v>
      </c>
      <c r="P550" s="360">
        <v>1.2121090348448882</v>
      </c>
      <c r="Q550" s="360">
        <v>1157.2717185176141</v>
      </c>
      <c r="R550" s="360">
        <v>3437.1638866440921</v>
      </c>
      <c r="S550" s="360">
        <v>0.30998867869541946</v>
      </c>
      <c r="T550" s="360">
        <v>1.5855807210851989</v>
      </c>
      <c r="U550" s="360">
        <v>1.5266105984713065</v>
      </c>
      <c r="V550" s="360">
        <v>0.45021562934150855</v>
      </c>
      <c r="W550" s="360">
        <v>1.2121090348448882</v>
      </c>
      <c r="X550" s="360">
        <v>1157.2717185176141</v>
      </c>
      <c r="Y550" s="360">
        <v>0.37677370646205821</v>
      </c>
      <c r="Z550" s="360">
        <v>1.1683184773504867</v>
      </c>
      <c r="AA550" s="360">
        <v>3745.0979230717712</v>
      </c>
      <c r="AB550" s="360">
        <v>0.31879026353475243</v>
      </c>
      <c r="AC550" s="360">
        <v>1.5507165935391785</v>
      </c>
      <c r="AD550" s="360">
        <v>1.591112711215154</v>
      </c>
      <c r="AE550" s="360">
        <v>0.47624219841320808</v>
      </c>
      <c r="AF550" s="360">
        <v>1.1683197855828995</v>
      </c>
      <c r="AG550" s="360">
        <v>1188.7566944561017</v>
      </c>
      <c r="AH550" s="360">
        <v>3745.0979230717712</v>
      </c>
      <c r="AI550" s="360">
        <v>0.31879026353475243</v>
      </c>
      <c r="AJ550" s="360">
        <v>1.5507165935391785</v>
      </c>
      <c r="AK550" s="360">
        <v>1.591112711215154</v>
      </c>
      <c r="AL550" s="360">
        <v>0.47624219841320808</v>
      </c>
      <c r="AM550" s="360">
        <v>1.1683197855828995</v>
      </c>
      <c r="AN550" s="360">
        <v>1188.7566944561017</v>
      </c>
      <c r="AO550" s="360">
        <f t="shared" si="24"/>
        <v>1</v>
      </c>
      <c r="AP550" s="360">
        <f t="shared" si="25"/>
        <v>1</v>
      </c>
      <c r="AQ550" s="360">
        <f t="shared" si="26"/>
        <v>1</v>
      </c>
    </row>
    <row r="551" spans="1:43">
      <c r="A551" s="360" t="s">
        <v>1083</v>
      </c>
      <c r="B551" t="s">
        <v>1075</v>
      </c>
      <c r="C551">
        <v>2</v>
      </c>
      <c r="D551" t="s">
        <v>1080</v>
      </c>
      <c r="E551" t="s">
        <v>1079</v>
      </c>
      <c r="F551" s="360">
        <v>8</v>
      </c>
      <c r="G551" s="360" t="str">
        <f>CONCATENATE(A551," ",B551," ",C551," ","inf+"," ",FanUpsizes!D551," ",FanUpsizes!F551)</f>
        <v>3ACH Percentile 2 inf+ Existing 8</v>
      </c>
      <c r="H551" s="360">
        <v>4.4810386684214616E-2</v>
      </c>
      <c r="I551" s="360">
        <v>0.35209798525992231</v>
      </c>
      <c r="J551" s="360">
        <v>1.2619654225426071</v>
      </c>
      <c r="K551" s="360">
        <v>2803.3566454947909</v>
      </c>
      <c r="L551" s="360">
        <v>0.30832340764412619</v>
      </c>
      <c r="M551" s="360">
        <v>1.5402558409702838</v>
      </c>
      <c r="N551" s="360">
        <v>1.3919115772024109</v>
      </c>
      <c r="O551" s="360">
        <v>0.39743243559883873</v>
      </c>
      <c r="P551" s="360">
        <v>1.261970892145984</v>
      </c>
      <c r="Q551" s="360">
        <v>1421.2462706847261</v>
      </c>
      <c r="R551" s="360">
        <v>4165.7196077065937</v>
      </c>
      <c r="S551" s="360">
        <v>0.25056972302751662</v>
      </c>
      <c r="T551" s="360">
        <v>1.9150946080269446</v>
      </c>
      <c r="U551" s="360">
        <v>2.2298970689403124</v>
      </c>
      <c r="V551" s="360">
        <v>0.44129902537489196</v>
      </c>
      <c r="W551" s="360">
        <v>1.2619676472263219</v>
      </c>
      <c r="X551" s="360">
        <v>2256.3908124112158</v>
      </c>
      <c r="Y551" s="360">
        <v>0.36759630421984751</v>
      </c>
      <c r="Z551" s="360">
        <v>1.2032964039772014</v>
      </c>
      <c r="AA551" s="360">
        <v>3223.7551976057507</v>
      </c>
      <c r="AB551" s="360">
        <v>0.31722887017477297</v>
      </c>
      <c r="AC551" s="360">
        <v>1.4991317127505184</v>
      </c>
      <c r="AD551" s="360">
        <v>1.4579772890501801</v>
      </c>
      <c r="AE551" s="360">
        <v>0.42421363656956124</v>
      </c>
      <c r="AF551" s="360">
        <v>1.2032974102066665</v>
      </c>
      <c r="AG551" s="360">
        <v>1577.595321472978</v>
      </c>
      <c r="AH551" s="360">
        <v>4803.490220821388</v>
      </c>
      <c r="AI551" s="360">
        <v>0.25310619515718413</v>
      </c>
      <c r="AJ551" s="360">
        <v>1.8940781329556258</v>
      </c>
      <c r="AK551" s="360">
        <v>2.3407101515437754</v>
      </c>
      <c r="AL551" s="360">
        <v>0.47025319943632682</v>
      </c>
      <c r="AM551" s="360">
        <v>1.2032965379935314</v>
      </c>
      <c r="AN551" s="360">
        <v>2460.8453307848476</v>
      </c>
      <c r="AO551" s="360">
        <f t="shared" si="24"/>
        <v>1</v>
      </c>
      <c r="AP551" s="360">
        <f t="shared" si="25"/>
        <v>1</v>
      </c>
      <c r="AQ551" s="360">
        <f t="shared" si="26"/>
        <v>1</v>
      </c>
    </row>
    <row r="552" spans="1:43">
      <c r="A552" s="360" t="s">
        <v>1083</v>
      </c>
      <c r="B552" t="s">
        <v>1074</v>
      </c>
      <c r="C552">
        <v>2</v>
      </c>
      <c r="D552" t="s">
        <v>1080</v>
      </c>
      <c r="E552" t="s">
        <v>1079</v>
      </c>
      <c r="F552" s="360">
        <v>8</v>
      </c>
      <c r="G552" s="360" t="str">
        <f>CONCATENATE(A552," ",B552," ",C552," ","inf+"," ",FanUpsizes!D552," ",FanUpsizes!F552)</f>
        <v>3ACH Infiltration 2 inf+ Existing 8</v>
      </c>
      <c r="H552" s="360">
        <v>4.4810386684214616E-2</v>
      </c>
      <c r="I552" s="360">
        <v>0.35209798525992231</v>
      </c>
      <c r="J552" s="360">
        <v>1.2619654225426071</v>
      </c>
      <c r="K552" s="360">
        <v>0</v>
      </c>
      <c r="L552" s="360">
        <v>0.35209798525992231</v>
      </c>
      <c r="M552" s="360">
        <v>1.2619654225426071</v>
      </c>
      <c r="N552" s="360">
        <v>1</v>
      </c>
      <c r="O552" s="360">
        <v>0.35209798525992231</v>
      </c>
      <c r="P552" s="360">
        <v>1.2619654225426071</v>
      </c>
      <c r="Q552" s="360">
        <v>0</v>
      </c>
      <c r="R552" s="360">
        <v>0</v>
      </c>
      <c r="S552" s="360">
        <v>0.35209798525992231</v>
      </c>
      <c r="T552" s="360">
        <v>1.2619654225426071</v>
      </c>
      <c r="U552" s="360">
        <v>1</v>
      </c>
      <c r="V552" s="360">
        <v>0.35209798525992231</v>
      </c>
      <c r="W552" s="360">
        <v>1.2619654225426071</v>
      </c>
      <c r="X552" s="360">
        <v>0</v>
      </c>
      <c r="Y552" s="360">
        <v>0.36759630421984751</v>
      </c>
      <c r="Z552" s="360">
        <v>1.2032964039772014</v>
      </c>
      <c r="AA552" s="360">
        <v>0</v>
      </c>
      <c r="AB552" s="360">
        <v>0.36759630421984751</v>
      </c>
      <c r="AC552" s="360">
        <v>1.2032964039772014</v>
      </c>
      <c r="AD552" s="360">
        <v>1</v>
      </c>
      <c r="AE552" s="360">
        <v>0.36759630421984751</v>
      </c>
      <c r="AF552" s="360">
        <v>1.2032964039772014</v>
      </c>
      <c r="AG552" s="360">
        <v>0</v>
      </c>
      <c r="AH552" s="360">
        <v>0</v>
      </c>
      <c r="AI552" s="360">
        <v>0.36759630421984751</v>
      </c>
      <c r="AJ552" s="360">
        <v>1.2032964039772014</v>
      </c>
      <c r="AK552" s="360">
        <v>1</v>
      </c>
      <c r="AL552" s="360">
        <v>0.36759630421984751</v>
      </c>
      <c r="AM552" s="360">
        <v>1.2032964039772014</v>
      </c>
      <c r="AN552" s="360">
        <v>0</v>
      </c>
      <c r="AO552" s="360">
        <f t="shared" si="24"/>
        <v>1</v>
      </c>
      <c r="AP552" s="360">
        <f t="shared" si="25"/>
        <v>0</v>
      </c>
      <c r="AQ552" s="360">
        <f t="shared" si="26"/>
        <v>0</v>
      </c>
    </row>
    <row r="553" spans="1:43">
      <c r="A553" s="360" t="s">
        <v>1083</v>
      </c>
      <c r="B553" t="s">
        <v>1076</v>
      </c>
      <c r="C553">
        <v>2</v>
      </c>
      <c r="D553" t="s">
        <v>1080</v>
      </c>
      <c r="E553" t="s">
        <v>1079</v>
      </c>
      <c r="F553" s="360">
        <v>8</v>
      </c>
      <c r="G553" s="360" t="str">
        <f>CONCATENATE(A553," ",B553," ",C553," ","inf+"," ",FanUpsizes!D553," ",FanUpsizes!F553)</f>
        <v>3ACH 5C 2 inf+ Existing 8</v>
      </c>
      <c r="H553" s="360">
        <v>4.4810386684214616E-2</v>
      </c>
      <c r="I553" s="360">
        <v>0.35209798525992231</v>
      </c>
      <c r="J553" s="360">
        <v>1.2619654225426071</v>
      </c>
      <c r="K553" s="360">
        <v>2635.9333579458394</v>
      </c>
      <c r="L553" s="360">
        <v>0.31136557952676047</v>
      </c>
      <c r="M553" s="360">
        <v>1.517945734815652</v>
      </c>
      <c r="N553" s="360">
        <v>1.3450455280416285</v>
      </c>
      <c r="O553" s="360">
        <v>0.39126015596518338</v>
      </c>
      <c r="P553" s="360">
        <v>1.2619660297482911</v>
      </c>
      <c r="Q553" s="360">
        <v>1330.2875372186131</v>
      </c>
      <c r="R553" s="360">
        <v>2635.9333579458394</v>
      </c>
      <c r="S553" s="360">
        <v>0.31136557952676047</v>
      </c>
      <c r="T553" s="360">
        <v>1.517945734815652</v>
      </c>
      <c r="U553" s="360">
        <v>1.3450455280416285</v>
      </c>
      <c r="V553" s="360">
        <v>0.39126015596518338</v>
      </c>
      <c r="W553" s="360">
        <v>1.2619660297482911</v>
      </c>
      <c r="X553" s="360">
        <v>1330.2875372186131</v>
      </c>
      <c r="Y553" s="360">
        <v>0.36759630421984751</v>
      </c>
      <c r="Z553" s="360">
        <v>1.2032964039772014</v>
      </c>
      <c r="AA553" s="360">
        <v>3038.1600662166679</v>
      </c>
      <c r="AB553" s="360">
        <v>0.32060690485165105</v>
      </c>
      <c r="AC553" s="360">
        <v>1.4755297753913539</v>
      </c>
      <c r="AD553" s="360">
        <v>1.4023302459256703</v>
      </c>
      <c r="AE553" s="360">
        <v>0.41634646240833229</v>
      </c>
      <c r="AF553" s="360">
        <v>1.2033005761877535</v>
      </c>
      <c r="AG553" s="360">
        <v>1488.2370147430865</v>
      </c>
      <c r="AH553" s="360">
        <v>3038.1600662166679</v>
      </c>
      <c r="AI553" s="360">
        <v>0.32060690485165105</v>
      </c>
      <c r="AJ553" s="360">
        <v>1.4755297753913539</v>
      </c>
      <c r="AK553" s="360">
        <v>1.4023302459256703</v>
      </c>
      <c r="AL553" s="360">
        <v>0.41634646240833229</v>
      </c>
      <c r="AM553" s="360">
        <v>1.2033005761877535</v>
      </c>
      <c r="AN553" s="360">
        <v>1488.2370147430865</v>
      </c>
      <c r="AO553" s="360">
        <f t="shared" si="24"/>
        <v>1</v>
      </c>
      <c r="AP553" s="360">
        <f t="shared" si="25"/>
        <v>1</v>
      </c>
      <c r="AQ553" s="360">
        <f t="shared" si="26"/>
        <v>1</v>
      </c>
    </row>
    <row r="554" spans="1:43">
      <c r="A554" s="360" t="s">
        <v>1084</v>
      </c>
      <c r="B554" t="s">
        <v>1075</v>
      </c>
      <c r="C554">
        <v>1</v>
      </c>
      <c r="D554" t="s">
        <v>1078</v>
      </c>
      <c r="E554" t="s">
        <v>1079</v>
      </c>
      <c r="F554" s="360">
        <v>8</v>
      </c>
      <c r="G554" s="360" t="str">
        <f>CONCATENATE(A554," ",B554," ",C554," ","inf+"," ",FanUpsizes!D554," ",FanUpsizes!F554)</f>
        <v>1.5ACH Percentile 1 inf+ New 8</v>
      </c>
      <c r="H554" s="360">
        <v>3.7692993498283672E-2</v>
      </c>
      <c r="I554" s="360">
        <v>0.27869500231224625</v>
      </c>
      <c r="J554" s="360">
        <v>1.1458757398363066</v>
      </c>
      <c r="K554" s="360">
        <v>3371.2868516588574</v>
      </c>
      <c r="L554" s="360">
        <v>0.22593674958770193</v>
      </c>
      <c r="M554" s="360">
        <v>1.6963062430435183</v>
      </c>
      <c r="N554" s="360">
        <v>1.8771734015221517</v>
      </c>
      <c r="O554" s="360">
        <v>0.40939533059575145</v>
      </c>
      <c r="P554" s="360">
        <v>1.14587642638839</v>
      </c>
      <c r="Q554" s="360">
        <v>532.09443949734691</v>
      </c>
      <c r="R554" s="360">
        <v>4866.7962969315431</v>
      </c>
      <c r="S554" s="360">
        <v>0.16620203739586706</v>
      </c>
      <c r="T554" s="360">
        <v>2.3346001875699405</v>
      </c>
      <c r="U554" s="360">
        <v>3.1697037922103162</v>
      </c>
      <c r="V554" s="360">
        <v>0.48260709193708651</v>
      </c>
      <c r="W554" s="360">
        <v>1.1458759897346569</v>
      </c>
      <c r="X554" s="360">
        <v>1293.7084512752847</v>
      </c>
      <c r="Y554" s="360">
        <v>0.28476584798257537</v>
      </c>
      <c r="Z554" s="360">
        <v>1.1218100019419897</v>
      </c>
      <c r="AA554" s="360">
        <v>3491.1776340874098</v>
      </c>
      <c r="AB554" s="360">
        <v>0.23013601236624953</v>
      </c>
      <c r="AC554" s="360">
        <v>1.6734992469349708</v>
      </c>
      <c r="AD554" s="360">
        <v>1.9385485348060869</v>
      </c>
      <c r="AE554" s="360">
        <v>0.42470356595608522</v>
      </c>
      <c r="AF554" s="360">
        <v>1.1218103442869845</v>
      </c>
      <c r="AG554" s="360">
        <v>483.87957769063138</v>
      </c>
      <c r="AH554" s="360">
        <v>4988.1314673254792</v>
      </c>
      <c r="AI554" s="360">
        <v>0.17013049377449455</v>
      </c>
      <c r="AJ554" s="360">
        <v>2.2810005839795253</v>
      </c>
      <c r="AK554" s="360">
        <v>3.2712255740195286</v>
      </c>
      <c r="AL554" s="360">
        <v>0.49986141328764444</v>
      </c>
      <c r="AM554" s="360">
        <v>1.1218101768516746</v>
      </c>
      <c r="AN554" s="360">
        <v>1267.0763213249411</v>
      </c>
      <c r="AO554" s="360">
        <f t="shared" si="24"/>
        <v>1</v>
      </c>
      <c r="AP554" s="360">
        <f t="shared" si="25"/>
        <v>1</v>
      </c>
      <c r="AQ554" s="360">
        <f t="shared" si="26"/>
        <v>1</v>
      </c>
    </row>
    <row r="555" spans="1:43">
      <c r="A555" s="360" t="s">
        <v>1084</v>
      </c>
      <c r="B555" t="s">
        <v>1074</v>
      </c>
      <c r="C555">
        <v>1</v>
      </c>
      <c r="D555" t="s">
        <v>1078</v>
      </c>
      <c r="E555" t="s">
        <v>1079</v>
      </c>
      <c r="F555" s="360">
        <v>8</v>
      </c>
      <c r="G555" s="360" t="str">
        <f>CONCATENATE(A555," ",B555," ",C555," ","inf+"," ",FanUpsizes!D555," ",FanUpsizes!F555)</f>
        <v>1.5ACH Infiltration 1 inf+ New 8</v>
      </c>
      <c r="H555" s="360">
        <v>3.7692993498283672E-2</v>
      </c>
      <c r="I555" s="360">
        <v>0.27869500231224625</v>
      </c>
      <c r="J555" s="360">
        <v>1.1458757398363066</v>
      </c>
      <c r="K555" s="360">
        <v>0</v>
      </c>
      <c r="L555" s="360">
        <v>0.27869500231224625</v>
      </c>
      <c r="M555" s="360">
        <v>1.1458757398363066</v>
      </c>
      <c r="N555" s="360">
        <v>1</v>
      </c>
      <c r="O555" s="360">
        <v>0.27869500231224625</v>
      </c>
      <c r="P555" s="360">
        <v>1.1458757398363066</v>
      </c>
      <c r="Q555" s="360">
        <v>0</v>
      </c>
      <c r="R555" s="360">
        <v>0</v>
      </c>
      <c r="S555" s="360">
        <v>0.27869500231224625</v>
      </c>
      <c r="T555" s="360">
        <v>1.1458757398363066</v>
      </c>
      <c r="U555" s="360">
        <v>1</v>
      </c>
      <c r="V555" s="360">
        <v>0.27869500231224625</v>
      </c>
      <c r="W555" s="360">
        <v>1.1458757398363066</v>
      </c>
      <c r="X555" s="360">
        <v>0</v>
      </c>
      <c r="Y555" s="360">
        <v>0.28476584798257537</v>
      </c>
      <c r="Z555" s="360">
        <v>1.1218100019419897</v>
      </c>
      <c r="AA555" s="360">
        <v>0</v>
      </c>
      <c r="AB555" s="360">
        <v>0.28476584798257537</v>
      </c>
      <c r="AC555" s="360">
        <v>1.1218100019419897</v>
      </c>
      <c r="AD555" s="360">
        <v>1</v>
      </c>
      <c r="AE555" s="360">
        <v>0.28476584798257537</v>
      </c>
      <c r="AF555" s="360">
        <v>1.1218100019419897</v>
      </c>
      <c r="AG555" s="360">
        <v>0</v>
      </c>
      <c r="AH555" s="360">
        <v>0</v>
      </c>
      <c r="AI555" s="360">
        <v>0.28476584798257537</v>
      </c>
      <c r="AJ555" s="360">
        <v>1.1218100019419897</v>
      </c>
      <c r="AK555" s="360">
        <v>1</v>
      </c>
      <c r="AL555" s="360">
        <v>0.28476584798257537</v>
      </c>
      <c r="AM555" s="360">
        <v>1.1218100019419897</v>
      </c>
      <c r="AN555" s="360">
        <v>0</v>
      </c>
      <c r="AO555" s="360">
        <f t="shared" si="24"/>
        <v>1</v>
      </c>
      <c r="AP555" s="360">
        <f t="shared" si="25"/>
        <v>0</v>
      </c>
      <c r="AQ555" s="360">
        <f t="shared" si="26"/>
        <v>0</v>
      </c>
    </row>
    <row r="556" spans="1:43">
      <c r="A556" s="360" t="s">
        <v>1084</v>
      </c>
      <c r="B556" t="s">
        <v>1076</v>
      </c>
      <c r="C556">
        <v>1</v>
      </c>
      <c r="D556" t="s">
        <v>1078</v>
      </c>
      <c r="E556" t="s">
        <v>1079</v>
      </c>
      <c r="F556" s="360">
        <v>8</v>
      </c>
      <c r="G556" s="360" t="str">
        <f>CONCATENATE(A556," ",B556," ",C556," ","inf+"," ",FanUpsizes!D556," ",FanUpsizes!F556)</f>
        <v>1.5ACH 5C 1 inf+ New 8</v>
      </c>
      <c r="H556" s="360">
        <v>3.7692993498283672E-2</v>
      </c>
      <c r="I556" s="360">
        <v>0.27869500231224625</v>
      </c>
      <c r="J556" s="360">
        <v>1.1458757398363066</v>
      </c>
      <c r="K556" s="360">
        <v>3179.6657357087515</v>
      </c>
      <c r="L556" s="360">
        <v>0.22943357760420591</v>
      </c>
      <c r="M556" s="360">
        <v>1.6453081329560233</v>
      </c>
      <c r="N556" s="360">
        <v>1.7318811494215811</v>
      </c>
      <c r="O556" s="360">
        <v>0.38567206246656843</v>
      </c>
      <c r="P556" s="360">
        <v>1.1458757708097571</v>
      </c>
      <c r="Q556" s="360">
        <v>635.05482312892264</v>
      </c>
      <c r="R556" s="360">
        <v>3179.6657357087515</v>
      </c>
      <c r="S556" s="360">
        <v>0.22943357760420591</v>
      </c>
      <c r="T556" s="360">
        <v>1.6453081329560233</v>
      </c>
      <c r="U556" s="360">
        <v>1.7318811494215811</v>
      </c>
      <c r="V556" s="360">
        <v>0.38567206246656843</v>
      </c>
      <c r="W556" s="360">
        <v>1.1458757708097571</v>
      </c>
      <c r="X556" s="360">
        <v>635.05482312892264</v>
      </c>
      <c r="Y556" s="360">
        <v>0.28476584798257537</v>
      </c>
      <c r="Z556" s="360">
        <v>1.1218100019419897</v>
      </c>
      <c r="AA556" s="360">
        <v>3294.1415846050099</v>
      </c>
      <c r="AB556" s="360">
        <v>0.233732582151739</v>
      </c>
      <c r="AC556" s="360">
        <v>1.6223424071144992</v>
      </c>
      <c r="AD556" s="360">
        <v>1.7809851994724888</v>
      </c>
      <c r="AE556" s="360">
        <v>0.39890104432895146</v>
      </c>
      <c r="AF556" s="360">
        <v>1.1218103398265533</v>
      </c>
      <c r="AG556" s="360">
        <v>607.31970308044845</v>
      </c>
      <c r="AH556" s="360">
        <v>3294.1415846050099</v>
      </c>
      <c r="AI556" s="360">
        <v>0.233732582151739</v>
      </c>
      <c r="AJ556" s="360">
        <v>1.6223424071144992</v>
      </c>
      <c r="AK556" s="360">
        <v>1.7809851994724888</v>
      </c>
      <c r="AL556" s="360">
        <v>0.39890104432895146</v>
      </c>
      <c r="AM556" s="360">
        <v>1.1218103398265533</v>
      </c>
      <c r="AN556" s="360">
        <v>607.31970308044845</v>
      </c>
      <c r="AO556" s="360">
        <f t="shared" si="24"/>
        <v>1</v>
      </c>
      <c r="AP556" s="360">
        <f t="shared" si="25"/>
        <v>1</v>
      </c>
      <c r="AQ556" s="360">
        <f t="shared" si="26"/>
        <v>1</v>
      </c>
    </row>
    <row r="557" spans="1:43">
      <c r="A557" s="360" t="s">
        <v>1084</v>
      </c>
      <c r="B557" t="s">
        <v>1075</v>
      </c>
      <c r="C557">
        <v>2</v>
      </c>
      <c r="D557" t="s">
        <v>1078</v>
      </c>
      <c r="E557" t="s">
        <v>1079</v>
      </c>
      <c r="F557" s="360">
        <v>8</v>
      </c>
      <c r="G557" s="360" t="str">
        <f>CONCATENATE(A557," ",B557," ",C557," ","inf+"," ",FanUpsizes!D557," ",FanUpsizes!F557)</f>
        <v>1.5ACH Percentile 2 inf+ New 8</v>
      </c>
      <c r="H557" s="360">
        <v>3.5912693342107303E-2</v>
      </c>
      <c r="I557" s="360">
        <v>0.26850009523460983</v>
      </c>
      <c r="J557" s="360">
        <v>1.1908963415205187</v>
      </c>
      <c r="K557" s="360">
        <v>2870.5700168966359</v>
      </c>
      <c r="L557" s="360">
        <v>0.22358947756139783</v>
      </c>
      <c r="M557" s="360">
        <v>1.622613397189026</v>
      </c>
      <c r="N557" s="360">
        <v>1.6221231586363838</v>
      </c>
      <c r="O557" s="360">
        <v>0.34518210564375906</v>
      </c>
      <c r="P557" s="360">
        <v>1.1908964454702127</v>
      </c>
      <c r="Q557" s="360">
        <v>993.18172235335214</v>
      </c>
      <c r="R557" s="360">
        <v>4219.8010472566966</v>
      </c>
      <c r="S557" s="360">
        <v>0.16954080011714606</v>
      </c>
      <c r="T557" s="360">
        <v>2.1643731680202065</v>
      </c>
      <c r="U557" s="360">
        <v>2.6933971611330905</v>
      </c>
      <c r="V557" s="360">
        <v>0.39928090442125574</v>
      </c>
      <c r="W557" s="360">
        <v>1.1908970562168213</v>
      </c>
      <c r="X557" s="360">
        <v>1683.0731280494851</v>
      </c>
      <c r="Y557" s="360">
        <v>0.27732776881837878</v>
      </c>
      <c r="Z557" s="360">
        <v>1.153154669913723</v>
      </c>
      <c r="AA557" s="360">
        <v>3064.7684722354643</v>
      </c>
      <c r="AB557" s="360">
        <v>0.22939234292915808</v>
      </c>
      <c r="AC557" s="360">
        <v>1.5905506871649551</v>
      </c>
      <c r="AD557" s="360">
        <v>1.6849472065467572</v>
      </c>
      <c r="AE557" s="360">
        <v>0.36282836705691923</v>
      </c>
      <c r="AF557" s="360">
        <v>1.1531550703116598</v>
      </c>
      <c r="AG557" s="360">
        <v>1004.1557967073779</v>
      </c>
      <c r="AH557" s="360">
        <v>4442.420750182856</v>
      </c>
      <c r="AI557" s="360">
        <v>0.17400497681111401</v>
      </c>
      <c r="AJ557" s="360">
        <v>2.1096707648249713</v>
      </c>
      <c r="AK557" s="360">
        <v>2.7960389428377455</v>
      </c>
      <c r="AL557" s="360">
        <v>0.4183244494653463</v>
      </c>
      <c r="AM557" s="360">
        <v>1.1531548507629175</v>
      </c>
      <c r="AN557" s="360">
        <v>1717.9659066350139</v>
      </c>
      <c r="AO557" s="360">
        <f t="shared" si="24"/>
        <v>1</v>
      </c>
      <c r="AP557" s="360">
        <f t="shared" si="25"/>
        <v>1</v>
      </c>
      <c r="AQ557" s="360">
        <f t="shared" si="26"/>
        <v>1</v>
      </c>
    </row>
    <row r="558" spans="1:43">
      <c r="A558" s="360" t="s">
        <v>1084</v>
      </c>
      <c r="B558" t="s">
        <v>1074</v>
      </c>
      <c r="C558">
        <v>2</v>
      </c>
      <c r="D558" t="s">
        <v>1078</v>
      </c>
      <c r="E558" t="s">
        <v>1079</v>
      </c>
      <c r="F558" s="360">
        <v>8</v>
      </c>
      <c r="G558" s="360" t="str">
        <f>CONCATENATE(A558," ",B558," ",C558," ","inf+"," ",FanUpsizes!D558," ",FanUpsizes!F558)</f>
        <v>1.5ACH Infiltration 2 inf+ New 8</v>
      </c>
      <c r="H558" s="360">
        <v>3.5912693342107303E-2</v>
      </c>
      <c r="I558" s="360">
        <v>0.26850009523460983</v>
      </c>
      <c r="J558" s="360">
        <v>1.1908963415205187</v>
      </c>
      <c r="K558" s="360">
        <v>0</v>
      </c>
      <c r="L558" s="360">
        <v>0.26850009523460983</v>
      </c>
      <c r="M558" s="360">
        <v>1.1908963415205187</v>
      </c>
      <c r="N558" s="360">
        <v>1</v>
      </c>
      <c r="O558" s="360">
        <v>0.26850009523460983</v>
      </c>
      <c r="P558" s="360">
        <v>1.1908963415205187</v>
      </c>
      <c r="Q558" s="360">
        <v>0</v>
      </c>
      <c r="R558" s="360">
        <v>0</v>
      </c>
      <c r="S558" s="360">
        <v>0.26850009523460983</v>
      </c>
      <c r="T558" s="360">
        <v>1.1908963415205187</v>
      </c>
      <c r="U558" s="360">
        <v>1</v>
      </c>
      <c r="V558" s="360">
        <v>0.26850009523460983</v>
      </c>
      <c r="W558" s="360">
        <v>1.1908963415205187</v>
      </c>
      <c r="X558" s="360">
        <v>0</v>
      </c>
      <c r="Y558" s="360">
        <v>0.27732776881837878</v>
      </c>
      <c r="Z558" s="360">
        <v>1.153154669913723</v>
      </c>
      <c r="AA558" s="360">
        <v>0</v>
      </c>
      <c r="AB558" s="360">
        <v>0.27732776881837878</v>
      </c>
      <c r="AC558" s="360">
        <v>1.153154669913723</v>
      </c>
      <c r="AD558" s="360">
        <v>1</v>
      </c>
      <c r="AE558" s="360">
        <v>0.27732776881837878</v>
      </c>
      <c r="AF558" s="360">
        <v>1.153154669913723</v>
      </c>
      <c r="AG558" s="360">
        <v>0</v>
      </c>
      <c r="AH558" s="360">
        <v>0</v>
      </c>
      <c r="AI558" s="360">
        <v>0.27732776881837878</v>
      </c>
      <c r="AJ558" s="360">
        <v>1.153154669913723</v>
      </c>
      <c r="AK558" s="360">
        <v>1</v>
      </c>
      <c r="AL558" s="360">
        <v>0.27732776881837878</v>
      </c>
      <c r="AM558" s="360">
        <v>1.153154669913723</v>
      </c>
      <c r="AN558" s="360">
        <v>0</v>
      </c>
      <c r="AO558" s="360">
        <f t="shared" si="24"/>
        <v>1</v>
      </c>
      <c r="AP558" s="360">
        <f t="shared" si="25"/>
        <v>0</v>
      </c>
      <c r="AQ558" s="360">
        <f t="shared" si="26"/>
        <v>0</v>
      </c>
    </row>
    <row r="559" spans="1:43">
      <c r="A559" s="360" t="s">
        <v>1084</v>
      </c>
      <c r="B559" t="s">
        <v>1076</v>
      </c>
      <c r="C559">
        <v>2</v>
      </c>
      <c r="D559" t="s">
        <v>1078</v>
      </c>
      <c r="E559" t="s">
        <v>1079</v>
      </c>
      <c r="F559" s="360">
        <v>8</v>
      </c>
      <c r="G559" s="360" t="str">
        <f>CONCATENATE(A559," ",B559," ",C559," ","inf+"," ",FanUpsizes!D559," ",FanUpsizes!F559)</f>
        <v>1.5ACH 5C 2 inf+ New 8</v>
      </c>
      <c r="H559" s="360">
        <v>3.5912693342107303E-2</v>
      </c>
      <c r="I559" s="360">
        <v>0.26850009523460983</v>
      </c>
      <c r="J559" s="360">
        <v>1.1908963415205187</v>
      </c>
      <c r="K559" s="360">
        <v>2704.5876597744623</v>
      </c>
      <c r="L559" s="360">
        <v>0.2266157293411708</v>
      </c>
      <c r="M559" s="360">
        <v>1.5851926344154024</v>
      </c>
      <c r="N559" s="360">
        <v>1.5350780415606091</v>
      </c>
      <c r="O559" s="360">
        <v>0.33315120915153107</v>
      </c>
      <c r="P559" s="360">
        <v>1.1908967354661364</v>
      </c>
      <c r="Q559" s="360">
        <v>973.15432296903987</v>
      </c>
      <c r="R559" s="360">
        <v>2704.5876597744623</v>
      </c>
      <c r="S559" s="360">
        <v>0.2266157293411708</v>
      </c>
      <c r="T559" s="360">
        <v>1.5851926344154024</v>
      </c>
      <c r="U559" s="360">
        <v>1.5350780415606091</v>
      </c>
      <c r="V559" s="360">
        <v>0.33315120915153107</v>
      </c>
      <c r="W559" s="360">
        <v>1.1908967354661364</v>
      </c>
      <c r="X559" s="360">
        <v>973.15432296903987</v>
      </c>
      <c r="Y559" s="360">
        <v>0.27732776881837878</v>
      </c>
      <c r="Z559" s="360">
        <v>1.153154669913723</v>
      </c>
      <c r="AA559" s="360">
        <v>2890.8789561903068</v>
      </c>
      <c r="AB559" s="360">
        <v>0.23256371919317123</v>
      </c>
      <c r="AC559" s="360">
        <v>1.5526444873317879</v>
      </c>
      <c r="AD559" s="360">
        <v>1.5870587071592868</v>
      </c>
      <c r="AE559" s="360">
        <v>0.34917477631703481</v>
      </c>
      <c r="AF559" s="360">
        <v>1.1531550130934527</v>
      </c>
      <c r="AG559" s="360">
        <v>995.75260581750877</v>
      </c>
      <c r="AH559" s="360">
        <v>2890.8789561903068</v>
      </c>
      <c r="AI559" s="360">
        <v>0.23256371919317123</v>
      </c>
      <c r="AJ559" s="360">
        <v>1.5526444873317879</v>
      </c>
      <c r="AK559" s="360">
        <v>1.5870587071592868</v>
      </c>
      <c r="AL559" s="360">
        <v>0.34917477631703481</v>
      </c>
      <c r="AM559" s="360">
        <v>1.1531550130934527</v>
      </c>
      <c r="AN559" s="360">
        <v>995.75260581750877</v>
      </c>
      <c r="AO559" s="360">
        <f t="shared" si="24"/>
        <v>1</v>
      </c>
      <c r="AP559" s="360">
        <f t="shared" si="25"/>
        <v>1</v>
      </c>
      <c r="AQ559" s="360">
        <f t="shared" si="26"/>
        <v>1</v>
      </c>
    </row>
    <row r="560" spans="1:43">
      <c r="A560" s="360" t="s">
        <v>1084</v>
      </c>
      <c r="B560" t="s">
        <v>1075</v>
      </c>
      <c r="C560">
        <v>1</v>
      </c>
      <c r="D560" t="s">
        <v>1080</v>
      </c>
      <c r="E560" t="s">
        <v>1079</v>
      </c>
      <c r="F560" s="360">
        <v>8</v>
      </c>
      <c r="G560" s="360" t="str">
        <f>CONCATENATE(A560," ",B560," ",C560," ","inf+"," ",FanUpsizes!D560," ",FanUpsizes!F560)</f>
        <v>1.5ACH Percentile 1 inf+ Existing 8</v>
      </c>
      <c r="H560" s="360">
        <v>5.3942993498283673E-2</v>
      </c>
      <c r="I560" s="360">
        <v>0.39820138184264114</v>
      </c>
      <c r="J560" s="360">
        <v>1.1031068618783717</v>
      </c>
      <c r="K560" s="360">
        <v>5256.1276078156925</v>
      </c>
      <c r="L560" s="360">
        <v>0.31593231524036514</v>
      </c>
      <c r="M560" s="360">
        <v>1.8494565049815075</v>
      </c>
      <c r="N560" s="360">
        <v>2.8202132058522169</v>
      </c>
      <c r="O560" s="360">
        <v>0.86197106922880673</v>
      </c>
      <c r="P560" s="360">
        <v>1.1031068664269341</v>
      </c>
      <c r="Q560" s="360">
        <v>-3192.6915385817765</v>
      </c>
      <c r="R560" s="360">
        <v>7462.093908570866</v>
      </c>
      <c r="S560" s="360">
        <v>0.22783424722273338</v>
      </c>
      <c r="T560" s="360">
        <v>2.5570311600398479</v>
      </c>
      <c r="U560" s="360">
        <v>4.7934697570643392</v>
      </c>
      <c r="V560" s="360">
        <v>1.0259871222938159</v>
      </c>
      <c r="W560" s="360">
        <v>1.1031068804413635</v>
      </c>
      <c r="X560" s="360">
        <v>-1630.7016553328638</v>
      </c>
      <c r="Y560" s="360">
        <v>0.40279409219833467</v>
      </c>
      <c r="Z560" s="360">
        <v>1.090668883977258</v>
      </c>
      <c r="AA560" s="360">
        <v>5342.82980244595</v>
      </c>
      <c r="AB560" s="360">
        <v>0.31916947027833359</v>
      </c>
      <c r="AC560" s="360">
        <v>1.837193986378822</v>
      </c>
      <c r="AD560" s="360">
        <v>2.9048796033598054</v>
      </c>
      <c r="AE560" s="360">
        <v>0.88852325970957402</v>
      </c>
      <c r="AF560" s="360">
        <v>1.0906689855574148</v>
      </c>
      <c r="AG560" s="360">
        <v>-3463.1173743640729</v>
      </c>
      <c r="AH560" s="360">
        <v>7529.7387494477325</v>
      </c>
      <c r="AI560" s="360">
        <v>0.23169046293769371</v>
      </c>
      <c r="AJ560" s="360">
        <v>2.5140535752160966</v>
      </c>
      <c r="AK560" s="360">
        <v>4.9361643515240647</v>
      </c>
      <c r="AL560" s="360">
        <v>1.0571395319748094</v>
      </c>
      <c r="AM560" s="360">
        <v>1.0906690505868839</v>
      </c>
      <c r="AN560" s="360">
        <v>-1854.4396194828366</v>
      </c>
      <c r="AO560" s="360">
        <f t="shared" si="24"/>
        <v>1</v>
      </c>
      <c r="AP560" s="360">
        <f t="shared" si="25"/>
        <v>1</v>
      </c>
      <c r="AQ560" s="360">
        <f t="shared" si="26"/>
        <v>1</v>
      </c>
    </row>
    <row r="561" spans="1:43">
      <c r="A561" s="360" t="s">
        <v>1084</v>
      </c>
      <c r="B561" t="s">
        <v>1074</v>
      </c>
      <c r="C561">
        <v>1</v>
      </c>
      <c r="D561" t="s">
        <v>1080</v>
      </c>
      <c r="E561" t="s">
        <v>1079</v>
      </c>
      <c r="F561" s="360">
        <v>8</v>
      </c>
      <c r="G561" s="360" t="str">
        <f>CONCATENATE(A561," ",B561," ",C561," ","inf+"," ",FanUpsizes!D561," ",FanUpsizes!F561)</f>
        <v>1.5ACH Infiltration 1 inf+ Existing 8</v>
      </c>
      <c r="H561" s="360">
        <v>5.3942993498283673E-2</v>
      </c>
      <c r="I561" s="360">
        <v>0.39820138184264114</v>
      </c>
      <c r="J561" s="360">
        <v>1.1031068618783717</v>
      </c>
      <c r="K561" s="360">
        <v>0</v>
      </c>
      <c r="L561" s="360">
        <v>0.39820138184264114</v>
      </c>
      <c r="M561" s="360">
        <v>1.1031068618783717</v>
      </c>
      <c r="N561" s="360">
        <v>1</v>
      </c>
      <c r="O561" s="360">
        <v>0.39820138184264114</v>
      </c>
      <c r="P561" s="360">
        <v>1.1031068618783717</v>
      </c>
      <c r="Q561" s="360">
        <v>0</v>
      </c>
      <c r="R561" s="360">
        <v>0</v>
      </c>
      <c r="S561" s="360">
        <v>0.39820138184264114</v>
      </c>
      <c r="T561" s="360">
        <v>1.1031068618783717</v>
      </c>
      <c r="U561" s="360">
        <v>1</v>
      </c>
      <c r="V561" s="360">
        <v>0.39820138184264114</v>
      </c>
      <c r="W561" s="360">
        <v>1.1031068618783717</v>
      </c>
      <c r="X561" s="360">
        <v>0</v>
      </c>
      <c r="Y561" s="360">
        <v>0.40279409219833467</v>
      </c>
      <c r="Z561" s="360">
        <v>1.090668883977258</v>
      </c>
      <c r="AA561" s="360">
        <v>0</v>
      </c>
      <c r="AB561" s="360">
        <v>0.40279409219833467</v>
      </c>
      <c r="AC561" s="360">
        <v>1.090668883977258</v>
      </c>
      <c r="AD561" s="360">
        <v>1</v>
      </c>
      <c r="AE561" s="360">
        <v>0.40279409219833467</v>
      </c>
      <c r="AF561" s="360">
        <v>1.090668883977258</v>
      </c>
      <c r="AG561" s="360">
        <v>0</v>
      </c>
      <c r="AH561" s="360">
        <v>0</v>
      </c>
      <c r="AI561" s="360">
        <v>0.40279409219833467</v>
      </c>
      <c r="AJ561" s="360">
        <v>1.090668883977258</v>
      </c>
      <c r="AK561" s="360">
        <v>1</v>
      </c>
      <c r="AL561" s="360">
        <v>0.40279409219833467</v>
      </c>
      <c r="AM561" s="360">
        <v>1.090668883977258</v>
      </c>
      <c r="AN561" s="360">
        <v>0</v>
      </c>
      <c r="AO561" s="360">
        <f t="shared" si="24"/>
        <v>1</v>
      </c>
      <c r="AP561" s="360">
        <f t="shared" si="25"/>
        <v>0</v>
      </c>
      <c r="AQ561" s="360">
        <f t="shared" si="26"/>
        <v>0</v>
      </c>
    </row>
    <row r="562" spans="1:43">
      <c r="A562" s="360" t="s">
        <v>1084</v>
      </c>
      <c r="B562" t="s">
        <v>1076</v>
      </c>
      <c r="C562">
        <v>1</v>
      </c>
      <c r="D562" t="s">
        <v>1080</v>
      </c>
      <c r="E562" t="s">
        <v>1079</v>
      </c>
      <c r="F562" s="360">
        <v>8</v>
      </c>
      <c r="G562" s="360" t="str">
        <f>CONCATENATE(A562," ",B562," ",C562," ","inf+"," ",FanUpsizes!D562," ",FanUpsizes!F562)</f>
        <v>1.5ACH 5C 1 inf+ Existing 8</v>
      </c>
      <c r="H562" s="360">
        <v>5.3942993498283673E-2</v>
      </c>
      <c r="I562" s="360">
        <v>0.39820138184264114</v>
      </c>
      <c r="J562" s="360">
        <v>1.1031068618783717</v>
      </c>
      <c r="K562" s="360">
        <v>4960.960903988861</v>
      </c>
      <c r="L562" s="360">
        <v>0.3213227406880747</v>
      </c>
      <c r="M562" s="360">
        <v>1.7766035400154729</v>
      </c>
      <c r="N562" s="360">
        <v>2.3715871445897916</v>
      </c>
      <c r="O562" s="360">
        <v>0.74149349544161991</v>
      </c>
      <c r="P562" s="360">
        <v>1.1031075598150322</v>
      </c>
      <c r="Q562" s="360">
        <v>-1882.6247133087904</v>
      </c>
      <c r="R562" s="360">
        <v>4960.960903988861</v>
      </c>
      <c r="S562" s="360">
        <v>0.3213227406880747</v>
      </c>
      <c r="T562" s="360">
        <v>1.7766035400154729</v>
      </c>
      <c r="U562" s="360">
        <v>2.3715871445897916</v>
      </c>
      <c r="V562" s="360">
        <v>0.74149349544161991</v>
      </c>
      <c r="W562" s="360">
        <v>1.1031075598150322</v>
      </c>
      <c r="X562" s="360">
        <v>-1882.6247133087904</v>
      </c>
      <c r="Y562" s="360">
        <v>0.40279409219833467</v>
      </c>
      <c r="Z562" s="360">
        <v>1.090668883977258</v>
      </c>
      <c r="AA562" s="360">
        <v>5042.9268705493614</v>
      </c>
      <c r="AB562" s="360">
        <v>0.32464726950773082</v>
      </c>
      <c r="AC562" s="360">
        <v>1.7642367306404105</v>
      </c>
      <c r="AD562" s="360">
        <v>2.4281995673014243</v>
      </c>
      <c r="AE562" s="360">
        <v>0.76025042123065789</v>
      </c>
      <c r="AF562" s="360">
        <v>1.0906690056823449</v>
      </c>
      <c r="AG562" s="360">
        <v>-2048.2639981199536</v>
      </c>
      <c r="AH562" s="360">
        <v>5042.9268705493614</v>
      </c>
      <c r="AI562" s="360">
        <v>0.32464726950773082</v>
      </c>
      <c r="AJ562" s="360">
        <v>1.7642367306404105</v>
      </c>
      <c r="AK562" s="360">
        <v>2.4281995673014243</v>
      </c>
      <c r="AL562" s="360">
        <v>0.76025042123065789</v>
      </c>
      <c r="AM562" s="360">
        <v>1.0906690056823449</v>
      </c>
      <c r="AN562" s="360">
        <v>-2048.2639981199536</v>
      </c>
      <c r="AO562" s="360">
        <f t="shared" si="24"/>
        <v>1</v>
      </c>
      <c r="AP562" s="360">
        <f t="shared" si="25"/>
        <v>1</v>
      </c>
      <c r="AQ562" s="360">
        <f t="shared" si="26"/>
        <v>1</v>
      </c>
    </row>
    <row r="563" spans="1:43">
      <c r="A563" s="360" t="s">
        <v>1084</v>
      </c>
      <c r="B563" t="s">
        <v>1075</v>
      </c>
      <c r="C563">
        <v>2</v>
      </c>
      <c r="D563" t="s">
        <v>1080</v>
      </c>
      <c r="E563" t="s">
        <v>1079</v>
      </c>
      <c r="F563" s="360">
        <v>8</v>
      </c>
      <c r="G563" s="360" t="str">
        <f>CONCATENATE(A563," ",B563," ",C563," ","inf+"," ",FanUpsizes!D563," ",FanUpsizes!F563)</f>
        <v>1.5ACH Percentile 2 inf+ Existing 8</v>
      </c>
      <c r="H563" s="360">
        <v>5.2162693342107304E-2</v>
      </c>
      <c r="I563" s="360">
        <v>0.38567681021842681</v>
      </c>
      <c r="J563" s="360">
        <v>1.1390654536420832</v>
      </c>
      <c r="K563" s="360">
        <v>4735.6098386215108</v>
      </c>
      <c r="L563" s="360">
        <v>0.3115729923875481</v>
      </c>
      <c r="M563" s="360">
        <v>1.753921510658587</v>
      </c>
      <c r="N563" s="360">
        <v>2.1916975375179391</v>
      </c>
      <c r="O563" s="360">
        <v>0.65670130835632767</v>
      </c>
      <c r="P563" s="360">
        <v>1.1390654810010534</v>
      </c>
      <c r="Q563" s="360">
        <v>-605.36359118451981</v>
      </c>
      <c r="R563" s="360">
        <v>6807.1966564035865</v>
      </c>
      <c r="S563" s="360">
        <v>0.22885965644697176</v>
      </c>
      <c r="T563" s="360">
        <v>2.3849587317163952</v>
      </c>
      <c r="U563" s="360">
        <v>3.6887769100844516</v>
      </c>
      <c r="V563" s="360">
        <v>0.77253443159250756</v>
      </c>
      <c r="W563" s="360">
        <v>1.1390656274160142</v>
      </c>
      <c r="X563" s="360">
        <v>653.15348191657313</v>
      </c>
      <c r="Y563" s="360">
        <v>0.39368157729140657</v>
      </c>
      <c r="Z563" s="360">
        <v>1.116298293061458</v>
      </c>
      <c r="AA563" s="360">
        <v>4886.7150922784685</v>
      </c>
      <c r="AB563" s="360">
        <v>0.31721655091644801</v>
      </c>
      <c r="AC563" s="360">
        <v>1.7328078964454567</v>
      </c>
      <c r="AD563" s="360">
        <v>2.2818856211942209</v>
      </c>
      <c r="AE563" s="360">
        <v>0.68567417160408184</v>
      </c>
      <c r="AF563" s="360">
        <v>1.1162982982746261</v>
      </c>
      <c r="AG563" s="360">
        <v>-810.22861318785374</v>
      </c>
      <c r="AH563" s="360">
        <v>6962.3581181371419</v>
      </c>
      <c r="AI563" s="360">
        <v>0.23407115555608904</v>
      </c>
      <c r="AJ563" s="360">
        <v>2.3338976829794564</v>
      </c>
      <c r="AK563" s="360">
        <v>3.8386007239113114</v>
      </c>
      <c r="AL563" s="360">
        <v>0.80572969581322496</v>
      </c>
      <c r="AM563" s="360">
        <v>1.1162982947742077</v>
      </c>
      <c r="AN563" s="360">
        <v>496.70151024523398</v>
      </c>
      <c r="AO563" s="360">
        <f t="shared" si="24"/>
        <v>1</v>
      </c>
      <c r="AP563" s="360">
        <f t="shared" si="25"/>
        <v>1</v>
      </c>
      <c r="AQ563" s="360">
        <f t="shared" si="26"/>
        <v>1</v>
      </c>
    </row>
    <row r="564" spans="1:43">
      <c r="A564" s="360" t="s">
        <v>1084</v>
      </c>
      <c r="B564" t="s">
        <v>1074</v>
      </c>
      <c r="C564">
        <v>2</v>
      </c>
      <c r="D564" t="s">
        <v>1080</v>
      </c>
      <c r="E564" t="s">
        <v>1079</v>
      </c>
      <c r="F564" s="360">
        <v>8</v>
      </c>
      <c r="G564" s="360" t="str">
        <f>CONCATENATE(A564," ",B564," ",C564," ","inf+"," ",FanUpsizes!D564," ",FanUpsizes!F564)</f>
        <v>1.5ACH Infiltration 2 inf+ Existing 8</v>
      </c>
      <c r="H564" s="360">
        <v>5.2162693342107304E-2</v>
      </c>
      <c r="I564" s="360">
        <v>0.38567681021842681</v>
      </c>
      <c r="J564" s="360">
        <v>1.1390654536420832</v>
      </c>
      <c r="K564" s="360">
        <v>0</v>
      </c>
      <c r="L564" s="360">
        <v>0.38567681021842681</v>
      </c>
      <c r="M564" s="360">
        <v>1.1390654536420832</v>
      </c>
      <c r="N564" s="360">
        <v>1</v>
      </c>
      <c r="O564" s="360">
        <v>0.38567681021842681</v>
      </c>
      <c r="P564" s="360">
        <v>1.1390654536420832</v>
      </c>
      <c r="Q564" s="360">
        <v>0</v>
      </c>
      <c r="R564" s="360">
        <v>0</v>
      </c>
      <c r="S564" s="360">
        <v>0.38567681021842681</v>
      </c>
      <c r="T564" s="360">
        <v>1.1390654536420832</v>
      </c>
      <c r="U564" s="360">
        <v>1</v>
      </c>
      <c r="V564" s="360">
        <v>0.38567681021842681</v>
      </c>
      <c r="W564" s="360">
        <v>1.1390654536420832</v>
      </c>
      <c r="X564" s="360">
        <v>0</v>
      </c>
      <c r="Y564" s="360">
        <v>0.39368157729140657</v>
      </c>
      <c r="Z564" s="360">
        <v>1.116298293061458</v>
      </c>
      <c r="AA564" s="360">
        <v>0</v>
      </c>
      <c r="AB564" s="360">
        <v>0.39368157729140657</v>
      </c>
      <c r="AC564" s="360">
        <v>1.116298293061458</v>
      </c>
      <c r="AD564" s="360">
        <v>1</v>
      </c>
      <c r="AE564" s="360">
        <v>0.39368157729140657</v>
      </c>
      <c r="AF564" s="360">
        <v>1.116298293061458</v>
      </c>
      <c r="AG564" s="360">
        <v>0</v>
      </c>
      <c r="AH564" s="360">
        <v>0</v>
      </c>
      <c r="AI564" s="360">
        <v>0.39368157729140657</v>
      </c>
      <c r="AJ564" s="360">
        <v>1.116298293061458</v>
      </c>
      <c r="AK564" s="360">
        <v>1</v>
      </c>
      <c r="AL564" s="360">
        <v>0.39368157729140657</v>
      </c>
      <c r="AM564" s="360">
        <v>1.116298293061458</v>
      </c>
      <c r="AN564" s="360">
        <v>0</v>
      </c>
      <c r="AO564" s="360">
        <f t="shared" si="24"/>
        <v>1</v>
      </c>
      <c r="AP564" s="360">
        <f t="shared" si="25"/>
        <v>0</v>
      </c>
      <c r="AQ564" s="360">
        <f t="shared" si="26"/>
        <v>0</v>
      </c>
    </row>
    <row r="565" spans="1:43">
      <c r="A565" s="360" t="s">
        <v>1084</v>
      </c>
      <c r="B565" t="s">
        <v>1076</v>
      </c>
      <c r="C565">
        <v>2</v>
      </c>
      <c r="D565" t="s">
        <v>1080</v>
      </c>
      <c r="E565" t="s">
        <v>1079</v>
      </c>
      <c r="F565" s="360">
        <v>8</v>
      </c>
      <c r="G565" s="360" t="str">
        <f>CONCATENATE(A565," ",B565," ",C565," ","inf+"," ",FanUpsizes!D565," ",FanUpsizes!F565)</f>
        <v>1.5ACH 5C 2 inf+ Existing 8</v>
      </c>
      <c r="H565" s="360">
        <v>5.2162693342107304E-2</v>
      </c>
      <c r="I565" s="360">
        <v>0.38567681021842681</v>
      </c>
      <c r="J565" s="360">
        <v>1.1390654536420832</v>
      </c>
      <c r="K565" s="360">
        <v>4467.3945712996019</v>
      </c>
      <c r="L565" s="360">
        <v>0.31646826394831817</v>
      </c>
      <c r="M565" s="360">
        <v>1.6978759462618414</v>
      </c>
      <c r="N565" s="360">
        <v>1.9622224007162892</v>
      </c>
      <c r="O565" s="360">
        <v>0.60091628531710461</v>
      </c>
      <c r="P565" s="360">
        <v>1.139065533663556</v>
      </c>
      <c r="Q565" s="360">
        <v>-165.57420756954744</v>
      </c>
      <c r="R565" s="360">
        <v>4467.3945712996019</v>
      </c>
      <c r="S565" s="360">
        <v>0.31646826394831817</v>
      </c>
      <c r="T565" s="360">
        <v>1.6978759462618414</v>
      </c>
      <c r="U565" s="360">
        <v>1.9622224007162892</v>
      </c>
      <c r="V565" s="360">
        <v>0.60091628531710461</v>
      </c>
      <c r="W565" s="360">
        <v>1.139065533663556</v>
      </c>
      <c r="X565" s="360">
        <v>-165.57420756954744</v>
      </c>
      <c r="Y565" s="360">
        <v>0.39368157729140657</v>
      </c>
      <c r="Z565" s="360">
        <v>1.116298293061458</v>
      </c>
      <c r="AA565" s="360">
        <v>4611.5532208124878</v>
      </c>
      <c r="AB565" s="360">
        <v>0.32223975922658149</v>
      </c>
      <c r="AC565" s="360">
        <v>1.6765758776562121</v>
      </c>
      <c r="AD565" s="360">
        <v>2.0301682029127148</v>
      </c>
      <c r="AE565" s="360">
        <v>0.62427299768612055</v>
      </c>
      <c r="AF565" s="360">
        <v>1.116298871708256</v>
      </c>
      <c r="AG565" s="360">
        <v>-303.47794624108303</v>
      </c>
      <c r="AH565" s="360">
        <v>4611.5532208124878</v>
      </c>
      <c r="AI565" s="360">
        <v>0.32223975922658149</v>
      </c>
      <c r="AJ565" s="360">
        <v>1.6765758776562121</v>
      </c>
      <c r="AK565" s="360">
        <v>2.0301682029127148</v>
      </c>
      <c r="AL565" s="360">
        <v>0.62427299768612055</v>
      </c>
      <c r="AM565" s="360">
        <v>1.116298871708256</v>
      </c>
      <c r="AN565" s="360">
        <v>-303.47794624108303</v>
      </c>
      <c r="AO565" s="360">
        <f t="shared" si="24"/>
        <v>1</v>
      </c>
      <c r="AP565" s="360">
        <f t="shared" si="25"/>
        <v>1</v>
      </c>
      <c r="AQ565" s="360">
        <f t="shared" si="26"/>
        <v>1</v>
      </c>
    </row>
    <row r="566" spans="1:43">
      <c r="A566" s="360" t="s">
        <v>1085</v>
      </c>
      <c r="B566" t="s">
        <v>1075</v>
      </c>
      <c r="C566">
        <v>1</v>
      </c>
      <c r="D566" t="s">
        <v>1078</v>
      </c>
      <c r="E566" t="s">
        <v>1079</v>
      </c>
      <c r="F566" s="360">
        <v>8</v>
      </c>
      <c r="G566" s="360" t="str">
        <f>CONCATENATE(A566," ",B566," ",C566," ","inf+"," ",FanUpsizes!D566," ",FanUpsizes!F566)</f>
        <v>0.6ACH Percentile 1 inf+ New 8</v>
      </c>
      <c r="H566" s="360">
        <v>4.1036197399313468E-2</v>
      </c>
      <c r="I566" s="360">
        <v>0.3028812109432259</v>
      </c>
      <c r="J566" s="360">
        <v>1.0542893612069213</v>
      </c>
      <c r="K566" s="360">
        <v>4363.0443861657595</v>
      </c>
      <c r="L566" s="360">
        <v>0.23457639132138919</v>
      </c>
      <c r="M566" s="360">
        <v>1.9673306676875626</v>
      </c>
      <c r="N566" s="360">
        <v>3.3436356231594502</v>
      </c>
      <c r="O566" s="360">
        <v>0.76947079016140407</v>
      </c>
      <c r="P566" s="360">
        <v>1.0542895158272094</v>
      </c>
      <c r="Q566" s="360">
        <v>-3912.5237792307735</v>
      </c>
      <c r="R566" s="360">
        <v>6064.5039085059607</v>
      </c>
      <c r="S566" s="360">
        <v>0.16666547497588399</v>
      </c>
      <c r="T566" s="360">
        <v>2.850173054742549</v>
      </c>
      <c r="U566" s="360">
        <v>5.8102942990382722</v>
      </c>
      <c r="V566" s="360">
        <v>0.93778736859749146</v>
      </c>
      <c r="W566" s="360">
        <v>1.0542895114828594</v>
      </c>
      <c r="X566" s="360">
        <v>-2736.4049086134046</v>
      </c>
      <c r="Y566" s="360">
        <v>0.30386979623386917</v>
      </c>
      <c r="Z566" s="360">
        <v>1.0508709542174108</v>
      </c>
      <c r="AA566" s="360">
        <v>4381.4307342260372</v>
      </c>
      <c r="AB566" s="360">
        <v>0.23527753675836682</v>
      </c>
      <c r="AC566" s="360">
        <v>1.9632511547071219</v>
      </c>
      <c r="AD566" s="360">
        <v>3.3732783527890788</v>
      </c>
      <c r="AE566" s="360">
        <v>0.7764450245752148</v>
      </c>
      <c r="AF566" s="360">
        <v>1.0508715004140701</v>
      </c>
      <c r="AG566" s="360">
        <v>-3990.5747985522612</v>
      </c>
      <c r="AH566" s="360">
        <v>6071.7466203504609</v>
      </c>
      <c r="AI566" s="360">
        <v>0.16776225459518143</v>
      </c>
      <c r="AJ566" s="360">
        <v>2.8288195388322399</v>
      </c>
      <c r="AK566" s="360">
        <v>5.8611908925182625</v>
      </c>
      <c r="AL566" s="360">
        <v>0.94613864798520453</v>
      </c>
      <c r="AM566" s="360">
        <v>1.0508709755524515</v>
      </c>
      <c r="AN566" s="360">
        <v>-2803.3842513547129</v>
      </c>
      <c r="AO566" s="360">
        <f t="shared" si="24"/>
        <v>1</v>
      </c>
      <c r="AP566" s="360">
        <f t="shared" si="25"/>
        <v>1</v>
      </c>
      <c r="AQ566" s="360">
        <f t="shared" si="26"/>
        <v>1</v>
      </c>
    </row>
    <row r="567" spans="1:43">
      <c r="A567" s="360" t="s">
        <v>1085</v>
      </c>
      <c r="B567" t="s">
        <v>1074</v>
      </c>
      <c r="C567">
        <v>1</v>
      </c>
      <c r="D567" t="s">
        <v>1078</v>
      </c>
      <c r="E567" t="s">
        <v>1079</v>
      </c>
      <c r="F567" s="360">
        <v>8</v>
      </c>
      <c r="G567" s="360" t="str">
        <f>CONCATENATE(A567," ",B567," ",C567," ","inf+"," ",FanUpsizes!D567," ",FanUpsizes!F567)</f>
        <v>0.6ACH Infiltration 1 inf+ New 8</v>
      </c>
      <c r="H567" s="360">
        <v>4.1036197399313468E-2</v>
      </c>
      <c r="I567" s="360">
        <v>0.3028812109432259</v>
      </c>
      <c r="J567" s="360">
        <v>1.0542893612069213</v>
      </c>
      <c r="K567" s="360">
        <v>0</v>
      </c>
      <c r="L567" s="360">
        <v>0.3028812109432259</v>
      </c>
      <c r="M567" s="360">
        <v>1.0542893612069213</v>
      </c>
      <c r="N567" s="360">
        <v>1</v>
      </c>
      <c r="O567" s="360">
        <v>0.3028812109432259</v>
      </c>
      <c r="P567" s="360">
        <v>1.0542893612069213</v>
      </c>
      <c r="Q567" s="360">
        <v>0</v>
      </c>
      <c r="R567" s="360">
        <v>0</v>
      </c>
      <c r="S567" s="360">
        <v>0.3028812109432259</v>
      </c>
      <c r="T567" s="360">
        <v>1.0542893612069213</v>
      </c>
      <c r="U567" s="360">
        <v>1</v>
      </c>
      <c r="V567" s="360">
        <v>0.3028812109432259</v>
      </c>
      <c r="W567" s="360">
        <v>1.0542893612069213</v>
      </c>
      <c r="X567" s="360">
        <v>0</v>
      </c>
      <c r="Y567" s="360">
        <v>0.30386979623386917</v>
      </c>
      <c r="Z567" s="360">
        <v>1.0508709542174108</v>
      </c>
      <c r="AA567" s="360">
        <v>0</v>
      </c>
      <c r="AB567" s="360">
        <v>0.30386979623386917</v>
      </c>
      <c r="AC567" s="360">
        <v>1.0508709542174108</v>
      </c>
      <c r="AD567" s="360">
        <v>1</v>
      </c>
      <c r="AE567" s="360">
        <v>0.30386979623386917</v>
      </c>
      <c r="AF567" s="360">
        <v>1.0508709542174108</v>
      </c>
      <c r="AG567" s="360">
        <v>0</v>
      </c>
      <c r="AH567" s="360">
        <v>0</v>
      </c>
      <c r="AI567" s="360">
        <v>0.30386979623386917</v>
      </c>
      <c r="AJ567" s="360">
        <v>1.0508709542174108</v>
      </c>
      <c r="AK567" s="360">
        <v>1</v>
      </c>
      <c r="AL567" s="360">
        <v>0.30386979623386917</v>
      </c>
      <c r="AM567" s="360">
        <v>1.0508709542174108</v>
      </c>
      <c r="AN567" s="360">
        <v>0</v>
      </c>
      <c r="AO567" s="360">
        <f t="shared" si="24"/>
        <v>1</v>
      </c>
      <c r="AP567" s="360">
        <f t="shared" si="25"/>
        <v>0</v>
      </c>
      <c r="AQ567" s="360">
        <f t="shared" si="26"/>
        <v>0</v>
      </c>
    </row>
    <row r="568" spans="1:43">
      <c r="A568" s="360" t="s">
        <v>1085</v>
      </c>
      <c r="B568" t="s">
        <v>1076</v>
      </c>
      <c r="C568">
        <v>1</v>
      </c>
      <c r="D568" t="s">
        <v>1078</v>
      </c>
      <c r="E568" t="s">
        <v>1079</v>
      </c>
      <c r="F568" s="360">
        <v>8</v>
      </c>
      <c r="G568" s="360" t="str">
        <f>CONCATENATE(A568," ",B568," ",C568," ","inf+"," ",FanUpsizes!D568," ",FanUpsizes!F568)</f>
        <v>0.6ACH 5C 1 inf+ New 8</v>
      </c>
      <c r="H568" s="360">
        <v>4.1036197399313468E-2</v>
      </c>
      <c r="I568" s="360">
        <v>0.3028812109432259</v>
      </c>
      <c r="J568" s="360">
        <v>1.0542893612069213</v>
      </c>
      <c r="K568" s="360">
        <v>4119.4861327065146</v>
      </c>
      <c r="L568" s="360">
        <v>0.23902791548122107</v>
      </c>
      <c r="M568" s="360">
        <v>1.8623960309531358</v>
      </c>
      <c r="N568" s="360">
        <v>2.6540436975692883</v>
      </c>
      <c r="O568" s="360">
        <v>0.62454136390222459</v>
      </c>
      <c r="P568" s="360">
        <v>1.0542894816805719</v>
      </c>
      <c r="Q568" s="360">
        <v>-2158.808640891184</v>
      </c>
      <c r="R568" s="360">
        <v>4119.4861327065146</v>
      </c>
      <c r="S568" s="360">
        <v>0.23902791548122107</v>
      </c>
      <c r="T568" s="360">
        <v>1.8623960309531358</v>
      </c>
      <c r="U568" s="360">
        <v>2.6540436975692883</v>
      </c>
      <c r="V568" s="360">
        <v>0.62454136390222459</v>
      </c>
      <c r="W568" s="360">
        <v>1.0542894816805719</v>
      </c>
      <c r="X568" s="360">
        <v>-2158.808640891184</v>
      </c>
      <c r="Y568" s="360">
        <v>0.30386979623386917</v>
      </c>
      <c r="Z568" s="360">
        <v>1.0508709542174108</v>
      </c>
      <c r="AA568" s="360">
        <v>4136.8635697502496</v>
      </c>
      <c r="AB568" s="360">
        <v>0.23974767381117537</v>
      </c>
      <c r="AC568" s="360">
        <v>1.8583458765524452</v>
      </c>
      <c r="AD568" s="360">
        <v>2.6717405699863734</v>
      </c>
      <c r="AE568" s="360">
        <v>0.62893657809738457</v>
      </c>
      <c r="AF568" s="360">
        <v>1.0508709566735199</v>
      </c>
      <c r="AG568" s="360">
        <v>-2200.6555851441512</v>
      </c>
      <c r="AH568" s="360">
        <v>4136.8635697502496</v>
      </c>
      <c r="AI568" s="360">
        <v>0.23974767381117537</v>
      </c>
      <c r="AJ568" s="360">
        <v>1.8583458765524452</v>
      </c>
      <c r="AK568" s="360">
        <v>2.6717405699863734</v>
      </c>
      <c r="AL568" s="360">
        <v>0.62893657809738457</v>
      </c>
      <c r="AM568" s="360">
        <v>1.0508709566735199</v>
      </c>
      <c r="AN568" s="360">
        <v>-2200.6555851441512</v>
      </c>
      <c r="AO568" s="360">
        <f t="shared" si="24"/>
        <v>1</v>
      </c>
      <c r="AP568" s="360">
        <f t="shared" si="25"/>
        <v>1</v>
      </c>
      <c r="AQ568" s="360">
        <f t="shared" si="26"/>
        <v>1</v>
      </c>
    </row>
    <row r="569" spans="1:43">
      <c r="A569" s="360" t="s">
        <v>1085</v>
      </c>
      <c r="B569" t="s">
        <v>1075</v>
      </c>
      <c r="C569">
        <v>2</v>
      </c>
      <c r="D569" t="s">
        <v>1078</v>
      </c>
      <c r="E569" t="s">
        <v>1079</v>
      </c>
      <c r="F569" s="360">
        <v>8</v>
      </c>
      <c r="G569" s="360" t="str">
        <f>CONCATENATE(A569," ",B569," ",C569," ","inf+"," ",FanUpsizes!D569," ",FanUpsizes!F569)</f>
        <v>0.6ACH Percentile 2 inf+ New 8</v>
      </c>
      <c r="H569" s="360">
        <v>4.0324077336842921E-2</v>
      </c>
      <c r="I569" s="360">
        <v>0.29762914636243465</v>
      </c>
      <c r="J569" s="360">
        <v>1.0728857449720035</v>
      </c>
      <c r="K569" s="360">
        <v>4153.2429977837191</v>
      </c>
      <c r="L569" s="360">
        <v>0.23261679425827891</v>
      </c>
      <c r="M569" s="360">
        <v>1.8853947638855544</v>
      </c>
      <c r="N569" s="360">
        <v>2.79502077267307</v>
      </c>
      <c r="O569" s="360">
        <v>0.63518593552084812</v>
      </c>
      <c r="P569" s="360">
        <v>1.0728868255105453</v>
      </c>
      <c r="Q569" s="360">
        <v>-2075.1231331373374</v>
      </c>
      <c r="R569" s="360">
        <v>5821.1812592298975</v>
      </c>
      <c r="S569" s="360">
        <v>0.16604744830122106</v>
      </c>
      <c r="T569" s="360">
        <v>2.7023185174241942</v>
      </c>
      <c r="U569" s="360">
        <v>4.8308623016833208</v>
      </c>
      <c r="V569" s="360">
        <v>0.76933337964347048</v>
      </c>
      <c r="W569" s="360">
        <v>1.0728865431172157</v>
      </c>
      <c r="X569" s="360">
        <v>-1062.1258897036935</v>
      </c>
      <c r="Y569" s="360">
        <v>0.29945953378555162</v>
      </c>
      <c r="Z569" s="360">
        <v>1.0663696336478206</v>
      </c>
      <c r="AA569" s="360">
        <v>4185.8166412246046</v>
      </c>
      <c r="AB569" s="360">
        <v>0.23393740145295044</v>
      </c>
      <c r="AC569" s="360">
        <v>1.878036518925515</v>
      </c>
      <c r="AD569" s="360">
        <v>2.834182970934068</v>
      </c>
      <c r="AE569" s="360">
        <v>0.64444028226472561</v>
      </c>
      <c r="AF569" s="360">
        <v>1.0663696403991101</v>
      </c>
      <c r="AG569" s="360">
        <v>-2164.3992820800627</v>
      </c>
      <c r="AH569" s="360">
        <v>5837.4871795248118</v>
      </c>
      <c r="AI569" s="360">
        <v>0.16794222018746358</v>
      </c>
      <c r="AJ569" s="360">
        <v>2.6687951243848844</v>
      </c>
      <c r="AK569" s="360">
        <v>4.8977785473955144</v>
      </c>
      <c r="AL569" s="360">
        <v>0.78030988273396107</v>
      </c>
      <c r="AM569" s="360">
        <v>1.0663697211606431</v>
      </c>
      <c r="AN569" s="360">
        <v>-1136.9307563070738</v>
      </c>
      <c r="AO569" s="360">
        <f t="shared" si="24"/>
        <v>1</v>
      </c>
      <c r="AP569" s="360">
        <f t="shared" si="25"/>
        <v>1</v>
      </c>
      <c r="AQ569" s="360">
        <f t="shared" si="26"/>
        <v>1</v>
      </c>
    </row>
    <row r="570" spans="1:43">
      <c r="A570" s="360" t="s">
        <v>1085</v>
      </c>
      <c r="B570" t="s">
        <v>1074</v>
      </c>
      <c r="C570">
        <v>2</v>
      </c>
      <c r="D570" t="s">
        <v>1078</v>
      </c>
      <c r="E570" t="s">
        <v>1079</v>
      </c>
      <c r="F570" s="360">
        <v>8</v>
      </c>
      <c r="G570" s="360" t="str">
        <f>CONCATENATE(A570," ",B570," ",C570," ","inf+"," ",FanUpsizes!D570," ",FanUpsizes!F570)</f>
        <v>0.6ACH Infiltration 2 inf+ New 8</v>
      </c>
      <c r="H570" s="360">
        <v>4.0324077336842921E-2</v>
      </c>
      <c r="I570" s="360">
        <v>0.29762914636243465</v>
      </c>
      <c r="J570" s="360">
        <v>1.0728857449720035</v>
      </c>
      <c r="K570" s="360">
        <v>0</v>
      </c>
      <c r="L570" s="360">
        <v>0.29762914636243465</v>
      </c>
      <c r="M570" s="360">
        <v>1.0728857449720035</v>
      </c>
      <c r="N570" s="360">
        <v>1</v>
      </c>
      <c r="O570" s="360">
        <v>0.29762914636243465</v>
      </c>
      <c r="P570" s="360">
        <v>1.0728857449720035</v>
      </c>
      <c r="Q570" s="360">
        <v>0</v>
      </c>
      <c r="R570" s="360">
        <v>0</v>
      </c>
      <c r="S570" s="360">
        <v>0.29762914636243465</v>
      </c>
      <c r="T570" s="360">
        <v>1.0728857449720035</v>
      </c>
      <c r="U570" s="360">
        <v>1</v>
      </c>
      <c r="V570" s="360">
        <v>0.29762914636243465</v>
      </c>
      <c r="W570" s="360">
        <v>1.0728857449720035</v>
      </c>
      <c r="X570" s="360">
        <v>0</v>
      </c>
      <c r="Y570" s="360">
        <v>0.29945953378555162</v>
      </c>
      <c r="Z570" s="360">
        <v>1.0663696336478206</v>
      </c>
      <c r="AA570" s="360">
        <v>0</v>
      </c>
      <c r="AB570" s="360">
        <v>0.29945953378555162</v>
      </c>
      <c r="AC570" s="360">
        <v>1.0663696336478206</v>
      </c>
      <c r="AD570" s="360">
        <v>1</v>
      </c>
      <c r="AE570" s="360">
        <v>0.29945953378555162</v>
      </c>
      <c r="AF570" s="360">
        <v>1.0663696336478206</v>
      </c>
      <c r="AG570" s="360">
        <v>0</v>
      </c>
      <c r="AH570" s="360">
        <v>0</v>
      </c>
      <c r="AI570" s="360">
        <v>0.29945953378555162</v>
      </c>
      <c r="AJ570" s="360">
        <v>1.0663696336478206</v>
      </c>
      <c r="AK570" s="360">
        <v>1</v>
      </c>
      <c r="AL570" s="360">
        <v>0.29945953378555162</v>
      </c>
      <c r="AM570" s="360">
        <v>1.0663696336478206</v>
      </c>
      <c r="AN570" s="360">
        <v>0</v>
      </c>
      <c r="AO570" s="360">
        <f t="shared" si="24"/>
        <v>1</v>
      </c>
      <c r="AP570" s="360">
        <f t="shared" si="25"/>
        <v>0</v>
      </c>
      <c r="AQ570" s="360">
        <f t="shared" si="26"/>
        <v>0</v>
      </c>
    </row>
    <row r="571" spans="1:43">
      <c r="A571" s="360" t="s">
        <v>1085</v>
      </c>
      <c r="B571" t="s">
        <v>1076</v>
      </c>
      <c r="C571">
        <v>2</v>
      </c>
      <c r="D571" t="s">
        <v>1078</v>
      </c>
      <c r="E571" t="s">
        <v>1079</v>
      </c>
      <c r="F571" s="360">
        <v>8</v>
      </c>
      <c r="G571" s="360" t="str">
        <f>CONCATENATE(A571," ",B571," ",C571," ","inf+"," ",FanUpsizes!D571," ",FanUpsizes!F571)</f>
        <v>0.6ACH 5C 2 inf+ New 8</v>
      </c>
      <c r="H571" s="360">
        <v>4.0324077336842921E-2</v>
      </c>
      <c r="I571" s="360">
        <v>0.29762914636243465</v>
      </c>
      <c r="J571" s="360">
        <v>1.0728857449720035</v>
      </c>
      <c r="K571" s="360">
        <v>3921.1470913881476</v>
      </c>
      <c r="L571" s="360">
        <v>0.2368576008899827</v>
      </c>
      <c r="M571" s="360">
        <v>1.7974018840234356</v>
      </c>
      <c r="N571" s="360">
        <v>2.3487107514183263</v>
      </c>
      <c r="O571" s="360">
        <v>0.54574708017903228</v>
      </c>
      <c r="P571" s="360">
        <v>1.0728865124038813</v>
      </c>
      <c r="Q571" s="360">
        <v>-1109.3438733422001</v>
      </c>
      <c r="R571" s="360">
        <v>3921.1470913881476</v>
      </c>
      <c r="S571" s="360">
        <v>0.2368576008899827</v>
      </c>
      <c r="T571" s="360">
        <v>1.7974018840234356</v>
      </c>
      <c r="U571" s="360">
        <v>2.3487107514183263</v>
      </c>
      <c r="V571" s="360">
        <v>0.54574708017903228</v>
      </c>
      <c r="W571" s="360">
        <v>1.0728865124038813</v>
      </c>
      <c r="X571" s="360">
        <v>-1109.3438733422001</v>
      </c>
      <c r="Y571" s="360">
        <v>0.29945953378555162</v>
      </c>
      <c r="Z571" s="360">
        <v>1.0663696336478206</v>
      </c>
      <c r="AA571" s="360">
        <v>3951.8848568458861</v>
      </c>
      <c r="AB571" s="360">
        <v>0.23821207467328601</v>
      </c>
      <c r="AC571" s="360">
        <v>1.7900647776161187</v>
      </c>
      <c r="AD571" s="360">
        <v>2.3749836298088964</v>
      </c>
      <c r="AE571" s="360">
        <v>0.55234089992936697</v>
      </c>
      <c r="AF571" s="360">
        <v>1.0663709826383649</v>
      </c>
      <c r="AG571" s="360">
        <v>-1163.0015508642696</v>
      </c>
      <c r="AH571" s="360">
        <v>3951.8848568458861</v>
      </c>
      <c r="AI571" s="360">
        <v>0.23821207467328601</v>
      </c>
      <c r="AJ571" s="360">
        <v>1.7900647776161187</v>
      </c>
      <c r="AK571" s="360">
        <v>2.3749836298088964</v>
      </c>
      <c r="AL571" s="360">
        <v>0.55234089992936697</v>
      </c>
      <c r="AM571" s="360">
        <v>1.0663709826383649</v>
      </c>
      <c r="AN571" s="360">
        <v>-1163.0015508642696</v>
      </c>
      <c r="AO571" s="360">
        <f t="shared" si="24"/>
        <v>1</v>
      </c>
      <c r="AP571" s="360">
        <f t="shared" si="25"/>
        <v>1</v>
      </c>
      <c r="AQ571" s="360">
        <f t="shared" si="26"/>
        <v>1</v>
      </c>
    </row>
    <row r="572" spans="1:43">
      <c r="A572" s="360" t="s">
        <v>1085</v>
      </c>
      <c r="B572" t="s">
        <v>1075</v>
      </c>
      <c r="C572">
        <v>1</v>
      </c>
      <c r="D572" t="s">
        <v>1080</v>
      </c>
      <c r="E572" t="s">
        <v>1079</v>
      </c>
      <c r="F572" s="360">
        <v>8</v>
      </c>
      <c r="G572" s="360" t="str">
        <f>CONCATENATE(A572," ",B572," ",C572," ","inf+"," ",FanUpsizes!D572," ",FanUpsizes!F572)</f>
        <v>0.6ACH Percentile 1 inf+ Existing 8</v>
      </c>
      <c r="H572" s="360">
        <v>5.7286197399313468E-2</v>
      </c>
      <c r="I572" s="360">
        <v>0.4228197040237035</v>
      </c>
      <c r="J572" s="360">
        <v>1.0388935695532751</v>
      </c>
      <c r="K572" s="360">
        <v>6250.8684732526417</v>
      </c>
      <c r="L572" s="360">
        <v>0.32495470100450241</v>
      </c>
      <c r="M572" s="360">
        <v>2.1948616123141496</v>
      </c>
      <c r="N572" s="360">
        <v>6.9824847547795823</v>
      </c>
      <c r="O572" s="360">
        <v>2.2310404969509183</v>
      </c>
      <c r="P572" s="360">
        <v>1.1230117404932991</v>
      </c>
      <c r="Q572" s="360">
        <v>-23238.957869391736</v>
      </c>
      <c r="R572" s="360">
        <v>8626.1187528461578</v>
      </c>
      <c r="S572" s="360">
        <v>0.23013400368091852</v>
      </c>
      <c r="T572" s="360">
        <v>3.1124936172118978</v>
      </c>
      <c r="U572" s="360">
        <v>6.9824847547795823</v>
      </c>
      <c r="V572" s="360">
        <v>1.5689564234515172</v>
      </c>
      <c r="W572" s="360">
        <v>1.2432636057994224</v>
      </c>
      <c r="X572" s="360">
        <v>-6653.8090033439021</v>
      </c>
      <c r="Y572" s="360">
        <v>0.42352935403074526</v>
      </c>
      <c r="Z572" s="360">
        <v>1.0371563943657407</v>
      </c>
      <c r="AA572" s="360">
        <v>6264.0576924051211</v>
      </c>
      <c r="AB572" s="360">
        <v>0.32545815814431739</v>
      </c>
      <c r="AC572" s="360">
        <v>2.1927592876481579</v>
      </c>
      <c r="AD572" s="360">
        <v>6.9824847547795823</v>
      </c>
      <c r="AE572" s="360">
        <v>2.2311127812907645</v>
      </c>
      <c r="AF572" s="360">
        <v>1.1230063039392963</v>
      </c>
      <c r="AG572" s="360">
        <v>-23218.561809480409</v>
      </c>
      <c r="AH572" s="360">
        <v>8631.2005576201645</v>
      </c>
      <c r="AI572" s="360">
        <v>0.23093442609021758</v>
      </c>
      <c r="AJ572" s="360">
        <v>3.1005719421043949</v>
      </c>
      <c r="AK572" s="360">
        <v>6.9824847547795823</v>
      </c>
      <c r="AL572" s="360">
        <v>1.5690719600584224</v>
      </c>
      <c r="AM572" s="360">
        <v>1.243226840906853</v>
      </c>
      <c r="AN572" s="360">
        <v>-6634.5915659333132</v>
      </c>
      <c r="AO572" s="360">
        <f t="shared" si="24"/>
        <v>0</v>
      </c>
      <c r="AP572" s="360">
        <f t="shared" si="25"/>
        <v>1</v>
      </c>
      <c r="AQ572" s="360">
        <f t="shared" si="26"/>
        <v>1</v>
      </c>
    </row>
    <row r="573" spans="1:43">
      <c r="A573" s="360" t="s">
        <v>1085</v>
      </c>
      <c r="B573" t="s">
        <v>1074</v>
      </c>
      <c r="C573">
        <v>1</v>
      </c>
      <c r="D573" t="s">
        <v>1080</v>
      </c>
      <c r="E573" t="s">
        <v>1079</v>
      </c>
      <c r="F573" s="360">
        <v>8</v>
      </c>
      <c r="G573" s="360" t="str">
        <f>CONCATENATE(A573," ",B573," ",C573," ","inf+"," ",FanUpsizes!D573," ",FanUpsizes!F573)</f>
        <v>0.6ACH Infiltration 1 inf+ Existing 8</v>
      </c>
      <c r="H573" s="360">
        <v>5.7286197399313468E-2</v>
      </c>
      <c r="I573" s="360">
        <v>0.4228197040237035</v>
      </c>
      <c r="J573" s="360">
        <v>1.0388935695532751</v>
      </c>
      <c r="K573" s="360">
        <v>0</v>
      </c>
      <c r="L573" s="360">
        <v>0.4228197040237035</v>
      </c>
      <c r="M573" s="360">
        <v>1.0388935695532751</v>
      </c>
      <c r="N573" s="360">
        <v>1</v>
      </c>
      <c r="O573" s="360">
        <v>0.4228197040237035</v>
      </c>
      <c r="P573" s="360">
        <v>1.0388935695532751</v>
      </c>
      <c r="Q573" s="360">
        <v>0</v>
      </c>
      <c r="R573" s="360">
        <v>0</v>
      </c>
      <c r="S573" s="360">
        <v>0.4228197040237035</v>
      </c>
      <c r="T573" s="360">
        <v>1.0388935695532751</v>
      </c>
      <c r="U573" s="360">
        <v>1</v>
      </c>
      <c r="V573" s="360">
        <v>0.4228197040237035</v>
      </c>
      <c r="W573" s="360">
        <v>1.0388935695532751</v>
      </c>
      <c r="X573" s="360">
        <v>0</v>
      </c>
      <c r="Y573" s="360">
        <v>0.42352935403074526</v>
      </c>
      <c r="Z573" s="360">
        <v>1.0371563943657407</v>
      </c>
      <c r="AA573" s="360">
        <v>0</v>
      </c>
      <c r="AB573" s="360">
        <v>0.42352935403074526</v>
      </c>
      <c r="AC573" s="360">
        <v>1.0371563943657407</v>
      </c>
      <c r="AD573" s="360">
        <v>1</v>
      </c>
      <c r="AE573" s="360">
        <v>0.42352935403074526</v>
      </c>
      <c r="AF573" s="360">
        <v>1.0371563943657407</v>
      </c>
      <c r="AG573" s="360">
        <v>0</v>
      </c>
      <c r="AH573" s="360">
        <v>0</v>
      </c>
      <c r="AI573" s="360">
        <v>0.42352935403074526</v>
      </c>
      <c r="AJ573" s="360">
        <v>1.0371563943657407</v>
      </c>
      <c r="AK573" s="360">
        <v>1</v>
      </c>
      <c r="AL573" s="360">
        <v>0.42352935403074526</v>
      </c>
      <c r="AM573" s="360">
        <v>1.0371563943657407</v>
      </c>
      <c r="AN573" s="360">
        <v>0</v>
      </c>
      <c r="AO573" s="360">
        <f t="shared" si="24"/>
        <v>1</v>
      </c>
      <c r="AP573" s="360">
        <f t="shared" si="25"/>
        <v>0</v>
      </c>
      <c r="AQ573" s="360">
        <f t="shared" si="26"/>
        <v>0</v>
      </c>
    </row>
    <row r="574" spans="1:43">
      <c r="A574" s="360" t="s">
        <v>1085</v>
      </c>
      <c r="B574" t="s">
        <v>1076</v>
      </c>
      <c r="C574">
        <v>1</v>
      </c>
      <c r="D574" t="s">
        <v>1080</v>
      </c>
      <c r="E574" t="s">
        <v>1079</v>
      </c>
      <c r="F574" s="360">
        <v>8</v>
      </c>
      <c r="G574" s="360" t="str">
        <f>CONCATENATE(A574," ",B574," ",C574," ","inf+"," ",FanUpsizes!D574," ",FanUpsizes!F574)</f>
        <v>0.6ACH 5C 1 inf+ Existing 8</v>
      </c>
      <c r="H574" s="360">
        <v>5.7286197399313468E-2</v>
      </c>
      <c r="I574" s="360">
        <v>0.4228197040237035</v>
      </c>
      <c r="J574" s="360">
        <v>1.0388935695532751</v>
      </c>
      <c r="K574" s="360">
        <v>5902.5135681752145</v>
      </c>
      <c r="L574" s="360">
        <v>0.33132305039621512</v>
      </c>
      <c r="M574" s="360">
        <v>2.0553695859332204</v>
      </c>
      <c r="N574" s="360">
        <v>5.1366198036777382</v>
      </c>
      <c r="O574" s="360">
        <v>1.6772486254912364</v>
      </c>
      <c r="P574" s="360">
        <v>1.0388937340609457</v>
      </c>
      <c r="Q574" s="360">
        <v>-16016.611532081261</v>
      </c>
      <c r="R574" s="360">
        <v>5902.5135681752145</v>
      </c>
      <c r="S574" s="360">
        <v>0.33132305039621512</v>
      </c>
      <c r="T574" s="360">
        <v>2.0553695859332204</v>
      </c>
      <c r="U574" s="360">
        <v>5.1366198036777382</v>
      </c>
      <c r="V574" s="360">
        <v>1.6772486254912364</v>
      </c>
      <c r="W574" s="360">
        <v>1.0388937340609457</v>
      </c>
      <c r="X574" s="360">
        <v>-16016.611532081261</v>
      </c>
      <c r="Y574" s="360">
        <v>0.42352935403074526</v>
      </c>
      <c r="Z574" s="360">
        <v>1.0371563943657407</v>
      </c>
      <c r="AA574" s="360">
        <v>5914.9782558350526</v>
      </c>
      <c r="AB574" s="360">
        <v>0.33183987412939453</v>
      </c>
      <c r="AC574" s="360">
        <v>2.0532827523765662</v>
      </c>
      <c r="AD574" s="360">
        <v>5.1750644691353704</v>
      </c>
      <c r="AE574" s="360">
        <v>1.6898574221037201</v>
      </c>
      <c r="AF574" s="360">
        <v>1.0371563997765381</v>
      </c>
      <c r="AG574" s="360">
        <v>-16200.488214349121</v>
      </c>
      <c r="AH574" s="360">
        <v>5914.9782558350526</v>
      </c>
      <c r="AI574" s="360">
        <v>0.33183987412939453</v>
      </c>
      <c r="AJ574" s="360">
        <v>2.0532827523765662</v>
      </c>
      <c r="AK574" s="360">
        <v>5.1750644691353704</v>
      </c>
      <c r="AL574" s="360">
        <v>1.6898574221037201</v>
      </c>
      <c r="AM574" s="360">
        <v>1.0371563997765381</v>
      </c>
      <c r="AN574" s="360">
        <v>-16200.488214349121</v>
      </c>
      <c r="AO574" s="360">
        <f t="shared" si="24"/>
        <v>1</v>
      </c>
      <c r="AP574" s="360">
        <f t="shared" si="25"/>
        <v>1</v>
      </c>
      <c r="AQ574" s="360">
        <f t="shared" si="26"/>
        <v>1</v>
      </c>
    </row>
    <row r="575" spans="1:43">
      <c r="A575" s="360" t="s">
        <v>1085</v>
      </c>
      <c r="B575" t="s">
        <v>1075</v>
      </c>
      <c r="C575">
        <v>2</v>
      </c>
      <c r="D575" t="s">
        <v>1080</v>
      </c>
      <c r="E575" t="s">
        <v>1079</v>
      </c>
      <c r="F575" s="360">
        <v>8</v>
      </c>
      <c r="G575" s="360" t="str">
        <f>CONCATENATE(A575," ",B575," ",C575," ","inf+"," ",FanUpsizes!D575," ",FanUpsizes!F575)</f>
        <v>0.6ACH Percentile 2 inf+ Existing 8</v>
      </c>
      <c r="H575" s="360">
        <v>5.6574077336842922E-2</v>
      </c>
      <c r="I575" s="360">
        <v>0.41756366665834443</v>
      </c>
      <c r="J575" s="360">
        <v>1.0519661882436258</v>
      </c>
      <c r="K575" s="360">
        <v>6041.0670848705249</v>
      </c>
      <c r="L575" s="360">
        <v>0.32299113115692735</v>
      </c>
      <c r="M575" s="360">
        <v>2.0942187447092224</v>
      </c>
      <c r="N575" s="360">
        <v>6.9317441670282252</v>
      </c>
      <c r="O575" s="360">
        <v>2.1894169818039404</v>
      </c>
      <c r="P575" s="360">
        <v>1.0519662041550837</v>
      </c>
      <c r="Q575" s="360">
        <v>-22835.164160360706</v>
      </c>
      <c r="R575" s="360">
        <v>8386.7625583386907</v>
      </c>
      <c r="S575" s="360">
        <v>0.22936707927804093</v>
      </c>
      <c r="T575" s="360">
        <v>2.9512021096428018</v>
      </c>
      <c r="U575" s="360">
        <v>7.0703760243122291</v>
      </c>
      <c r="V575" s="360">
        <v>1.5709534817601301</v>
      </c>
      <c r="W575" s="360">
        <v>1.1647762206201238</v>
      </c>
      <c r="X575" s="360">
        <v>-6924.8868761220874</v>
      </c>
      <c r="Y575" s="360">
        <v>0.41887658644502634</v>
      </c>
      <c r="Z575" s="360">
        <v>1.0486815911813334</v>
      </c>
      <c r="AA575" s="360">
        <v>6064.3468876684528</v>
      </c>
      <c r="AB575" s="360">
        <v>0.32393971305914859</v>
      </c>
      <c r="AC575" s="360">
        <v>2.0904413011895353</v>
      </c>
      <c r="AD575" s="360">
        <v>7.0703760243122291</v>
      </c>
      <c r="AE575" s="360">
        <v>2.2331723846268905</v>
      </c>
      <c r="AF575" s="360">
        <v>1.0488599204886195</v>
      </c>
      <c r="AG575" s="360">
        <v>-23473.378258188353</v>
      </c>
      <c r="AH575" s="360">
        <v>8395.2305682711485</v>
      </c>
      <c r="AI575" s="360">
        <v>0.2308476497061728</v>
      </c>
      <c r="AJ575" s="360">
        <v>2.9309705644741397</v>
      </c>
      <c r="AK575" s="360">
        <v>7.0703760243122291</v>
      </c>
      <c r="AL575" s="360">
        <v>1.5711686613657314</v>
      </c>
      <c r="AM575" s="360">
        <v>1.1647120879310509</v>
      </c>
      <c r="AN575" s="360">
        <v>-6890.390251554596</v>
      </c>
      <c r="AO575" s="360">
        <f t="shared" si="24"/>
        <v>1</v>
      </c>
      <c r="AP575" s="360">
        <f t="shared" si="25"/>
        <v>1</v>
      </c>
      <c r="AQ575" s="360">
        <f t="shared" si="26"/>
        <v>1</v>
      </c>
    </row>
    <row r="576" spans="1:43">
      <c r="A576" s="360" t="s">
        <v>1085</v>
      </c>
      <c r="B576" t="s">
        <v>1074</v>
      </c>
      <c r="C576">
        <v>2</v>
      </c>
      <c r="D576" t="s">
        <v>1080</v>
      </c>
      <c r="E576" t="s">
        <v>1079</v>
      </c>
      <c r="F576" s="360">
        <v>8</v>
      </c>
      <c r="G576" s="360" t="str">
        <f>CONCATENATE(A576," ",B576," ",C576," ","inf+"," ",FanUpsizes!D576," ",FanUpsizes!F576)</f>
        <v>0.6ACH Infiltration 2 inf+ Existing 8</v>
      </c>
      <c r="H576" s="360">
        <v>5.6574077336842922E-2</v>
      </c>
      <c r="I576" s="360">
        <v>0.41756366665834443</v>
      </c>
      <c r="J576" s="360">
        <v>1.0519661882436258</v>
      </c>
      <c r="K576" s="360">
        <v>0</v>
      </c>
      <c r="L576" s="360">
        <v>0.41756366665834443</v>
      </c>
      <c r="M576" s="360">
        <v>1.0519661882436258</v>
      </c>
      <c r="N576" s="360">
        <v>1</v>
      </c>
      <c r="O576" s="360">
        <v>0.41756366665834443</v>
      </c>
      <c r="P576" s="360">
        <v>1.0519661882436258</v>
      </c>
      <c r="Q576" s="360">
        <v>0</v>
      </c>
      <c r="R576" s="360">
        <v>0</v>
      </c>
      <c r="S576" s="360">
        <v>0.41756366665834443</v>
      </c>
      <c r="T576" s="360">
        <v>1.0519661882436258</v>
      </c>
      <c r="U576" s="360">
        <v>1</v>
      </c>
      <c r="V576" s="360">
        <v>0.41756366665834443</v>
      </c>
      <c r="W576" s="360">
        <v>1.0519661882436258</v>
      </c>
      <c r="X576" s="360">
        <v>0</v>
      </c>
      <c r="Y576" s="360">
        <v>0.41887658644502634</v>
      </c>
      <c r="Z576" s="360">
        <v>1.0486815911813334</v>
      </c>
      <c r="AA576" s="360">
        <v>0</v>
      </c>
      <c r="AB576" s="360">
        <v>0.41887658644502634</v>
      </c>
      <c r="AC576" s="360">
        <v>1.0486815911813334</v>
      </c>
      <c r="AD576" s="360">
        <v>1</v>
      </c>
      <c r="AE576" s="360">
        <v>0.41887658644502634</v>
      </c>
      <c r="AF576" s="360">
        <v>1.0486815911813334</v>
      </c>
      <c r="AG576" s="360">
        <v>0</v>
      </c>
      <c r="AH576" s="360">
        <v>0</v>
      </c>
      <c r="AI576" s="360">
        <v>0.41887658644502634</v>
      </c>
      <c r="AJ576" s="360">
        <v>1.0486815911813334</v>
      </c>
      <c r="AK576" s="360">
        <v>1</v>
      </c>
      <c r="AL576" s="360">
        <v>0.41887658644502634</v>
      </c>
      <c r="AM576" s="360">
        <v>1.0486815911813334</v>
      </c>
      <c r="AN576" s="360">
        <v>0</v>
      </c>
      <c r="AO576" s="360">
        <f t="shared" si="24"/>
        <v>1</v>
      </c>
      <c r="AP576" s="360">
        <f t="shared" si="25"/>
        <v>0</v>
      </c>
      <c r="AQ576" s="360">
        <f t="shared" si="26"/>
        <v>0</v>
      </c>
    </row>
    <row r="577" spans="1:43">
      <c r="A577" s="360" t="s">
        <v>1085</v>
      </c>
      <c r="B577" t="s">
        <v>1076</v>
      </c>
      <c r="C577">
        <v>2</v>
      </c>
      <c r="D577" t="s">
        <v>1080</v>
      </c>
      <c r="E577" t="s">
        <v>1079</v>
      </c>
      <c r="F577" s="360">
        <v>8</v>
      </c>
      <c r="G577" s="360" t="str">
        <f>CONCATENATE(A577," ",B577," ",C577," ","inf+"," ",FanUpsizes!D577," ",FanUpsizes!F577)</f>
        <v>0.6ACH 5C 2 inf+ Existing 8</v>
      </c>
      <c r="H577" s="360">
        <v>5.6574077336842922E-2</v>
      </c>
      <c r="I577" s="360">
        <v>0.41756366665834443</v>
      </c>
      <c r="J577" s="360">
        <v>1.0519661882436258</v>
      </c>
      <c r="K577" s="360">
        <v>5704.1745268567747</v>
      </c>
      <c r="L577" s="360">
        <v>0.32914876302050666</v>
      </c>
      <c r="M577" s="360">
        <v>1.9753983411480442</v>
      </c>
      <c r="N577" s="360">
        <v>3.9780746881412061</v>
      </c>
      <c r="O577" s="360">
        <v>1.2860751027319923</v>
      </c>
      <c r="P577" s="360">
        <v>1.0519666682958484</v>
      </c>
      <c r="Q577" s="360">
        <v>-9879.8878759856889</v>
      </c>
      <c r="R577" s="360">
        <v>5704.1745268567747</v>
      </c>
      <c r="S577" s="360">
        <v>0.32914876302050666</v>
      </c>
      <c r="T577" s="360">
        <v>1.9753983411480442</v>
      </c>
      <c r="U577" s="360">
        <v>3.9780746881412061</v>
      </c>
      <c r="V577" s="360">
        <v>1.2860751027319923</v>
      </c>
      <c r="W577" s="360">
        <v>1.0519666682958484</v>
      </c>
      <c r="X577" s="360">
        <v>-9879.8878759856889</v>
      </c>
      <c r="Y577" s="360">
        <v>0.41887658644502634</v>
      </c>
      <c r="Z577" s="360">
        <v>1.0486815911813334</v>
      </c>
      <c r="AA577" s="360">
        <v>5726.1392242195279</v>
      </c>
      <c r="AB577" s="360">
        <v>0.3301216050744068</v>
      </c>
      <c r="AC577" s="360">
        <v>1.9716343024393539</v>
      </c>
      <c r="AD577" s="360">
        <v>4.0211474195421157</v>
      </c>
      <c r="AE577" s="360">
        <v>1.3001584800748107</v>
      </c>
      <c r="AF577" s="360">
        <v>1.048681910545991</v>
      </c>
      <c r="AG577" s="360">
        <v>-10070.634565296948</v>
      </c>
      <c r="AH577" s="360">
        <v>5726.1392242195279</v>
      </c>
      <c r="AI577" s="360">
        <v>0.3301216050744068</v>
      </c>
      <c r="AJ577" s="360">
        <v>1.9716343024393539</v>
      </c>
      <c r="AK577" s="360">
        <v>4.0211474195421157</v>
      </c>
      <c r="AL577" s="360">
        <v>1.3001584800748107</v>
      </c>
      <c r="AM577" s="360">
        <v>1.048681910545991</v>
      </c>
      <c r="AN577" s="360">
        <v>-10070.634565296948</v>
      </c>
      <c r="AO577" s="360">
        <f t="shared" si="24"/>
        <v>1</v>
      </c>
      <c r="AP577" s="360">
        <f t="shared" si="25"/>
        <v>1</v>
      </c>
      <c r="AQ577" s="360">
        <f t="shared" si="26"/>
        <v>1</v>
      </c>
    </row>
    <row r="578" spans="1:43">
      <c r="A578" s="360" t="s">
        <v>1077</v>
      </c>
      <c r="B578" t="s">
        <v>1075</v>
      </c>
      <c r="C578">
        <v>1</v>
      </c>
      <c r="D578" t="s">
        <v>1078</v>
      </c>
      <c r="E578" t="s">
        <v>1079</v>
      </c>
      <c r="F578">
        <v>9</v>
      </c>
      <c r="G578" s="360" t="str">
        <f>CONCATENATE(A578," ",B578," ",C578," ","inf+"," ",FanUpsizes!D578," ",FanUpsizes!F578)</f>
        <v>10ACH Percentile 1 inf+ New 9</v>
      </c>
      <c r="H578" s="360">
        <v>1.4421666666666666E-2</v>
      </c>
      <c r="I578" s="360">
        <v>0.38322477029577429</v>
      </c>
      <c r="J578" s="360">
        <v>0.91929203723383912</v>
      </c>
      <c r="K578" s="360">
        <v>665.58990457767993</v>
      </c>
      <c r="L578" s="360">
        <v>0.37061190018350326</v>
      </c>
      <c r="M578" s="360">
        <v>0.94348811249553044</v>
      </c>
      <c r="N578" s="360">
        <v>1.1912145102672198</v>
      </c>
      <c r="O578" s="360">
        <v>0.37840779483640996</v>
      </c>
      <c r="P578" s="360">
        <v>0.91929321380146434</v>
      </c>
      <c r="Q578" s="360">
        <v>549.77046034568946</v>
      </c>
      <c r="R578" s="360">
        <v>950.76097267502257</v>
      </c>
      <c r="S578" s="360">
        <v>0.35841520618042461</v>
      </c>
      <c r="T578" s="360">
        <v>0.97911442033689011</v>
      </c>
      <c r="U578" s="360">
        <v>1.6229768374600597</v>
      </c>
      <c r="V578" s="360">
        <v>0.37626487694898092</v>
      </c>
      <c r="W578" s="360">
        <v>0.9192922801761727</v>
      </c>
      <c r="X578" s="360">
        <v>751.07621591076929</v>
      </c>
      <c r="Y578" s="360">
        <v>0.34952792147723377</v>
      </c>
      <c r="Z578" s="360">
        <v>1.0125368101174683</v>
      </c>
      <c r="AA578" s="360">
        <v>187.19397305968377</v>
      </c>
      <c r="AB578" s="360">
        <v>0.34610828132751381</v>
      </c>
      <c r="AC578" s="360">
        <v>1.0203279357586881</v>
      </c>
      <c r="AD578" s="360">
        <v>1.0573722330504414</v>
      </c>
      <c r="AE578" s="360">
        <v>0.34789392925121571</v>
      </c>
      <c r="AF578" s="360">
        <v>1.0125375391255946</v>
      </c>
      <c r="AG578" s="360">
        <v>164.61795871541128</v>
      </c>
      <c r="AH578" s="360">
        <v>326.50498561665211</v>
      </c>
      <c r="AI578" s="360">
        <v>0.33979448212164043</v>
      </c>
      <c r="AJ578" s="360">
        <v>1.0451324582195334</v>
      </c>
      <c r="AK578" s="360">
        <v>1.3313363418881192</v>
      </c>
      <c r="AL578" s="360">
        <v>0.34664177806544877</v>
      </c>
      <c r="AM578" s="360">
        <v>1.0125369968873161</v>
      </c>
      <c r="AN578" s="360">
        <v>278.88177573251522</v>
      </c>
      <c r="AO578" s="360">
        <f t="shared" si="24"/>
        <v>1</v>
      </c>
      <c r="AP578" s="360">
        <f t="shared" si="25"/>
        <v>1</v>
      </c>
      <c r="AQ578" s="360">
        <f t="shared" si="26"/>
        <v>1</v>
      </c>
    </row>
    <row r="579" spans="1:43">
      <c r="A579" s="360" t="s">
        <v>1077</v>
      </c>
      <c r="B579" t="s">
        <v>1074</v>
      </c>
      <c r="C579">
        <v>1</v>
      </c>
      <c r="D579" t="s">
        <v>1078</v>
      </c>
      <c r="E579" t="s">
        <v>1079</v>
      </c>
      <c r="F579" s="360">
        <v>9</v>
      </c>
      <c r="G579" s="360" t="str">
        <f>CONCATENATE(A579," ",B579," ",C579," ","inf+"," ",FanUpsizes!D579," ",FanUpsizes!F579)</f>
        <v>10ACH Infiltration 1 inf+ New 9</v>
      </c>
      <c r="H579" s="360">
        <v>1.4421666666666666E-2</v>
      </c>
      <c r="I579" s="360">
        <v>0.38322477029577429</v>
      </c>
      <c r="J579" s="360">
        <v>0.91929203723383912</v>
      </c>
      <c r="K579" s="360">
        <v>433.2883267458742</v>
      </c>
      <c r="L579" s="360">
        <v>0.37587333829392078</v>
      </c>
      <c r="M579" s="360">
        <v>0.93218465184176935</v>
      </c>
      <c r="N579" s="360">
        <v>1.0934478498424771</v>
      </c>
      <c r="O579" s="360">
        <v>0.38017414626699914</v>
      </c>
      <c r="P579" s="360">
        <v>0.91929239306256694</v>
      </c>
      <c r="Q579" s="360">
        <v>354.97848265933879</v>
      </c>
      <c r="R579" s="360">
        <v>827.9398410636677</v>
      </c>
      <c r="S579" s="360">
        <v>0.36183271072674122</v>
      </c>
      <c r="T579" s="360">
        <v>0.96971754641523211</v>
      </c>
      <c r="U579" s="360">
        <v>1.4799856964800788</v>
      </c>
      <c r="V579" s="360">
        <v>0.37721099703845667</v>
      </c>
      <c r="W579" s="360">
        <v>0.91929261002708529</v>
      </c>
      <c r="X579" s="360">
        <v>615.1361053228585</v>
      </c>
      <c r="Y579" s="360">
        <v>0.34952792147723377</v>
      </c>
      <c r="Z579" s="360">
        <v>1.0125368101174683</v>
      </c>
      <c r="AA579" s="360">
        <v>116.55429112089531</v>
      </c>
      <c r="AB579" s="360">
        <v>0.34762771319558933</v>
      </c>
      <c r="AC579" s="360">
        <v>1.0164623747132233</v>
      </c>
      <c r="AD579" s="360">
        <v>1.027607253571319</v>
      </c>
      <c r="AE579" s="360">
        <v>0.34856012612349563</v>
      </c>
      <c r="AF579" s="360">
        <v>1.0125369732318574</v>
      </c>
      <c r="AG579" s="360">
        <v>102.10011386404641</v>
      </c>
      <c r="AH579" s="360">
        <v>303.01294806008383</v>
      </c>
      <c r="AI579" s="360">
        <v>0.34070746037529909</v>
      </c>
      <c r="AJ579" s="360">
        <v>1.0412732520638264</v>
      </c>
      <c r="AK579" s="360">
        <v>1.2754342399764835</v>
      </c>
      <c r="AL579" s="360">
        <v>0.34683275517894524</v>
      </c>
      <c r="AM579" s="360">
        <v>1.0125370735704216</v>
      </c>
      <c r="AN579" s="360">
        <v>250.93862454204421</v>
      </c>
      <c r="AO579" s="360">
        <f t="shared" si="24"/>
        <v>1</v>
      </c>
      <c r="AP579" s="360">
        <f t="shared" si="25"/>
        <v>1</v>
      </c>
      <c r="AQ579" s="360">
        <f t="shared" si="26"/>
        <v>1</v>
      </c>
    </row>
    <row r="580" spans="1:43">
      <c r="A580" s="360" t="s">
        <v>1077</v>
      </c>
      <c r="B580" t="s">
        <v>1076</v>
      </c>
      <c r="C580">
        <v>1</v>
      </c>
      <c r="D580" t="s">
        <v>1078</v>
      </c>
      <c r="E580" t="s">
        <v>1079</v>
      </c>
      <c r="F580" s="360">
        <v>9</v>
      </c>
      <c r="G580" s="360" t="str">
        <f>CONCATENATE(A580," ",B580," ",C580," ","inf+"," ",FanUpsizes!D580," ",FanUpsizes!F580)</f>
        <v>10ACH 5C 1 inf+ New 9</v>
      </c>
      <c r="H580" s="360">
        <v>1.4421666666666666E-2</v>
      </c>
      <c r="I580" s="360">
        <v>0.38322477029577429</v>
      </c>
      <c r="J580" s="360">
        <v>0.91929203723383912</v>
      </c>
      <c r="K580" s="360">
        <v>492.26606815407047</v>
      </c>
      <c r="L580" s="360">
        <v>0.37462784774815322</v>
      </c>
      <c r="M580" s="360">
        <v>0.93475876370243371</v>
      </c>
      <c r="N580" s="360">
        <v>1.1142709213802422</v>
      </c>
      <c r="O580" s="360">
        <v>0.3797447864950963</v>
      </c>
      <c r="P580" s="360">
        <v>0.91929203915020241</v>
      </c>
      <c r="Q580" s="360">
        <v>403.24580932296078</v>
      </c>
      <c r="R580" s="360">
        <v>857.42871176776691</v>
      </c>
      <c r="S580" s="360">
        <v>0.36120996545385714</v>
      </c>
      <c r="T580" s="360">
        <v>0.97110988409036803</v>
      </c>
      <c r="U580" s="360">
        <v>1.5003503737659183</v>
      </c>
      <c r="V580" s="360">
        <v>0.37693092874473433</v>
      </c>
      <c r="W580" s="360">
        <v>0.91929224309754864</v>
      </c>
      <c r="X580" s="360">
        <v>650.35097569989705</v>
      </c>
      <c r="Y580" s="360">
        <v>0.34952792147723377</v>
      </c>
      <c r="Z580" s="360">
        <v>1.0125368101174683</v>
      </c>
      <c r="AA580" s="360">
        <v>134.20161088139074</v>
      </c>
      <c r="AB580" s="360">
        <v>0.34727416442945569</v>
      </c>
      <c r="AC580" s="360">
        <v>1.0173184451820358</v>
      </c>
      <c r="AD580" s="360">
        <v>1.0339606254214271</v>
      </c>
      <c r="AE580" s="360">
        <v>0.34840018479080204</v>
      </c>
      <c r="AF580" s="360">
        <v>1.0125378311609741</v>
      </c>
      <c r="AG580" s="360">
        <v>117.52414466146402</v>
      </c>
      <c r="AH580" s="360">
        <v>307.81468718101445</v>
      </c>
      <c r="AI580" s="360">
        <v>0.3406176104962087</v>
      </c>
      <c r="AJ580" s="360">
        <v>1.0415003224057415</v>
      </c>
      <c r="AK580" s="360">
        <v>1.2788223964120287</v>
      </c>
      <c r="AL580" s="360">
        <v>0.34676854789379696</v>
      </c>
      <c r="AM580" s="360">
        <v>1.0125368171311517</v>
      </c>
      <c r="AN580" s="360">
        <v>257.8364107015106</v>
      </c>
      <c r="AO580" s="360">
        <f t="shared" si="24"/>
        <v>1</v>
      </c>
      <c r="AP580" s="360">
        <f t="shared" si="25"/>
        <v>1</v>
      </c>
      <c r="AQ580" s="360">
        <f t="shared" si="26"/>
        <v>1</v>
      </c>
    </row>
    <row r="581" spans="1:43">
      <c r="A581" s="360" t="s">
        <v>1077</v>
      </c>
      <c r="B581" t="s">
        <v>1075</v>
      </c>
      <c r="C581">
        <v>2</v>
      </c>
      <c r="D581" t="s">
        <v>1078</v>
      </c>
      <c r="E581" t="s">
        <v>1079</v>
      </c>
      <c r="F581" s="360">
        <v>9</v>
      </c>
      <c r="G581" s="360" t="str">
        <f>CONCATENATE(A581," ",B581," ",C581," ","inf+"," ",FanUpsizes!D581," ",FanUpsizes!F581)</f>
        <v>10ACH Percentile 2 inf+ New 9</v>
      </c>
      <c r="H581" s="360">
        <v>1.4421666666666666E-2</v>
      </c>
      <c r="I581" s="360">
        <v>0.49464630225387901</v>
      </c>
      <c r="J581" s="360">
        <v>0.72408760650410764</v>
      </c>
      <c r="K581" s="360">
        <v>665.5899045777544</v>
      </c>
      <c r="L581" s="360">
        <v>0.48203343214160876</v>
      </c>
      <c r="M581" s="360">
        <v>0.73879647965468409</v>
      </c>
      <c r="N581" s="360">
        <v>1.1848691419266606</v>
      </c>
      <c r="O581" s="360">
        <v>0.48955466660357766</v>
      </c>
      <c r="P581" s="360">
        <v>0.72408816696771738</v>
      </c>
      <c r="Q581" s="360">
        <v>553.61387700710816</v>
      </c>
      <c r="R581" s="360">
        <v>950.76097267513853</v>
      </c>
      <c r="S581" s="360">
        <v>0.46983673813853533</v>
      </c>
      <c r="T581" s="360">
        <v>0.76082364546144166</v>
      </c>
      <c r="U581" s="360">
        <v>1.6117661987960579</v>
      </c>
      <c r="V581" s="360">
        <v>0.48729232283024088</v>
      </c>
      <c r="W581" s="360">
        <v>0.72408768057127249</v>
      </c>
      <c r="X581" s="360">
        <v>754.66959775138912</v>
      </c>
      <c r="Y581" s="360">
        <v>0.45646993472005815</v>
      </c>
      <c r="Z581" s="360">
        <v>0.7914089812793218</v>
      </c>
      <c r="AA581" s="360">
        <v>147.43055385803356</v>
      </c>
      <c r="AB581" s="360">
        <v>0.45383156668544072</v>
      </c>
      <c r="AC581" s="360">
        <v>0.79502964288667621</v>
      </c>
      <c r="AD581" s="360">
        <v>1.0525216949988589</v>
      </c>
      <c r="AE581" s="360">
        <v>0.45511546113473533</v>
      </c>
      <c r="AF581" s="360">
        <v>0.79140911965212624</v>
      </c>
      <c r="AG581" s="360">
        <v>130.94053062158258</v>
      </c>
      <c r="AH581" s="360">
        <v>257.3297052692933</v>
      </c>
      <c r="AI581" s="360">
        <v>0.44895128801489448</v>
      </c>
      <c r="AJ581" s="360">
        <v>0.80697881502925506</v>
      </c>
      <c r="AK581" s="360">
        <v>1.3092167710757199</v>
      </c>
      <c r="AL581" s="360">
        <v>0.45397806737917812</v>
      </c>
      <c r="AM581" s="360">
        <v>0.79140984294985395</v>
      </c>
      <c r="AN581" s="360">
        <v>221.44774511575278</v>
      </c>
      <c r="AO581" s="360">
        <f t="shared" si="24"/>
        <v>1</v>
      </c>
      <c r="AP581" s="360">
        <f t="shared" si="25"/>
        <v>1</v>
      </c>
      <c r="AQ581" s="360">
        <f t="shared" si="26"/>
        <v>1</v>
      </c>
    </row>
    <row r="582" spans="1:43">
      <c r="A582" s="360" t="s">
        <v>1077</v>
      </c>
      <c r="B582" t="s">
        <v>1074</v>
      </c>
      <c r="C582">
        <v>2</v>
      </c>
      <c r="D582" t="s">
        <v>1078</v>
      </c>
      <c r="E582" t="s">
        <v>1079</v>
      </c>
      <c r="F582" s="360">
        <v>9</v>
      </c>
      <c r="G582" s="360" t="str">
        <f>CONCATENATE(A582," ",B582," ",C582," ","inf+"," ",FanUpsizes!D582," ",FanUpsizes!F582)</f>
        <v>10ACH Infiltration 2 inf+ New 9</v>
      </c>
      <c r="H582" s="360">
        <v>1.4421666666666666E-2</v>
      </c>
      <c r="I582" s="360">
        <v>0.49464630225387901</v>
      </c>
      <c r="J582" s="360">
        <v>0.72408760650410764</v>
      </c>
      <c r="K582" s="360">
        <v>948.81206200343138</v>
      </c>
      <c r="L582" s="360">
        <v>0.47384964792136325</v>
      </c>
      <c r="M582" s="360">
        <v>0.75062598122558233</v>
      </c>
      <c r="N582" s="360">
        <v>1.3916371546267536</v>
      </c>
      <c r="O582" s="360">
        <v>0.4865873926757146</v>
      </c>
      <c r="P582" s="360">
        <v>0.72408777485728082</v>
      </c>
      <c r="Q582" s="360">
        <v>822.516087316484</v>
      </c>
      <c r="R582" s="360">
        <v>1099.5694325474365</v>
      </c>
      <c r="S582" s="360">
        <v>0.46399508370069825</v>
      </c>
      <c r="T582" s="360">
        <v>0.77179759444304719</v>
      </c>
      <c r="U582" s="360">
        <v>1.9600005235751079</v>
      </c>
      <c r="V582" s="360">
        <v>0.48582148420411297</v>
      </c>
      <c r="W582" s="360">
        <v>0.72408787533274466</v>
      </c>
      <c r="X582" s="360">
        <v>934.7135959244431</v>
      </c>
      <c r="Y582" s="360">
        <v>0.45646993472005815</v>
      </c>
      <c r="Z582" s="360">
        <v>0.7914089812793218</v>
      </c>
      <c r="AA582" s="360">
        <v>218.03634885355271</v>
      </c>
      <c r="AB582" s="360">
        <v>0.45193509806503845</v>
      </c>
      <c r="AC582" s="360">
        <v>0.79840741940648929</v>
      </c>
      <c r="AD582" s="360">
        <v>1.1103591402307964</v>
      </c>
      <c r="AE582" s="360">
        <v>0.45426442824844099</v>
      </c>
      <c r="AF582" s="360">
        <v>0.79140902421240056</v>
      </c>
      <c r="AG582" s="360">
        <v>197.74708899744587</v>
      </c>
      <c r="AH582" s="360">
        <v>281.46801605376851</v>
      </c>
      <c r="AI582" s="360">
        <v>0.44754378123286664</v>
      </c>
      <c r="AJ582" s="360">
        <v>0.81115631356275808</v>
      </c>
      <c r="AK582" s="360">
        <v>1.4515606818080116</v>
      </c>
      <c r="AL582" s="360">
        <v>0.45379149579058764</v>
      </c>
      <c r="AM582" s="360">
        <v>0.79140981424204737</v>
      </c>
      <c r="AN582" s="360">
        <v>249.197375222874</v>
      </c>
      <c r="AO582" s="360">
        <f t="shared" si="24"/>
        <v>1</v>
      </c>
      <c r="AP582" s="360">
        <f t="shared" si="25"/>
        <v>1</v>
      </c>
      <c r="AQ582" s="360">
        <f t="shared" si="26"/>
        <v>1</v>
      </c>
    </row>
    <row r="583" spans="1:43">
      <c r="A583" s="360" t="s">
        <v>1077</v>
      </c>
      <c r="B583" t="s">
        <v>1076</v>
      </c>
      <c r="C583">
        <v>2</v>
      </c>
      <c r="D583" t="s">
        <v>1078</v>
      </c>
      <c r="E583" t="s">
        <v>1079</v>
      </c>
      <c r="F583" s="360">
        <v>9</v>
      </c>
      <c r="G583" s="360" t="str">
        <f>CONCATENATE(A583," ",B583," ",C583," ","inf+"," ",FanUpsizes!D583," ",FanUpsizes!F583)</f>
        <v>10ACH 5C 2 inf+ New 9</v>
      </c>
      <c r="H583" s="360">
        <v>1.4421666666666666E-2</v>
      </c>
      <c r="I583" s="360">
        <v>0.49464630225387901</v>
      </c>
      <c r="J583" s="360">
        <v>0.72408760650410764</v>
      </c>
      <c r="K583" s="360">
        <v>492.266068154116</v>
      </c>
      <c r="L583" s="360">
        <v>0.48604937970625745</v>
      </c>
      <c r="M583" s="360">
        <v>0.73350476252062757</v>
      </c>
      <c r="N583" s="360">
        <v>1.1108726720464888</v>
      </c>
      <c r="O583" s="360">
        <v>0.49100515771829267</v>
      </c>
      <c r="P583" s="360">
        <v>0.72408760847325859</v>
      </c>
      <c r="Q583" s="360">
        <v>405.89314104665647</v>
      </c>
      <c r="R583" s="360">
        <v>871.29643562278409</v>
      </c>
      <c r="S583" s="360">
        <v>0.47009494959314635</v>
      </c>
      <c r="T583" s="360">
        <v>0.76266979436360582</v>
      </c>
      <c r="U583" s="360">
        <v>1.6511076185796001</v>
      </c>
      <c r="V583" s="360">
        <v>0.48884432854014526</v>
      </c>
      <c r="W583" s="360">
        <v>0.72408762666887216</v>
      </c>
      <c r="X583" s="360">
        <v>610.85486419768813</v>
      </c>
      <c r="Y583" s="360">
        <v>0.45646993472005815</v>
      </c>
      <c r="Z583" s="360">
        <v>0.7914089812793218</v>
      </c>
      <c r="AA583" s="360">
        <v>105.68776666770026</v>
      </c>
      <c r="AB583" s="360">
        <v>0.4547293769942658</v>
      </c>
      <c r="AC583" s="360">
        <v>0.79363180785808329</v>
      </c>
      <c r="AD583" s="360">
        <v>1.031212171671283</v>
      </c>
      <c r="AE583" s="360">
        <v>0.45554163233951328</v>
      </c>
      <c r="AF583" s="360">
        <v>0.79140909267164139</v>
      </c>
      <c r="AG583" s="360">
        <v>93.491793840053532</v>
      </c>
      <c r="AH583" s="360">
        <v>249.9424354313407</v>
      </c>
      <c r="AI583" s="360">
        <v>0.44825054486266352</v>
      </c>
      <c r="AJ583" s="360">
        <v>0.80990869786280295</v>
      </c>
      <c r="AK583" s="360">
        <v>1.4003608078127148</v>
      </c>
      <c r="AL583" s="360">
        <v>0.45437230858293082</v>
      </c>
      <c r="AM583" s="360">
        <v>0.79140934724833734</v>
      </c>
      <c r="AN583" s="360">
        <v>195.13885805877203</v>
      </c>
      <c r="AO583" s="360">
        <f t="shared" si="24"/>
        <v>1</v>
      </c>
      <c r="AP583" s="360">
        <f t="shared" si="25"/>
        <v>1</v>
      </c>
      <c r="AQ583" s="360">
        <f t="shared" si="26"/>
        <v>1</v>
      </c>
    </row>
    <row r="584" spans="1:43">
      <c r="A584" s="360" t="s">
        <v>1077</v>
      </c>
      <c r="B584" t="s">
        <v>1075</v>
      </c>
      <c r="C584">
        <v>1</v>
      </c>
      <c r="D584" t="s">
        <v>1080</v>
      </c>
      <c r="E584" t="s">
        <v>1079</v>
      </c>
      <c r="F584" s="360">
        <v>9</v>
      </c>
      <c r="G584" s="360" t="str">
        <f>CONCATENATE(A584," ",B584," ",C584," ","inf+"," ",FanUpsizes!D584," ",FanUpsizes!F584)</f>
        <v>10ACH Percentile 1 inf+ Existing 9</v>
      </c>
      <c r="H584" s="360">
        <v>2.1680387951308902E-2</v>
      </c>
      <c r="I584" s="360">
        <v>0.41011981250009594</v>
      </c>
      <c r="J584" s="360">
        <v>1.1679371913556196</v>
      </c>
      <c r="K584" s="360">
        <v>1000.5949853959866</v>
      </c>
      <c r="L584" s="360">
        <v>0.3911586255905718</v>
      </c>
      <c r="M584" s="360">
        <v>1.2143156052000481</v>
      </c>
      <c r="N584" s="360">
        <v>1.2108638515826202</v>
      </c>
      <c r="O584" s="360">
        <v>0.40416734435170942</v>
      </c>
      <c r="P584" s="360">
        <v>1.1679374215878355</v>
      </c>
      <c r="Q584" s="360">
        <v>808.5891791410304</v>
      </c>
      <c r="R584" s="360">
        <v>1429.2985140338044</v>
      </c>
      <c r="S584" s="360">
        <v>0.3728230847809067</v>
      </c>
      <c r="T584" s="360">
        <v>1.2792516451761591</v>
      </c>
      <c r="U584" s="360">
        <v>1.6529564123599261</v>
      </c>
      <c r="V584" s="360">
        <v>0.40157562189493284</v>
      </c>
      <c r="W584" s="360">
        <v>1.1679372133445116</v>
      </c>
      <c r="X584" s="360">
        <v>1114.6622323262618</v>
      </c>
      <c r="Y584" s="360">
        <v>0.37179795709934516</v>
      </c>
      <c r="Z584" s="360">
        <v>1.2826956695163858</v>
      </c>
      <c r="AA584" s="360">
        <v>404.09698856948455</v>
      </c>
      <c r="AB584" s="360">
        <v>0.36425338281117975</v>
      </c>
      <c r="AC584" s="360">
        <v>1.3047844762041021</v>
      </c>
      <c r="AD584" s="360">
        <v>1.0731544297035429</v>
      </c>
      <c r="AE584" s="360">
        <v>0.36889117347355954</v>
      </c>
      <c r="AF584" s="360">
        <v>1.2826992785857136</v>
      </c>
      <c r="AG584" s="360">
        <v>344.97018084748584</v>
      </c>
      <c r="AH584" s="360">
        <v>697.02215373365891</v>
      </c>
      <c r="AI584" s="360">
        <v>0.35074021306687669</v>
      </c>
      <c r="AJ584" s="360">
        <v>1.3683150536033681</v>
      </c>
      <c r="AK584" s="360">
        <v>1.4000272515476226</v>
      </c>
      <c r="AL584" s="360">
        <v>0.36750341297704692</v>
      </c>
      <c r="AM584" s="360">
        <v>1.2826965315587475</v>
      </c>
      <c r="AN584" s="360">
        <v>577.09651909574029</v>
      </c>
      <c r="AO584" s="360">
        <f t="shared" si="24"/>
        <v>1</v>
      </c>
      <c r="AP584" s="360">
        <f t="shared" si="25"/>
        <v>1</v>
      </c>
      <c r="AQ584" s="360">
        <f t="shared" si="26"/>
        <v>1</v>
      </c>
    </row>
    <row r="585" spans="1:43">
      <c r="A585" s="360" t="s">
        <v>1077</v>
      </c>
      <c r="B585" t="s">
        <v>1074</v>
      </c>
      <c r="C585">
        <v>1</v>
      </c>
      <c r="D585" t="s">
        <v>1080</v>
      </c>
      <c r="E585" t="s">
        <v>1079</v>
      </c>
      <c r="F585" s="360">
        <v>9</v>
      </c>
      <c r="G585" s="360" t="str">
        <f>CONCATENATE(A585," ",B585," ",C585," ","inf+"," ",FanUpsizes!D585," ",FanUpsizes!F585)</f>
        <v>10ACH Infiltration 1 inf+ Existing 9</v>
      </c>
      <c r="H585" s="360">
        <v>2.1680387951308902E-2</v>
      </c>
      <c r="I585" s="360">
        <v>0.41011981250009594</v>
      </c>
      <c r="J585" s="360">
        <v>1.1679371913556196</v>
      </c>
      <c r="K585" s="360">
        <v>55.758498760133321</v>
      </c>
      <c r="L585" s="360">
        <v>0.40945306556156291</v>
      </c>
      <c r="M585" s="360">
        <v>1.1689723916848365</v>
      </c>
      <c r="N585" s="360">
        <v>1.003902884918739</v>
      </c>
      <c r="O585" s="360">
        <v>0.40976447842025193</v>
      </c>
      <c r="P585" s="360">
        <v>1.1679376455397907</v>
      </c>
      <c r="Q585" s="360">
        <v>48.517069854761431</v>
      </c>
      <c r="R585" s="360">
        <v>840.5190485571452</v>
      </c>
      <c r="S585" s="360">
        <v>0.39016307194262345</v>
      </c>
      <c r="T585" s="360">
        <v>1.2195564734721642</v>
      </c>
      <c r="U585" s="360">
        <v>1.2332626876427497</v>
      </c>
      <c r="V585" s="360">
        <v>0.40432600527712725</v>
      </c>
      <c r="W585" s="360">
        <v>1.1679403817832259</v>
      </c>
      <c r="X585" s="360">
        <v>590.77784306153535</v>
      </c>
      <c r="Y585" s="360">
        <v>0.37179795709934516</v>
      </c>
      <c r="Z585" s="360">
        <v>1.2826956695163858</v>
      </c>
      <c r="AA585" s="360">
        <v>18.170206139981001</v>
      </c>
      <c r="AB585" s="360">
        <v>0.37158604918363253</v>
      </c>
      <c r="AC585" s="360">
        <v>1.283067058847144</v>
      </c>
      <c r="AD585" s="360">
        <v>1.0010954068704792</v>
      </c>
      <c r="AE585" s="360">
        <v>0.37166927651096732</v>
      </c>
      <c r="AF585" s="360">
        <v>1.2826958243908972</v>
      </c>
      <c r="AG585" s="360">
        <v>16.514690982725686</v>
      </c>
      <c r="AH585" s="360">
        <v>505.28076588134752</v>
      </c>
      <c r="AI585" s="360">
        <v>0.3593648064962166</v>
      </c>
      <c r="AJ585" s="360">
        <v>1.3253089297514995</v>
      </c>
      <c r="AK585" s="360">
        <v>1.1556677799077282</v>
      </c>
      <c r="AL585" s="360">
        <v>0.36804431492943224</v>
      </c>
      <c r="AM585" s="360">
        <v>1.2826960786771984</v>
      </c>
      <c r="AN585" s="360">
        <v>404.61380266625486</v>
      </c>
      <c r="AO585" s="360">
        <f t="shared" si="24"/>
        <v>1</v>
      </c>
      <c r="AP585" s="360">
        <f t="shared" si="25"/>
        <v>1</v>
      </c>
      <c r="AQ585" s="360">
        <f t="shared" si="26"/>
        <v>1</v>
      </c>
    </row>
    <row r="586" spans="1:43">
      <c r="A586" s="360" t="s">
        <v>1077</v>
      </c>
      <c r="B586" t="s">
        <v>1076</v>
      </c>
      <c r="C586">
        <v>1</v>
      </c>
      <c r="D586" t="s">
        <v>1080</v>
      </c>
      <c r="E586" t="s">
        <v>1079</v>
      </c>
      <c r="F586" s="360">
        <v>9</v>
      </c>
      <c r="G586" s="360" t="str">
        <f>CONCATENATE(A586," ",B586," ",C586," ","inf+"," ",FanUpsizes!D586," ",FanUpsizes!F586)</f>
        <v>10ACH 5C 1 inf+ Existing 9</v>
      </c>
      <c r="H586" s="360">
        <v>2.1680387951308902E-2</v>
      </c>
      <c r="I586" s="360">
        <v>0.41011981250009594</v>
      </c>
      <c r="J586" s="360">
        <v>1.1679371913556196</v>
      </c>
      <c r="K586" s="360">
        <v>740.03369926126845</v>
      </c>
      <c r="L586" s="360">
        <v>0.39719588211619633</v>
      </c>
      <c r="M586" s="360">
        <v>1.1976087190678604</v>
      </c>
      <c r="N586" s="360">
        <v>1.1253754782994807</v>
      </c>
      <c r="O586" s="360">
        <v>0.4056799335985351</v>
      </c>
      <c r="P586" s="360">
        <v>1.1679372648550239</v>
      </c>
      <c r="Q586" s="360">
        <v>593.20284609755458</v>
      </c>
      <c r="R586" s="360">
        <v>1182.6566488076755</v>
      </c>
      <c r="S586" s="360">
        <v>0.38403448021994185</v>
      </c>
      <c r="T586" s="360">
        <v>1.2355100995459769</v>
      </c>
      <c r="U586" s="360">
        <v>1.3310909433644895</v>
      </c>
      <c r="V586" s="360">
        <v>0.40214953010158261</v>
      </c>
      <c r="W586" s="360">
        <v>1.1679375378348835</v>
      </c>
      <c r="X586" s="360">
        <v>941.45490747520205</v>
      </c>
      <c r="Y586" s="360">
        <v>0.37179795709934516</v>
      </c>
      <c r="Z586" s="360">
        <v>1.2826956695163858</v>
      </c>
      <c r="AA586" s="360">
        <v>290.44778254870477</v>
      </c>
      <c r="AB586" s="360">
        <v>0.36681680242790471</v>
      </c>
      <c r="AC586" s="360">
        <v>1.2963320396715088</v>
      </c>
      <c r="AD586" s="360">
        <v>1.0431165821791437</v>
      </c>
      <c r="AE586" s="360">
        <v>0.36973840501422178</v>
      </c>
      <c r="AF586" s="360">
        <v>1.2826967066579804</v>
      </c>
      <c r="AG586" s="360">
        <v>246.70305909007649</v>
      </c>
      <c r="AH586" s="360">
        <v>578.52664482910131</v>
      </c>
      <c r="AI586" s="360">
        <v>0.35813512403365361</v>
      </c>
      <c r="AJ586" s="360">
        <v>1.3290159645330917</v>
      </c>
      <c r="AK586" s="360">
        <v>1.1740914429768714</v>
      </c>
      <c r="AL586" s="360">
        <v>0.36743656729512908</v>
      </c>
      <c r="AM586" s="360">
        <v>1.282701415165068</v>
      </c>
      <c r="AN586" s="360">
        <v>491.27545697770609</v>
      </c>
      <c r="AO586" s="360">
        <f t="shared" si="24"/>
        <v>1</v>
      </c>
      <c r="AP586" s="360">
        <f t="shared" si="25"/>
        <v>1</v>
      </c>
      <c r="AQ586" s="360">
        <f t="shared" si="26"/>
        <v>1</v>
      </c>
    </row>
    <row r="587" spans="1:43">
      <c r="A587" s="360" t="s">
        <v>1077</v>
      </c>
      <c r="B587" t="s">
        <v>1075</v>
      </c>
      <c r="C587">
        <v>2</v>
      </c>
      <c r="D587" t="s">
        <v>1080</v>
      </c>
      <c r="E587" t="s">
        <v>1079</v>
      </c>
      <c r="F587" s="360">
        <v>9</v>
      </c>
      <c r="G587" s="360" t="str">
        <f>CONCATENATE(A587," ",B587," ",C587," ","inf+"," ",FanUpsizes!D587," ",FanUpsizes!F587)</f>
        <v>10ACH Percentile 2 inf+ Existing 9</v>
      </c>
      <c r="H587" s="360">
        <v>9.5919301007286253E-3</v>
      </c>
      <c r="I587" s="360">
        <v>0.47680605763154349</v>
      </c>
      <c r="J587" s="360">
        <v>1.0415538601173386</v>
      </c>
      <c r="K587" s="360">
        <v>442.68751927381493</v>
      </c>
      <c r="L587" s="360">
        <v>0.46841716810284045</v>
      </c>
      <c r="M587" s="360">
        <v>1.0555720672039819</v>
      </c>
      <c r="N587" s="360">
        <v>1.1738309745146851</v>
      </c>
      <c r="O587" s="360">
        <v>0.47311582708158462</v>
      </c>
      <c r="P587" s="360">
        <v>1.0415569655345391</v>
      </c>
      <c r="Q587" s="360">
        <v>372.65845104288104</v>
      </c>
      <c r="R587" s="360">
        <v>632.35637067380765</v>
      </c>
      <c r="S587" s="360">
        <v>0.46030507960145767</v>
      </c>
      <c r="T587" s="360">
        <v>1.077221102615991</v>
      </c>
      <c r="U587" s="360">
        <v>1.5879946569382579</v>
      </c>
      <c r="V587" s="360">
        <v>0.47143715543857567</v>
      </c>
      <c r="W587" s="360">
        <v>1.0415540434551762</v>
      </c>
      <c r="X587" s="360">
        <v>507.00273180464154</v>
      </c>
      <c r="Y587" s="360">
        <v>0.44820559189578713</v>
      </c>
      <c r="Z587" s="360">
        <v>1.1190189358944445</v>
      </c>
      <c r="AA587" s="360">
        <v>68.519847482898456</v>
      </c>
      <c r="AB587" s="360">
        <v>0.44703048704424431</v>
      </c>
      <c r="AC587" s="360">
        <v>1.1212812248040473</v>
      </c>
      <c r="AD587" s="360">
        <v>1.0472534097425268</v>
      </c>
      <c r="AE587" s="360">
        <v>0.4475628517800242</v>
      </c>
      <c r="AF587" s="360">
        <v>1.1190193968021489</v>
      </c>
      <c r="AG587" s="360">
        <v>61.403670540256229</v>
      </c>
      <c r="AH587" s="360">
        <v>120.51453057305999</v>
      </c>
      <c r="AI587" s="360">
        <v>0.44483519370946345</v>
      </c>
      <c r="AJ587" s="360">
        <v>1.1290388912237963</v>
      </c>
      <c r="AK587" s="360">
        <v>1.2814781390936592</v>
      </c>
      <c r="AL587" s="360">
        <v>0.4469564634198947</v>
      </c>
      <c r="AM587" s="360">
        <v>1.119019042596594</v>
      </c>
      <c r="AN587" s="360">
        <v>104.23150871058176</v>
      </c>
      <c r="AO587" s="360">
        <f t="shared" si="24"/>
        <v>1</v>
      </c>
      <c r="AP587" s="360">
        <f t="shared" si="25"/>
        <v>1</v>
      </c>
      <c r="AQ587" s="360">
        <f t="shared" si="26"/>
        <v>1</v>
      </c>
    </row>
    <row r="588" spans="1:43">
      <c r="A588" s="360" t="s">
        <v>1077</v>
      </c>
      <c r="B588" t="s">
        <v>1074</v>
      </c>
      <c r="C588">
        <v>2</v>
      </c>
      <c r="D588" t="s">
        <v>1080</v>
      </c>
      <c r="E588" t="s">
        <v>1079</v>
      </c>
      <c r="F588" s="360">
        <v>9</v>
      </c>
      <c r="G588" s="360" t="str">
        <f>CONCATENATE(A588," ",B588," ",C588," ","inf+"," ",FanUpsizes!D588," ",FanUpsizes!F588)</f>
        <v>10ACH Infiltration 2 inf+ Existing 9</v>
      </c>
      <c r="H588" s="360">
        <v>9.5919301007286253E-3</v>
      </c>
      <c r="I588" s="360">
        <v>0.47680605763154349</v>
      </c>
      <c r="J588" s="360">
        <v>1.0415538601173386</v>
      </c>
      <c r="K588" s="360">
        <v>207.01970825045237</v>
      </c>
      <c r="L588" s="360">
        <v>0.47351273154007306</v>
      </c>
      <c r="M588" s="360">
        <v>1.0463104588125736</v>
      </c>
      <c r="N588" s="360">
        <v>1.052840211506028</v>
      </c>
      <c r="O588" s="360">
        <v>0.47521022770632038</v>
      </c>
      <c r="P588" s="360">
        <v>1.041554798625943</v>
      </c>
      <c r="Q588" s="360">
        <v>173.27990901265466</v>
      </c>
      <c r="R588" s="360">
        <v>504.927906949614</v>
      </c>
      <c r="S588" s="360">
        <v>0.46385096137478765</v>
      </c>
      <c r="T588" s="360">
        <v>1.0686234535758681</v>
      </c>
      <c r="U588" s="360">
        <v>1.3921391623321089</v>
      </c>
      <c r="V588" s="360">
        <v>0.47266289354054691</v>
      </c>
      <c r="W588" s="360">
        <v>1.0415543703392736</v>
      </c>
      <c r="X588" s="360">
        <v>371.35869616772277</v>
      </c>
      <c r="Y588" s="360">
        <v>0.44820559189578713</v>
      </c>
      <c r="Z588" s="360">
        <v>1.1190189358944445</v>
      </c>
      <c r="AA588" s="360">
        <v>29.636821188502481</v>
      </c>
      <c r="AB588" s="360">
        <v>0.44777782513698655</v>
      </c>
      <c r="AC588" s="360">
        <v>1.1197170227277002</v>
      </c>
      <c r="AD588" s="360">
        <v>1.013865330066259</v>
      </c>
      <c r="AE588" s="360">
        <v>0.44795242257739132</v>
      </c>
      <c r="AF588" s="360">
        <v>1.1190189976858589</v>
      </c>
      <c r="AG588" s="360">
        <v>26.56965353253074</v>
      </c>
      <c r="AH588" s="360">
        <v>105.84152989264314</v>
      </c>
      <c r="AI588" s="360">
        <v>0.44536781573312789</v>
      </c>
      <c r="AJ588" s="360">
        <v>1.1269841342554106</v>
      </c>
      <c r="AK588" s="360">
        <v>1.204631979834518</v>
      </c>
      <c r="AL588" s="360">
        <v>0.4470991739088252</v>
      </c>
      <c r="AM588" s="360">
        <v>1.1190211141047925</v>
      </c>
      <c r="AN588" s="360">
        <v>88.584628290277649</v>
      </c>
      <c r="AO588" s="360">
        <f t="shared" si="24"/>
        <v>1</v>
      </c>
      <c r="AP588" s="360">
        <f t="shared" si="25"/>
        <v>1</v>
      </c>
      <c r="AQ588" s="360">
        <f t="shared" si="26"/>
        <v>1</v>
      </c>
    </row>
    <row r="589" spans="1:43">
      <c r="A589" s="360" t="s">
        <v>1077</v>
      </c>
      <c r="B589" t="s">
        <v>1076</v>
      </c>
      <c r="C589">
        <v>2</v>
      </c>
      <c r="D589" t="s">
        <v>1080</v>
      </c>
      <c r="E589" t="s">
        <v>1079</v>
      </c>
      <c r="F589" s="360">
        <v>9</v>
      </c>
      <c r="G589" s="360" t="str">
        <f>CONCATENATE(A589," ",B589," ",C589," ","inf+"," ",FanUpsizes!D589," ",FanUpsizes!F589)</f>
        <v>10ACH 5C 2 inf+ Existing 9</v>
      </c>
      <c r="H589" s="360">
        <v>9.5919301007286253E-3</v>
      </c>
      <c r="I589" s="360">
        <v>0.47680605763154349</v>
      </c>
      <c r="J589" s="360">
        <v>1.0415538601173386</v>
      </c>
      <c r="K589" s="360">
        <v>327.40887900344597</v>
      </c>
      <c r="L589" s="360">
        <v>0.47108819699420612</v>
      </c>
      <c r="M589" s="360">
        <v>1.0505206843164101</v>
      </c>
      <c r="N589" s="360">
        <v>1.1045847168800504</v>
      </c>
      <c r="O589" s="360">
        <v>0.47419442041751436</v>
      </c>
      <c r="P589" s="360">
        <v>1.041554159328127</v>
      </c>
      <c r="Q589" s="360">
        <v>273.21978369044609</v>
      </c>
      <c r="R589" s="360">
        <v>565.12249232610566</v>
      </c>
      <c r="S589" s="360">
        <v>0.46263869410185449</v>
      </c>
      <c r="T589" s="360">
        <v>1.0708186138185505</v>
      </c>
      <c r="U589" s="360">
        <v>1.4385267668465329</v>
      </c>
      <c r="V589" s="360">
        <v>0.47196234601006953</v>
      </c>
      <c r="W589" s="360">
        <v>1.0415562488261039</v>
      </c>
      <c r="X589" s="360">
        <v>442.14981818438133</v>
      </c>
      <c r="Y589" s="360">
        <v>0.44820559189578713</v>
      </c>
      <c r="Z589" s="360">
        <v>1.1190189358944445</v>
      </c>
      <c r="AA589" s="360">
        <v>48.998575293314651</v>
      </c>
      <c r="AB589" s="360">
        <v>0.44743077784123725</v>
      </c>
      <c r="AC589" s="360">
        <v>1.1204045489570962</v>
      </c>
      <c r="AD589" s="360">
        <v>1.0281277485593217</v>
      </c>
      <c r="AE589" s="360">
        <v>0.44776762322312985</v>
      </c>
      <c r="AF589" s="360">
        <v>1.1190190694295832</v>
      </c>
      <c r="AG589" s="360">
        <v>43.766369663060452</v>
      </c>
      <c r="AH589" s="360">
        <v>111.32730843019203</v>
      </c>
      <c r="AI589" s="360">
        <v>0.44528068472061738</v>
      </c>
      <c r="AJ589" s="360">
        <v>1.1271587388932629</v>
      </c>
      <c r="AK589" s="360">
        <v>1.2108161145708898</v>
      </c>
      <c r="AL589" s="360">
        <v>0.44702832928915859</v>
      </c>
      <c r="AM589" s="360">
        <v>1.1190193361085006</v>
      </c>
      <c r="AN589" s="360">
        <v>95.745871621820001</v>
      </c>
      <c r="AO589" s="360">
        <f t="shared" si="24"/>
        <v>1</v>
      </c>
      <c r="AP589" s="360">
        <f t="shared" si="25"/>
        <v>1</v>
      </c>
      <c r="AQ589" s="360">
        <f t="shared" si="26"/>
        <v>1</v>
      </c>
    </row>
    <row r="590" spans="1:43">
      <c r="A590" s="360" t="s">
        <v>1081</v>
      </c>
      <c r="B590" t="s">
        <v>1075</v>
      </c>
      <c r="C590">
        <v>1</v>
      </c>
      <c r="D590" t="s">
        <v>1078</v>
      </c>
      <c r="E590" t="s">
        <v>1079</v>
      </c>
      <c r="F590" s="360">
        <v>9</v>
      </c>
      <c r="G590" s="360" t="str">
        <f>CONCATENATE(A590," ",B590," ",C590," ","inf+"," ",FanUpsizes!D590," ",FanUpsizes!F590)</f>
        <v>7ACH Percentile 1 inf+ New 9</v>
      </c>
      <c r="H590" s="360">
        <v>1.6780771565916234E-2</v>
      </c>
      <c r="I590" s="360">
        <v>0.2930468655058433</v>
      </c>
      <c r="J590" s="360">
        <v>1.1781754689734343</v>
      </c>
      <c r="K590" s="360">
        <v>774.46750111862002</v>
      </c>
      <c r="L590" s="360">
        <v>0.27837077452158704</v>
      </c>
      <c r="M590" s="360">
        <v>1.2298202494648633</v>
      </c>
      <c r="N590" s="360">
        <v>1.2182060415879821</v>
      </c>
      <c r="O590" s="360">
        <v>0.28883759581425317</v>
      </c>
      <c r="P590" s="360">
        <v>1.178176143872002</v>
      </c>
      <c r="Q590" s="360">
        <v>620.67899645433067</v>
      </c>
      <c r="R590" s="360">
        <v>1106.2870238933422</v>
      </c>
      <c r="S590" s="360">
        <v>0.264178937984547</v>
      </c>
      <c r="T590" s="360">
        <v>1.3003976619011095</v>
      </c>
      <c r="U590" s="360">
        <v>1.6606248783080868</v>
      </c>
      <c r="V590" s="360">
        <v>0.28698425169289044</v>
      </c>
      <c r="W590" s="360">
        <v>1.1781757109161164</v>
      </c>
      <c r="X590" s="360">
        <v>859.89626756239647</v>
      </c>
      <c r="Y590" s="360">
        <v>0.26611549347636798</v>
      </c>
      <c r="Z590" s="360">
        <v>1.2891107485122961</v>
      </c>
      <c r="AA590" s="360">
        <v>341.33768953636712</v>
      </c>
      <c r="AB590" s="360">
        <v>0.25971709666134962</v>
      </c>
      <c r="AC590" s="360">
        <v>1.316079734030456</v>
      </c>
      <c r="AD590" s="360">
        <v>1.080221860937139</v>
      </c>
      <c r="AE590" s="360">
        <v>0.26392554296549953</v>
      </c>
      <c r="AF590" s="360">
        <v>1.2891179735453266</v>
      </c>
      <c r="AG590" s="360">
        <v>287.40166797874241</v>
      </c>
      <c r="AH590" s="360">
        <v>586.72358668222557</v>
      </c>
      <c r="AI590" s="360">
        <v>0.24837603337050626</v>
      </c>
      <c r="AJ590" s="360">
        <v>1.3895580879708394</v>
      </c>
      <c r="AK590" s="360">
        <v>1.4213933255419142</v>
      </c>
      <c r="AL590" s="360">
        <v>0.26297478074433162</v>
      </c>
      <c r="AM590" s="360">
        <v>1.2891175247908191</v>
      </c>
      <c r="AN590" s="360">
        <v>480.69332350121726</v>
      </c>
      <c r="AO590" s="360">
        <f t="shared" si="24"/>
        <v>1</v>
      </c>
      <c r="AP590" s="360">
        <f t="shared" si="25"/>
        <v>1</v>
      </c>
      <c r="AQ590" s="360">
        <f t="shared" si="26"/>
        <v>1</v>
      </c>
    </row>
    <row r="591" spans="1:43">
      <c r="A591" s="360" t="s">
        <v>1081</v>
      </c>
      <c r="B591" t="s">
        <v>1074</v>
      </c>
      <c r="C591">
        <v>1</v>
      </c>
      <c r="D591" t="s">
        <v>1078</v>
      </c>
      <c r="E591" t="s">
        <v>1079</v>
      </c>
      <c r="F591" s="360">
        <v>9</v>
      </c>
      <c r="G591" s="360" t="str">
        <f>CONCATENATE(A591," ",B591," ",C591," ","inf+"," ",FanUpsizes!D591," ",FanUpsizes!F591)</f>
        <v>7ACH Infiltration 1 inf+ New 9</v>
      </c>
      <c r="H591" s="360">
        <v>1.6780771565916234E-2</v>
      </c>
      <c r="I591" s="360">
        <v>0.2930468655058433</v>
      </c>
      <c r="J591" s="360">
        <v>1.1781754689734343</v>
      </c>
      <c r="K591" s="360">
        <v>21.389079735324376</v>
      </c>
      <c r="L591" s="360">
        <v>0.29279943622624383</v>
      </c>
      <c r="M591" s="360">
        <v>1.17871648442634</v>
      </c>
      <c r="N591" s="360">
        <v>1.001861251879629</v>
      </c>
      <c r="O591" s="360">
        <v>0.29291521301867129</v>
      </c>
      <c r="P591" s="360">
        <v>1.1781826415257806</v>
      </c>
      <c r="Q591" s="360">
        <v>18.675627340374326</v>
      </c>
      <c r="R591" s="360">
        <v>617.61504771856437</v>
      </c>
      <c r="S591" s="360">
        <v>0.27875959196095917</v>
      </c>
      <c r="T591" s="360">
        <v>1.229939714270097</v>
      </c>
      <c r="U591" s="360">
        <v>1.2130617835100865</v>
      </c>
      <c r="V591" s="360">
        <v>0.28906079700899434</v>
      </c>
      <c r="W591" s="360">
        <v>1.1781806928348415</v>
      </c>
      <c r="X591" s="360">
        <v>434.03287927799363</v>
      </c>
      <c r="Y591" s="360">
        <v>0.26611549347636798</v>
      </c>
      <c r="Z591" s="360">
        <v>1.2891107485122961</v>
      </c>
      <c r="AA591" s="360">
        <v>7.5923885027201541</v>
      </c>
      <c r="AB591" s="360">
        <v>0.26602957139505057</v>
      </c>
      <c r="AC591" s="360">
        <v>1.2893264094899684</v>
      </c>
      <c r="AD591" s="360">
        <v>1.0005653718792573</v>
      </c>
      <c r="AE591" s="360">
        <v>0.26606529882512181</v>
      </c>
      <c r="AF591" s="360">
        <v>1.2891109359043427</v>
      </c>
      <c r="AG591" s="360">
        <v>6.8706549586196974</v>
      </c>
      <c r="AH591" s="360">
        <v>406.73835207406535</v>
      </c>
      <c r="AI591" s="360">
        <v>0.25645227191437886</v>
      </c>
      <c r="AJ591" s="360">
        <v>1.3349632676548446</v>
      </c>
      <c r="AK591" s="360">
        <v>1.1470548814259522</v>
      </c>
      <c r="AL591" s="360">
        <v>0.26343536792787592</v>
      </c>
      <c r="AM591" s="360">
        <v>1.2891110140519324</v>
      </c>
      <c r="AN591" s="360">
        <v>322.35749480587396</v>
      </c>
      <c r="AO591" s="360">
        <f t="shared" si="24"/>
        <v>1</v>
      </c>
      <c r="AP591" s="360">
        <f t="shared" si="25"/>
        <v>1</v>
      </c>
      <c r="AQ591" s="360">
        <f t="shared" si="26"/>
        <v>1</v>
      </c>
    </row>
    <row r="592" spans="1:43">
      <c r="A592" s="360" t="s">
        <v>1081</v>
      </c>
      <c r="B592" t="s">
        <v>1076</v>
      </c>
      <c r="C592">
        <v>1</v>
      </c>
      <c r="D592" t="s">
        <v>1078</v>
      </c>
      <c r="E592" t="s">
        <v>1079</v>
      </c>
      <c r="F592" s="360">
        <v>9</v>
      </c>
      <c r="G592" s="360" t="str">
        <f>CONCATENATE(A592," ",B592," ",C592," ","inf+"," ",FanUpsizes!D592," ",FanUpsizes!F592)</f>
        <v>7ACH 5C 1 inf+ New 9</v>
      </c>
      <c r="H592" s="360">
        <v>1.6780771565916234E-2</v>
      </c>
      <c r="I592" s="360">
        <v>0.2930468655058433</v>
      </c>
      <c r="J592" s="360">
        <v>1.1781754689734343</v>
      </c>
      <c r="K592" s="360">
        <v>572.79124738329551</v>
      </c>
      <c r="L592" s="360">
        <v>0.28304365320202785</v>
      </c>
      <c r="M592" s="360">
        <v>1.2112844730845431</v>
      </c>
      <c r="N592" s="360">
        <v>1.1301633231381503</v>
      </c>
      <c r="O592" s="360">
        <v>0.28987886436971194</v>
      </c>
      <c r="P592" s="360">
        <v>1.1781759965116032</v>
      </c>
      <c r="Q592" s="360">
        <v>454.80314307114378</v>
      </c>
      <c r="R592" s="360">
        <v>893.31613154254683</v>
      </c>
      <c r="S592" s="360">
        <v>0.2738817004488503</v>
      </c>
      <c r="T592" s="360">
        <v>1.2482505285455023</v>
      </c>
      <c r="U592" s="360">
        <v>1.3133246654138782</v>
      </c>
      <c r="V592" s="360">
        <v>0.28755093029412016</v>
      </c>
      <c r="W592" s="360">
        <v>1.1781756481037036</v>
      </c>
      <c r="X592" s="360">
        <v>709.72758535696516</v>
      </c>
      <c r="Y592" s="360">
        <v>0.26611549347636798</v>
      </c>
      <c r="Z592" s="360">
        <v>1.2891107485122961</v>
      </c>
      <c r="AA592" s="360">
        <v>245.52091971381336</v>
      </c>
      <c r="AB592" s="360">
        <v>0.2618884115698708</v>
      </c>
      <c r="AC592" s="360">
        <v>1.305836181761284</v>
      </c>
      <c r="AD592" s="360">
        <v>1.0473494678760182</v>
      </c>
      <c r="AE592" s="360">
        <v>0.26454567113507954</v>
      </c>
      <c r="AF592" s="360">
        <v>1.2891115782838856</v>
      </c>
      <c r="AG592" s="360">
        <v>205.50842634414047</v>
      </c>
      <c r="AH592" s="360">
        <v>470.8406338349389</v>
      </c>
      <c r="AI592" s="360">
        <v>0.25537820328259914</v>
      </c>
      <c r="AJ592" s="360">
        <v>1.3396708444034207</v>
      </c>
      <c r="AK592" s="360">
        <v>1.1674029377633555</v>
      </c>
      <c r="AL592" s="360">
        <v>0.262990571490473</v>
      </c>
      <c r="AM592" s="360">
        <v>1.2891114869152314</v>
      </c>
      <c r="AN592" s="360">
        <v>396.01618452342615</v>
      </c>
      <c r="AO592" s="360">
        <f t="shared" si="24"/>
        <v>1</v>
      </c>
      <c r="AP592" s="360">
        <f t="shared" si="25"/>
        <v>1</v>
      </c>
      <c r="AQ592" s="360">
        <f t="shared" si="26"/>
        <v>1</v>
      </c>
    </row>
    <row r="593" spans="1:43">
      <c r="A593" s="360" t="s">
        <v>1081</v>
      </c>
      <c r="B593" t="s">
        <v>1075</v>
      </c>
      <c r="C593">
        <v>2</v>
      </c>
      <c r="D593" t="s">
        <v>1078</v>
      </c>
      <c r="E593" t="s">
        <v>1079</v>
      </c>
      <c r="F593" s="360">
        <v>9</v>
      </c>
      <c r="G593" s="360" t="str">
        <f>CONCATENATE(A593," ",B593," ",C593," ","inf+"," ",FanUpsizes!D593," ",FanUpsizes!F593)</f>
        <v>7ACH Percentile 2 inf+ New 9</v>
      </c>
      <c r="H593" s="360">
        <v>1.4421666666666666E-2</v>
      </c>
      <c r="I593" s="360">
        <v>0.36225023630498093</v>
      </c>
      <c r="J593" s="360">
        <v>0.97319986912543011</v>
      </c>
      <c r="K593" s="360">
        <v>665.58990457773166</v>
      </c>
      <c r="L593" s="360">
        <v>0.34963736619270624</v>
      </c>
      <c r="M593" s="360">
        <v>1.0015952126783505</v>
      </c>
      <c r="N593" s="360">
        <v>1.2022385863708271</v>
      </c>
      <c r="O593" s="360">
        <v>0.35788537865783693</v>
      </c>
      <c r="P593" s="360">
        <v>0.97320117904106596</v>
      </c>
      <c r="Q593" s="360">
        <v>543.09313044169403</v>
      </c>
      <c r="R593" s="360">
        <v>950.76097267504008</v>
      </c>
      <c r="S593" s="360">
        <v>0.33744067218963347</v>
      </c>
      <c r="T593" s="360">
        <v>1.041978905653848</v>
      </c>
      <c r="U593" s="360">
        <v>1.6460466908755174</v>
      </c>
      <c r="V593" s="360">
        <v>0.35598859325052962</v>
      </c>
      <c r="W593" s="360">
        <v>0.97320002840060671</v>
      </c>
      <c r="X593" s="360">
        <v>743.6815620635831</v>
      </c>
      <c r="Y593" s="360">
        <v>0.32983850362070011</v>
      </c>
      <c r="Z593" s="360">
        <v>1.07278963337694</v>
      </c>
      <c r="AA593" s="360">
        <v>202.74188136989514</v>
      </c>
      <c r="AB593" s="360">
        <v>0.32611555443697704</v>
      </c>
      <c r="AC593" s="360">
        <v>1.0828353333149505</v>
      </c>
      <c r="AD593" s="360">
        <v>1.063324224281722</v>
      </c>
      <c r="AE593" s="360">
        <v>0.32819764347595681</v>
      </c>
      <c r="AF593" s="360">
        <v>1.0727898755626766</v>
      </c>
      <c r="AG593" s="360">
        <v>176.27754325868057</v>
      </c>
      <c r="AH593" s="360">
        <v>351.16197436012249</v>
      </c>
      <c r="AI593" s="360">
        <v>0.31934330341719092</v>
      </c>
      <c r="AJ593" s="360">
        <v>1.1131495410028083</v>
      </c>
      <c r="AK593" s="360">
        <v>1.3550915015283571</v>
      </c>
      <c r="AL593" s="360">
        <v>0.3270744546196227</v>
      </c>
      <c r="AM593" s="360">
        <v>1.0727898800590656</v>
      </c>
      <c r="AN593" s="360">
        <v>296.79925840069404</v>
      </c>
      <c r="AO593" s="360">
        <f t="shared" si="24"/>
        <v>1</v>
      </c>
      <c r="AP593" s="360">
        <f t="shared" si="25"/>
        <v>1</v>
      </c>
      <c r="AQ593" s="360">
        <f t="shared" si="26"/>
        <v>1</v>
      </c>
    </row>
    <row r="594" spans="1:43">
      <c r="A594" s="360" t="s">
        <v>1081</v>
      </c>
      <c r="B594" t="s">
        <v>1074</v>
      </c>
      <c r="C594">
        <v>2</v>
      </c>
      <c r="D594" t="s">
        <v>1078</v>
      </c>
      <c r="E594" t="s">
        <v>1079</v>
      </c>
      <c r="F594" s="360">
        <v>9</v>
      </c>
      <c r="G594" s="360" t="str">
        <f>CONCATENATE(A594," ",B594," ",C594," ","inf+"," ",FanUpsizes!D594," ",FanUpsizes!F594)</f>
        <v>7ACH Infiltration 2 inf+ New 9</v>
      </c>
      <c r="H594" s="360">
        <v>1.4421666666666666E-2</v>
      </c>
      <c r="I594" s="360">
        <v>0.36225023630498093</v>
      </c>
      <c r="J594" s="360">
        <v>0.97319986912543011</v>
      </c>
      <c r="K594" s="360">
        <v>223.73435056054726</v>
      </c>
      <c r="L594" s="360">
        <v>0.35888437404958662</v>
      </c>
      <c r="M594" s="360">
        <v>0.97952505560832626</v>
      </c>
      <c r="N594" s="360">
        <v>1.0388773083890395</v>
      </c>
      <c r="O594" s="360">
        <v>0.3608287853012857</v>
      </c>
      <c r="P594" s="360">
        <v>0.9732040284424146</v>
      </c>
      <c r="Q594" s="360">
        <v>183.00804445450549</v>
      </c>
      <c r="R594" s="360">
        <v>715.11454987123693</v>
      </c>
      <c r="S594" s="360">
        <v>0.34363774710028933</v>
      </c>
      <c r="T594" s="360">
        <v>1.0228937809316021</v>
      </c>
      <c r="U594" s="360">
        <v>1.3990099627263948</v>
      </c>
      <c r="V594" s="360">
        <v>0.35753500813816658</v>
      </c>
      <c r="W594" s="360">
        <v>0.97320066037702491</v>
      </c>
      <c r="X594" s="360">
        <v>493.19334089085856</v>
      </c>
      <c r="Y594" s="360">
        <v>0.32983850362070011</v>
      </c>
      <c r="Z594" s="360">
        <v>1.07278963337694</v>
      </c>
      <c r="AA594" s="360">
        <v>62.295265677615888</v>
      </c>
      <c r="AB594" s="360">
        <v>0.32893303203001667</v>
      </c>
      <c r="AC594" s="360">
        <v>1.0747859019741399</v>
      </c>
      <c r="AD594" s="360">
        <v>1.0116066107174557</v>
      </c>
      <c r="AE594" s="360">
        <v>0.32937132307165029</v>
      </c>
      <c r="AF594" s="360">
        <v>1.0727901641476725</v>
      </c>
      <c r="AG594" s="360">
        <v>54.449664893914751</v>
      </c>
      <c r="AH594" s="360">
        <v>303.45986273696235</v>
      </c>
      <c r="AI594" s="360">
        <v>0.32115312116827732</v>
      </c>
      <c r="AJ594" s="360">
        <v>1.1046461499528533</v>
      </c>
      <c r="AK594" s="360">
        <v>1.2515878368450539</v>
      </c>
      <c r="AL594" s="360">
        <v>0.3274070150153674</v>
      </c>
      <c r="AM594" s="360">
        <v>1.072789724226646</v>
      </c>
      <c r="AN594" s="360">
        <v>241.82809507262979</v>
      </c>
      <c r="AO594" s="360">
        <f t="shared" si="24"/>
        <v>1</v>
      </c>
      <c r="AP594" s="360">
        <f t="shared" si="25"/>
        <v>1</v>
      </c>
      <c r="AQ594" s="360">
        <f t="shared" si="26"/>
        <v>1</v>
      </c>
    </row>
    <row r="595" spans="1:43">
      <c r="A595" s="360" t="s">
        <v>1081</v>
      </c>
      <c r="B595" t="s">
        <v>1076</v>
      </c>
      <c r="C595">
        <v>2</v>
      </c>
      <c r="D595" t="s">
        <v>1078</v>
      </c>
      <c r="E595" t="s">
        <v>1079</v>
      </c>
      <c r="F595" s="360">
        <v>9</v>
      </c>
      <c r="G595" s="360" t="str">
        <f>CONCATENATE(A595," ",B595," ",C595," ","inf+"," ",FanUpsizes!D595," ",FanUpsizes!F595)</f>
        <v>7ACH 5C 2 inf+ New 9</v>
      </c>
      <c r="H595" s="360">
        <v>1.4421666666666666E-2</v>
      </c>
      <c r="I595" s="360">
        <v>0.36225023630498093</v>
      </c>
      <c r="J595" s="360">
        <v>0.97319986912543011</v>
      </c>
      <c r="K595" s="360">
        <v>492.26606815410668</v>
      </c>
      <c r="L595" s="360">
        <v>0.35365331375735609</v>
      </c>
      <c r="M595" s="360">
        <v>0.99142416302454706</v>
      </c>
      <c r="N595" s="360">
        <v>1.1210311823849792</v>
      </c>
      <c r="O595" s="360">
        <v>0.3590734614283842</v>
      </c>
      <c r="P595" s="360">
        <v>0.9731998709658094</v>
      </c>
      <c r="Q595" s="360">
        <v>397.9793760332139</v>
      </c>
      <c r="R595" s="360">
        <v>849.3804086679944</v>
      </c>
      <c r="S595" s="360">
        <v>0.34102221695417406</v>
      </c>
      <c r="T595" s="360">
        <v>1.0293829556104583</v>
      </c>
      <c r="U595" s="360">
        <v>1.4775984030318945</v>
      </c>
      <c r="V595" s="360">
        <v>0.35641778340588387</v>
      </c>
      <c r="W595" s="360">
        <v>0.9732000320289419</v>
      </c>
      <c r="X595" s="360">
        <v>647.87507065674424</v>
      </c>
      <c r="Y595" s="360">
        <v>0.32983850362070011</v>
      </c>
      <c r="Z595" s="360">
        <v>1.07278963337694</v>
      </c>
      <c r="AA595" s="360">
        <v>145.63687976182544</v>
      </c>
      <c r="AB595" s="360">
        <v>0.32738014768402079</v>
      </c>
      <c r="AC595" s="360">
        <v>1.0789933394758902</v>
      </c>
      <c r="AD595" s="360">
        <v>1.0375996590761525</v>
      </c>
      <c r="AE595" s="360">
        <v>0.32869858939679297</v>
      </c>
      <c r="AF595" s="360">
        <v>1.0727896663859997</v>
      </c>
      <c r="AG595" s="360">
        <v>125.97833859754427</v>
      </c>
      <c r="AH595" s="360">
        <v>326.0056578837532</v>
      </c>
      <c r="AI595" s="360">
        <v>0.32075776036299697</v>
      </c>
      <c r="AJ595" s="360">
        <v>1.10577307495738</v>
      </c>
      <c r="AK595" s="360">
        <v>1.2651965663787335</v>
      </c>
      <c r="AL595" s="360">
        <v>0.32714395676451308</v>
      </c>
      <c r="AM595" s="360">
        <v>1.0727911517817943</v>
      </c>
      <c r="AN595" s="360">
        <v>273.24872385627793</v>
      </c>
      <c r="AO595" s="360">
        <f t="shared" si="24"/>
        <v>1</v>
      </c>
      <c r="AP595" s="360">
        <f t="shared" si="25"/>
        <v>1</v>
      </c>
      <c r="AQ595" s="360">
        <f t="shared" si="26"/>
        <v>1</v>
      </c>
    </row>
    <row r="596" spans="1:43">
      <c r="A596" s="360" t="s">
        <v>1081</v>
      </c>
      <c r="B596" t="s">
        <v>1075</v>
      </c>
      <c r="C596">
        <v>1</v>
      </c>
      <c r="D596" t="s">
        <v>1080</v>
      </c>
      <c r="E596" t="s">
        <v>1079</v>
      </c>
      <c r="F596" s="360">
        <v>9</v>
      </c>
      <c r="G596" s="360" t="str">
        <f>CONCATENATE(A596," ",B596," ",C596," ","inf+"," ",FanUpsizes!D596," ",FanUpsizes!F596)</f>
        <v>7ACH Percentile 1 inf+ Existing 9</v>
      </c>
      <c r="H596" s="360">
        <v>3.3030771565916231E-2</v>
      </c>
      <c r="I596" s="360">
        <v>0.35530022269287004</v>
      </c>
      <c r="J596" s="360">
        <v>1.3016987668644309</v>
      </c>
      <c r="K596" s="360">
        <v>1524.4387908023341</v>
      </c>
      <c r="L596" s="360">
        <v>0.32641224177510703</v>
      </c>
      <c r="M596" s="360">
        <v>1.4146738831143926</v>
      </c>
      <c r="N596" s="360">
        <v>1.2434161019350145</v>
      </c>
      <c r="O596" s="360">
        <v>0.35335480416481613</v>
      </c>
      <c r="P596" s="360">
        <v>1.3016988277560337</v>
      </c>
      <c r="Q596" s="360">
        <v>1179.4674193613637</v>
      </c>
      <c r="R596" s="360">
        <v>2177.871427354929</v>
      </c>
      <c r="S596" s="360">
        <v>0.2984079436913859</v>
      </c>
      <c r="T596" s="360">
        <v>1.5507554926638112</v>
      </c>
      <c r="U596" s="360">
        <v>1.6863125518942823</v>
      </c>
      <c r="V596" s="360">
        <v>0.35596208934885876</v>
      </c>
      <c r="W596" s="360">
        <v>1.3016993820107632</v>
      </c>
      <c r="X596" s="360">
        <v>1666.6912749299936</v>
      </c>
      <c r="Y596" s="360">
        <v>0.34289809819147765</v>
      </c>
      <c r="Z596" s="360">
        <v>1.3217709630560208</v>
      </c>
      <c r="AA596" s="360">
        <v>1156.5655381194347</v>
      </c>
      <c r="AB596" s="360">
        <v>0.32085824073968272</v>
      </c>
      <c r="AC596" s="360">
        <v>1.4172940437832651</v>
      </c>
      <c r="AD596" s="360">
        <v>1.1563921863973528</v>
      </c>
      <c r="AE596" s="360">
        <v>0.34363242033304386</v>
      </c>
      <c r="AF596" s="360">
        <v>1.3217712230722869</v>
      </c>
      <c r="AG596" s="360">
        <v>849.750044720544</v>
      </c>
      <c r="AH596" s="360">
        <v>1923.5711391309746</v>
      </c>
      <c r="AI596" s="360">
        <v>0.28566401866323393</v>
      </c>
      <c r="AJ596" s="360">
        <v>1.6117760988505092</v>
      </c>
      <c r="AK596" s="360">
        <v>1.6652846090784783</v>
      </c>
      <c r="AL596" s="360">
        <v>0.35049667088099423</v>
      </c>
      <c r="AM596" s="360">
        <v>1.3217713798665138</v>
      </c>
      <c r="AN596" s="360">
        <v>1374.0571109607715</v>
      </c>
      <c r="AO596" s="360">
        <f t="shared" si="24"/>
        <v>1</v>
      </c>
      <c r="AP596" s="360">
        <f t="shared" si="25"/>
        <v>1</v>
      </c>
      <c r="AQ596" s="360">
        <f t="shared" si="26"/>
        <v>1</v>
      </c>
    </row>
    <row r="597" spans="1:43">
      <c r="A597" s="360" t="s">
        <v>1081</v>
      </c>
      <c r="B597" t="s">
        <v>1074</v>
      </c>
      <c r="C597">
        <v>1</v>
      </c>
      <c r="D597" t="s">
        <v>1080</v>
      </c>
      <c r="E597" t="s">
        <v>1079</v>
      </c>
      <c r="F597" s="360">
        <v>9</v>
      </c>
      <c r="G597" s="360" t="str">
        <f>CONCATENATE(A597," ",B597," ",C597," ","inf+"," ",FanUpsizes!D597," ",FanUpsizes!F597)</f>
        <v>7ACH Infiltration 1 inf+ Existing 9</v>
      </c>
      <c r="H597" s="360">
        <v>3.3030771565916231E-2</v>
      </c>
      <c r="I597" s="360">
        <v>0.35530022269287004</v>
      </c>
      <c r="J597" s="360">
        <v>1.3016987668644309</v>
      </c>
      <c r="K597" s="360">
        <v>0</v>
      </c>
      <c r="L597" s="360">
        <v>0.35530022269287004</v>
      </c>
      <c r="M597" s="360">
        <v>1.3016987668644309</v>
      </c>
      <c r="N597" s="360">
        <v>1</v>
      </c>
      <c r="O597" s="360">
        <v>0.35530022269287004</v>
      </c>
      <c r="P597" s="360">
        <v>1.3016987668644309</v>
      </c>
      <c r="Q597" s="360">
        <v>0</v>
      </c>
      <c r="R597" s="360">
        <v>559.80240969958811</v>
      </c>
      <c r="S597" s="360">
        <v>0.34553870120259483</v>
      </c>
      <c r="T597" s="360">
        <v>1.3325515493782685</v>
      </c>
      <c r="U597" s="360">
        <v>1.057684647890047</v>
      </c>
      <c r="V597" s="360">
        <v>0.35275029368921651</v>
      </c>
      <c r="W597" s="360">
        <v>1.301699129831773</v>
      </c>
      <c r="X597" s="360">
        <v>423.40026486410369</v>
      </c>
      <c r="Y597" s="360">
        <v>0.34289809819147765</v>
      </c>
      <c r="Z597" s="360">
        <v>1.3217709630560208</v>
      </c>
      <c r="AA597" s="360">
        <v>0</v>
      </c>
      <c r="AB597" s="360">
        <v>0.34289809819147765</v>
      </c>
      <c r="AC597" s="360">
        <v>1.3217709630560208</v>
      </c>
      <c r="AD597" s="360">
        <v>1</v>
      </c>
      <c r="AE597" s="360">
        <v>0.34289809819147765</v>
      </c>
      <c r="AF597" s="360">
        <v>1.3217709630560208</v>
      </c>
      <c r="AG597" s="360">
        <v>0</v>
      </c>
      <c r="AH597" s="360">
        <v>594.8160842941885</v>
      </c>
      <c r="AI597" s="360">
        <v>0.33243271106854044</v>
      </c>
      <c r="AJ597" s="360">
        <v>1.3617357439795434</v>
      </c>
      <c r="AK597" s="360">
        <v>1.0564641731173532</v>
      </c>
      <c r="AL597" s="360">
        <v>0.34170579473522211</v>
      </c>
      <c r="AM597" s="360">
        <v>1.3217726318068403</v>
      </c>
      <c r="AN597" s="360">
        <v>429.16347148688789</v>
      </c>
      <c r="AO597" s="360">
        <f t="shared" si="24"/>
        <v>1</v>
      </c>
      <c r="AP597" s="360">
        <f t="shared" si="25"/>
        <v>0</v>
      </c>
      <c r="AQ597" s="360">
        <f t="shared" si="26"/>
        <v>0</v>
      </c>
    </row>
    <row r="598" spans="1:43">
      <c r="A598" s="360" t="s">
        <v>1081</v>
      </c>
      <c r="B598" t="s">
        <v>1076</v>
      </c>
      <c r="C598">
        <v>1</v>
      </c>
      <c r="D598" t="s">
        <v>1080</v>
      </c>
      <c r="E598" t="s">
        <v>1079</v>
      </c>
      <c r="F598" s="360">
        <v>9</v>
      </c>
      <c r="G598" s="360" t="str">
        <f>CONCATENATE(A598," ",B598," ",C598," ","inf+"," ",FanUpsizes!D598," ",FanUpsizes!F598)</f>
        <v>7ACH 5C 1 inf+ Existing 9</v>
      </c>
      <c r="H598" s="360">
        <v>3.3030771565916231E-2</v>
      </c>
      <c r="I598" s="360">
        <v>0.35530022269287004</v>
      </c>
      <c r="J598" s="360">
        <v>1.3016987668644309</v>
      </c>
      <c r="K598" s="360">
        <v>1127.4652522952138</v>
      </c>
      <c r="L598" s="360">
        <v>0.33561019716366303</v>
      </c>
      <c r="M598" s="360">
        <v>1.3742348058741147</v>
      </c>
      <c r="N598" s="360">
        <v>1.1461467255625435</v>
      </c>
      <c r="O598" s="360">
        <v>0.35275205591927167</v>
      </c>
      <c r="P598" s="360">
        <v>1.3016996680771269</v>
      </c>
      <c r="Q598" s="360">
        <v>863.87262529839427</v>
      </c>
      <c r="R598" s="360">
        <v>1127.4652522952138</v>
      </c>
      <c r="S598" s="360">
        <v>0.33561019716366303</v>
      </c>
      <c r="T598" s="360">
        <v>1.3742348058741147</v>
      </c>
      <c r="U598" s="360">
        <v>1.1461467255625435</v>
      </c>
      <c r="V598" s="360">
        <v>0.35275205591927167</v>
      </c>
      <c r="W598" s="360">
        <v>1.3016996680771269</v>
      </c>
      <c r="X598" s="360">
        <v>863.87262529839427</v>
      </c>
      <c r="Y598" s="360">
        <v>0.34289809819147765</v>
      </c>
      <c r="Z598" s="360">
        <v>1.3217709630560208</v>
      </c>
      <c r="AA598" s="360">
        <v>837.44135845278277</v>
      </c>
      <c r="AB598" s="360">
        <v>0.32824017794339033</v>
      </c>
      <c r="AC598" s="360">
        <v>1.3819125865398052</v>
      </c>
      <c r="AD598" s="360">
        <v>1.0902123816854674</v>
      </c>
      <c r="AE598" s="360">
        <v>0.34240164810613366</v>
      </c>
      <c r="AF598" s="360">
        <v>1.3217711572425161</v>
      </c>
      <c r="AG598" s="360">
        <v>613.04034745994932</v>
      </c>
      <c r="AH598" s="360">
        <v>837.44135845278277</v>
      </c>
      <c r="AI598" s="360">
        <v>0.32824017794339033</v>
      </c>
      <c r="AJ598" s="360">
        <v>1.3819125865398052</v>
      </c>
      <c r="AK598" s="360">
        <v>1.0902123816854674</v>
      </c>
      <c r="AL598" s="360">
        <v>0.34240164810613366</v>
      </c>
      <c r="AM598" s="360">
        <v>1.3217711572425161</v>
      </c>
      <c r="AN598" s="360">
        <v>613.04034745994932</v>
      </c>
      <c r="AO598" s="360">
        <f t="shared" si="24"/>
        <v>1</v>
      </c>
      <c r="AP598" s="360">
        <f t="shared" si="25"/>
        <v>1</v>
      </c>
      <c r="AQ598" s="360">
        <f t="shared" si="26"/>
        <v>1</v>
      </c>
    </row>
    <row r="599" spans="1:43">
      <c r="A599" s="360" t="s">
        <v>1081</v>
      </c>
      <c r="B599" t="s">
        <v>1075</v>
      </c>
      <c r="C599">
        <v>2</v>
      </c>
      <c r="D599" t="s">
        <v>1080</v>
      </c>
      <c r="E599" t="s">
        <v>1079</v>
      </c>
      <c r="F599" s="360">
        <v>9</v>
      </c>
      <c r="G599" s="360" t="str">
        <f>CONCATENATE(A599," ",B599," ",C599," ","inf+"," ",FanUpsizes!D599," ",FanUpsizes!F599)</f>
        <v>7ACH Percentile 2 inf+ Existing 9</v>
      </c>
      <c r="H599" s="360">
        <v>2.4568851070510038E-2</v>
      </c>
      <c r="I599" s="360">
        <v>0.3999190378525197</v>
      </c>
      <c r="J599" s="360">
        <v>1.1926804641489428</v>
      </c>
      <c r="K599" s="360">
        <v>1133.9035645166869</v>
      </c>
      <c r="L599" s="360">
        <v>0.3784316651013242</v>
      </c>
      <c r="M599" s="360">
        <v>1.252117186221813</v>
      </c>
      <c r="N599" s="360">
        <v>1.2298259956850734</v>
      </c>
      <c r="O599" s="360">
        <v>0.39468030202314935</v>
      </c>
      <c r="P599" s="360">
        <v>1.1926836314088192</v>
      </c>
      <c r="Q599" s="360">
        <v>896.75026257572927</v>
      </c>
      <c r="R599" s="360">
        <v>1619.7229683096646</v>
      </c>
      <c r="S599" s="360">
        <v>0.35765329284794517</v>
      </c>
      <c r="T599" s="360">
        <v>1.3309065884216758</v>
      </c>
      <c r="U599" s="360">
        <v>1.6774066934611762</v>
      </c>
      <c r="V599" s="360">
        <v>0.39251197484491779</v>
      </c>
      <c r="W599" s="360">
        <v>1.1926819832668949</v>
      </c>
      <c r="X599" s="360">
        <v>1249.6269913335809</v>
      </c>
      <c r="Y599" s="360">
        <v>0.3644905547235836</v>
      </c>
      <c r="Z599" s="360">
        <v>1.2959414346864804</v>
      </c>
      <c r="AA599" s="360">
        <v>550.75582467994968</v>
      </c>
      <c r="AB599" s="360">
        <v>0.3541299983506771</v>
      </c>
      <c r="AC599" s="360">
        <v>1.3302062146290616</v>
      </c>
      <c r="AD599" s="360">
        <v>1.0905992902854817</v>
      </c>
      <c r="AE599" s="360">
        <v>0.3614997205209029</v>
      </c>
      <c r="AF599" s="360">
        <v>1.2959419086322346</v>
      </c>
      <c r="AG599" s="360">
        <v>455.37060355999228</v>
      </c>
      <c r="AH599" s="360">
        <v>938.18874461509404</v>
      </c>
      <c r="AI599" s="360">
        <v>0.33617625118792122</v>
      </c>
      <c r="AJ599" s="360">
        <v>1.418942559922957</v>
      </c>
      <c r="AK599" s="360">
        <v>1.4636168729030126</v>
      </c>
      <c r="AL599" s="360">
        <v>0.3611078454357608</v>
      </c>
      <c r="AM599" s="360">
        <v>1.2959424616263888</v>
      </c>
      <c r="AN599" s="360">
        <v>752.44717173521451</v>
      </c>
      <c r="AO599" s="360">
        <f t="shared" si="24"/>
        <v>1</v>
      </c>
      <c r="AP599" s="360">
        <f t="shared" si="25"/>
        <v>1</v>
      </c>
      <c r="AQ599" s="360">
        <f t="shared" si="26"/>
        <v>1</v>
      </c>
    </row>
    <row r="600" spans="1:43">
      <c r="A600" s="360" t="s">
        <v>1081</v>
      </c>
      <c r="B600" t="s">
        <v>1074</v>
      </c>
      <c r="C600">
        <v>2</v>
      </c>
      <c r="D600" t="s">
        <v>1080</v>
      </c>
      <c r="E600" t="s">
        <v>1079</v>
      </c>
      <c r="F600" s="360">
        <v>9</v>
      </c>
      <c r="G600" s="360" t="str">
        <f>CONCATENATE(A600," ",B600," ",C600," ","inf+"," ",FanUpsizes!D600," ",FanUpsizes!F600)</f>
        <v>7ACH Infiltration 2 inf+ Existing 9</v>
      </c>
      <c r="H600" s="360">
        <v>2.4568851070510038E-2</v>
      </c>
      <c r="I600" s="360">
        <v>0.3999190378525197</v>
      </c>
      <c r="J600" s="360">
        <v>1.1926804641489428</v>
      </c>
      <c r="K600" s="360">
        <v>5.5106095821702432</v>
      </c>
      <c r="L600" s="360">
        <v>0.39985693561913488</v>
      </c>
      <c r="M600" s="360">
        <v>1.1927845253455645</v>
      </c>
      <c r="N600" s="360">
        <v>1.0003105226149092</v>
      </c>
      <c r="O600" s="360">
        <v>0.39988538616533764</v>
      </c>
      <c r="P600" s="360">
        <v>1.1926862946751144</v>
      </c>
      <c r="Q600" s="360">
        <v>4.8397953624957308</v>
      </c>
      <c r="R600" s="360">
        <v>846.92480296626945</v>
      </c>
      <c r="S600" s="360">
        <v>0.38092610480895456</v>
      </c>
      <c r="T600" s="360">
        <v>1.2445389060223224</v>
      </c>
      <c r="U600" s="360">
        <v>1.1900836213822144</v>
      </c>
      <c r="V600" s="360">
        <v>0.39481943958914639</v>
      </c>
      <c r="W600" s="360">
        <v>1.1926808804774953</v>
      </c>
      <c r="X600" s="360">
        <v>596.2309783889898</v>
      </c>
      <c r="Y600" s="360">
        <v>0.3644905547235836</v>
      </c>
      <c r="Z600" s="360">
        <v>1.2959414346864804</v>
      </c>
      <c r="AA600" s="360">
        <v>2.1794306230575105</v>
      </c>
      <c r="AB600" s="360">
        <v>0.36446643152472857</v>
      </c>
      <c r="AC600" s="360">
        <v>1.2959894867485451</v>
      </c>
      <c r="AD600" s="360">
        <v>1.0001100455922896</v>
      </c>
      <c r="AE600" s="360">
        <v>0.36447729148656599</v>
      </c>
      <c r="AF600" s="360">
        <v>1.2959414854953188</v>
      </c>
      <c r="AG600" s="360">
        <v>1.9553063634282555</v>
      </c>
      <c r="AH600" s="360">
        <v>614.22848220460253</v>
      </c>
      <c r="AI600" s="360">
        <v>0.35045858995617729</v>
      </c>
      <c r="AJ600" s="360">
        <v>1.3459833988616514</v>
      </c>
      <c r="AK600" s="360">
        <v>1.1388605474905091</v>
      </c>
      <c r="AL600" s="360">
        <v>0.36101545850442562</v>
      </c>
      <c r="AM600" s="360">
        <v>1.2959417656361663</v>
      </c>
      <c r="AN600" s="360">
        <v>479.239703926461</v>
      </c>
      <c r="AO600" s="360">
        <f t="shared" si="24"/>
        <v>1</v>
      </c>
      <c r="AP600" s="360">
        <f t="shared" si="25"/>
        <v>1</v>
      </c>
      <c r="AQ600" s="360">
        <f t="shared" si="26"/>
        <v>1</v>
      </c>
    </row>
    <row r="601" spans="1:43">
      <c r="A601" s="360" t="s">
        <v>1081</v>
      </c>
      <c r="B601" t="s">
        <v>1076</v>
      </c>
      <c r="C601">
        <v>2</v>
      </c>
      <c r="D601" t="s">
        <v>1080</v>
      </c>
      <c r="E601" t="s">
        <v>1079</v>
      </c>
      <c r="F601" s="360">
        <v>9</v>
      </c>
      <c r="G601" s="360" t="str">
        <f>CONCATENATE(A601," ",B601," ",C601," ","inf+"," ",FanUpsizes!D601," ",FanUpsizes!F601)</f>
        <v>7ACH 5C 2 inf+ Existing 9</v>
      </c>
      <c r="H601" s="360">
        <v>2.4568851070510038E-2</v>
      </c>
      <c r="I601" s="360">
        <v>0.3999190378525197</v>
      </c>
      <c r="J601" s="360">
        <v>1.1926804641489428</v>
      </c>
      <c r="K601" s="360">
        <v>838.62787811464955</v>
      </c>
      <c r="L601" s="360">
        <v>0.38527326114590005</v>
      </c>
      <c r="M601" s="360">
        <v>1.2308654431138324</v>
      </c>
      <c r="N601" s="360">
        <v>1.1369319339149144</v>
      </c>
      <c r="O601" s="360">
        <v>0.39585622548815458</v>
      </c>
      <c r="P601" s="360">
        <v>1.1926808681997334</v>
      </c>
      <c r="Q601" s="360">
        <v>656.89761316298154</v>
      </c>
      <c r="R601" s="360">
        <v>1263.4834372325411</v>
      </c>
      <c r="S601" s="360">
        <v>0.37363426757233731</v>
      </c>
      <c r="T601" s="360">
        <v>1.2661361655395267</v>
      </c>
      <c r="U601" s="360">
        <v>1.2941039986020755</v>
      </c>
      <c r="V601" s="360">
        <v>0.39306669391008231</v>
      </c>
      <c r="W601" s="360">
        <v>1.1926810259910607</v>
      </c>
      <c r="X601" s="360">
        <v>998.11278150649025</v>
      </c>
      <c r="Y601" s="360">
        <v>0.3644905547235836</v>
      </c>
      <c r="Z601" s="360">
        <v>1.2959414346864804</v>
      </c>
      <c r="AA601" s="360">
        <v>397.08698235068636</v>
      </c>
      <c r="AB601" s="360">
        <v>0.35762951208856852</v>
      </c>
      <c r="AC601" s="360">
        <v>1.3172890874020473</v>
      </c>
      <c r="AD601" s="360">
        <v>1.0533757025948083</v>
      </c>
      <c r="AE601" s="360">
        <v>0.36228152536554054</v>
      </c>
      <c r="AF601" s="360">
        <v>1.2959416847976375</v>
      </c>
      <c r="AG601" s="360">
        <v>326.26378935280314</v>
      </c>
      <c r="AH601" s="360">
        <v>721.03672064417367</v>
      </c>
      <c r="AI601" s="360">
        <v>0.34867021884552646</v>
      </c>
      <c r="AJ601" s="360">
        <v>1.3522186314914872</v>
      </c>
      <c r="AK601" s="360">
        <v>1.1621165513265657</v>
      </c>
      <c r="AL601" s="360">
        <v>0.36045935076419711</v>
      </c>
      <c r="AM601" s="360">
        <v>1.295944364480307</v>
      </c>
      <c r="AN601" s="360">
        <v>597.50159093420007</v>
      </c>
      <c r="AO601" s="360">
        <f t="shared" si="24"/>
        <v>1</v>
      </c>
      <c r="AP601" s="360">
        <f t="shared" si="25"/>
        <v>1</v>
      </c>
      <c r="AQ601" s="360">
        <f t="shared" si="26"/>
        <v>1</v>
      </c>
    </row>
    <row r="602" spans="1:43">
      <c r="A602" s="360" t="s">
        <v>1082</v>
      </c>
      <c r="B602" t="s">
        <v>1075</v>
      </c>
      <c r="C602">
        <v>1</v>
      </c>
      <c r="D602" t="s">
        <v>1078</v>
      </c>
      <c r="E602" t="s">
        <v>1079</v>
      </c>
      <c r="F602" s="360">
        <v>9</v>
      </c>
      <c r="G602" s="360" t="str">
        <f>CONCATENATE(A602," ",B602," ",C602," ","inf+"," ",FanUpsizes!D602," ",FanUpsizes!F602)</f>
        <v>5ACH Percentile 1 inf+ New 9</v>
      </c>
      <c r="H602" s="360">
        <v>2.434769397565445E-2</v>
      </c>
      <c r="I602" s="360">
        <v>0.25684573249088105</v>
      </c>
      <c r="J602" s="360">
        <v>1.3034508535975142</v>
      </c>
      <c r="K602" s="360">
        <v>1123.6967047227392</v>
      </c>
      <c r="L602" s="360">
        <v>0.23555177883446693</v>
      </c>
      <c r="M602" s="360">
        <v>1.4184807097191228</v>
      </c>
      <c r="N602" s="360">
        <v>1.2402054255951305</v>
      </c>
      <c r="O602" s="360">
        <v>0.25548953703849253</v>
      </c>
      <c r="P602" s="360">
        <v>1.3034540390300582</v>
      </c>
      <c r="Q602" s="360">
        <v>871.21084215014548</v>
      </c>
      <c r="R602" s="360">
        <v>1605.5026098301773</v>
      </c>
      <c r="S602" s="360">
        <v>0.21487889470854982</v>
      </c>
      <c r="T602" s="360">
        <v>1.5569656799489415</v>
      </c>
      <c r="U602" s="360">
        <v>1.6787541703535904</v>
      </c>
      <c r="V602" s="360">
        <v>0.2572669007272233</v>
      </c>
      <c r="W602" s="360">
        <v>1.3034521049860228</v>
      </c>
      <c r="X602" s="360">
        <v>1232.3648013419347</v>
      </c>
      <c r="Y602" s="360">
        <v>0.24906449911726752</v>
      </c>
      <c r="Z602" s="360">
        <v>1.3187283758069943</v>
      </c>
      <c r="AA602" s="360">
        <v>871.90924673051552</v>
      </c>
      <c r="AB602" s="360">
        <v>0.23244228588767554</v>
      </c>
      <c r="AC602" s="360">
        <v>1.417471277971283</v>
      </c>
      <c r="AD602" s="360">
        <v>1.1588180260516858</v>
      </c>
      <c r="AE602" s="360">
        <v>0.2496780874506502</v>
      </c>
      <c r="AF602" s="360">
        <v>1.318730076833996</v>
      </c>
      <c r="AG602" s="360">
        <v>639.17226435715463</v>
      </c>
      <c r="AH602" s="360">
        <v>1447.3806671366792</v>
      </c>
      <c r="AI602" s="360">
        <v>0.20606078789674367</v>
      </c>
      <c r="AJ602" s="360">
        <v>1.6155377260269126</v>
      </c>
      <c r="AK602" s="360">
        <v>1.6648566830196989</v>
      </c>
      <c r="AL602" s="360">
        <v>0.25433425277746002</v>
      </c>
      <c r="AM602" s="360">
        <v>1.3187297429230087</v>
      </c>
      <c r="AN602" s="360">
        <v>1035.4641579640513</v>
      </c>
      <c r="AO602" s="360">
        <f t="shared" si="24"/>
        <v>1</v>
      </c>
      <c r="AP602" s="360">
        <f t="shared" si="25"/>
        <v>1</v>
      </c>
      <c r="AQ602" s="360">
        <f t="shared" si="26"/>
        <v>1</v>
      </c>
    </row>
    <row r="603" spans="1:43">
      <c r="A603" s="360" t="s">
        <v>1082</v>
      </c>
      <c r="B603" t="s">
        <v>1074</v>
      </c>
      <c r="C603">
        <v>1</v>
      </c>
      <c r="D603" t="s">
        <v>1078</v>
      </c>
      <c r="E603" t="s">
        <v>1079</v>
      </c>
      <c r="F603" s="360">
        <v>9</v>
      </c>
      <c r="G603" s="360" t="str">
        <f>CONCATENATE(A603," ",B603," ",C603," ","inf+"," ",FanUpsizes!D603," ",FanUpsizes!F603)</f>
        <v>5ACH Infiltration 1 inf+ New 9</v>
      </c>
      <c r="H603" s="360">
        <v>2.434769397565445E-2</v>
      </c>
      <c r="I603" s="360">
        <v>0.25684573249088105</v>
      </c>
      <c r="J603" s="360">
        <v>1.3034508535975142</v>
      </c>
      <c r="K603" s="360">
        <v>0</v>
      </c>
      <c r="L603" s="360">
        <v>0.25684573249088105</v>
      </c>
      <c r="M603" s="360">
        <v>1.3034508535975142</v>
      </c>
      <c r="N603" s="360">
        <v>1</v>
      </c>
      <c r="O603" s="360">
        <v>0.25684573249088105</v>
      </c>
      <c r="P603" s="360">
        <v>1.3034508535975142</v>
      </c>
      <c r="Q603" s="360">
        <v>0</v>
      </c>
      <c r="R603" s="360">
        <v>365.75424417540057</v>
      </c>
      <c r="S603" s="360">
        <v>0.2506401246093159</v>
      </c>
      <c r="T603" s="360">
        <v>1.3302705145456455</v>
      </c>
      <c r="U603" s="360">
        <v>1.0486190368309012</v>
      </c>
      <c r="V603" s="360">
        <v>0.25522231357044173</v>
      </c>
      <c r="W603" s="360">
        <v>1.3034514445741536</v>
      </c>
      <c r="X603" s="360">
        <v>278.56483345174416</v>
      </c>
      <c r="Y603" s="360">
        <v>0.24906449911726752</v>
      </c>
      <c r="Z603" s="360">
        <v>1.3187283758069943</v>
      </c>
      <c r="AA603" s="360">
        <v>0</v>
      </c>
      <c r="AB603" s="360">
        <v>0.24906449911726752</v>
      </c>
      <c r="AC603" s="360">
        <v>1.3187283758069943</v>
      </c>
      <c r="AD603" s="360">
        <v>1</v>
      </c>
      <c r="AE603" s="360">
        <v>0.24906449911726752</v>
      </c>
      <c r="AF603" s="360">
        <v>1.3187283758069943</v>
      </c>
      <c r="AG603" s="360">
        <v>0</v>
      </c>
      <c r="AH603" s="360">
        <v>393.65207778847679</v>
      </c>
      <c r="AI603" s="360">
        <v>0.2423314351843471</v>
      </c>
      <c r="AJ603" s="360">
        <v>1.3535415943573408</v>
      </c>
      <c r="AK603" s="360">
        <v>1.0478542172423413</v>
      </c>
      <c r="AL603" s="360">
        <v>0.24827673507790785</v>
      </c>
      <c r="AM603" s="360">
        <v>1.3187315990025137</v>
      </c>
      <c r="AN603" s="360">
        <v>284.51805230941955</v>
      </c>
      <c r="AO603" s="360">
        <f t="shared" si="24"/>
        <v>1</v>
      </c>
      <c r="AP603" s="360">
        <f t="shared" si="25"/>
        <v>0</v>
      </c>
      <c r="AQ603" s="360">
        <f t="shared" si="26"/>
        <v>0</v>
      </c>
    </row>
    <row r="604" spans="1:43">
      <c r="A604" s="360" t="s">
        <v>1082</v>
      </c>
      <c r="B604" t="s">
        <v>1076</v>
      </c>
      <c r="C604">
        <v>1</v>
      </c>
      <c r="D604" t="s">
        <v>1078</v>
      </c>
      <c r="E604" t="s">
        <v>1079</v>
      </c>
      <c r="F604" s="360">
        <v>9</v>
      </c>
      <c r="G604" s="360" t="str">
        <f>CONCATENATE(A604," ",B604," ",C604," ","inf+"," ",FanUpsizes!D604," ",FanUpsizes!F604)</f>
        <v>5ACH 5C 1 inf+ New 9</v>
      </c>
      <c r="H604" s="360">
        <v>2.434769397565445E-2</v>
      </c>
      <c r="I604" s="360">
        <v>0.25684573249088105</v>
      </c>
      <c r="J604" s="360">
        <v>1.3034508535975142</v>
      </c>
      <c r="K604" s="360">
        <v>831.07894940584708</v>
      </c>
      <c r="L604" s="360">
        <v>0.24233179009019407</v>
      </c>
      <c r="M604" s="360">
        <v>1.3774274157494646</v>
      </c>
      <c r="N604" s="360">
        <v>1.1451640940198524</v>
      </c>
      <c r="O604" s="360">
        <v>0.2550603601977825</v>
      </c>
      <c r="P604" s="360">
        <v>1.3034508815328976</v>
      </c>
      <c r="Q604" s="360">
        <v>637.44865403987649</v>
      </c>
      <c r="R604" s="360">
        <v>831.07894940584708</v>
      </c>
      <c r="S604" s="360">
        <v>0.24233179009019407</v>
      </c>
      <c r="T604" s="360">
        <v>1.3774274157494646</v>
      </c>
      <c r="U604" s="360">
        <v>1.1451640940198524</v>
      </c>
      <c r="V604" s="360">
        <v>0.2550603601977825</v>
      </c>
      <c r="W604" s="360">
        <v>1.3034508815328976</v>
      </c>
      <c r="X604" s="360">
        <v>637.44865403987649</v>
      </c>
      <c r="Y604" s="360">
        <v>0.24906449911726752</v>
      </c>
      <c r="Z604" s="360">
        <v>1.3187283758069943</v>
      </c>
      <c r="AA604" s="360">
        <v>631.56294046993423</v>
      </c>
      <c r="AB604" s="360">
        <v>0.2380052528782656</v>
      </c>
      <c r="AC604" s="360">
        <v>1.3810728823194942</v>
      </c>
      <c r="AD604" s="360">
        <v>1.0920230486781268</v>
      </c>
      <c r="AE604" s="360">
        <v>0.24877783490983446</v>
      </c>
      <c r="AF604" s="360">
        <v>1.3187285378537954</v>
      </c>
      <c r="AG604" s="360">
        <v>460.45928285524383</v>
      </c>
      <c r="AH604" s="360">
        <v>631.56294046993423</v>
      </c>
      <c r="AI604" s="360">
        <v>0.2380052528782656</v>
      </c>
      <c r="AJ604" s="360">
        <v>1.3810728823194942</v>
      </c>
      <c r="AK604" s="360">
        <v>1.0920230486781268</v>
      </c>
      <c r="AL604" s="360">
        <v>0.24877783490983446</v>
      </c>
      <c r="AM604" s="360">
        <v>1.3187285378537954</v>
      </c>
      <c r="AN604" s="360">
        <v>460.45928285524383</v>
      </c>
      <c r="AO604" s="360">
        <f t="shared" si="24"/>
        <v>1</v>
      </c>
      <c r="AP604" s="360">
        <f t="shared" si="25"/>
        <v>1</v>
      </c>
      <c r="AQ604" s="360">
        <f t="shared" si="26"/>
        <v>1</v>
      </c>
    </row>
    <row r="605" spans="1:43">
      <c r="A605" s="360" t="s">
        <v>1082</v>
      </c>
      <c r="B605" t="s">
        <v>1075</v>
      </c>
      <c r="C605">
        <v>2</v>
      </c>
      <c r="D605" t="s">
        <v>1078</v>
      </c>
      <c r="E605" t="s">
        <v>1079</v>
      </c>
      <c r="F605" s="360">
        <v>9</v>
      </c>
      <c r="G605" s="360" t="str">
        <f>CONCATENATE(A605," ",B605," ",C605," ","inf+"," ",FanUpsizes!D605," ",FanUpsizes!F605)</f>
        <v>5ACH Percentile 2 inf+ New 9</v>
      </c>
      <c r="H605" s="360">
        <v>1.8303465050364311E-2</v>
      </c>
      <c r="I605" s="360">
        <v>0.28847190881465928</v>
      </c>
      <c r="J605" s="360">
        <v>1.1944183707740521</v>
      </c>
      <c r="K605" s="360">
        <v>844.7429716616391</v>
      </c>
      <c r="L605" s="360">
        <v>0.27246410384865216</v>
      </c>
      <c r="M605" s="360">
        <v>1.25610063667759</v>
      </c>
      <c r="N605" s="360">
        <v>1.2328251772344501</v>
      </c>
      <c r="O605" s="360">
        <v>0.28477226536961614</v>
      </c>
      <c r="P605" s="360">
        <v>1.1944183939523789</v>
      </c>
      <c r="Q605" s="360">
        <v>665.76135181105303</v>
      </c>
      <c r="R605" s="360">
        <v>1206.671921965192</v>
      </c>
      <c r="S605" s="360">
        <v>0.25698449475941687</v>
      </c>
      <c r="T605" s="360">
        <v>1.336791382272162</v>
      </c>
      <c r="U605" s="360">
        <v>1.6775232018013351</v>
      </c>
      <c r="V605" s="360">
        <v>0.28319108410876875</v>
      </c>
      <c r="W605" s="360">
        <v>1.1944187920962785</v>
      </c>
      <c r="X605" s="360">
        <v>930.85212985454871</v>
      </c>
      <c r="Y605" s="360">
        <v>0.26342235689826776</v>
      </c>
      <c r="Z605" s="360">
        <v>1.2949735909066802</v>
      </c>
      <c r="AA605" s="360">
        <v>425.1480587495609</v>
      </c>
      <c r="AB605" s="360">
        <v>0.25541404915588078</v>
      </c>
      <c r="AC605" s="360">
        <v>1.3318340729681006</v>
      </c>
      <c r="AD605" s="360">
        <v>1.0945225609124314</v>
      </c>
      <c r="AE605" s="360">
        <v>0.26128888514332144</v>
      </c>
      <c r="AF605" s="360">
        <v>1.2949736283034741</v>
      </c>
      <c r="AG605" s="360">
        <v>348.90919910026258</v>
      </c>
      <c r="AH605" s="360">
        <v>722.99336948186874</v>
      </c>
      <c r="AI605" s="360">
        <v>0.24161027359501075</v>
      </c>
      <c r="AJ605" s="360">
        <v>1.424250397588612</v>
      </c>
      <c r="AK605" s="360">
        <v>1.470325255848812</v>
      </c>
      <c r="AL605" s="360">
        <v>0.2609201206729948</v>
      </c>
      <c r="AM605" s="360">
        <v>1.2949741886837176</v>
      </c>
      <c r="AN605" s="360">
        <v>578.03568731343273</v>
      </c>
      <c r="AO605" s="360">
        <f t="shared" si="24"/>
        <v>1</v>
      </c>
      <c r="AP605" s="360">
        <f t="shared" si="25"/>
        <v>1</v>
      </c>
      <c r="AQ605" s="360">
        <f t="shared" si="26"/>
        <v>1</v>
      </c>
    </row>
    <row r="606" spans="1:43">
      <c r="A606" s="360" t="s">
        <v>1082</v>
      </c>
      <c r="B606" t="s">
        <v>1074</v>
      </c>
      <c r="C606">
        <v>2</v>
      </c>
      <c r="D606" t="s">
        <v>1078</v>
      </c>
      <c r="E606" t="s">
        <v>1079</v>
      </c>
      <c r="F606" s="360">
        <v>9</v>
      </c>
      <c r="G606" s="360" t="str">
        <f>CONCATENATE(A606," ",B606," ",C606," ","inf+"," ",FanUpsizes!D606," ",FanUpsizes!F606)</f>
        <v>5ACH Infiltration 2 inf+ New 9</v>
      </c>
      <c r="H606" s="360">
        <v>1.8303465050364311E-2</v>
      </c>
      <c r="I606" s="360">
        <v>0.28847190881465928</v>
      </c>
      <c r="J606" s="360">
        <v>1.1944183707740521</v>
      </c>
      <c r="K606" s="360">
        <v>0.69339154630594879</v>
      </c>
      <c r="L606" s="360">
        <v>0.2884641979259473</v>
      </c>
      <c r="M606" s="360">
        <v>1.1944353174197566</v>
      </c>
      <c r="N606" s="360">
        <v>1.0000496266040795</v>
      </c>
      <c r="O606" s="360">
        <v>0.28846759101846431</v>
      </c>
      <c r="P606" s="360">
        <v>1.1944192706065697</v>
      </c>
      <c r="Q606" s="360">
        <v>0.61335436308568192</v>
      </c>
      <c r="R606" s="360">
        <v>602.44591279305041</v>
      </c>
      <c r="S606" s="360">
        <v>0.27527086733980261</v>
      </c>
      <c r="T606" s="360">
        <v>1.2439605417964126</v>
      </c>
      <c r="U606" s="360">
        <v>1.1753447005984545</v>
      </c>
      <c r="V606" s="360">
        <v>0.28501176051017407</v>
      </c>
      <c r="W606" s="360">
        <v>1.1944196285331283</v>
      </c>
      <c r="X606" s="360">
        <v>425.16622885274853</v>
      </c>
      <c r="Y606" s="360">
        <v>0.26342235689826776</v>
      </c>
      <c r="Z606" s="360">
        <v>1.2949735909066802</v>
      </c>
      <c r="AA606" s="360">
        <v>0.28260628519215647</v>
      </c>
      <c r="AB606" s="360">
        <v>0.26341926736346333</v>
      </c>
      <c r="AC606" s="360">
        <v>1.29498188138591</v>
      </c>
      <c r="AD606" s="360">
        <v>1</v>
      </c>
      <c r="AE606" s="360">
        <v>0.26341926736346333</v>
      </c>
      <c r="AF606" s="360">
        <v>1.29498188138591</v>
      </c>
      <c r="AG606" s="360">
        <v>0.28260628519215647</v>
      </c>
      <c r="AH606" s="360">
        <v>451.37372092791043</v>
      </c>
      <c r="AI606" s="360">
        <v>0.25337145960340474</v>
      </c>
      <c r="AJ606" s="360">
        <v>1.3437367530990942</v>
      </c>
      <c r="AK606" s="360">
        <v>1.1289225135662637</v>
      </c>
      <c r="AL606" s="360">
        <v>0.26101968468252951</v>
      </c>
      <c r="AM606" s="360">
        <v>1.2949739482033915</v>
      </c>
      <c r="AN606" s="360">
        <v>350.28236066722747</v>
      </c>
      <c r="AO606" s="360">
        <f t="shared" si="24"/>
        <v>1</v>
      </c>
      <c r="AP606" s="360">
        <f t="shared" si="25"/>
        <v>1</v>
      </c>
      <c r="AQ606" s="360">
        <f t="shared" si="26"/>
        <v>1</v>
      </c>
    </row>
    <row r="607" spans="1:43">
      <c r="A607" s="360" t="s">
        <v>1082</v>
      </c>
      <c r="B607" t="s">
        <v>1076</v>
      </c>
      <c r="C607">
        <v>2</v>
      </c>
      <c r="D607" t="s">
        <v>1078</v>
      </c>
      <c r="E607" t="s">
        <v>1079</v>
      </c>
      <c r="F607" s="360">
        <v>9</v>
      </c>
      <c r="G607" s="360" t="str">
        <f>CONCATENATE(A607," ",B607," ",C607," ","inf+"," ",FanUpsizes!D607," ",FanUpsizes!F607)</f>
        <v>5ACH 5C 2 inf+ New 9</v>
      </c>
      <c r="H607" s="360">
        <v>1.8303465050364311E-2</v>
      </c>
      <c r="I607" s="360">
        <v>0.28847190881465928</v>
      </c>
      <c r="J607" s="360">
        <v>1.1944183707740521</v>
      </c>
      <c r="K607" s="360">
        <v>624.76653927693485</v>
      </c>
      <c r="L607" s="360">
        <v>0.27756100128725114</v>
      </c>
      <c r="M607" s="360">
        <v>1.2341197645708317</v>
      </c>
      <c r="N607" s="360">
        <v>1.1390009409927229</v>
      </c>
      <c r="O607" s="360">
        <v>0.28559080214894816</v>
      </c>
      <c r="P607" s="360">
        <v>1.1944186579979879</v>
      </c>
      <c r="Q607" s="360">
        <v>487.33426772532385</v>
      </c>
      <c r="R607" s="360">
        <v>914.48248665838082</v>
      </c>
      <c r="S607" s="360">
        <v>0.26981926902045428</v>
      </c>
      <c r="T607" s="360">
        <v>1.2665352123483247</v>
      </c>
      <c r="U607" s="360">
        <v>1.2787213891381797</v>
      </c>
      <c r="V607" s="360">
        <v>0.28384439681595763</v>
      </c>
      <c r="W607" s="360">
        <v>1.1944188099700666</v>
      </c>
      <c r="X607" s="360">
        <v>719.65658757707342</v>
      </c>
      <c r="Y607" s="360">
        <v>0.26342235689826776</v>
      </c>
      <c r="Z607" s="360">
        <v>1.2949735909066802</v>
      </c>
      <c r="AA607" s="360">
        <v>306.63338345453604</v>
      </c>
      <c r="AB607" s="360">
        <v>0.25811729511179415</v>
      </c>
      <c r="AC607" s="360">
        <v>1.31801796401483</v>
      </c>
      <c r="AD607" s="360">
        <v>1.055825108411935</v>
      </c>
      <c r="AE607" s="360">
        <v>0.26183647329699389</v>
      </c>
      <c r="AF607" s="360">
        <v>1.2949738110243409</v>
      </c>
      <c r="AG607" s="360">
        <v>249.85495838557407</v>
      </c>
      <c r="AH607" s="360">
        <v>534.38696367966872</v>
      </c>
      <c r="AI607" s="360">
        <v>0.25197983771058374</v>
      </c>
      <c r="AJ607" s="360">
        <v>1.3505407807398944</v>
      </c>
      <c r="AK607" s="360">
        <v>1.1526586098754497</v>
      </c>
      <c r="AL607" s="360">
        <v>0.26064649409268048</v>
      </c>
      <c r="AM607" s="360">
        <v>1.2949736689124711</v>
      </c>
      <c r="AN607" s="360">
        <v>439.4690629074866</v>
      </c>
      <c r="AO607" s="360">
        <f t="shared" si="24"/>
        <v>1</v>
      </c>
      <c r="AP607" s="360">
        <f t="shared" si="25"/>
        <v>1</v>
      </c>
      <c r="AQ607" s="360">
        <f t="shared" si="26"/>
        <v>1</v>
      </c>
    </row>
    <row r="608" spans="1:43">
      <c r="A608" s="360" t="s">
        <v>1082</v>
      </c>
      <c r="B608" t="s">
        <v>1075</v>
      </c>
      <c r="C608">
        <v>1</v>
      </c>
      <c r="D608" t="s">
        <v>1080</v>
      </c>
      <c r="E608" t="s">
        <v>1079</v>
      </c>
      <c r="F608" s="360">
        <v>9</v>
      </c>
      <c r="G608" s="360" t="str">
        <f>CONCATENATE(A608," ",B608," ",C608," ","inf+"," ",FanUpsizes!D608," ",FanUpsizes!F608)</f>
        <v>5ACH Percentile 1 inf+ Existing 9</v>
      </c>
      <c r="H608" s="360">
        <v>4.059769397565445E-2</v>
      </c>
      <c r="I608" s="360">
        <v>0.33366825043165826</v>
      </c>
      <c r="J608" s="360">
        <v>1.3410624028386042</v>
      </c>
      <c r="K608" s="360">
        <v>1874.236875693606</v>
      </c>
      <c r="L608" s="360">
        <v>0.29814654834685145</v>
      </c>
      <c r="M608" s="360">
        <v>1.5455517235778529</v>
      </c>
      <c r="N608" s="360">
        <v>1.2703524018650116</v>
      </c>
      <c r="O608" s="360">
        <v>0.35101149140007232</v>
      </c>
      <c r="P608" s="360">
        <v>1.3410624653378433</v>
      </c>
      <c r="Q608" s="360">
        <v>1175.4806881791085</v>
      </c>
      <c r="R608" s="360">
        <v>2765.0805640801955</v>
      </c>
      <c r="S608" s="360">
        <v>0.25650090574401757</v>
      </c>
      <c r="T608" s="360">
        <v>1.797546507651842</v>
      </c>
      <c r="U608" s="360">
        <v>1.9326663477156112</v>
      </c>
      <c r="V608" s="360">
        <v>0.37495742370634727</v>
      </c>
      <c r="W608" s="360">
        <v>1.341062424890384</v>
      </c>
      <c r="X608" s="360">
        <v>1817.8713194269289</v>
      </c>
      <c r="Y608" s="360">
        <v>0.34742440746618147</v>
      </c>
      <c r="Z608" s="360">
        <v>1.2767393542075263</v>
      </c>
      <c r="AA608" s="360">
        <v>2000.1472596199612</v>
      </c>
      <c r="AB608" s="360">
        <v>0.30914325854087665</v>
      </c>
      <c r="AC608" s="360">
        <v>1.4888384443979941</v>
      </c>
      <c r="AD608" s="360">
        <v>1.3032082635533826</v>
      </c>
      <c r="AE608" s="360">
        <v>0.37205628363396609</v>
      </c>
      <c r="AF608" s="360">
        <v>1.276739460571461</v>
      </c>
      <c r="AG608" s="360">
        <v>1121.8141276926276</v>
      </c>
      <c r="AH608" s="360">
        <v>3211.5581793987103</v>
      </c>
      <c r="AI608" s="360">
        <v>0.25453408477108946</v>
      </c>
      <c r="AJ608" s="360">
        <v>1.8125468889841312</v>
      </c>
      <c r="AK608" s="360">
        <v>2.0063787753055204</v>
      </c>
      <c r="AL608" s="360">
        <v>0.3969898541853209</v>
      </c>
      <c r="AM608" s="360">
        <v>1.2767397705594172</v>
      </c>
      <c r="AN608" s="360">
        <v>1846.5247552273404</v>
      </c>
      <c r="AO608" s="360">
        <f t="shared" si="24"/>
        <v>1</v>
      </c>
      <c r="AP608" s="360">
        <f t="shared" si="25"/>
        <v>1</v>
      </c>
      <c r="AQ608" s="360">
        <f t="shared" si="26"/>
        <v>1</v>
      </c>
    </row>
    <row r="609" spans="1:43">
      <c r="A609" s="360" t="s">
        <v>1082</v>
      </c>
      <c r="B609" t="s">
        <v>1074</v>
      </c>
      <c r="C609">
        <v>1</v>
      </c>
      <c r="D609" t="s">
        <v>1080</v>
      </c>
      <c r="E609" t="s">
        <v>1079</v>
      </c>
      <c r="F609" s="360">
        <v>9</v>
      </c>
      <c r="G609" s="360" t="str">
        <f>CONCATENATE(A609," ",B609," ",C609," ","inf+"," ",FanUpsizes!D609," ",FanUpsizes!F609)</f>
        <v>5ACH Infiltration 1 inf+ Existing 9</v>
      </c>
      <c r="H609" s="360">
        <v>4.059769397565445E-2</v>
      </c>
      <c r="I609" s="360">
        <v>0.33366825043165826</v>
      </c>
      <c r="J609" s="360">
        <v>1.3410624028386042</v>
      </c>
      <c r="K609" s="360">
        <v>0</v>
      </c>
      <c r="L609" s="360">
        <v>0.33366825043165826</v>
      </c>
      <c r="M609" s="360">
        <v>1.3410624028386042</v>
      </c>
      <c r="N609" s="360">
        <v>1</v>
      </c>
      <c r="O609" s="360">
        <v>0.33366825043165826</v>
      </c>
      <c r="P609" s="360">
        <v>1.3410624028386042</v>
      </c>
      <c r="Q609" s="360">
        <v>0</v>
      </c>
      <c r="R609" s="360">
        <v>52.205395823410484</v>
      </c>
      <c r="S609" s="360">
        <v>0.33304399065755819</v>
      </c>
      <c r="T609" s="360">
        <v>1.3431656976619302</v>
      </c>
      <c r="U609" s="360">
        <v>1.0021912873818868</v>
      </c>
      <c r="V609" s="360">
        <v>0.33352756564016534</v>
      </c>
      <c r="W609" s="360">
        <v>1.3410706717531813</v>
      </c>
      <c r="X609" s="360">
        <v>42.955422045103766</v>
      </c>
      <c r="Y609" s="360">
        <v>0.34742440746618147</v>
      </c>
      <c r="Z609" s="360">
        <v>1.2767393542075263</v>
      </c>
      <c r="AA609" s="360">
        <v>0</v>
      </c>
      <c r="AB609" s="360">
        <v>0.34742440746618147</v>
      </c>
      <c r="AC609" s="360">
        <v>1.2767393542075263</v>
      </c>
      <c r="AD609" s="360">
        <v>1</v>
      </c>
      <c r="AE609" s="360">
        <v>0.34742440746618147</v>
      </c>
      <c r="AF609" s="360">
        <v>1.2767393542075263</v>
      </c>
      <c r="AG609" s="360">
        <v>0</v>
      </c>
      <c r="AH609" s="360">
        <v>69.134527558896991</v>
      </c>
      <c r="AI609" s="360">
        <v>0.34659458972674972</v>
      </c>
      <c r="AJ609" s="360">
        <v>1.2798656539434263</v>
      </c>
      <c r="AK609" s="360">
        <v>1.003158394270157</v>
      </c>
      <c r="AL609" s="360">
        <v>0.3474167577893611</v>
      </c>
      <c r="AM609" s="360">
        <v>1.2767487426913422</v>
      </c>
      <c r="AN609" s="360">
        <v>50.892260245500239</v>
      </c>
      <c r="AO609" s="360">
        <f t="shared" si="24"/>
        <v>1</v>
      </c>
      <c r="AP609" s="360">
        <f t="shared" si="25"/>
        <v>0</v>
      </c>
      <c r="AQ609" s="360">
        <f t="shared" si="26"/>
        <v>0</v>
      </c>
    </row>
    <row r="610" spans="1:43">
      <c r="A610" s="360" t="s">
        <v>1082</v>
      </c>
      <c r="B610" t="s">
        <v>1076</v>
      </c>
      <c r="C610">
        <v>1</v>
      </c>
      <c r="D610" t="s">
        <v>1080</v>
      </c>
      <c r="E610" t="s">
        <v>1079</v>
      </c>
      <c r="F610" s="360">
        <v>9</v>
      </c>
      <c r="G610" s="360" t="str">
        <f>CONCATENATE(A610," ",B610," ",C610," ","inf+"," ",FanUpsizes!D610," ",FanUpsizes!F610)</f>
        <v>5ACH 5C 1 inf+ Existing 9</v>
      </c>
      <c r="H610" s="360">
        <v>4.059769397565445E-2</v>
      </c>
      <c r="I610" s="360">
        <v>0.33366825043165826</v>
      </c>
      <c r="J610" s="360">
        <v>1.3410624028386042</v>
      </c>
      <c r="K610" s="360">
        <v>1385.7529543177041</v>
      </c>
      <c r="L610" s="360">
        <v>0.30946749480557972</v>
      </c>
      <c r="M610" s="360">
        <v>1.4730292614267357</v>
      </c>
      <c r="N610" s="360">
        <v>1.1557655869107242</v>
      </c>
      <c r="O610" s="360">
        <v>0.34177332145448841</v>
      </c>
      <c r="P610" s="360">
        <v>1.3410683813307032</v>
      </c>
      <c r="Q610" s="360">
        <v>891.38024971095615</v>
      </c>
      <c r="R610" s="360">
        <v>1385.7529543177041</v>
      </c>
      <c r="S610" s="360">
        <v>0.30946749480557972</v>
      </c>
      <c r="T610" s="360">
        <v>1.4730292614267357</v>
      </c>
      <c r="U610" s="360">
        <v>1.1557655869107242</v>
      </c>
      <c r="V610" s="360">
        <v>0.34177332145448841</v>
      </c>
      <c r="W610" s="360">
        <v>1.3410683813307032</v>
      </c>
      <c r="X610" s="360">
        <v>891.38024971095615</v>
      </c>
      <c r="Y610" s="360">
        <v>0.34742440746618147</v>
      </c>
      <c r="Z610" s="360">
        <v>1.2767393542075263</v>
      </c>
      <c r="AA610" s="360">
        <v>1457.8116460814197</v>
      </c>
      <c r="AB610" s="360">
        <v>0.32178119977822534</v>
      </c>
      <c r="AC610" s="360">
        <v>1.4116586576631869</v>
      </c>
      <c r="AD610" s="360">
        <v>1.1675873134320944</v>
      </c>
      <c r="AE610" s="360">
        <v>0.35949580344223964</v>
      </c>
      <c r="AF610" s="360">
        <v>1.2767461967352229</v>
      </c>
      <c r="AG610" s="360">
        <v>838.79178739150143</v>
      </c>
      <c r="AH610" s="360">
        <v>1457.8116460814197</v>
      </c>
      <c r="AI610" s="360">
        <v>0.32178119977822534</v>
      </c>
      <c r="AJ610" s="360">
        <v>1.4116586576631869</v>
      </c>
      <c r="AK610" s="360">
        <v>1.1675873134320944</v>
      </c>
      <c r="AL610" s="360">
        <v>0.35949580344223964</v>
      </c>
      <c r="AM610" s="360">
        <v>1.2767461967352229</v>
      </c>
      <c r="AN610" s="360">
        <v>838.79178739150143</v>
      </c>
      <c r="AO610" s="360">
        <f t="shared" si="24"/>
        <v>1</v>
      </c>
      <c r="AP610" s="360">
        <f t="shared" si="25"/>
        <v>1</v>
      </c>
      <c r="AQ610" s="360">
        <f t="shared" si="26"/>
        <v>1</v>
      </c>
    </row>
    <row r="611" spans="1:43">
      <c r="A611" s="360" t="s">
        <v>1082</v>
      </c>
      <c r="B611" t="s">
        <v>1075</v>
      </c>
      <c r="C611">
        <v>2</v>
      </c>
      <c r="D611" t="s">
        <v>1080</v>
      </c>
      <c r="E611" t="s">
        <v>1079</v>
      </c>
      <c r="F611" s="360">
        <v>9</v>
      </c>
      <c r="G611" s="360" t="str">
        <f>CONCATENATE(A611," ",B611," ",C611," ","inf+"," ",FanUpsizes!D611," ",FanUpsizes!F611)</f>
        <v>5ACH Percentile 2 inf+ Existing 9</v>
      </c>
      <c r="H611" s="360">
        <v>3.4553465050364315E-2</v>
      </c>
      <c r="I611" s="360">
        <v>0.35186633553860114</v>
      </c>
      <c r="J611" s="360">
        <v>1.3102581297935083</v>
      </c>
      <c r="K611" s="360">
        <v>1594.7142613453366</v>
      </c>
      <c r="L611" s="360">
        <v>0.32164664063908971</v>
      </c>
      <c r="M611" s="360">
        <v>1.4387795252781326</v>
      </c>
      <c r="N611" s="360">
        <v>1.2504486245755564</v>
      </c>
      <c r="O611" s="360">
        <v>0.3525303555229527</v>
      </c>
      <c r="P611" s="360">
        <v>1.3102637782930553</v>
      </c>
      <c r="Q611" s="360">
        <v>1210.6202304983276</v>
      </c>
      <c r="R611" s="360">
        <v>2279.9599456935289</v>
      </c>
      <c r="S611" s="360">
        <v>0.29205627570651826</v>
      </c>
      <c r="T611" s="360">
        <v>1.5886042327411591</v>
      </c>
      <c r="U611" s="360">
        <v>1.7294332821440335</v>
      </c>
      <c r="V611" s="360">
        <v>0.35805791125321079</v>
      </c>
      <c r="W611" s="360">
        <v>1.3102582060646417</v>
      </c>
      <c r="X611" s="360">
        <v>1708.7098535156501</v>
      </c>
      <c r="Y611" s="360">
        <v>0.34459085606899414</v>
      </c>
      <c r="Z611" s="360">
        <v>1.3111101118293718</v>
      </c>
      <c r="AA611" s="360">
        <v>1309.3715799140964</v>
      </c>
      <c r="AB611" s="360">
        <v>0.31961489505044355</v>
      </c>
      <c r="AC611" s="360">
        <v>1.4262468648968563</v>
      </c>
      <c r="AD611" s="360">
        <v>1.1825440174455026</v>
      </c>
      <c r="AE611" s="360">
        <v>0.3483189646648206</v>
      </c>
      <c r="AF611" s="360">
        <v>1.3111101785806443</v>
      </c>
      <c r="AG611" s="360">
        <v>919.28373738167579</v>
      </c>
      <c r="AH611" s="360">
        <v>2154.6876990156261</v>
      </c>
      <c r="AI611" s="360">
        <v>0.28089903198767141</v>
      </c>
      <c r="AJ611" s="360">
        <v>1.6430481680735758</v>
      </c>
      <c r="AK611" s="360">
        <v>1.7305780210431685</v>
      </c>
      <c r="AL611" s="360">
        <v>0.35810482066161453</v>
      </c>
      <c r="AM611" s="360">
        <v>1.3111107880646546</v>
      </c>
      <c r="AN611" s="360">
        <v>1482.0470751282053</v>
      </c>
      <c r="AO611" s="360">
        <f t="shared" si="24"/>
        <v>1</v>
      </c>
      <c r="AP611" s="360">
        <f t="shared" si="25"/>
        <v>1</v>
      </c>
      <c r="AQ611" s="360">
        <f t="shared" si="26"/>
        <v>1</v>
      </c>
    </row>
    <row r="612" spans="1:43">
      <c r="A612" s="360" t="s">
        <v>1082</v>
      </c>
      <c r="B612" t="s">
        <v>1074</v>
      </c>
      <c r="C612">
        <v>2</v>
      </c>
      <c r="D612" t="s">
        <v>1080</v>
      </c>
      <c r="E612" t="s">
        <v>1079</v>
      </c>
      <c r="F612" s="360">
        <v>9</v>
      </c>
      <c r="G612" s="360" t="str">
        <f>CONCATENATE(A612," ",B612," ",C612," ","inf+"," ",FanUpsizes!D612," ",FanUpsizes!F612)</f>
        <v>5ACH Infiltration 2 inf+ Existing 9</v>
      </c>
      <c r="H612" s="360">
        <v>3.4553465050364315E-2</v>
      </c>
      <c r="I612" s="360">
        <v>0.35186633553860114</v>
      </c>
      <c r="J612" s="360">
        <v>1.3102581297935083</v>
      </c>
      <c r="K612" s="360">
        <v>0</v>
      </c>
      <c r="L612" s="360">
        <v>0.35186633553860114</v>
      </c>
      <c r="M612" s="360">
        <v>1.3102581297935083</v>
      </c>
      <c r="N612" s="360">
        <v>1</v>
      </c>
      <c r="O612" s="360">
        <v>0.35186633553860114</v>
      </c>
      <c r="P612" s="360">
        <v>1.3102581297935083</v>
      </c>
      <c r="Q612" s="360">
        <v>0</v>
      </c>
      <c r="R612" s="360">
        <v>372.87846026034208</v>
      </c>
      <c r="S612" s="360">
        <v>0.34593448309565883</v>
      </c>
      <c r="T612" s="360">
        <v>1.3292536451446544</v>
      </c>
      <c r="U612" s="360">
        <v>1.0315649076891444</v>
      </c>
      <c r="V612" s="360">
        <v>0.35035123940909912</v>
      </c>
      <c r="W612" s="360">
        <v>1.3102584302185794</v>
      </c>
      <c r="X612" s="360">
        <v>287.48728832997352</v>
      </c>
      <c r="Y612" s="360">
        <v>0.34459085606899414</v>
      </c>
      <c r="Z612" s="360">
        <v>1.3111101118293718</v>
      </c>
      <c r="AA612" s="360">
        <v>0</v>
      </c>
      <c r="AB612" s="360">
        <v>0.34459085606899414</v>
      </c>
      <c r="AC612" s="360">
        <v>1.3111101118293718</v>
      </c>
      <c r="AD612" s="360">
        <v>1</v>
      </c>
      <c r="AE612" s="360">
        <v>0.34459085606899414</v>
      </c>
      <c r="AF612" s="360">
        <v>1.3111101118293718</v>
      </c>
      <c r="AG612" s="360">
        <v>0</v>
      </c>
      <c r="AH612" s="360">
        <v>417.01306779517512</v>
      </c>
      <c r="AI612" s="360">
        <v>0.33791009503651126</v>
      </c>
      <c r="AJ612" s="360">
        <v>1.3365149544056831</v>
      </c>
      <c r="AK612" s="360">
        <v>1.0328219091901172</v>
      </c>
      <c r="AL612" s="360">
        <v>0.34399356419427801</v>
      </c>
      <c r="AM612" s="360">
        <v>1.3111115970389393</v>
      </c>
      <c r="AN612" s="360">
        <v>298.51092272180028</v>
      </c>
      <c r="AO612" s="360">
        <f t="shared" si="24"/>
        <v>1</v>
      </c>
      <c r="AP612" s="360">
        <f t="shared" si="25"/>
        <v>0</v>
      </c>
      <c r="AQ612" s="360">
        <f t="shared" si="26"/>
        <v>0</v>
      </c>
    </row>
    <row r="613" spans="1:43">
      <c r="A613" s="360" t="s">
        <v>1082</v>
      </c>
      <c r="B613" t="s">
        <v>1076</v>
      </c>
      <c r="C613">
        <v>2</v>
      </c>
      <c r="D613" t="s">
        <v>1080</v>
      </c>
      <c r="E613" t="s">
        <v>1079</v>
      </c>
      <c r="F613" s="360">
        <v>9</v>
      </c>
      <c r="G613" s="360" t="str">
        <f>CONCATENATE(A613," ",B613," ",C613," ","inf+"," ",FanUpsizes!D613," ",FanUpsizes!F613)</f>
        <v>5ACH 5C 2 inf+ Existing 9</v>
      </c>
      <c r="H613" s="360">
        <v>3.4553465050364315E-2</v>
      </c>
      <c r="I613" s="360">
        <v>0.35186633553860114</v>
      </c>
      <c r="J613" s="360">
        <v>1.3102581297935083</v>
      </c>
      <c r="K613" s="360">
        <v>1179.4405441888468</v>
      </c>
      <c r="L613" s="360">
        <v>0.33126861478580405</v>
      </c>
      <c r="M613" s="360">
        <v>1.3930691534384736</v>
      </c>
      <c r="N613" s="360">
        <v>1.1512827283743823</v>
      </c>
      <c r="O613" s="360">
        <v>0.35080067474036147</v>
      </c>
      <c r="P613" s="360">
        <v>1.3102584734349154</v>
      </c>
      <c r="Q613" s="360">
        <v>888.87593688163361</v>
      </c>
      <c r="R613" s="360">
        <v>1179.4405441888468</v>
      </c>
      <c r="S613" s="360">
        <v>0.33126861478580405</v>
      </c>
      <c r="T613" s="360">
        <v>1.3930691534384736</v>
      </c>
      <c r="U613" s="360">
        <v>1.1512827283743823</v>
      </c>
      <c r="V613" s="360">
        <v>0.35080067474036147</v>
      </c>
      <c r="W613" s="360">
        <v>1.3102584734349154</v>
      </c>
      <c r="X613" s="360">
        <v>888.87593688163361</v>
      </c>
      <c r="Y613" s="360">
        <v>0.34459085606899414</v>
      </c>
      <c r="Z613" s="360">
        <v>1.3111101118293718</v>
      </c>
      <c r="AA613" s="360">
        <v>950.56946732774122</v>
      </c>
      <c r="AB613" s="360">
        <v>0.32793345811951946</v>
      </c>
      <c r="AC613" s="360">
        <v>1.3840627888916852</v>
      </c>
      <c r="AD613" s="360">
        <v>1.1049322197743146</v>
      </c>
      <c r="AE613" s="360">
        <v>0.3457438969172319</v>
      </c>
      <c r="AF613" s="360">
        <v>1.3111111361246865</v>
      </c>
      <c r="AG613" s="360">
        <v>665.70480157910049</v>
      </c>
      <c r="AH613" s="360">
        <v>950.56946732774122</v>
      </c>
      <c r="AI613" s="360">
        <v>0.32793345811951946</v>
      </c>
      <c r="AJ613" s="360">
        <v>1.3840627888916852</v>
      </c>
      <c r="AK613" s="360">
        <v>1.1049322197743146</v>
      </c>
      <c r="AL613" s="360">
        <v>0.3457438969172319</v>
      </c>
      <c r="AM613" s="360">
        <v>1.3111111361246865</v>
      </c>
      <c r="AN613" s="360">
        <v>665.70480157910049</v>
      </c>
      <c r="AO613" s="360">
        <f t="shared" ref="AO613:AO676" si="27">IF(ROUND(P613,3)=ROUND(J613,3),1,0)</f>
        <v>1</v>
      </c>
      <c r="AP613" s="360">
        <f t="shared" ref="AP613:AP676" si="28">IF(O613&gt;L613,1,0)</f>
        <v>1</v>
      </c>
      <c r="AQ613" s="360">
        <f t="shared" ref="AQ613:AQ676" si="29">IF(I613&gt;L613,1,0)</f>
        <v>1</v>
      </c>
    </row>
    <row r="614" spans="1:43">
      <c r="A614" s="360" t="s">
        <v>1083</v>
      </c>
      <c r="B614" t="s">
        <v>1075</v>
      </c>
      <c r="C614">
        <v>1</v>
      </c>
      <c r="D614" t="s">
        <v>1078</v>
      </c>
      <c r="E614" t="s">
        <v>1079</v>
      </c>
      <c r="F614" s="360">
        <v>9</v>
      </c>
      <c r="G614" s="360" t="str">
        <f>CONCATENATE(A614," ",B614," ",C614," ","inf+"," ",FanUpsizes!D614," ",FanUpsizes!F614)</f>
        <v>3ACH Percentile 1 inf+ New 9</v>
      </c>
      <c r="H614" s="360">
        <v>3.1914616385392669E-2</v>
      </c>
      <c r="I614" s="360">
        <v>0.24556342163168088</v>
      </c>
      <c r="J614" s="360">
        <v>1.3092596338157847</v>
      </c>
      <c r="K614" s="360">
        <v>1570.696209015887</v>
      </c>
      <c r="L614" s="360">
        <v>0.21550306347616704</v>
      </c>
      <c r="M614" s="360">
        <v>1.5761787971938934</v>
      </c>
      <c r="N614" s="360">
        <v>1.3350212288755117</v>
      </c>
      <c r="O614" s="360">
        <v>0.27165878597260551</v>
      </c>
      <c r="P614" s="360">
        <v>1.3092599655532786</v>
      </c>
      <c r="Q614" s="360">
        <v>796.73125294504291</v>
      </c>
      <c r="R614" s="360">
        <v>2415.8953520003365</v>
      </c>
      <c r="S614" s="360">
        <v>0.17571478855241712</v>
      </c>
      <c r="T614" s="360">
        <v>1.9265334840035426</v>
      </c>
      <c r="U614" s="360">
        <v>2.09440305686894</v>
      </c>
      <c r="V614" s="360">
        <v>0.29725611663949564</v>
      </c>
      <c r="W614" s="360">
        <v>1.3092617501125556</v>
      </c>
      <c r="X614" s="360">
        <v>1344.3330706313386</v>
      </c>
      <c r="Y614" s="360">
        <v>0.25847085212806886</v>
      </c>
      <c r="Z614" s="360">
        <v>1.2409287106396867</v>
      </c>
      <c r="AA614" s="360">
        <v>1793.5113080969729</v>
      </c>
      <c r="AB614" s="360">
        <v>0.22412104455207107</v>
      </c>
      <c r="AC614" s="360">
        <v>1.5225130018337147</v>
      </c>
      <c r="AD614" s="360">
        <v>1.397476026309395</v>
      </c>
      <c r="AE614" s="360">
        <v>0.29156219441709214</v>
      </c>
      <c r="AF614" s="360">
        <v>1.2409348318598659</v>
      </c>
      <c r="AG614" s="360">
        <v>841.04499051242954</v>
      </c>
      <c r="AH614" s="360">
        <v>2828.7318238086295</v>
      </c>
      <c r="AI614" s="360">
        <v>0.17784006303695526</v>
      </c>
      <c r="AJ614" s="360">
        <v>1.9092400964367793</v>
      </c>
      <c r="AK614" s="360">
        <v>2.198272144543568</v>
      </c>
      <c r="AL614" s="360">
        <v>0.31762153985710945</v>
      </c>
      <c r="AM614" s="360">
        <v>1.2409311433897443</v>
      </c>
      <c r="AN614" s="360">
        <v>1432.4721508155189</v>
      </c>
      <c r="AO614" s="360">
        <f t="shared" si="27"/>
        <v>1</v>
      </c>
      <c r="AP614" s="360">
        <f t="shared" si="28"/>
        <v>1</v>
      </c>
      <c r="AQ614" s="360">
        <f t="shared" si="29"/>
        <v>1</v>
      </c>
    </row>
    <row r="615" spans="1:43">
      <c r="A615" s="360" t="s">
        <v>1083</v>
      </c>
      <c r="B615" t="s">
        <v>1074</v>
      </c>
      <c r="C615">
        <v>1</v>
      </c>
      <c r="D615" t="s">
        <v>1078</v>
      </c>
      <c r="E615" t="s">
        <v>1079</v>
      </c>
      <c r="F615" s="360">
        <v>9</v>
      </c>
      <c r="G615" s="360" t="str">
        <f>CONCATENATE(A615," ",B615," ",C615," ","inf+"," ",FanUpsizes!D615," ",FanUpsizes!F615)</f>
        <v>3ACH Infiltration 1 inf+ New 9</v>
      </c>
      <c r="H615" s="360">
        <v>3.1914616385392669E-2</v>
      </c>
      <c r="I615" s="360">
        <v>0.24556342163168088</v>
      </c>
      <c r="J615" s="360">
        <v>1.3092596338157847</v>
      </c>
      <c r="K615" s="360">
        <v>0</v>
      </c>
      <c r="L615" s="360">
        <v>0.24556342163168088</v>
      </c>
      <c r="M615" s="360">
        <v>1.3092596338157847</v>
      </c>
      <c r="N615" s="360">
        <v>1</v>
      </c>
      <c r="O615" s="360">
        <v>0.24556342163168088</v>
      </c>
      <c r="P615" s="360">
        <v>1.3092596338157847</v>
      </c>
      <c r="Q615" s="360">
        <v>0</v>
      </c>
      <c r="R615" s="360">
        <v>0</v>
      </c>
      <c r="S615" s="360">
        <v>0.24556342163168088</v>
      </c>
      <c r="T615" s="360">
        <v>1.3092596338157847</v>
      </c>
      <c r="U615" s="360">
        <v>1</v>
      </c>
      <c r="V615" s="360">
        <v>0.24556342163168088</v>
      </c>
      <c r="W615" s="360">
        <v>1.3092596338157847</v>
      </c>
      <c r="X615" s="360">
        <v>0</v>
      </c>
      <c r="Y615" s="360">
        <v>0.25847085212806886</v>
      </c>
      <c r="Z615" s="360">
        <v>1.2409287106396867</v>
      </c>
      <c r="AA615" s="360">
        <v>0</v>
      </c>
      <c r="AB615" s="360">
        <v>0.25847085212806886</v>
      </c>
      <c r="AC615" s="360">
        <v>1.2409287106396867</v>
      </c>
      <c r="AD615" s="360">
        <v>1</v>
      </c>
      <c r="AE615" s="360">
        <v>0.25847085212806886</v>
      </c>
      <c r="AF615" s="360">
        <v>1.2409287106396867</v>
      </c>
      <c r="AG615" s="360">
        <v>0</v>
      </c>
      <c r="AH615" s="360">
        <v>0</v>
      </c>
      <c r="AI615" s="360">
        <v>0.25847085212806886</v>
      </c>
      <c r="AJ615" s="360">
        <v>1.2409287106396867</v>
      </c>
      <c r="AK615" s="360">
        <v>1</v>
      </c>
      <c r="AL615" s="360">
        <v>0.25847085212806886</v>
      </c>
      <c r="AM615" s="360">
        <v>1.2409287106396867</v>
      </c>
      <c r="AN615" s="360">
        <v>0</v>
      </c>
      <c r="AO615" s="360">
        <f t="shared" si="27"/>
        <v>1</v>
      </c>
      <c r="AP615" s="360">
        <f t="shared" si="28"/>
        <v>0</v>
      </c>
      <c r="AQ615" s="360">
        <f t="shared" si="29"/>
        <v>0</v>
      </c>
    </row>
    <row r="616" spans="1:43">
      <c r="A616" s="360" t="s">
        <v>1083</v>
      </c>
      <c r="B616" t="s">
        <v>1076</v>
      </c>
      <c r="C616">
        <v>1</v>
      </c>
      <c r="D616" t="s">
        <v>1078</v>
      </c>
      <c r="E616" t="s">
        <v>1079</v>
      </c>
      <c r="F616" s="360">
        <v>9</v>
      </c>
      <c r="G616" s="360" t="str">
        <f>CONCATENATE(A616," ",B616," ",C616," ","inf+"," ",FanUpsizes!D616," ",FanUpsizes!F616)</f>
        <v>3ACH 5C 1 inf+ New 9</v>
      </c>
      <c r="H616" s="360">
        <v>3.1914616385392669E-2</v>
      </c>
      <c r="I616" s="360">
        <v>0.24556342163168088</v>
      </c>
      <c r="J616" s="360">
        <v>1.3092596338157847</v>
      </c>
      <c r="K616" s="360">
        <v>1141.1716400992477</v>
      </c>
      <c r="L616" s="360">
        <v>0.22550999737475846</v>
      </c>
      <c r="M616" s="360">
        <v>1.4790091569745223</v>
      </c>
      <c r="N616" s="360">
        <v>1.1837015220644123</v>
      </c>
      <c r="O616" s="360">
        <v>0.2587631116070252</v>
      </c>
      <c r="P616" s="360">
        <v>1.3092726596077744</v>
      </c>
      <c r="Q616" s="360">
        <v>602.41656274873003</v>
      </c>
      <c r="R616" s="360">
        <v>1141.1716400992477</v>
      </c>
      <c r="S616" s="360">
        <v>0.22550999737475846</v>
      </c>
      <c r="T616" s="360">
        <v>1.4790091569745223</v>
      </c>
      <c r="U616" s="360">
        <v>1.1837015220644123</v>
      </c>
      <c r="V616" s="360">
        <v>0.2587631116070252</v>
      </c>
      <c r="W616" s="360">
        <v>1.3092726596077744</v>
      </c>
      <c r="X616" s="360">
        <v>602.41656274873003</v>
      </c>
      <c r="Y616" s="360">
        <v>0.25847085212806886</v>
      </c>
      <c r="Z616" s="360">
        <v>1.2409287106396867</v>
      </c>
      <c r="AA616" s="360">
        <v>1311.1623097495547</v>
      </c>
      <c r="AB616" s="360">
        <v>0.23538358885066699</v>
      </c>
      <c r="AC616" s="360">
        <v>1.4204588980892208</v>
      </c>
      <c r="AD616" s="360">
        <v>1.2157237220442685</v>
      </c>
      <c r="AE616" s="360">
        <v>0.27521237515301494</v>
      </c>
      <c r="AF616" s="360">
        <v>1.240928979620594</v>
      </c>
      <c r="AG616" s="360">
        <v>649.92496696631747</v>
      </c>
      <c r="AH616" s="360">
        <v>1311.1623097495547</v>
      </c>
      <c r="AI616" s="360">
        <v>0.23538358885066699</v>
      </c>
      <c r="AJ616" s="360">
        <v>1.4204588980892208</v>
      </c>
      <c r="AK616" s="360">
        <v>1.2157237220442685</v>
      </c>
      <c r="AL616" s="360">
        <v>0.27521237515301494</v>
      </c>
      <c r="AM616" s="360">
        <v>1.240928979620594</v>
      </c>
      <c r="AN616" s="360">
        <v>649.92496696631747</v>
      </c>
      <c r="AO616" s="360">
        <f t="shared" si="27"/>
        <v>1</v>
      </c>
      <c r="AP616" s="360">
        <f t="shared" si="28"/>
        <v>1</v>
      </c>
      <c r="AQ616" s="360">
        <f t="shared" si="29"/>
        <v>1</v>
      </c>
    </row>
    <row r="617" spans="1:43">
      <c r="A617" s="360" t="s">
        <v>1083</v>
      </c>
      <c r="B617" t="s">
        <v>1075</v>
      </c>
      <c r="C617">
        <v>2</v>
      </c>
      <c r="D617" t="s">
        <v>1078</v>
      </c>
      <c r="E617" t="s">
        <v>1079</v>
      </c>
      <c r="F617" s="360">
        <v>9</v>
      </c>
      <c r="G617" s="360" t="str">
        <f>CONCATENATE(A617," ",B617," ",C617," ","inf+"," ",FanUpsizes!D617," ",FanUpsizes!F617)</f>
        <v>3ACH Percentile 2 inf+ New 9</v>
      </c>
      <c r="H617" s="360">
        <v>2.8288079030218585E-2</v>
      </c>
      <c r="I617" s="360">
        <v>0.24568230749018802</v>
      </c>
      <c r="J617" s="360">
        <v>1.335146045300186</v>
      </c>
      <c r="K617" s="360">
        <v>1305.5536684902661</v>
      </c>
      <c r="L617" s="360">
        <v>0.2209421803758643</v>
      </c>
      <c r="M617" s="360">
        <v>1.5108849473399504</v>
      </c>
      <c r="N617" s="360">
        <v>1.2494220745241982</v>
      </c>
      <c r="O617" s="360">
        <v>0.25246145472576509</v>
      </c>
      <c r="P617" s="360">
        <v>1.3351484249385051</v>
      </c>
      <c r="Q617" s="360">
        <v>901.35039655716218</v>
      </c>
      <c r="R617" s="360">
        <v>1892.1258888775014</v>
      </c>
      <c r="S617" s="360">
        <v>0.19409861524811781</v>
      </c>
      <c r="T617" s="360">
        <v>1.7214832626002934</v>
      </c>
      <c r="U617" s="360">
        <v>1.8362410599648686</v>
      </c>
      <c r="V617" s="360">
        <v>0.26366526945581015</v>
      </c>
      <c r="W617" s="360">
        <v>1.3351462425451592</v>
      </c>
      <c r="X617" s="360">
        <v>1334.5503644657454</v>
      </c>
      <c r="Y617" s="360">
        <v>0.25184485631817027</v>
      </c>
      <c r="Z617" s="360">
        <v>1.2858047366512952</v>
      </c>
      <c r="AA617" s="360">
        <v>1303.6822462342172</v>
      </c>
      <c r="AB617" s="360">
        <v>0.2269160782598976</v>
      </c>
      <c r="AC617" s="360">
        <v>1.4618786508642403</v>
      </c>
      <c r="AD617" s="360">
        <v>1.2528510414475484</v>
      </c>
      <c r="AE617" s="360">
        <v>0.26237505655501703</v>
      </c>
      <c r="AF617" s="360">
        <v>1.2858047585796013</v>
      </c>
      <c r="AG617" s="360">
        <v>812.16172976588564</v>
      </c>
      <c r="AH617" s="360">
        <v>2103.7793641864391</v>
      </c>
      <c r="AI617" s="360">
        <v>0.19065469964492449</v>
      </c>
      <c r="AJ617" s="360">
        <v>1.7488484495268697</v>
      </c>
      <c r="AK617" s="360">
        <v>1.8913875858614826</v>
      </c>
      <c r="AL617" s="360">
        <v>0.27551580500091077</v>
      </c>
      <c r="AM617" s="360">
        <v>1.2858047941372235</v>
      </c>
      <c r="AN617" s="360">
        <v>1312.237402411102</v>
      </c>
      <c r="AO617" s="360">
        <f t="shared" si="27"/>
        <v>1</v>
      </c>
      <c r="AP617" s="360">
        <f t="shared" si="28"/>
        <v>1</v>
      </c>
      <c r="AQ617" s="360">
        <f t="shared" si="29"/>
        <v>1</v>
      </c>
    </row>
    <row r="618" spans="1:43">
      <c r="A618" s="360" t="s">
        <v>1083</v>
      </c>
      <c r="B618" t="s">
        <v>1074</v>
      </c>
      <c r="C618">
        <v>2</v>
      </c>
      <c r="D618" t="s">
        <v>1078</v>
      </c>
      <c r="E618" t="s">
        <v>1079</v>
      </c>
      <c r="F618" s="360">
        <v>9</v>
      </c>
      <c r="G618" s="360" t="str">
        <f>CONCATENATE(A618," ",B618," ",C618," ","inf+"," ",FanUpsizes!D618," ",FanUpsizes!F618)</f>
        <v>3ACH Infiltration 2 inf+ New 9</v>
      </c>
      <c r="H618" s="360">
        <v>2.8288079030218585E-2</v>
      </c>
      <c r="I618" s="360">
        <v>0.24568230749018802</v>
      </c>
      <c r="J618" s="360">
        <v>1.335146045300186</v>
      </c>
      <c r="K618" s="360">
        <v>0</v>
      </c>
      <c r="L618" s="360">
        <v>0.24568230749018802</v>
      </c>
      <c r="M618" s="360">
        <v>1.335146045300186</v>
      </c>
      <c r="N618" s="360">
        <v>1</v>
      </c>
      <c r="O618" s="360">
        <v>0.24568230749018802</v>
      </c>
      <c r="P618" s="360">
        <v>1.335146045300186</v>
      </c>
      <c r="Q618" s="360">
        <v>0</v>
      </c>
      <c r="R618" s="360">
        <v>68.39252143299295</v>
      </c>
      <c r="S618" s="360">
        <v>0.24481830979472152</v>
      </c>
      <c r="T618" s="360">
        <v>1.3390885808639519</v>
      </c>
      <c r="U618" s="360">
        <v>1.0046739134901383</v>
      </c>
      <c r="V618" s="360">
        <v>0.24547666118060141</v>
      </c>
      <c r="W618" s="360">
        <v>1.3351462173061994</v>
      </c>
      <c r="X618" s="360">
        <v>55.863102629283475</v>
      </c>
      <c r="Y618" s="360">
        <v>0.25184485631817027</v>
      </c>
      <c r="Z618" s="360">
        <v>1.2858047366512952</v>
      </c>
      <c r="AA618" s="360">
        <v>0</v>
      </c>
      <c r="AB618" s="360">
        <v>0.25184485631817027</v>
      </c>
      <c r="AC618" s="360">
        <v>1.2858047366512952</v>
      </c>
      <c r="AD618" s="360">
        <v>1</v>
      </c>
      <c r="AE618" s="360">
        <v>0.25184485631817027</v>
      </c>
      <c r="AF618" s="360">
        <v>1.2858047366512952</v>
      </c>
      <c r="AG618" s="360">
        <v>0</v>
      </c>
      <c r="AH618" s="360">
        <v>87.066153806573524</v>
      </c>
      <c r="AI618" s="360">
        <v>0.2507383885310992</v>
      </c>
      <c r="AJ618" s="360">
        <v>1.2914709640099498</v>
      </c>
      <c r="AK618" s="360">
        <v>1.0060826732027983</v>
      </c>
      <c r="AL618" s="360">
        <v>0.25180046239010334</v>
      </c>
      <c r="AM618" s="360">
        <v>1.2858057133838114</v>
      </c>
      <c r="AN618" s="360">
        <v>63.91415461417251</v>
      </c>
      <c r="AO618" s="360">
        <f t="shared" si="27"/>
        <v>1</v>
      </c>
      <c r="AP618" s="360">
        <f t="shared" si="28"/>
        <v>0</v>
      </c>
      <c r="AQ618" s="360">
        <f t="shared" si="29"/>
        <v>0</v>
      </c>
    </row>
    <row r="619" spans="1:43">
      <c r="A619" s="360" t="s">
        <v>1083</v>
      </c>
      <c r="B619" t="s">
        <v>1076</v>
      </c>
      <c r="C619">
        <v>2</v>
      </c>
      <c r="D619" t="s">
        <v>1078</v>
      </c>
      <c r="E619" t="s">
        <v>1079</v>
      </c>
      <c r="F619" s="360">
        <v>9</v>
      </c>
      <c r="G619" s="360" t="str">
        <f>CONCATENATE(A619," ",B619," ",C619," ","inf+"," ",FanUpsizes!D619," ",FanUpsizes!F619)</f>
        <v>3ACH 5C 2 inf+ New 9</v>
      </c>
      <c r="H619" s="360">
        <v>2.8288079030218585E-2</v>
      </c>
      <c r="I619" s="360">
        <v>0.24568230749018802</v>
      </c>
      <c r="J619" s="360">
        <v>1.335146045300186</v>
      </c>
      <c r="K619" s="360">
        <v>965.57920535111339</v>
      </c>
      <c r="L619" s="360">
        <v>0.22881945591659988</v>
      </c>
      <c r="M619" s="360">
        <v>1.44881715318038</v>
      </c>
      <c r="N619" s="360">
        <v>1.1502054308238856</v>
      </c>
      <c r="O619" s="360">
        <v>0.24854788752812318</v>
      </c>
      <c r="P619" s="360">
        <v>1.3351527349968073</v>
      </c>
      <c r="Q619" s="360">
        <v>678.08052891027705</v>
      </c>
      <c r="R619" s="360">
        <v>965.57920535111339</v>
      </c>
      <c r="S619" s="360">
        <v>0.22881945591659988</v>
      </c>
      <c r="T619" s="360">
        <v>1.44881715318038</v>
      </c>
      <c r="U619" s="360">
        <v>1.1502054308238856</v>
      </c>
      <c r="V619" s="360">
        <v>0.24854788752812318</v>
      </c>
      <c r="W619" s="360">
        <v>1.3351527349968073</v>
      </c>
      <c r="X619" s="360">
        <v>678.08052891027705</v>
      </c>
      <c r="Y619" s="360">
        <v>0.25184485631817027</v>
      </c>
      <c r="Z619" s="360">
        <v>1.2858047366512952</v>
      </c>
      <c r="AA619" s="360">
        <v>949.89269339405757</v>
      </c>
      <c r="AB619" s="360">
        <v>0.23515247930730679</v>
      </c>
      <c r="AC619" s="360">
        <v>1.39814683703628</v>
      </c>
      <c r="AD619" s="360">
        <v>1.143399567199977</v>
      </c>
      <c r="AE619" s="360">
        <v>0.25694300819742238</v>
      </c>
      <c r="AF619" s="360">
        <v>1.2858057503523033</v>
      </c>
      <c r="AG619" s="360">
        <v>594.51180020877325</v>
      </c>
      <c r="AH619" s="360">
        <v>949.89269339405757</v>
      </c>
      <c r="AI619" s="360">
        <v>0.23515247930730679</v>
      </c>
      <c r="AJ619" s="360">
        <v>1.39814683703628</v>
      </c>
      <c r="AK619" s="360">
        <v>1.143399567199977</v>
      </c>
      <c r="AL619" s="360">
        <v>0.25694300819742238</v>
      </c>
      <c r="AM619" s="360">
        <v>1.2858057503523033</v>
      </c>
      <c r="AN619" s="360">
        <v>594.51180020877325</v>
      </c>
      <c r="AO619" s="360">
        <f t="shared" si="27"/>
        <v>1</v>
      </c>
      <c r="AP619" s="360">
        <f t="shared" si="28"/>
        <v>1</v>
      </c>
      <c r="AQ619" s="360">
        <f t="shared" si="29"/>
        <v>1</v>
      </c>
    </row>
    <row r="620" spans="1:43">
      <c r="A620" s="360" t="s">
        <v>1083</v>
      </c>
      <c r="B620" t="s">
        <v>1075</v>
      </c>
      <c r="C620">
        <v>1</v>
      </c>
      <c r="D620" t="s">
        <v>1080</v>
      </c>
      <c r="E620" t="s">
        <v>1079</v>
      </c>
      <c r="F620" s="360">
        <v>9</v>
      </c>
      <c r="G620" s="360" t="str">
        <f>CONCATENATE(A620," ",B620," ",C620," ","inf+"," ",FanUpsizes!D620," ",FanUpsizes!F620)</f>
        <v>3ACH Percentile 1 inf+ Existing 9</v>
      </c>
      <c r="H620" s="360">
        <v>4.816461638539267E-2</v>
      </c>
      <c r="I620" s="360">
        <v>0.35796352452463848</v>
      </c>
      <c r="J620" s="360">
        <v>1.2282660592868293</v>
      </c>
      <c r="K620" s="360">
        <v>2919.7249727564304</v>
      </c>
      <c r="L620" s="360">
        <v>0.30194702059011552</v>
      </c>
      <c r="M620" s="360">
        <v>1.6643716536592208</v>
      </c>
      <c r="N620" s="360">
        <v>1.6595045275988078</v>
      </c>
      <c r="O620" s="360">
        <v>0.47911382529498259</v>
      </c>
      <c r="P620" s="360">
        <v>1.2282667657265467</v>
      </c>
      <c r="Q620" s="360">
        <v>389.72906353487861</v>
      </c>
      <c r="R620" s="360">
        <v>4538.4772976089889</v>
      </c>
      <c r="S620" s="360">
        <v>0.22879333051787171</v>
      </c>
      <c r="T620" s="360">
        <v>2.169572728352716</v>
      </c>
      <c r="U620" s="360">
        <v>2.7117631705129632</v>
      </c>
      <c r="V620" s="360">
        <v>0.54400049373672188</v>
      </c>
      <c r="W620" s="360">
        <v>1.2282662447758155</v>
      </c>
      <c r="X620" s="360">
        <v>1320.4642879713317</v>
      </c>
      <c r="Y620" s="360">
        <v>0.37136466724744555</v>
      </c>
      <c r="Z620" s="360">
        <v>1.1843617467912664</v>
      </c>
      <c r="AA620" s="360">
        <v>3158.957108515001</v>
      </c>
      <c r="AB620" s="360">
        <v>0.31084944352384059</v>
      </c>
      <c r="AC620" s="360">
        <v>1.629028441623094</v>
      </c>
      <c r="AD620" s="360">
        <v>1.7508884363093942</v>
      </c>
      <c r="AE620" s="360">
        <v>0.51007880546004492</v>
      </c>
      <c r="AF620" s="360">
        <v>1.1843621261638624</v>
      </c>
      <c r="AG620" s="360">
        <v>312.84224640153502</v>
      </c>
      <c r="AH620" s="360">
        <v>4858.4375903097443</v>
      </c>
      <c r="AI620" s="360">
        <v>0.23560437918996699</v>
      </c>
      <c r="AJ620" s="360">
        <v>2.1084272767823062</v>
      </c>
      <c r="AK620" s="360">
        <v>2.8542091821378222</v>
      </c>
      <c r="AL620" s="360">
        <v>0.57713297854264678</v>
      </c>
      <c r="AM620" s="360">
        <v>1.1843627455218444</v>
      </c>
      <c r="AN620" s="360">
        <v>1295.2507975777421</v>
      </c>
      <c r="AO620" s="360">
        <f t="shared" si="27"/>
        <v>1</v>
      </c>
      <c r="AP620" s="360">
        <f t="shared" si="28"/>
        <v>1</v>
      </c>
      <c r="AQ620" s="360">
        <f t="shared" si="29"/>
        <v>1</v>
      </c>
    </row>
    <row r="621" spans="1:43">
      <c r="A621" s="360" t="s">
        <v>1083</v>
      </c>
      <c r="B621" t="s">
        <v>1074</v>
      </c>
      <c r="C621">
        <v>1</v>
      </c>
      <c r="D621" t="s">
        <v>1080</v>
      </c>
      <c r="E621" t="s">
        <v>1079</v>
      </c>
      <c r="F621" s="360">
        <v>9</v>
      </c>
      <c r="G621" s="360" t="str">
        <f>CONCATENATE(A621," ",B621," ",C621," ","inf+"," ",FanUpsizes!D621," ",FanUpsizes!F621)</f>
        <v>3ACH Infiltration 1 inf+ Existing 9</v>
      </c>
      <c r="H621" s="360">
        <v>4.816461638539267E-2</v>
      </c>
      <c r="I621" s="360">
        <v>0.35796352452463848</v>
      </c>
      <c r="J621" s="360">
        <v>1.2282660592868293</v>
      </c>
      <c r="K621" s="360">
        <v>0</v>
      </c>
      <c r="L621" s="360">
        <v>0.35796352452463848</v>
      </c>
      <c r="M621" s="360">
        <v>1.2282660592868293</v>
      </c>
      <c r="N621" s="360">
        <v>1</v>
      </c>
      <c r="O621" s="360">
        <v>0.35796352452463848</v>
      </c>
      <c r="P621" s="360">
        <v>1.2282660592868293</v>
      </c>
      <c r="Q621" s="360">
        <v>0</v>
      </c>
      <c r="R621" s="360">
        <v>0</v>
      </c>
      <c r="S621" s="360">
        <v>0.35796352452463848</v>
      </c>
      <c r="T621" s="360">
        <v>1.2282660592868293</v>
      </c>
      <c r="U621" s="360">
        <v>1</v>
      </c>
      <c r="V621" s="360">
        <v>0.35796352452463848</v>
      </c>
      <c r="W621" s="360">
        <v>1.2282660592868293</v>
      </c>
      <c r="X621" s="360">
        <v>0</v>
      </c>
      <c r="Y621" s="360">
        <v>0.37136466724744555</v>
      </c>
      <c r="Z621" s="360">
        <v>1.1843617467912664</v>
      </c>
      <c r="AA621" s="360">
        <v>0</v>
      </c>
      <c r="AB621" s="360">
        <v>0.37136466724744555</v>
      </c>
      <c r="AC621" s="360">
        <v>1.1843617467912664</v>
      </c>
      <c r="AD621" s="360">
        <v>1</v>
      </c>
      <c r="AE621" s="360">
        <v>0.37136466724744555</v>
      </c>
      <c r="AF621" s="360">
        <v>1.1843617467912664</v>
      </c>
      <c r="AG621" s="360">
        <v>0</v>
      </c>
      <c r="AH621" s="360">
        <v>0</v>
      </c>
      <c r="AI621" s="360">
        <v>0.37136466724744555</v>
      </c>
      <c r="AJ621" s="360">
        <v>1.1843617467912664</v>
      </c>
      <c r="AK621" s="360">
        <v>1</v>
      </c>
      <c r="AL621" s="360">
        <v>0.37136466724744555</v>
      </c>
      <c r="AM621" s="360">
        <v>1.1843617467912664</v>
      </c>
      <c r="AN621" s="360">
        <v>0</v>
      </c>
      <c r="AO621" s="360">
        <f t="shared" si="27"/>
        <v>1</v>
      </c>
      <c r="AP621" s="360">
        <f t="shared" si="28"/>
        <v>0</v>
      </c>
      <c r="AQ621" s="360">
        <f t="shared" si="29"/>
        <v>0</v>
      </c>
    </row>
    <row r="622" spans="1:43">
      <c r="A622" s="360" t="s">
        <v>1083</v>
      </c>
      <c r="B622" t="s">
        <v>1076</v>
      </c>
      <c r="C622">
        <v>1</v>
      </c>
      <c r="D622" t="s">
        <v>1080</v>
      </c>
      <c r="E622" t="s">
        <v>1079</v>
      </c>
      <c r="F622" s="360">
        <v>9</v>
      </c>
      <c r="G622" s="360" t="str">
        <f>CONCATENATE(A622," ",B622," ",C622," ","inf+"," ",FanUpsizes!D622," ",FanUpsizes!F622)</f>
        <v>3ACH 5C 1 inf+ Existing 9</v>
      </c>
      <c r="H622" s="360">
        <v>4.816461638539267E-2</v>
      </c>
      <c r="I622" s="360">
        <v>0.35796352452463848</v>
      </c>
      <c r="J622" s="360">
        <v>1.2282660592868293</v>
      </c>
      <c r="K622" s="360">
        <v>2134.5658032839247</v>
      </c>
      <c r="L622" s="360">
        <v>0.32030733580730764</v>
      </c>
      <c r="M622" s="360">
        <v>1.5054364460177878</v>
      </c>
      <c r="N622" s="360">
        <v>1.3240834112552684</v>
      </c>
      <c r="O622" s="360">
        <v>0.41552854079961349</v>
      </c>
      <c r="P622" s="360">
        <v>1.2282665423431338</v>
      </c>
      <c r="Q622" s="360">
        <v>535.98795920065618</v>
      </c>
      <c r="R622" s="360">
        <v>2134.5658032839247</v>
      </c>
      <c r="S622" s="360">
        <v>0.32030733580730764</v>
      </c>
      <c r="T622" s="360">
        <v>1.5054364460177878</v>
      </c>
      <c r="U622" s="360">
        <v>1.3240834112552684</v>
      </c>
      <c r="V622" s="360">
        <v>0.41552854079961349</v>
      </c>
      <c r="W622" s="360">
        <v>1.2282665423431338</v>
      </c>
      <c r="X622" s="360">
        <v>535.98795920065618</v>
      </c>
      <c r="Y622" s="360">
        <v>0.37136466724744555</v>
      </c>
      <c r="Z622" s="360">
        <v>1.1843617467912664</v>
      </c>
      <c r="AA622" s="360">
        <v>2318.1796116975343</v>
      </c>
      <c r="AB622" s="360">
        <v>0.33051741478471791</v>
      </c>
      <c r="AC622" s="360">
        <v>1.4674045803331086</v>
      </c>
      <c r="AD622" s="360">
        <v>1.3653710064181825</v>
      </c>
      <c r="AE622" s="360">
        <v>0.43632424321809959</v>
      </c>
      <c r="AF622" s="360">
        <v>1.1843652094840129</v>
      </c>
      <c r="AG622" s="360">
        <v>541.91497223737883</v>
      </c>
      <c r="AH622" s="360">
        <v>2318.1796116975343</v>
      </c>
      <c r="AI622" s="360">
        <v>0.33051741478471791</v>
      </c>
      <c r="AJ622" s="360">
        <v>1.4674045803331086</v>
      </c>
      <c r="AK622" s="360">
        <v>1.3653710064181825</v>
      </c>
      <c r="AL622" s="360">
        <v>0.43632424321809959</v>
      </c>
      <c r="AM622" s="360">
        <v>1.1843652094840129</v>
      </c>
      <c r="AN622" s="360">
        <v>541.91497223737883</v>
      </c>
      <c r="AO622" s="360">
        <f t="shared" si="27"/>
        <v>1</v>
      </c>
      <c r="AP622" s="360">
        <f t="shared" si="28"/>
        <v>1</v>
      </c>
      <c r="AQ622" s="360">
        <f t="shared" si="29"/>
        <v>1</v>
      </c>
    </row>
    <row r="623" spans="1:43">
      <c r="A623" s="360" t="s">
        <v>1083</v>
      </c>
      <c r="B623" t="s">
        <v>1075</v>
      </c>
      <c r="C623">
        <v>2</v>
      </c>
      <c r="D623" t="s">
        <v>1080</v>
      </c>
      <c r="E623" t="s">
        <v>1079</v>
      </c>
      <c r="F623" s="360">
        <v>9</v>
      </c>
      <c r="G623" s="360" t="str">
        <f>CONCATENATE(A623," ",B623," ",C623," ","inf+"," ",FanUpsizes!D623," ",FanUpsizes!F623)</f>
        <v>3ACH Percentile 2 inf+ Existing 9</v>
      </c>
      <c r="H623" s="360">
        <v>4.4538079030218586E-2</v>
      </c>
      <c r="I623" s="360">
        <v>0.34137452830320042</v>
      </c>
      <c r="J623" s="360">
        <v>1.2954104486313502</v>
      </c>
      <c r="K623" s="360">
        <v>2271.1432175767186</v>
      </c>
      <c r="L623" s="360">
        <v>0.2978364211000829</v>
      </c>
      <c r="M623" s="360">
        <v>1.5954968459809546</v>
      </c>
      <c r="N623" s="360">
        <v>1.3976927602068165</v>
      </c>
      <c r="O623" s="360">
        <v>0.3917505021351726</v>
      </c>
      <c r="P623" s="360">
        <v>1.2954108476115889</v>
      </c>
      <c r="Q623" s="360">
        <v>968.26158888181396</v>
      </c>
      <c r="R623" s="360">
        <v>3496.5000713661598</v>
      </c>
      <c r="S623" s="360">
        <v>0.24037134840289931</v>
      </c>
      <c r="T623" s="360">
        <v>1.9703398602787034</v>
      </c>
      <c r="U623" s="360">
        <v>2.2197169422878411</v>
      </c>
      <c r="V623" s="360">
        <v>0.43316377961911012</v>
      </c>
      <c r="W623" s="360">
        <v>1.2954104824400554</v>
      </c>
      <c r="X623" s="360">
        <v>1743.6908854169576</v>
      </c>
      <c r="Y623" s="360">
        <v>0.35851214737799231</v>
      </c>
      <c r="Z623" s="360">
        <v>1.2307757667891859</v>
      </c>
      <c r="AA623" s="360">
        <v>2571.0845506948544</v>
      </c>
      <c r="AB623" s="360">
        <v>0.30928051777057264</v>
      </c>
      <c r="AC623" s="360">
        <v>1.5453432678600101</v>
      </c>
      <c r="AD623" s="360">
        <v>1.4708958863247161</v>
      </c>
      <c r="AE623" s="360">
        <v>0.42141559241257087</v>
      </c>
      <c r="AF623" s="360">
        <v>1.2307758892132685</v>
      </c>
      <c r="AG623" s="360">
        <v>983.99258648009845</v>
      </c>
      <c r="AH623" s="360">
        <v>4030.7598940228581</v>
      </c>
      <c r="AI623" s="360">
        <v>0.24407275752001772</v>
      </c>
      <c r="AJ623" s="360">
        <v>1.9445185647278163</v>
      </c>
      <c r="AK623" s="360">
        <v>2.3370903379757233</v>
      </c>
      <c r="AL623" s="360">
        <v>0.46346433170712814</v>
      </c>
      <c r="AM623" s="360">
        <v>1.2307757681858515</v>
      </c>
      <c r="AN623" s="360">
        <v>1821.5228657251632</v>
      </c>
      <c r="AO623" s="360">
        <f t="shared" si="27"/>
        <v>1</v>
      </c>
      <c r="AP623" s="360">
        <f t="shared" si="28"/>
        <v>1</v>
      </c>
      <c r="AQ623" s="360">
        <f t="shared" si="29"/>
        <v>1</v>
      </c>
    </row>
    <row r="624" spans="1:43">
      <c r="A624" s="360" t="s">
        <v>1083</v>
      </c>
      <c r="B624" t="s">
        <v>1074</v>
      </c>
      <c r="C624">
        <v>2</v>
      </c>
      <c r="D624" t="s">
        <v>1080</v>
      </c>
      <c r="E624" t="s">
        <v>1079</v>
      </c>
      <c r="F624" s="360">
        <v>9</v>
      </c>
      <c r="G624" s="360" t="str">
        <f>CONCATENATE(A624," ",B624," ",C624," ","inf+"," ",FanUpsizes!D624," ",FanUpsizes!F624)</f>
        <v>3ACH Infiltration 2 inf+ Existing 9</v>
      </c>
      <c r="H624" s="360">
        <v>4.4538079030218586E-2</v>
      </c>
      <c r="I624" s="360">
        <v>0.34137452830320042</v>
      </c>
      <c r="J624" s="360">
        <v>1.2954104486313502</v>
      </c>
      <c r="K624" s="360">
        <v>0</v>
      </c>
      <c r="L624" s="360">
        <v>0.34137452830320042</v>
      </c>
      <c r="M624" s="360">
        <v>1.2954104486313502</v>
      </c>
      <c r="N624" s="360">
        <v>1</v>
      </c>
      <c r="O624" s="360">
        <v>0.34137452830320042</v>
      </c>
      <c r="P624" s="360">
        <v>1.2954104486313502</v>
      </c>
      <c r="Q624" s="360">
        <v>0</v>
      </c>
      <c r="R624" s="360">
        <v>0</v>
      </c>
      <c r="S624" s="360">
        <v>0.34137452830320042</v>
      </c>
      <c r="T624" s="360">
        <v>1.2954104486313502</v>
      </c>
      <c r="U624" s="360">
        <v>1</v>
      </c>
      <c r="V624" s="360">
        <v>0.34137452830320042</v>
      </c>
      <c r="W624" s="360">
        <v>1.2954104486313502</v>
      </c>
      <c r="X624" s="360">
        <v>0</v>
      </c>
      <c r="Y624" s="360">
        <v>0.35851214737799231</v>
      </c>
      <c r="Z624" s="360">
        <v>1.2307757667891859</v>
      </c>
      <c r="AA624" s="360">
        <v>0</v>
      </c>
      <c r="AB624" s="360">
        <v>0.35851214737799231</v>
      </c>
      <c r="AC624" s="360">
        <v>1.2307757667891859</v>
      </c>
      <c r="AD624" s="360">
        <v>1</v>
      </c>
      <c r="AE624" s="360">
        <v>0.35851214737799231</v>
      </c>
      <c r="AF624" s="360">
        <v>1.2307757667891859</v>
      </c>
      <c r="AG624" s="360">
        <v>0</v>
      </c>
      <c r="AH624" s="360">
        <v>0</v>
      </c>
      <c r="AI624" s="360">
        <v>0.35851214737799231</v>
      </c>
      <c r="AJ624" s="360">
        <v>1.2307757667891859</v>
      </c>
      <c r="AK624" s="360">
        <v>1</v>
      </c>
      <c r="AL624" s="360">
        <v>0.35851214737799231</v>
      </c>
      <c r="AM624" s="360">
        <v>1.2307757667891859</v>
      </c>
      <c r="AN624" s="360">
        <v>0</v>
      </c>
      <c r="AO624" s="360">
        <f t="shared" si="27"/>
        <v>1</v>
      </c>
      <c r="AP624" s="360">
        <f t="shared" si="28"/>
        <v>0</v>
      </c>
      <c r="AQ624" s="360">
        <f t="shared" si="29"/>
        <v>0</v>
      </c>
    </row>
    <row r="625" spans="1:43">
      <c r="A625" s="360" t="s">
        <v>1083</v>
      </c>
      <c r="B625" t="s">
        <v>1076</v>
      </c>
      <c r="C625">
        <v>2</v>
      </c>
      <c r="D625" t="s">
        <v>1080</v>
      </c>
      <c r="E625" t="s">
        <v>1079</v>
      </c>
      <c r="F625" s="360">
        <v>9</v>
      </c>
      <c r="G625" s="360" t="str">
        <f>CONCATENATE(A625," ",B625," ",C625," ","inf+"," ",FanUpsizes!D625," ",FanUpsizes!F625)</f>
        <v>3ACH 5C 2 inf+ Existing 9</v>
      </c>
      <c r="H625" s="360">
        <v>4.4538079030218586E-2</v>
      </c>
      <c r="I625" s="360">
        <v>0.34137452830320042</v>
      </c>
      <c r="J625" s="360">
        <v>1.2954104486313502</v>
      </c>
      <c r="K625" s="360">
        <v>1650.7304835914538</v>
      </c>
      <c r="L625" s="360">
        <v>0.3123056967793873</v>
      </c>
      <c r="M625" s="360">
        <v>1.4864958414793752</v>
      </c>
      <c r="N625" s="360">
        <v>1.2127516306059654</v>
      </c>
      <c r="O625" s="360">
        <v>0.36653532835515185</v>
      </c>
      <c r="P625" s="360">
        <v>1.2954105471636526</v>
      </c>
      <c r="Q625" s="360">
        <v>767.62217840335768</v>
      </c>
      <c r="R625" s="360">
        <v>1650.7304835914538</v>
      </c>
      <c r="S625" s="360">
        <v>0.3123056967793873</v>
      </c>
      <c r="T625" s="360">
        <v>1.4864958414793752</v>
      </c>
      <c r="U625" s="360">
        <v>1.2127516306059654</v>
      </c>
      <c r="V625" s="360">
        <v>0.36653532835515185</v>
      </c>
      <c r="W625" s="360">
        <v>1.2954105471636526</v>
      </c>
      <c r="X625" s="360">
        <v>767.62217840335768</v>
      </c>
      <c r="Y625" s="360">
        <v>0.35851214737799231</v>
      </c>
      <c r="Z625" s="360">
        <v>1.2307757667891859</v>
      </c>
      <c r="AA625" s="360">
        <v>1882.4412901119363</v>
      </c>
      <c r="AB625" s="360">
        <v>0.3253684199712738</v>
      </c>
      <c r="AC625" s="360">
        <v>1.4317809949455542</v>
      </c>
      <c r="AD625" s="360">
        <v>1.2487007455921135</v>
      </c>
      <c r="AE625" s="360">
        <v>0.38979973756409247</v>
      </c>
      <c r="AF625" s="360">
        <v>1.2307777271721803</v>
      </c>
      <c r="AG625" s="360">
        <v>810.42401929424443</v>
      </c>
      <c r="AH625" s="360">
        <v>1882.4412901119363</v>
      </c>
      <c r="AI625" s="360">
        <v>0.3253684199712738</v>
      </c>
      <c r="AJ625" s="360">
        <v>1.4317809949455542</v>
      </c>
      <c r="AK625" s="360">
        <v>1.2487007455921135</v>
      </c>
      <c r="AL625" s="360">
        <v>0.38979973756409247</v>
      </c>
      <c r="AM625" s="360">
        <v>1.2307777271721803</v>
      </c>
      <c r="AN625" s="360">
        <v>810.42401929424443</v>
      </c>
      <c r="AO625" s="360">
        <f t="shared" si="27"/>
        <v>1</v>
      </c>
      <c r="AP625" s="360">
        <f t="shared" si="28"/>
        <v>1</v>
      </c>
      <c r="AQ625" s="360">
        <f t="shared" si="29"/>
        <v>1</v>
      </c>
    </row>
    <row r="626" spans="1:43">
      <c r="A626" s="360" t="s">
        <v>1084</v>
      </c>
      <c r="B626" t="s">
        <v>1075</v>
      </c>
      <c r="C626">
        <v>1</v>
      </c>
      <c r="D626" t="s">
        <v>1078</v>
      </c>
      <c r="E626" t="s">
        <v>1079</v>
      </c>
      <c r="F626" s="360">
        <v>9</v>
      </c>
      <c r="G626" s="360" t="str">
        <f>CONCATENATE(A626," ",B626," ",C626," ","inf+"," ",FanUpsizes!D626," ",FanUpsizes!F626)</f>
        <v>1.5ACH Percentile 1 inf+ New 9</v>
      </c>
      <c r="H626" s="360">
        <v>3.7589808192696333E-2</v>
      </c>
      <c r="I626" s="360">
        <v>0.27759759742764833</v>
      </c>
      <c r="J626" s="360">
        <v>1.1503004476981076</v>
      </c>
      <c r="K626" s="360">
        <v>2680.5508606743288</v>
      </c>
      <c r="L626" s="360">
        <v>0.22622677098492219</v>
      </c>
      <c r="M626" s="360">
        <v>1.7525224800677002</v>
      </c>
      <c r="N626" s="360">
        <v>2.1126406171651713</v>
      </c>
      <c r="O626" s="360">
        <v>0.46163909032873984</v>
      </c>
      <c r="P626" s="360">
        <v>1.1503006295120943</v>
      </c>
      <c r="Q626" s="360">
        <v>-707.14062579277197</v>
      </c>
      <c r="R626" s="360">
        <v>4084.445697696241</v>
      </c>
      <c r="S626" s="360">
        <v>0.16437146719477599</v>
      </c>
      <c r="T626" s="360">
        <v>2.3643262433445025</v>
      </c>
      <c r="U626" s="360">
        <v>3.5330443149837549</v>
      </c>
      <c r="V626" s="360">
        <v>0.5376952266409426</v>
      </c>
      <c r="W626" s="360">
        <v>1.150300727692368</v>
      </c>
      <c r="X626" s="360">
        <v>99.455776528802673</v>
      </c>
      <c r="Y626" s="360">
        <v>0.28265323419842636</v>
      </c>
      <c r="Z626" s="360">
        <v>1.1300057282503202</v>
      </c>
      <c r="AA626" s="360">
        <v>2767.6213788394016</v>
      </c>
      <c r="AB626" s="360">
        <v>0.22964310793036616</v>
      </c>
      <c r="AC626" s="360">
        <v>1.7341541384373664</v>
      </c>
      <c r="AD626" s="360">
        <v>2.1849719389247637</v>
      </c>
      <c r="AE626" s="360">
        <v>0.47859813710639065</v>
      </c>
      <c r="AF626" s="360">
        <v>1.1300060048277114</v>
      </c>
      <c r="AG626" s="360">
        <v>-806.88174454386808</v>
      </c>
      <c r="AH626" s="360">
        <v>4161.0529759223382</v>
      </c>
      <c r="AI626" s="360">
        <v>0.16833848560981116</v>
      </c>
      <c r="AJ626" s="360">
        <v>2.3059139078791748</v>
      </c>
      <c r="AK626" s="360">
        <v>3.652150781044623</v>
      </c>
      <c r="AL626" s="360">
        <v>0.55702956632649736</v>
      </c>
      <c r="AM626" s="360">
        <v>1.1300064594035431</v>
      </c>
      <c r="AN626" s="360">
        <v>24.481904460220509</v>
      </c>
      <c r="AO626" s="360">
        <f t="shared" si="27"/>
        <v>1</v>
      </c>
      <c r="AP626" s="360">
        <f t="shared" si="28"/>
        <v>1</v>
      </c>
      <c r="AQ626" s="360">
        <f t="shared" si="29"/>
        <v>1</v>
      </c>
    </row>
    <row r="627" spans="1:43">
      <c r="A627" s="360" t="s">
        <v>1084</v>
      </c>
      <c r="B627" t="s">
        <v>1074</v>
      </c>
      <c r="C627">
        <v>1</v>
      </c>
      <c r="D627" t="s">
        <v>1078</v>
      </c>
      <c r="E627" t="s">
        <v>1079</v>
      </c>
      <c r="F627" s="360">
        <v>9</v>
      </c>
      <c r="G627" s="360" t="str">
        <f>CONCATENATE(A627," ",B627," ",C627," ","inf+"," ",FanUpsizes!D627," ",FanUpsizes!F627)</f>
        <v>1.5ACH Infiltration 1 inf+ New 9</v>
      </c>
      <c r="H627" s="360">
        <v>3.7589808192696333E-2</v>
      </c>
      <c r="I627" s="360">
        <v>0.27759759742764833</v>
      </c>
      <c r="J627" s="360">
        <v>1.1503004476981076</v>
      </c>
      <c r="K627" s="360">
        <v>0</v>
      </c>
      <c r="L627" s="360">
        <v>0.27759759742764833</v>
      </c>
      <c r="M627" s="360">
        <v>1.1503004476981076</v>
      </c>
      <c r="N627" s="360">
        <v>1</v>
      </c>
      <c r="O627" s="360">
        <v>0.27759759742764833</v>
      </c>
      <c r="P627" s="360">
        <v>1.1503004476981076</v>
      </c>
      <c r="Q627" s="360">
        <v>0</v>
      </c>
      <c r="R627" s="360">
        <v>0</v>
      </c>
      <c r="S627" s="360">
        <v>0.27759759742764833</v>
      </c>
      <c r="T627" s="360">
        <v>1.1503004476981076</v>
      </c>
      <c r="U627" s="360">
        <v>1</v>
      </c>
      <c r="V627" s="360">
        <v>0.27759759742764833</v>
      </c>
      <c r="W627" s="360">
        <v>1.1503004476981076</v>
      </c>
      <c r="X627" s="360">
        <v>0</v>
      </c>
      <c r="Y627" s="360">
        <v>0.28265323419842636</v>
      </c>
      <c r="Z627" s="360">
        <v>1.1300057282503202</v>
      </c>
      <c r="AA627" s="360">
        <v>0</v>
      </c>
      <c r="AB627" s="360">
        <v>0.28265323419842636</v>
      </c>
      <c r="AC627" s="360">
        <v>1.1300057282503202</v>
      </c>
      <c r="AD627" s="360">
        <v>1</v>
      </c>
      <c r="AE627" s="360">
        <v>0.28265323419842636</v>
      </c>
      <c r="AF627" s="360">
        <v>1.1300057282503202</v>
      </c>
      <c r="AG627" s="360">
        <v>0</v>
      </c>
      <c r="AH627" s="360">
        <v>0</v>
      </c>
      <c r="AI627" s="360">
        <v>0.28265323419842636</v>
      </c>
      <c r="AJ627" s="360">
        <v>1.1300057282503202</v>
      </c>
      <c r="AK627" s="360">
        <v>1</v>
      </c>
      <c r="AL627" s="360">
        <v>0.28265323419842636</v>
      </c>
      <c r="AM627" s="360">
        <v>1.1300057282503202</v>
      </c>
      <c r="AN627" s="360">
        <v>0</v>
      </c>
      <c r="AO627" s="360">
        <f t="shared" si="27"/>
        <v>1</v>
      </c>
      <c r="AP627" s="360">
        <f t="shared" si="28"/>
        <v>0</v>
      </c>
      <c r="AQ627" s="360">
        <f t="shared" si="29"/>
        <v>0</v>
      </c>
    </row>
    <row r="628" spans="1:43">
      <c r="A628" s="360" t="s">
        <v>1084</v>
      </c>
      <c r="B628" t="s">
        <v>1076</v>
      </c>
      <c r="C628">
        <v>1</v>
      </c>
      <c r="D628" t="s">
        <v>1078</v>
      </c>
      <c r="E628" t="s">
        <v>1079</v>
      </c>
      <c r="F628" s="360">
        <v>9</v>
      </c>
      <c r="G628" s="360" t="str">
        <f>CONCATENATE(A628," ",B628," ",C628," ","inf+"," ",FanUpsizes!D628," ",FanUpsizes!F628)</f>
        <v>1.5ACH 5C 1 inf+ New 9</v>
      </c>
      <c r="H628" s="360">
        <v>3.7589808192696333E-2</v>
      </c>
      <c r="I628" s="360">
        <v>0.27759759742764833</v>
      </c>
      <c r="J628" s="360">
        <v>1.1503004476981076</v>
      </c>
      <c r="K628" s="360">
        <v>1969.8724275546372</v>
      </c>
      <c r="L628" s="360">
        <v>0.24286912554225876</v>
      </c>
      <c r="M628" s="360">
        <v>1.5304052454487083</v>
      </c>
      <c r="N628" s="360">
        <v>1.4981888574923352</v>
      </c>
      <c r="O628" s="360">
        <v>0.3586348919608997</v>
      </c>
      <c r="P628" s="360">
        <v>1.150302577893821</v>
      </c>
      <c r="Q628" s="360">
        <v>10.328237287951323</v>
      </c>
      <c r="R628" s="360">
        <v>1969.8724275546372</v>
      </c>
      <c r="S628" s="360">
        <v>0.24286912554225876</v>
      </c>
      <c r="T628" s="360">
        <v>1.5304052454487083</v>
      </c>
      <c r="U628" s="360">
        <v>1.4981888574923352</v>
      </c>
      <c r="V628" s="360">
        <v>0.3586348919608997</v>
      </c>
      <c r="W628" s="360">
        <v>1.150302577893821</v>
      </c>
      <c r="X628" s="360">
        <v>10.328237287951323</v>
      </c>
      <c r="Y628" s="360">
        <v>0.28265323419842636</v>
      </c>
      <c r="Z628" s="360">
        <v>1.1300057282503202</v>
      </c>
      <c r="AA628" s="360">
        <v>2037.0245183343554</v>
      </c>
      <c r="AB628" s="360">
        <v>0.24675210294782601</v>
      </c>
      <c r="AC628" s="360">
        <v>1.5115140669819325</v>
      </c>
      <c r="AD628" s="360">
        <v>1.5269411138592659</v>
      </c>
      <c r="AE628" s="360">
        <v>0.3679778128793223</v>
      </c>
      <c r="AF628" s="360">
        <v>1.1300057610872689</v>
      </c>
      <c r="AG628" s="360">
        <v>-9.210695890868843</v>
      </c>
      <c r="AH628" s="360">
        <v>2037.0245183343554</v>
      </c>
      <c r="AI628" s="360">
        <v>0.24675210294782601</v>
      </c>
      <c r="AJ628" s="360">
        <v>1.5115140669819325</v>
      </c>
      <c r="AK628" s="360">
        <v>1.5269411138592659</v>
      </c>
      <c r="AL628" s="360">
        <v>0.3679778128793223</v>
      </c>
      <c r="AM628" s="360">
        <v>1.1300057610872689</v>
      </c>
      <c r="AN628" s="360">
        <v>-9.210695890868843</v>
      </c>
      <c r="AO628" s="360">
        <f t="shared" si="27"/>
        <v>1</v>
      </c>
      <c r="AP628" s="360">
        <f t="shared" si="28"/>
        <v>1</v>
      </c>
      <c r="AQ628" s="360">
        <f t="shared" si="29"/>
        <v>1</v>
      </c>
    </row>
    <row r="629" spans="1:43">
      <c r="A629" s="360" t="s">
        <v>1084</v>
      </c>
      <c r="B629" t="s">
        <v>1075</v>
      </c>
      <c r="C629">
        <v>2</v>
      </c>
      <c r="D629" t="s">
        <v>1078</v>
      </c>
      <c r="E629" t="s">
        <v>1079</v>
      </c>
      <c r="F629" s="360">
        <v>9</v>
      </c>
      <c r="G629" s="360" t="str">
        <f>CONCATENATE(A629," ",B629," ",C629," ","inf+"," ",FanUpsizes!D629," ",FanUpsizes!F629)</f>
        <v>1.5ACH Percentile 2 inf+ New 9</v>
      </c>
      <c r="H629" s="360">
        <v>3.5776539515109292E-2</v>
      </c>
      <c r="I629" s="360">
        <v>0.2653168487004447</v>
      </c>
      <c r="J629" s="360">
        <v>1.2041949484654437</v>
      </c>
      <c r="K629" s="360">
        <v>2289.3891359598401</v>
      </c>
      <c r="L629" s="360">
        <v>0.22142723135036108</v>
      </c>
      <c r="M629" s="360">
        <v>1.6683914796263846</v>
      </c>
      <c r="N629" s="360">
        <v>1.6980195543220269</v>
      </c>
      <c r="O629" s="360">
        <v>0.3611302765638445</v>
      </c>
      <c r="P629" s="360">
        <v>1.2041953354592643</v>
      </c>
      <c r="Q629" s="360">
        <v>289.7855084323246</v>
      </c>
      <c r="R629" s="360">
        <v>3530.7958964137961</v>
      </c>
      <c r="S629" s="360">
        <v>0.16578878186403334</v>
      </c>
      <c r="T629" s="360">
        <v>2.2013033490661225</v>
      </c>
      <c r="U629" s="360">
        <v>2.7900459389801937</v>
      </c>
      <c r="V629" s="360">
        <v>0.41249228791957387</v>
      </c>
      <c r="W629" s="360">
        <v>1.2041953539297305</v>
      </c>
      <c r="X629" s="360">
        <v>977.18443117978097</v>
      </c>
      <c r="Y629" s="360">
        <v>0.27378324272685767</v>
      </c>
      <c r="Z629" s="360">
        <v>1.1674239320379163</v>
      </c>
      <c r="AA629" s="360">
        <v>2434.7981971314189</v>
      </c>
      <c r="AB629" s="360">
        <v>0.22715151470330019</v>
      </c>
      <c r="AC629" s="360">
        <v>1.6368674110151347</v>
      </c>
      <c r="AD629" s="360">
        <v>1.7748903138173409</v>
      </c>
      <c r="AE629" s="360">
        <v>0.38044870004573478</v>
      </c>
      <c r="AF629" s="360">
        <v>1.1674264638521545</v>
      </c>
      <c r="AG629" s="360">
        <v>241.75572381629081</v>
      </c>
      <c r="AH629" s="360">
        <v>3715.0316837201326</v>
      </c>
      <c r="AI629" s="360">
        <v>0.1705587775047277</v>
      </c>
      <c r="AJ629" s="360">
        <v>2.141277653826192</v>
      </c>
      <c r="AK629" s="360">
        <v>2.9111208271422266</v>
      </c>
      <c r="AL629" s="360">
        <v>0.43337159568335909</v>
      </c>
      <c r="AM629" s="360">
        <v>1.1674241459972381</v>
      </c>
      <c r="AN629" s="360">
        <v>958.52911802375593</v>
      </c>
      <c r="AO629" s="360">
        <f t="shared" si="27"/>
        <v>1</v>
      </c>
      <c r="AP629" s="360">
        <f t="shared" si="28"/>
        <v>1</v>
      </c>
      <c r="AQ629" s="360">
        <f t="shared" si="29"/>
        <v>1</v>
      </c>
    </row>
    <row r="630" spans="1:43">
      <c r="A630" s="360" t="s">
        <v>1084</v>
      </c>
      <c r="B630" t="s">
        <v>1074</v>
      </c>
      <c r="C630">
        <v>2</v>
      </c>
      <c r="D630" t="s">
        <v>1078</v>
      </c>
      <c r="E630" t="s">
        <v>1079</v>
      </c>
      <c r="F630" s="360">
        <v>9</v>
      </c>
      <c r="G630" s="360" t="str">
        <f>CONCATENATE(A630," ",B630," ",C630," ","inf+"," ",FanUpsizes!D630," ",FanUpsizes!F630)</f>
        <v>1.5ACH Infiltration 2 inf+ New 9</v>
      </c>
      <c r="H630" s="360">
        <v>3.5776539515109292E-2</v>
      </c>
      <c r="I630" s="360">
        <v>0.2653168487004447</v>
      </c>
      <c r="J630" s="360">
        <v>1.2041949484654437</v>
      </c>
      <c r="K630" s="360">
        <v>0</v>
      </c>
      <c r="L630" s="360">
        <v>0.2653168487004447</v>
      </c>
      <c r="M630" s="360">
        <v>1.2041949484654437</v>
      </c>
      <c r="N630" s="360">
        <v>1</v>
      </c>
      <c r="O630" s="360">
        <v>0.2653168487004447</v>
      </c>
      <c r="P630" s="360">
        <v>1.2041949484654437</v>
      </c>
      <c r="Q630" s="360">
        <v>0</v>
      </c>
      <c r="R630" s="360">
        <v>0</v>
      </c>
      <c r="S630" s="360">
        <v>0.2653168487004447</v>
      </c>
      <c r="T630" s="360">
        <v>1.2041949484654437</v>
      </c>
      <c r="U630" s="360">
        <v>1</v>
      </c>
      <c r="V630" s="360">
        <v>0.2653168487004447</v>
      </c>
      <c r="W630" s="360">
        <v>1.2041949484654437</v>
      </c>
      <c r="X630" s="360">
        <v>0</v>
      </c>
      <c r="Y630" s="360">
        <v>0.27378324272685767</v>
      </c>
      <c r="Z630" s="360">
        <v>1.1674239320379163</v>
      </c>
      <c r="AA630" s="360">
        <v>0</v>
      </c>
      <c r="AB630" s="360">
        <v>0.27378324272685767</v>
      </c>
      <c r="AC630" s="360">
        <v>1.1674239320379163</v>
      </c>
      <c r="AD630" s="360">
        <v>1</v>
      </c>
      <c r="AE630" s="360">
        <v>0.27378324272685767</v>
      </c>
      <c r="AF630" s="360">
        <v>1.1674239320379163</v>
      </c>
      <c r="AG630" s="360">
        <v>0</v>
      </c>
      <c r="AH630" s="360">
        <v>0</v>
      </c>
      <c r="AI630" s="360">
        <v>0.27378324272685767</v>
      </c>
      <c r="AJ630" s="360">
        <v>1.1674239320379163</v>
      </c>
      <c r="AK630" s="360">
        <v>1</v>
      </c>
      <c r="AL630" s="360">
        <v>0.27378324272685767</v>
      </c>
      <c r="AM630" s="360">
        <v>1.1674239320379163</v>
      </c>
      <c r="AN630" s="360">
        <v>0</v>
      </c>
      <c r="AO630" s="360">
        <f t="shared" si="27"/>
        <v>1</v>
      </c>
      <c r="AP630" s="360">
        <f t="shared" si="28"/>
        <v>0</v>
      </c>
      <c r="AQ630" s="360">
        <f t="shared" si="29"/>
        <v>0</v>
      </c>
    </row>
    <row r="631" spans="1:43">
      <c r="A631" s="360" t="s">
        <v>1084</v>
      </c>
      <c r="B631" t="s">
        <v>1076</v>
      </c>
      <c r="C631">
        <v>2</v>
      </c>
      <c r="D631" t="s">
        <v>1078</v>
      </c>
      <c r="E631" t="s">
        <v>1079</v>
      </c>
      <c r="F631" s="360">
        <v>9</v>
      </c>
      <c r="G631" s="360" t="str">
        <f>CONCATENATE(A631," ",B631," ",C631," ","inf+"," ",FanUpsizes!D631," ",FanUpsizes!F631)</f>
        <v>1.5ACH 5C 2 inf+ New 9</v>
      </c>
      <c r="H631" s="360">
        <v>3.5776539515109292E-2</v>
      </c>
      <c r="I631" s="360">
        <v>0.2653168487004447</v>
      </c>
      <c r="J631" s="360">
        <v>1.2041949484654437</v>
      </c>
      <c r="K631" s="360">
        <v>1678.6051614820949</v>
      </c>
      <c r="L631" s="360">
        <v>0.23571985131398993</v>
      </c>
      <c r="M631" s="360">
        <v>1.4992602642314472</v>
      </c>
      <c r="N631" s="360">
        <v>1.3462013992857507</v>
      </c>
      <c r="O631" s="360">
        <v>0.31161542425573358</v>
      </c>
      <c r="P631" s="360">
        <v>1.2041958894315985</v>
      </c>
      <c r="Q631" s="360">
        <v>401.16479802205862</v>
      </c>
      <c r="R631" s="360">
        <v>1678.6051614820949</v>
      </c>
      <c r="S631" s="360">
        <v>0.23571985131398993</v>
      </c>
      <c r="T631" s="360">
        <v>1.4992602642314472</v>
      </c>
      <c r="U631" s="360">
        <v>1.3462013992857507</v>
      </c>
      <c r="V631" s="360">
        <v>0.31161542425573358</v>
      </c>
      <c r="W631" s="360">
        <v>1.2041958894315985</v>
      </c>
      <c r="X631" s="360">
        <v>401.16479802205862</v>
      </c>
      <c r="Y631" s="360">
        <v>0.27378324272685767</v>
      </c>
      <c r="Z631" s="360">
        <v>1.1674239320379163</v>
      </c>
      <c r="AA631" s="360">
        <v>1789.5002113050884</v>
      </c>
      <c r="AB631" s="360">
        <v>0.24225415010779922</v>
      </c>
      <c r="AC631" s="360">
        <v>1.466057080244116</v>
      </c>
      <c r="AD631" s="360">
        <v>1.3815475920709628</v>
      </c>
      <c r="AE631" s="360">
        <v>0.32473693474544507</v>
      </c>
      <c r="AF631" s="360">
        <v>1.1674244684937651</v>
      </c>
      <c r="AG631" s="360">
        <v>402.38944472220089</v>
      </c>
      <c r="AH631" s="360">
        <v>1789.5002113050884</v>
      </c>
      <c r="AI631" s="360">
        <v>0.24225415010779922</v>
      </c>
      <c r="AJ631" s="360">
        <v>1.466057080244116</v>
      </c>
      <c r="AK631" s="360">
        <v>1.3815475920709628</v>
      </c>
      <c r="AL631" s="360">
        <v>0.32473693474544507</v>
      </c>
      <c r="AM631" s="360">
        <v>1.1674244684937651</v>
      </c>
      <c r="AN631" s="360">
        <v>402.38944472220089</v>
      </c>
      <c r="AO631" s="360">
        <f t="shared" si="27"/>
        <v>1</v>
      </c>
      <c r="AP631" s="360">
        <f t="shared" si="28"/>
        <v>1</v>
      </c>
      <c r="AQ631" s="360">
        <f t="shared" si="29"/>
        <v>1</v>
      </c>
    </row>
    <row r="632" spans="1:43">
      <c r="A632" s="360" t="s">
        <v>1084</v>
      </c>
      <c r="B632" t="s">
        <v>1075</v>
      </c>
      <c r="C632">
        <v>1</v>
      </c>
      <c r="D632" t="s">
        <v>1080</v>
      </c>
      <c r="E632" t="s">
        <v>1079</v>
      </c>
      <c r="F632" s="360">
        <v>9</v>
      </c>
      <c r="G632" s="360" t="str">
        <f>CONCATENATE(A632," ",B632," ",C632," ","inf+"," ",FanUpsizes!D632," ",FanUpsizes!F632)</f>
        <v>1.5ACH Percentile 1 inf+ Existing 9</v>
      </c>
      <c r="H632" s="360">
        <v>5.3839808192696334E-2</v>
      </c>
      <c r="I632" s="360">
        <v>0.39738536131575647</v>
      </c>
      <c r="J632" s="360">
        <v>1.1053642528138992</v>
      </c>
      <c r="K632" s="360">
        <v>4164.2782191893384</v>
      </c>
      <c r="L632" s="360">
        <v>0.31761781021699731</v>
      </c>
      <c r="M632" s="360">
        <v>1.9403233351667455</v>
      </c>
      <c r="N632" s="360">
        <v>3.9436439677094328</v>
      </c>
      <c r="O632" s="360">
        <v>1.2101521734595118</v>
      </c>
      <c r="P632" s="360">
        <v>1.1053642808549422</v>
      </c>
      <c r="Q632" s="360">
        <v>-8686.3017352334282</v>
      </c>
      <c r="R632" s="360">
        <v>6229.5074867521653</v>
      </c>
      <c r="S632" s="360">
        <v>0.22715141155673479</v>
      </c>
      <c r="T632" s="360">
        <v>2.6015776345900208</v>
      </c>
      <c r="U632" s="360">
        <v>6.6602953174698634</v>
      </c>
      <c r="V632" s="360">
        <v>1.4273314470055434</v>
      </c>
      <c r="W632" s="360">
        <v>1.1053642552891894</v>
      </c>
      <c r="X632" s="360">
        <v>-6678.6197286461911</v>
      </c>
      <c r="Y632" s="360">
        <v>0.4010547770728064</v>
      </c>
      <c r="Z632" s="360">
        <v>1.0953355060526868</v>
      </c>
      <c r="AA632" s="360">
        <v>4226.6925626392185</v>
      </c>
      <c r="AB632" s="360">
        <v>0.32011315550898223</v>
      </c>
      <c r="AC632" s="360">
        <v>1.9310148176435584</v>
      </c>
      <c r="AD632" s="360">
        <v>4.0881516371820377</v>
      </c>
      <c r="AE632" s="360">
        <v>1.2545850178071039</v>
      </c>
      <c r="AF632" s="360">
        <v>1.0953356044540701</v>
      </c>
      <c r="AG632" s="360">
        <v>-9217.7307949967217</v>
      </c>
      <c r="AH632" s="360">
        <v>6263.850308638006</v>
      </c>
      <c r="AI632" s="360">
        <v>0.23073728475092437</v>
      </c>
      <c r="AJ632" s="360">
        <v>2.559515595786408</v>
      </c>
      <c r="AK632" s="360">
        <v>6.9026406891170176</v>
      </c>
      <c r="AL632" s="360">
        <v>1.4793718126207926</v>
      </c>
      <c r="AM632" s="360">
        <v>1.0953356263778251</v>
      </c>
      <c r="AN632" s="360">
        <v>-7134.6391218830659</v>
      </c>
      <c r="AO632" s="360">
        <f t="shared" si="27"/>
        <v>1</v>
      </c>
      <c r="AP632" s="360">
        <f t="shared" si="28"/>
        <v>1</v>
      </c>
      <c r="AQ632" s="360">
        <f t="shared" si="29"/>
        <v>1</v>
      </c>
    </row>
    <row r="633" spans="1:43">
      <c r="A633" s="360" t="s">
        <v>1084</v>
      </c>
      <c r="B633" t="s">
        <v>1074</v>
      </c>
      <c r="C633">
        <v>1</v>
      </c>
      <c r="D633" t="s">
        <v>1080</v>
      </c>
      <c r="E633" t="s">
        <v>1079</v>
      </c>
      <c r="F633" s="360">
        <v>9</v>
      </c>
      <c r="G633" s="360" t="str">
        <f>CONCATENATE(A633," ",B633," ",C633," ","inf+"," ",FanUpsizes!D633," ",FanUpsizes!F633)</f>
        <v>1.5ACH Infiltration 1 inf+ Existing 9</v>
      </c>
      <c r="H633" s="360">
        <v>5.3839808192696334E-2</v>
      </c>
      <c r="I633" s="360">
        <v>0.39738536131575647</v>
      </c>
      <c r="J633" s="360">
        <v>1.1053642528138992</v>
      </c>
      <c r="K633" s="360">
        <v>0</v>
      </c>
      <c r="L633" s="360">
        <v>0.39738536131575647</v>
      </c>
      <c r="M633" s="360">
        <v>1.1053642528138992</v>
      </c>
      <c r="N633" s="360">
        <v>1</v>
      </c>
      <c r="O633" s="360">
        <v>0.39738536131575647</v>
      </c>
      <c r="P633" s="360">
        <v>1.1053642528138992</v>
      </c>
      <c r="Q633" s="360">
        <v>0</v>
      </c>
      <c r="R633" s="360">
        <v>0</v>
      </c>
      <c r="S633" s="360">
        <v>0.39738536131575647</v>
      </c>
      <c r="T633" s="360">
        <v>1.1053642528138992</v>
      </c>
      <c r="U633" s="360">
        <v>1</v>
      </c>
      <c r="V633" s="360">
        <v>0.39738536131575647</v>
      </c>
      <c r="W633" s="360">
        <v>1.1053642528138992</v>
      </c>
      <c r="X633" s="360">
        <v>0</v>
      </c>
      <c r="Y633" s="360">
        <v>0.4010547770728064</v>
      </c>
      <c r="Z633" s="360">
        <v>1.0953355060526868</v>
      </c>
      <c r="AA633" s="360">
        <v>0</v>
      </c>
      <c r="AB633" s="360">
        <v>0.4010547770728064</v>
      </c>
      <c r="AC633" s="360">
        <v>1.0953355060526868</v>
      </c>
      <c r="AD633" s="360">
        <v>1</v>
      </c>
      <c r="AE633" s="360">
        <v>0.4010547770728064</v>
      </c>
      <c r="AF633" s="360">
        <v>1.0953355060526868</v>
      </c>
      <c r="AG633" s="360">
        <v>0</v>
      </c>
      <c r="AH633" s="360">
        <v>0</v>
      </c>
      <c r="AI633" s="360">
        <v>0.4010547770728064</v>
      </c>
      <c r="AJ633" s="360">
        <v>1.0953355060526868</v>
      </c>
      <c r="AK633" s="360">
        <v>1</v>
      </c>
      <c r="AL633" s="360">
        <v>0.4010547770728064</v>
      </c>
      <c r="AM633" s="360">
        <v>1.0953355060526868</v>
      </c>
      <c r="AN633" s="360">
        <v>0</v>
      </c>
      <c r="AO633" s="360">
        <f t="shared" si="27"/>
        <v>1</v>
      </c>
      <c r="AP633" s="360">
        <f t="shared" si="28"/>
        <v>0</v>
      </c>
      <c r="AQ633" s="360">
        <f t="shared" si="29"/>
        <v>0</v>
      </c>
    </row>
    <row r="634" spans="1:43">
      <c r="A634" s="360" t="s">
        <v>1084</v>
      </c>
      <c r="B634" t="s">
        <v>1076</v>
      </c>
      <c r="C634">
        <v>1</v>
      </c>
      <c r="D634" t="s">
        <v>1080</v>
      </c>
      <c r="E634" t="s">
        <v>1079</v>
      </c>
      <c r="F634" s="360">
        <v>9</v>
      </c>
      <c r="G634" s="360" t="str">
        <f>CONCATENATE(A634," ",B634," ",C634," ","inf+"," ",FanUpsizes!D634," ",FanUpsizes!F634)</f>
        <v>1.5ACH 5C 1 inf+ Existing 9</v>
      </c>
      <c r="H634" s="360">
        <v>5.3839808192696334E-2</v>
      </c>
      <c r="I634" s="360">
        <v>0.39738536131575647</v>
      </c>
      <c r="J634" s="360">
        <v>1.1053642528138992</v>
      </c>
      <c r="K634" s="360">
        <v>3067.8076158136605</v>
      </c>
      <c r="L634" s="360">
        <v>0.34330784710952283</v>
      </c>
      <c r="M634" s="360">
        <v>1.630420145090905</v>
      </c>
      <c r="N634" s="360">
        <v>1.8851177947468825</v>
      </c>
      <c r="O634" s="360">
        <v>0.63822040393089086</v>
      </c>
      <c r="P634" s="360">
        <v>1.1053645590940153</v>
      </c>
      <c r="Q634" s="360">
        <v>-1927.8613252475404</v>
      </c>
      <c r="R634" s="360">
        <v>3067.8076158136605</v>
      </c>
      <c r="S634" s="360">
        <v>0.34330784710952283</v>
      </c>
      <c r="T634" s="360">
        <v>1.630420145090905</v>
      </c>
      <c r="U634" s="360">
        <v>1.8851177947468825</v>
      </c>
      <c r="V634" s="360">
        <v>0.63822040393089086</v>
      </c>
      <c r="W634" s="360">
        <v>1.1053645590940153</v>
      </c>
      <c r="X634" s="360">
        <v>-1927.8613252475404</v>
      </c>
      <c r="Y634" s="360">
        <v>0.4010547770728064</v>
      </c>
      <c r="Z634" s="360">
        <v>1.0953355060526868</v>
      </c>
      <c r="AA634" s="360">
        <v>3116.1170532655215</v>
      </c>
      <c r="AB634" s="360">
        <v>0.34613338415296846</v>
      </c>
      <c r="AC634" s="360">
        <v>1.6208862882557544</v>
      </c>
      <c r="AD634" s="360">
        <v>1.9126335559728436</v>
      </c>
      <c r="AE634" s="360">
        <v>0.64887783254840081</v>
      </c>
      <c r="AF634" s="360">
        <v>1.0953358651291916</v>
      </c>
      <c r="AG634" s="360">
        <v>-2004.9608596479886</v>
      </c>
      <c r="AH634" s="360">
        <v>3116.1170532655215</v>
      </c>
      <c r="AI634" s="360">
        <v>0.34613338415296846</v>
      </c>
      <c r="AJ634" s="360">
        <v>1.6208862882557544</v>
      </c>
      <c r="AK634" s="360">
        <v>1.9126335559728436</v>
      </c>
      <c r="AL634" s="360">
        <v>0.64887783254840081</v>
      </c>
      <c r="AM634" s="360">
        <v>1.0953358651291916</v>
      </c>
      <c r="AN634" s="360">
        <v>-2004.9608596479886</v>
      </c>
      <c r="AO634" s="360">
        <f t="shared" si="27"/>
        <v>1</v>
      </c>
      <c r="AP634" s="360">
        <f t="shared" si="28"/>
        <v>1</v>
      </c>
      <c r="AQ634" s="360">
        <f t="shared" si="29"/>
        <v>1</v>
      </c>
    </row>
    <row r="635" spans="1:43">
      <c r="A635" s="360" t="s">
        <v>1084</v>
      </c>
      <c r="B635" t="s">
        <v>1075</v>
      </c>
      <c r="C635">
        <v>2</v>
      </c>
      <c r="D635" t="s">
        <v>1080</v>
      </c>
      <c r="E635" t="s">
        <v>1079</v>
      </c>
      <c r="F635" s="360">
        <v>9</v>
      </c>
      <c r="G635" s="360" t="str">
        <f>CONCATENATE(A635," ",B635," ",C635," ","inf+"," ",FanUpsizes!D635," ",FanUpsizes!F635)</f>
        <v>1.5ACH Percentile 2 inf+ Existing 9</v>
      </c>
      <c r="H635" s="360">
        <v>5.2026539515109292E-2</v>
      </c>
      <c r="I635" s="360">
        <v>0.38420751956239813</v>
      </c>
      <c r="J635" s="360">
        <v>1.1432983271126487</v>
      </c>
      <c r="K635" s="360">
        <v>3762.1121591852975</v>
      </c>
      <c r="L635" s="360">
        <v>0.31213148625070991</v>
      </c>
      <c r="M635" s="360">
        <v>1.8127687548089737</v>
      </c>
      <c r="N635" s="360">
        <v>2.5248383752170951</v>
      </c>
      <c r="O635" s="360">
        <v>0.75873080406610505</v>
      </c>
      <c r="P635" s="360">
        <v>1.1432986127639508</v>
      </c>
      <c r="Q635" s="360">
        <v>-2665.5877266657012</v>
      </c>
      <c r="R635" s="360">
        <v>5707.6545798601055</v>
      </c>
      <c r="S635" s="360">
        <v>0.22644239780535572</v>
      </c>
      <c r="T635" s="360">
        <v>2.4249419860953307</v>
      </c>
      <c r="U635" s="360">
        <v>4.2262324561030384</v>
      </c>
      <c r="V635" s="360">
        <v>0.88532584287998028</v>
      </c>
      <c r="W635" s="360">
        <v>1.1432988290520025</v>
      </c>
      <c r="X635" s="360">
        <v>-1339.9000105925584</v>
      </c>
      <c r="Y635" s="360">
        <v>0.39081389979793324</v>
      </c>
      <c r="Z635" s="360">
        <v>1.124255734128659</v>
      </c>
      <c r="AA635" s="360">
        <v>3872.0936305051387</v>
      </c>
      <c r="AB635" s="360">
        <v>0.31666265297458845</v>
      </c>
      <c r="AC635" s="360">
        <v>1.7958911412554623</v>
      </c>
      <c r="AD635" s="360">
        <v>2.6317794439464803</v>
      </c>
      <c r="AE635" s="360">
        <v>0.79188236449936256</v>
      </c>
      <c r="AF635" s="360">
        <v>1.1242558655138875</v>
      </c>
      <c r="AG635" s="360">
        <v>-2955.1595570974705</v>
      </c>
      <c r="AH635" s="360">
        <v>5804.4529086738075</v>
      </c>
      <c r="AI635" s="360">
        <v>0.23166278656114067</v>
      </c>
      <c r="AJ635" s="360">
        <v>2.3690627918087404</v>
      </c>
      <c r="AK635" s="360">
        <v>4.4034464115014158</v>
      </c>
      <c r="AL635" s="360">
        <v>0.92351731021413497</v>
      </c>
      <c r="AM635" s="360">
        <v>1.124255776446857</v>
      </c>
      <c r="AN635" s="360">
        <v>-1575.7383134397273</v>
      </c>
      <c r="AO635" s="360">
        <f t="shared" si="27"/>
        <v>1</v>
      </c>
      <c r="AP635" s="360">
        <f t="shared" si="28"/>
        <v>1</v>
      </c>
      <c r="AQ635" s="360">
        <f t="shared" si="29"/>
        <v>1</v>
      </c>
    </row>
    <row r="636" spans="1:43">
      <c r="A636" s="360" t="s">
        <v>1084</v>
      </c>
      <c r="B636" t="s">
        <v>1074</v>
      </c>
      <c r="C636">
        <v>2</v>
      </c>
      <c r="D636" t="s">
        <v>1080</v>
      </c>
      <c r="E636" t="s">
        <v>1079</v>
      </c>
      <c r="F636" s="360">
        <v>9</v>
      </c>
      <c r="G636" s="360" t="str">
        <f>CONCATENATE(A636," ",B636," ",C636," ","inf+"," ",FanUpsizes!D636," ",FanUpsizes!F636)</f>
        <v>1.5ACH Infiltration 2 inf+ Existing 9</v>
      </c>
      <c r="H636" s="360">
        <v>5.2026539515109292E-2</v>
      </c>
      <c r="I636" s="360">
        <v>0.38420751956239813</v>
      </c>
      <c r="J636" s="360">
        <v>1.1432983271126487</v>
      </c>
      <c r="K636" s="360">
        <v>0</v>
      </c>
      <c r="L636" s="360">
        <v>0.38420751956239813</v>
      </c>
      <c r="M636" s="360">
        <v>1.1432983271126487</v>
      </c>
      <c r="N636" s="360">
        <v>1</v>
      </c>
      <c r="O636" s="360">
        <v>0.38420751956239813</v>
      </c>
      <c r="P636" s="360">
        <v>1.1432983271126487</v>
      </c>
      <c r="Q636" s="360">
        <v>0</v>
      </c>
      <c r="R636" s="360">
        <v>0</v>
      </c>
      <c r="S636" s="360">
        <v>0.38420751956239813</v>
      </c>
      <c r="T636" s="360">
        <v>1.1432983271126487</v>
      </c>
      <c r="U636" s="360">
        <v>1</v>
      </c>
      <c r="V636" s="360">
        <v>0.38420751956239813</v>
      </c>
      <c r="W636" s="360">
        <v>1.1432983271126487</v>
      </c>
      <c r="X636" s="360">
        <v>0</v>
      </c>
      <c r="Y636" s="360">
        <v>0.39081389979793324</v>
      </c>
      <c r="Z636" s="360">
        <v>1.124255734128659</v>
      </c>
      <c r="AA636" s="360">
        <v>0</v>
      </c>
      <c r="AB636" s="360">
        <v>0.39081389979793324</v>
      </c>
      <c r="AC636" s="360">
        <v>1.124255734128659</v>
      </c>
      <c r="AD636" s="360">
        <v>1</v>
      </c>
      <c r="AE636" s="360">
        <v>0.39081389979793324</v>
      </c>
      <c r="AF636" s="360">
        <v>1.124255734128659</v>
      </c>
      <c r="AG636" s="360">
        <v>0</v>
      </c>
      <c r="AH636" s="360">
        <v>0</v>
      </c>
      <c r="AI636" s="360">
        <v>0.39081389979793324</v>
      </c>
      <c r="AJ636" s="360">
        <v>1.124255734128659</v>
      </c>
      <c r="AK636" s="360">
        <v>1</v>
      </c>
      <c r="AL636" s="360">
        <v>0.39081389979793324</v>
      </c>
      <c r="AM636" s="360">
        <v>1.124255734128659</v>
      </c>
      <c r="AN636" s="360">
        <v>0</v>
      </c>
      <c r="AO636" s="360">
        <f t="shared" si="27"/>
        <v>1</v>
      </c>
      <c r="AP636" s="360">
        <f t="shared" si="28"/>
        <v>0</v>
      </c>
      <c r="AQ636" s="360">
        <f t="shared" si="29"/>
        <v>0</v>
      </c>
    </row>
    <row r="637" spans="1:43">
      <c r="A637" s="360" t="s">
        <v>1084</v>
      </c>
      <c r="B637" t="s">
        <v>1076</v>
      </c>
      <c r="C637">
        <v>2</v>
      </c>
      <c r="D637" t="s">
        <v>1080</v>
      </c>
      <c r="E637" t="s">
        <v>1079</v>
      </c>
      <c r="F637" s="360">
        <v>9</v>
      </c>
      <c r="G637" s="360" t="str">
        <f>CONCATENATE(A637," ",B637," ",C637," ","inf+"," ",FanUpsizes!D637," ",FanUpsizes!F637)</f>
        <v>1.5ACH 5C 2 inf+ Existing 9</v>
      </c>
      <c r="H637" s="360">
        <v>5.2026539515109292E-2</v>
      </c>
      <c r="I637" s="360">
        <v>0.38420751956239813</v>
      </c>
      <c r="J637" s="360">
        <v>1.1432983271126487</v>
      </c>
      <c r="K637" s="360">
        <v>2767.5159215529511</v>
      </c>
      <c r="L637" s="360">
        <v>0.33542738899802826</v>
      </c>
      <c r="M637" s="360">
        <v>1.5672212725087966</v>
      </c>
      <c r="N637" s="360">
        <v>1.6079421056948491</v>
      </c>
      <c r="O637" s="360">
        <v>0.53099146306097855</v>
      </c>
      <c r="P637" s="360">
        <v>1.1432984710307572</v>
      </c>
      <c r="Q637" s="360">
        <v>-543.21259961415637</v>
      </c>
      <c r="R637" s="360">
        <v>2767.5159215529511</v>
      </c>
      <c r="S637" s="360">
        <v>0.33542738899802826</v>
      </c>
      <c r="T637" s="360">
        <v>1.5672212725087966</v>
      </c>
      <c r="U637" s="360">
        <v>1.6079421056948491</v>
      </c>
      <c r="V637" s="360">
        <v>0.53099146306097855</v>
      </c>
      <c r="W637" s="360">
        <v>1.1432984710307572</v>
      </c>
      <c r="X637" s="360">
        <v>-543.21259961415637</v>
      </c>
      <c r="Y637" s="360">
        <v>0.39081389979793324</v>
      </c>
      <c r="Z637" s="360">
        <v>1.124255734128659</v>
      </c>
      <c r="AA637" s="360">
        <v>2851.9484011971599</v>
      </c>
      <c r="AB637" s="360">
        <v>0.34055647871490041</v>
      </c>
      <c r="AC637" s="360">
        <v>1.5497046992039851</v>
      </c>
      <c r="AD637" s="360">
        <v>1.6423331125430449</v>
      </c>
      <c r="AE637" s="360">
        <v>0.54533378555173506</v>
      </c>
      <c r="AF637" s="360">
        <v>1.1242561674060454</v>
      </c>
      <c r="AG637" s="360">
        <v>-606.2569902105264</v>
      </c>
      <c r="AH637" s="360">
        <v>2851.9484011971599</v>
      </c>
      <c r="AI637" s="360">
        <v>0.34055647871490041</v>
      </c>
      <c r="AJ637" s="360">
        <v>1.5497046992039851</v>
      </c>
      <c r="AK637" s="360">
        <v>1.6423331125430449</v>
      </c>
      <c r="AL637" s="360">
        <v>0.54533378555173506</v>
      </c>
      <c r="AM637" s="360">
        <v>1.1242561674060454</v>
      </c>
      <c r="AN637" s="360">
        <v>-606.2569902105264</v>
      </c>
      <c r="AO637" s="360">
        <f t="shared" si="27"/>
        <v>1</v>
      </c>
      <c r="AP637" s="360">
        <f t="shared" si="28"/>
        <v>1</v>
      </c>
      <c r="AQ637" s="360">
        <f t="shared" si="29"/>
        <v>1</v>
      </c>
    </row>
    <row r="638" spans="1:43">
      <c r="A638" s="360" t="s">
        <v>1085</v>
      </c>
      <c r="B638" t="s">
        <v>1075</v>
      </c>
      <c r="C638">
        <v>1</v>
      </c>
      <c r="D638" t="s">
        <v>1078</v>
      </c>
      <c r="E638" t="s">
        <v>1079</v>
      </c>
      <c r="F638" s="360">
        <v>9</v>
      </c>
      <c r="G638" s="360" t="str">
        <f>CONCATENATE(A638," ",B638," ",C638," ","inf+"," ",FanUpsizes!D638," ",FanUpsizes!F638)</f>
        <v>0.6ACH Percentile 1 inf+ New 9</v>
      </c>
      <c r="H638" s="360">
        <v>4.0994923277078529E-2</v>
      </c>
      <c r="I638" s="360">
        <v>0.30257657364931773</v>
      </c>
      <c r="J638" s="360">
        <v>1.0553503702034708</v>
      </c>
      <c r="K638" s="360">
        <v>3444.2408312820553</v>
      </c>
      <c r="L638" s="360">
        <v>0.23663273275246413</v>
      </c>
      <c r="M638" s="360">
        <v>2.1822455910483041</v>
      </c>
      <c r="N638" s="360">
        <v>9.7573057350652928</v>
      </c>
      <c r="O638" s="360">
        <v>2.2584325258894622</v>
      </c>
      <c r="P638" s="360">
        <v>1.0906071222847702</v>
      </c>
      <c r="Q638" s="360">
        <v>-25665.438871596034</v>
      </c>
      <c r="R638" s="360">
        <v>5029.5540248461493</v>
      </c>
      <c r="S638" s="360">
        <v>0.1672938539706591</v>
      </c>
      <c r="T638" s="360">
        <v>2.9486216284968112</v>
      </c>
      <c r="U638" s="360">
        <v>9.7573057350652928</v>
      </c>
      <c r="V638" s="360">
        <v>1.5818564110765054</v>
      </c>
      <c r="W638" s="360">
        <v>1.1732342787113568</v>
      </c>
      <c r="X638" s="360">
        <v>-10196.591844624872</v>
      </c>
      <c r="Y638" s="360">
        <v>0.30335368845370558</v>
      </c>
      <c r="Z638" s="360">
        <v>1.0526540217494134</v>
      </c>
      <c r="AA638" s="360">
        <v>3457.4435917672467</v>
      </c>
      <c r="AB638" s="360">
        <v>0.23716151333132854</v>
      </c>
      <c r="AC638" s="360">
        <v>2.1792581754230342</v>
      </c>
      <c r="AD638" s="360">
        <v>9.7573057350652928</v>
      </c>
      <c r="AE638" s="360">
        <v>2.2584868735059325</v>
      </c>
      <c r="AF638" s="360">
        <v>1.0906043316493523</v>
      </c>
      <c r="AG638" s="360">
        <v>-25642.859369872793</v>
      </c>
      <c r="AH638" s="360">
        <v>5032.8282069575816</v>
      </c>
      <c r="AI638" s="360">
        <v>0.1681951434954187</v>
      </c>
      <c r="AJ638" s="360">
        <v>2.9313190772667554</v>
      </c>
      <c r="AK638" s="360">
        <v>9.7573057350652928</v>
      </c>
      <c r="AL638" s="360">
        <v>1.5819499656618177</v>
      </c>
      <c r="AM638" s="360">
        <v>1.1732138769378013</v>
      </c>
      <c r="AN638" s="360">
        <v>-10175.059337522418</v>
      </c>
      <c r="AO638" s="360">
        <f t="shared" si="27"/>
        <v>0</v>
      </c>
      <c r="AP638" s="360">
        <f t="shared" si="28"/>
        <v>1</v>
      </c>
      <c r="AQ638" s="360">
        <f t="shared" si="29"/>
        <v>1</v>
      </c>
    </row>
    <row r="639" spans="1:43">
      <c r="A639" s="360" t="s">
        <v>1085</v>
      </c>
      <c r="B639" t="s">
        <v>1074</v>
      </c>
      <c r="C639">
        <v>1</v>
      </c>
      <c r="D639" t="s">
        <v>1078</v>
      </c>
      <c r="E639" t="s">
        <v>1079</v>
      </c>
      <c r="F639" s="360">
        <v>9</v>
      </c>
      <c r="G639" s="360" t="str">
        <f>CONCATENATE(A639," ",B639," ",C639," ","inf+"," ",FanUpsizes!D639," ",FanUpsizes!F639)</f>
        <v>0.6ACH Infiltration 1 inf+ New 9</v>
      </c>
      <c r="H639" s="360">
        <v>4.0994923277078529E-2</v>
      </c>
      <c r="I639" s="360">
        <v>0.30257657364931773</v>
      </c>
      <c r="J639" s="360">
        <v>1.0553503702034708</v>
      </c>
      <c r="K639" s="360">
        <v>0</v>
      </c>
      <c r="L639" s="360">
        <v>0.30257657364931773</v>
      </c>
      <c r="M639" s="360">
        <v>1.0553503702034708</v>
      </c>
      <c r="N639" s="360">
        <v>1</v>
      </c>
      <c r="O639" s="360">
        <v>0.30257657364931773</v>
      </c>
      <c r="P639" s="360">
        <v>1.0553503702034708</v>
      </c>
      <c r="Q639" s="360">
        <v>0</v>
      </c>
      <c r="R639" s="360">
        <v>0</v>
      </c>
      <c r="S639" s="360">
        <v>0.30257657364931773</v>
      </c>
      <c r="T639" s="360">
        <v>1.0553503702034708</v>
      </c>
      <c r="U639" s="360">
        <v>1</v>
      </c>
      <c r="V639" s="360">
        <v>0.30257657364931773</v>
      </c>
      <c r="W639" s="360">
        <v>1.0553503702034708</v>
      </c>
      <c r="X639" s="360">
        <v>0</v>
      </c>
      <c r="Y639" s="360">
        <v>0.30335368845370558</v>
      </c>
      <c r="Z639" s="360">
        <v>1.0526540217494134</v>
      </c>
      <c r="AA639" s="360">
        <v>0</v>
      </c>
      <c r="AB639" s="360">
        <v>0.30335368845370558</v>
      </c>
      <c r="AC639" s="360">
        <v>1.0526540217494134</v>
      </c>
      <c r="AD639" s="360">
        <v>1</v>
      </c>
      <c r="AE639" s="360">
        <v>0.30335368845370558</v>
      </c>
      <c r="AF639" s="360">
        <v>1.0526540217494134</v>
      </c>
      <c r="AG639" s="360">
        <v>0</v>
      </c>
      <c r="AH639" s="360">
        <v>0</v>
      </c>
      <c r="AI639" s="360">
        <v>0.30335368845370558</v>
      </c>
      <c r="AJ639" s="360">
        <v>1.0526540217494134</v>
      </c>
      <c r="AK639" s="360">
        <v>1</v>
      </c>
      <c r="AL639" s="360">
        <v>0.30335368845370558</v>
      </c>
      <c r="AM639" s="360">
        <v>1.0526540217494134</v>
      </c>
      <c r="AN639" s="360">
        <v>0</v>
      </c>
      <c r="AO639" s="360">
        <f t="shared" si="27"/>
        <v>1</v>
      </c>
      <c r="AP639" s="360">
        <f t="shared" si="28"/>
        <v>0</v>
      </c>
      <c r="AQ639" s="360">
        <f t="shared" si="29"/>
        <v>0</v>
      </c>
    </row>
    <row r="640" spans="1:43">
      <c r="A640" s="360" t="s">
        <v>1085</v>
      </c>
      <c r="B640" t="s">
        <v>1076</v>
      </c>
      <c r="C640">
        <v>1</v>
      </c>
      <c r="D640" t="s">
        <v>1078</v>
      </c>
      <c r="E640" t="s">
        <v>1079</v>
      </c>
      <c r="F640" s="360">
        <v>9</v>
      </c>
      <c r="G640" s="360" t="str">
        <f>CONCATENATE(A640," ",B640," ",C640," ","inf+"," ",FanUpsizes!D640," ",FanUpsizes!F640)</f>
        <v>0.6ACH 5C 1 inf+ New 9</v>
      </c>
      <c r="H640" s="360">
        <v>4.0994923277078529E-2</v>
      </c>
      <c r="I640" s="360">
        <v>0.30257657364931773</v>
      </c>
      <c r="J640" s="360">
        <v>1.0553503702034708</v>
      </c>
      <c r="K640" s="360">
        <v>2543.5338988326212</v>
      </c>
      <c r="L640" s="360">
        <v>0.25774609737571114</v>
      </c>
      <c r="M640" s="360">
        <v>1.7487142592300358</v>
      </c>
      <c r="N640" s="360">
        <v>2.4694006645602795</v>
      </c>
      <c r="O640" s="360">
        <v>0.63053521542982782</v>
      </c>
      <c r="P640" s="360">
        <v>1.0553503929292674</v>
      </c>
      <c r="Q640" s="360">
        <v>-3771.3711993267898</v>
      </c>
      <c r="R640" s="360">
        <v>2543.5338988326212</v>
      </c>
      <c r="S640" s="360">
        <v>0.25774609737571114</v>
      </c>
      <c r="T640" s="360">
        <v>1.7487142592300358</v>
      </c>
      <c r="U640" s="360">
        <v>2.4694006645602795</v>
      </c>
      <c r="V640" s="360">
        <v>0.63053521542982782</v>
      </c>
      <c r="W640" s="360">
        <v>1.0553503929292674</v>
      </c>
      <c r="X640" s="360">
        <v>-3771.3711993267898</v>
      </c>
      <c r="Y640" s="360">
        <v>0.30335368845370558</v>
      </c>
      <c r="Z640" s="360">
        <v>1.0526540217494134</v>
      </c>
      <c r="AA640" s="360">
        <v>2553.7552721261554</v>
      </c>
      <c r="AB640" s="360">
        <v>0.25834466458781036</v>
      </c>
      <c r="AC640" s="360">
        <v>1.7458382327514361</v>
      </c>
      <c r="AD640" s="360">
        <v>2.482487331923025</v>
      </c>
      <c r="AE640" s="360">
        <v>0.63409700373773636</v>
      </c>
      <c r="AF640" s="360">
        <v>1.0526542038026319</v>
      </c>
      <c r="AG640" s="360">
        <v>-3809.3839683660044</v>
      </c>
      <c r="AH640" s="360">
        <v>2553.7552721261554</v>
      </c>
      <c r="AI640" s="360">
        <v>0.25834466458781036</v>
      </c>
      <c r="AJ640" s="360">
        <v>1.7458382327514361</v>
      </c>
      <c r="AK640" s="360">
        <v>2.482487331923025</v>
      </c>
      <c r="AL640" s="360">
        <v>0.63409700373773636</v>
      </c>
      <c r="AM640" s="360">
        <v>1.0526542038026319</v>
      </c>
      <c r="AN640" s="360">
        <v>-3809.3839683660044</v>
      </c>
      <c r="AO640" s="360">
        <f t="shared" si="27"/>
        <v>1</v>
      </c>
      <c r="AP640" s="360">
        <f t="shared" si="28"/>
        <v>1</v>
      </c>
      <c r="AQ640" s="360">
        <f t="shared" si="29"/>
        <v>1</v>
      </c>
    </row>
    <row r="641" spans="1:43">
      <c r="A641" s="360" t="s">
        <v>1085</v>
      </c>
      <c r="B641" t="s">
        <v>1075</v>
      </c>
      <c r="C641">
        <v>2</v>
      </c>
      <c r="D641" t="s">
        <v>1078</v>
      </c>
      <c r="E641" t="s">
        <v>1079</v>
      </c>
      <c r="F641" s="360">
        <v>9</v>
      </c>
      <c r="G641" s="360" t="str">
        <f>CONCATENATE(A641," ",B641," ",C641," ","inf+"," ",FanUpsizes!D641," ",FanUpsizes!F641)</f>
        <v>0.6ACH Percentile 2 inf+ New 9</v>
      </c>
      <c r="H641" s="360">
        <v>4.0269615806043713E-2</v>
      </c>
      <c r="I641" s="360">
        <v>0.29722320225888588</v>
      </c>
      <c r="J641" s="360">
        <v>1.0743502082919771</v>
      </c>
      <c r="K641" s="360">
        <v>3282.5867603592956</v>
      </c>
      <c r="L641" s="360">
        <v>0.23437012906209925</v>
      </c>
      <c r="M641" s="360">
        <v>2.0337373781898211</v>
      </c>
      <c r="N641" s="360">
        <v>5.0633911300310981</v>
      </c>
      <c r="O641" s="360">
        <v>1.1558878097466605</v>
      </c>
      <c r="P641" s="360">
        <v>1.0743502477681044</v>
      </c>
      <c r="Q641" s="360">
        <v>-9985.3365109414317</v>
      </c>
      <c r="R641" s="360">
        <v>4837.5028633065504</v>
      </c>
      <c r="S641" s="360">
        <v>0.1663414663476275</v>
      </c>
      <c r="T641" s="360">
        <v>2.7564750799767563</v>
      </c>
      <c r="U641" s="360">
        <v>8.6670684448133031</v>
      </c>
      <c r="V641" s="360">
        <v>1.3828034494428432</v>
      </c>
      <c r="W641" s="360">
        <v>1.0743502338205482</v>
      </c>
      <c r="X641" s="360">
        <v>-8254.8627843776685</v>
      </c>
      <c r="Y641" s="360">
        <v>0.29865170596966234</v>
      </c>
      <c r="Z641" s="360">
        <v>1.0692364933802099</v>
      </c>
      <c r="AA641" s="360">
        <v>3306.0294210810034</v>
      </c>
      <c r="AB641" s="360">
        <v>0.23535672343065836</v>
      </c>
      <c r="AC641" s="360">
        <v>2.0283648510079515</v>
      </c>
      <c r="AD641" s="360">
        <v>5.178532763763207</v>
      </c>
      <c r="AE641" s="360">
        <v>1.1821918076944409</v>
      </c>
      <c r="AF641" s="360">
        <v>1.0692365299955178</v>
      </c>
      <c r="AG641" s="360">
        <v>-10322.2214603705</v>
      </c>
      <c r="AH641" s="360">
        <v>4845.1608592450384</v>
      </c>
      <c r="AI641" s="360">
        <v>0.16792402971573012</v>
      </c>
      <c r="AJ641" s="360">
        <v>2.7282007877861294</v>
      </c>
      <c r="AK641" s="360">
        <v>8.8622263533750658</v>
      </c>
      <c r="AL641" s="360">
        <v>1.4139616492485738</v>
      </c>
      <c r="AM641" s="360">
        <v>1.0692365854837047</v>
      </c>
      <c r="AN641" s="360">
        <v>-8549.6767583032561</v>
      </c>
      <c r="AO641" s="360">
        <f t="shared" si="27"/>
        <v>1</v>
      </c>
      <c r="AP641" s="360">
        <f t="shared" si="28"/>
        <v>1</v>
      </c>
      <c r="AQ641" s="360">
        <f t="shared" si="29"/>
        <v>1</v>
      </c>
    </row>
    <row r="642" spans="1:43">
      <c r="A642" s="360" t="s">
        <v>1085</v>
      </c>
      <c r="B642" t="s">
        <v>1074</v>
      </c>
      <c r="C642">
        <v>2</v>
      </c>
      <c r="D642" t="s">
        <v>1078</v>
      </c>
      <c r="E642" t="s">
        <v>1079</v>
      </c>
      <c r="F642" s="360">
        <v>9</v>
      </c>
      <c r="G642" s="360" t="str">
        <f>CONCATENATE(A642," ",B642," ",C642," ","inf+"," ",FanUpsizes!D642," ",FanUpsizes!F642)</f>
        <v>0.6ACH Infiltration 2 inf+ New 9</v>
      </c>
      <c r="H642" s="360">
        <v>4.0269615806043713E-2</v>
      </c>
      <c r="I642" s="360">
        <v>0.29722320225888588</v>
      </c>
      <c r="J642" s="360">
        <v>1.0743502082919771</v>
      </c>
      <c r="K642" s="360">
        <v>0</v>
      </c>
      <c r="L642" s="360">
        <v>0.29722320225888588</v>
      </c>
      <c r="M642" s="360">
        <v>1.0743502082919771</v>
      </c>
      <c r="N642" s="360">
        <v>1</v>
      </c>
      <c r="O642" s="360">
        <v>0.29722320225888588</v>
      </c>
      <c r="P642" s="360">
        <v>1.0743502082919771</v>
      </c>
      <c r="Q642" s="360">
        <v>0</v>
      </c>
      <c r="R642" s="360">
        <v>0</v>
      </c>
      <c r="S642" s="360">
        <v>0.29722320225888588</v>
      </c>
      <c r="T642" s="360">
        <v>1.0743502082919771</v>
      </c>
      <c r="U642" s="360">
        <v>1</v>
      </c>
      <c r="V642" s="360">
        <v>0.29722320225888588</v>
      </c>
      <c r="W642" s="360">
        <v>1.0743502082919771</v>
      </c>
      <c r="X642" s="360">
        <v>0</v>
      </c>
      <c r="Y642" s="360">
        <v>0.29865170596966234</v>
      </c>
      <c r="Z642" s="360">
        <v>1.0692364933802099</v>
      </c>
      <c r="AA642" s="360">
        <v>0</v>
      </c>
      <c r="AB642" s="360">
        <v>0.29865170596966234</v>
      </c>
      <c r="AC642" s="360">
        <v>1.0692364933802099</v>
      </c>
      <c r="AD642" s="360">
        <v>1</v>
      </c>
      <c r="AE642" s="360">
        <v>0.29865170596966234</v>
      </c>
      <c r="AF642" s="360">
        <v>1.0692364933802099</v>
      </c>
      <c r="AG642" s="360">
        <v>0</v>
      </c>
      <c r="AH642" s="360">
        <v>0</v>
      </c>
      <c r="AI642" s="360">
        <v>0.29865170596966234</v>
      </c>
      <c r="AJ642" s="360">
        <v>1.0692364933802099</v>
      </c>
      <c r="AK642" s="360">
        <v>1</v>
      </c>
      <c r="AL642" s="360">
        <v>0.29865170596966234</v>
      </c>
      <c r="AM642" s="360">
        <v>1.0692364933802099</v>
      </c>
      <c r="AN642" s="360">
        <v>0</v>
      </c>
      <c r="AO642" s="360">
        <f t="shared" si="27"/>
        <v>1</v>
      </c>
      <c r="AP642" s="360">
        <f t="shared" si="28"/>
        <v>0</v>
      </c>
      <c r="AQ642" s="360">
        <f t="shared" si="29"/>
        <v>0</v>
      </c>
    </row>
    <row r="643" spans="1:43">
      <c r="A643" s="360" t="s">
        <v>1085</v>
      </c>
      <c r="B643" t="s">
        <v>1076</v>
      </c>
      <c r="C643">
        <v>2</v>
      </c>
      <c r="D643" t="s">
        <v>1078</v>
      </c>
      <c r="E643" t="s">
        <v>1079</v>
      </c>
      <c r="F643" s="360">
        <v>9</v>
      </c>
      <c r="G643" s="360" t="str">
        <f>CONCATENATE(A643," ",B643," ",C643," ","inf+"," ",FanUpsizes!D643," ",FanUpsizes!F643)</f>
        <v>0.6ACH 5C 2 inf+ New 9</v>
      </c>
      <c r="H643" s="360">
        <v>4.0269615806043713E-2</v>
      </c>
      <c r="I643" s="360">
        <v>0.29722320225888588</v>
      </c>
      <c r="J643" s="360">
        <v>1.0743502082919771</v>
      </c>
      <c r="K643" s="360">
        <v>2422.6909711011472</v>
      </c>
      <c r="L643" s="360">
        <v>0.25452455677362146</v>
      </c>
      <c r="M643" s="360">
        <v>1.6701134589778692</v>
      </c>
      <c r="N643" s="360">
        <v>2.0690260200501656</v>
      </c>
      <c r="O643" s="360">
        <v>0.52093956020955845</v>
      </c>
      <c r="P643" s="360">
        <v>1.0743504432469</v>
      </c>
      <c r="Q643" s="360">
        <v>-2090.2773049192842</v>
      </c>
      <c r="R643" s="360">
        <v>2422.6909711011472</v>
      </c>
      <c r="S643" s="360">
        <v>0.25452455677362146</v>
      </c>
      <c r="T643" s="360">
        <v>1.6701134589778692</v>
      </c>
      <c r="U643" s="360">
        <v>2.0690260200501656</v>
      </c>
      <c r="V643" s="360">
        <v>0.52093956020955845</v>
      </c>
      <c r="W643" s="360">
        <v>1.0743504432469</v>
      </c>
      <c r="X643" s="360">
        <v>-2090.2773049192842</v>
      </c>
      <c r="Y643" s="360">
        <v>0.29865170596966234</v>
      </c>
      <c r="Z643" s="360">
        <v>1.0692364933802099</v>
      </c>
      <c r="AA643" s="360">
        <v>2440.7584476925626</v>
      </c>
      <c r="AB643" s="360">
        <v>0.25563684193289227</v>
      </c>
      <c r="AC643" s="360">
        <v>1.664853103819611</v>
      </c>
      <c r="AD643" s="360">
        <v>2.0857557806669238</v>
      </c>
      <c r="AE643" s="360">
        <v>0.52564437145235765</v>
      </c>
      <c r="AF643" s="360">
        <v>1.0692372892193767</v>
      </c>
      <c r="AG643" s="360">
        <v>-2129.9919904835292</v>
      </c>
      <c r="AH643" s="360">
        <v>2440.7584476925626</v>
      </c>
      <c r="AI643" s="360">
        <v>0.25563684193289227</v>
      </c>
      <c r="AJ643" s="360">
        <v>1.664853103819611</v>
      </c>
      <c r="AK643" s="360">
        <v>2.0857557806669238</v>
      </c>
      <c r="AL643" s="360">
        <v>0.52564437145235765</v>
      </c>
      <c r="AM643" s="360">
        <v>1.0692372892193767</v>
      </c>
      <c r="AN643" s="360">
        <v>-2129.9919904835292</v>
      </c>
      <c r="AO643" s="360">
        <f t="shared" si="27"/>
        <v>1</v>
      </c>
      <c r="AP643" s="360">
        <f t="shared" si="28"/>
        <v>1</v>
      </c>
      <c r="AQ643" s="360">
        <f t="shared" si="29"/>
        <v>1</v>
      </c>
    </row>
    <row r="644" spans="1:43">
      <c r="A644" s="360" t="s">
        <v>1085</v>
      </c>
      <c r="B644" t="s">
        <v>1075</v>
      </c>
      <c r="C644">
        <v>1</v>
      </c>
      <c r="D644" t="s">
        <v>1080</v>
      </c>
      <c r="E644" t="s">
        <v>1079</v>
      </c>
      <c r="F644" s="360">
        <v>9</v>
      </c>
      <c r="G644" s="360" t="str">
        <f>CONCATENATE(A644," ",B644," ",C644," ","inf+"," ",FanUpsizes!D644," ",FanUpsizes!F644)</f>
        <v>0.6ACH Percentile 1 inf+ Existing 9</v>
      </c>
      <c r="H644" s="360">
        <v>5.724492327707853E-2</v>
      </c>
      <c r="I644" s="360">
        <v>0.42251506672983091</v>
      </c>
      <c r="J644" s="360">
        <v>1.0396423751692654</v>
      </c>
      <c r="K644" s="360">
        <v>4929.4715771376905</v>
      </c>
      <c r="L644" s="360">
        <v>0.32814744596594447</v>
      </c>
      <c r="M644" s="360">
        <v>2.5231408732822249</v>
      </c>
      <c r="N644" s="360">
        <v>6.9875191912461574</v>
      </c>
      <c r="O644" s="360">
        <v>2.2584325258894622</v>
      </c>
      <c r="P644" s="360">
        <v>1.4987704426337607</v>
      </c>
      <c r="Q644" s="360">
        <v>-22862.588053373442</v>
      </c>
      <c r="R644" s="360">
        <v>7143.2539802472493</v>
      </c>
      <c r="S644" s="360">
        <v>0.23132107650702333</v>
      </c>
      <c r="T644" s="360">
        <v>3.3277444970876791</v>
      </c>
      <c r="U644" s="360">
        <v>6.9875191912461556</v>
      </c>
      <c r="V644" s="360">
        <v>1.5818564110765054</v>
      </c>
      <c r="W644" s="360">
        <v>1.6124299184028077</v>
      </c>
      <c r="X644" s="360">
        <v>-7393.7410264022656</v>
      </c>
      <c r="Y644" s="360">
        <v>0.42307233286956514</v>
      </c>
      <c r="Z644" s="360">
        <v>1.038275110910615</v>
      </c>
      <c r="AA644" s="360">
        <v>4938.9384476479627</v>
      </c>
      <c r="AB644" s="360">
        <v>0.32852665020864347</v>
      </c>
      <c r="AC644" s="360">
        <v>2.5216061326266614</v>
      </c>
      <c r="AD644" s="360">
        <v>6.9875191912461556</v>
      </c>
      <c r="AE644" s="360">
        <v>2.2584868735059325</v>
      </c>
      <c r="AF644" s="360">
        <v>1.4987666039457508</v>
      </c>
      <c r="AG644" s="360">
        <v>-22846.698561737197</v>
      </c>
      <c r="AH644" s="360">
        <v>7145.4946565347118</v>
      </c>
      <c r="AI644" s="360">
        <v>0.23197107829955865</v>
      </c>
      <c r="AJ644" s="360">
        <v>3.3184057819563617</v>
      </c>
      <c r="AK644" s="360">
        <v>6.9875191912461556</v>
      </c>
      <c r="AL644" s="360">
        <v>1.5819499656618177</v>
      </c>
      <c r="AM644" s="360">
        <v>1.6124018550543477</v>
      </c>
      <c r="AN644" s="360">
        <v>-7378.8985293868227</v>
      </c>
      <c r="AO644" s="360">
        <f t="shared" si="27"/>
        <v>0</v>
      </c>
      <c r="AP644" s="360">
        <f t="shared" si="28"/>
        <v>1</v>
      </c>
      <c r="AQ644" s="360">
        <f t="shared" si="29"/>
        <v>1</v>
      </c>
    </row>
    <row r="645" spans="1:43">
      <c r="A645" s="360" t="s">
        <v>1085</v>
      </c>
      <c r="B645" t="s">
        <v>1074</v>
      </c>
      <c r="C645">
        <v>1</v>
      </c>
      <c r="D645" t="s">
        <v>1080</v>
      </c>
      <c r="E645" t="s">
        <v>1079</v>
      </c>
      <c r="F645" s="360">
        <v>9</v>
      </c>
      <c r="G645" s="360" t="str">
        <f>CONCATENATE(A645," ",B645," ",C645," ","inf+"," ",FanUpsizes!D645," ",FanUpsizes!F645)</f>
        <v>0.6ACH Infiltration 1 inf+ Existing 9</v>
      </c>
      <c r="H645" s="360">
        <v>5.724492327707853E-2</v>
      </c>
      <c r="I645" s="360">
        <v>0.42251506672983091</v>
      </c>
      <c r="J645" s="360">
        <v>1.0396423751692654</v>
      </c>
      <c r="K645" s="360">
        <v>0</v>
      </c>
      <c r="L645" s="360">
        <v>0.42251506672983091</v>
      </c>
      <c r="M645" s="360">
        <v>1.0396423751692654</v>
      </c>
      <c r="N645" s="360">
        <v>1</v>
      </c>
      <c r="O645" s="360">
        <v>0.42251506672983091</v>
      </c>
      <c r="P645" s="360">
        <v>1.0396423751692654</v>
      </c>
      <c r="Q645" s="360">
        <v>0</v>
      </c>
      <c r="R645" s="360">
        <v>0</v>
      </c>
      <c r="S645" s="360">
        <v>0.42251506672983091</v>
      </c>
      <c r="T645" s="360">
        <v>1.0396423751692654</v>
      </c>
      <c r="U645" s="360">
        <v>1</v>
      </c>
      <c r="V645" s="360">
        <v>0.42251506672983091</v>
      </c>
      <c r="W645" s="360">
        <v>1.0396423751692654</v>
      </c>
      <c r="X645" s="360">
        <v>0</v>
      </c>
      <c r="Y645" s="360">
        <v>0.42307233286956514</v>
      </c>
      <c r="Z645" s="360">
        <v>1.038275110910615</v>
      </c>
      <c r="AA645" s="360">
        <v>0</v>
      </c>
      <c r="AB645" s="360">
        <v>0.42307233286956514</v>
      </c>
      <c r="AC645" s="360">
        <v>1.038275110910615</v>
      </c>
      <c r="AD645" s="360">
        <v>1</v>
      </c>
      <c r="AE645" s="360">
        <v>0.42307233286956514</v>
      </c>
      <c r="AF645" s="360">
        <v>1.038275110910615</v>
      </c>
      <c r="AG645" s="360">
        <v>0</v>
      </c>
      <c r="AH645" s="360">
        <v>0</v>
      </c>
      <c r="AI645" s="360">
        <v>0.42307233286956514</v>
      </c>
      <c r="AJ645" s="360">
        <v>1.038275110910615</v>
      </c>
      <c r="AK645" s="360">
        <v>1</v>
      </c>
      <c r="AL645" s="360">
        <v>0.42307233286956514</v>
      </c>
      <c r="AM645" s="360">
        <v>1.038275110910615</v>
      </c>
      <c r="AN645" s="360">
        <v>0</v>
      </c>
      <c r="AO645" s="360">
        <f t="shared" si="27"/>
        <v>1</v>
      </c>
      <c r="AP645" s="360">
        <f t="shared" si="28"/>
        <v>0</v>
      </c>
      <c r="AQ645" s="360">
        <f t="shared" si="29"/>
        <v>0</v>
      </c>
    </row>
    <row r="646" spans="1:43">
      <c r="A646" s="360" t="s">
        <v>1085</v>
      </c>
      <c r="B646" t="s">
        <v>1076</v>
      </c>
      <c r="C646">
        <v>1</v>
      </c>
      <c r="D646" t="s">
        <v>1080</v>
      </c>
      <c r="E646" t="s">
        <v>1079</v>
      </c>
      <c r="F646" s="360">
        <v>9</v>
      </c>
      <c r="G646" s="360" t="str">
        <f>CONCATENATE(A646," ",B646," ",C646," ","inf+"," ",FanUpsizes!D646," ",FanUpsizes!F646)</f>
        <v>0.6ACH 5C 1 inf+ Existing 9</v>
      </c>
      <c r="H646" s="360">
        <v>5.724492327707853E-2</v>
      </c>
      <c r="I646" s="360">
        <v>0.42251506672983091</v>
      </c>
      <c r="J646" s="360">
        <v>1.0396423751692654</v>
      </c>
      <c r="K646" s="360">
        <v>3642.8543342733715</v>
      </c>
      <c r="L646" s="360">
        <v>0.35831096400542811</v>
      </c>
      <c r="M646" s="360">
        <v>1.9508860050723948</v>
      </c>
      <c r="N646" s="360">
        <v>4.8302931690725037</v>
      </c>
      <c r="O646" s="360">
        <v>1.7152549178274517</v>
      </c>
      <c r="P646" s="360">
        <v>1.0396423759009981</v>
      </c>
      <c r="Q646" s="360">
        <v>-19343.257322199246</v>
      </c>
      <c r="R646" s="360">
        <v>3642.8543342733715</v>
      </c>
      <c r="S646" s="360">
        <v>0.35831096400542811</v>
      </c>
      <c r="T646" s="360">
        <v>1.9508860050723948</v>
      </c>
      <c r="U646" s="360">
        <v>4.8302931690725037</v>
      </c>
      <c r="V646" s="360">
        <v>1.7152549178274517</v>
      </c>
      <c r="W646" s="360">
        <v>1.0396423759009981</v>
      </c>
      <c r="X646" s="360">
        <v>-19343.257322199246</v>
      </c>
      <c r="Y646" s="360">
        <v>0.42307233286956514</v>
      </c>
      <c r="Z646" s="360">
        <v>1.038275110910615</v>
      </c>
      <c r="AA646" s="360">
        <v>3650.1837615458167</v>
      </c>
      <c r="AB646" s="360">
        <v>0.35874019937844831</v>
      </c>
      <c r="AC646" s="360">
        <v>1.9494019782878884</v>
      </c>
      <c r="AD646" s="360">
        <v>4.8585683310862704</v>
      </c>
      <c r="AE646" s="360">
        <v>1.7253603243729656</v>
      </c>
      <c r="AF646" s="360">
        <v>1.0382751788187723</v>
      </c>
      <c r="AG646" s="360">
        <v>-19497.962304799545</v>
      </c>
      <c r="AH646" s="360">
        <v>3650.1837615458167</v>
      </c>
      <c r="AI646" s="360">
        <v>0.35874019937844831</v>
      </c>
      <c r="AJ646" s="360">
        <v>1.9494019782878884</v>
      </c>
      <c r="AK646" s="360">
        <v>4.8585683310862704</v>
      </c>
      <c r="AL646" s="360">
        <v>1.7253603243729656</v>
      </c>
      <c r="AM646" s="360">
        <v>1.0382751788187723</v>
      </c>
      <c r="AN646" s="360">
        <v>-19497.962304799545</v>
      </c>
      <c r="AO646" s="360">
        <f t="shared" si="27"/>
        <v>1</v>
      </c>
      <c r="AP646" s="360">
        <f t="shared" si="28"/>
        <v>1</v>
      </c>
      <c r="AQ646" s="360">
        <f t="shared" si="29"/>
        <v>1</v>
      </c>
    </row>
    <row r="647" spans="1:43">
      <c r="A647" s="360" t="s">
        <v>1085</v>
      </c>
      <c r="B647" t="s">
        <v>1075</v>
      </c>
      <c r="C647">
        <v>2</v>
      </c>
      <c r="D647" t="s">
        <v>1080</v>
      </c>
      <c r="E647" t="s">
        <v>1079</v>
      </c>
      <c r="F647" s="360">
        <v>9</v>
      </c>
      <c r="G647" s="360" t="str">
        <f>CONCATENATE(A647," ",B647," ",C647," ","inf+"," ",FanUpsizes!D647," ",FanUpsizes!F647)</f>
        <v>0.6ACH Percentile 2 inf+ Existing 9</v>
      </c>
      <c r="H647" s="360">
        <v>5.6519615806043713E-2</v>
      </c>
      <c r="I647" s="360">
        <v>0.41716169533937164</v>
      </c>
      <c r="J647" s="360">
        <v>1.052979512507644</v>
      </c>
      <c r="K647" s="360">
        <v>4767.8175062148312</v>
      </c>
      <c r="L647" s="360">
        <v>0.32588484227554959</v>
      </c>
      <c r="M647" s="360">
        <v>2.3271951973384897</v>
      </c>
      <c r="N647" s="360">
        <v>7.077188942201329</v>
      </c>
      <c r="O647" s="360">
        <v>2.2602546179038723</v>
      </c>
      <c r="P647" s="360">
        <v>1.3267334991067232</v>
      </c>
      <c r="Q647" s="360">
        <v>-23083.053181679144</v>
      </c>
      <c r="R647" s="360">
        <v>6953.4839987078303</v>
      </c>
      <c r="S647" s="360">
        <v>0.23028752481786685</v>
      </c>
      <c r="T647" s="360">
        <v>3.0863950491044232</v>
      </c>
      <c r="U647" s="360">
        <v>7.077188942201329</v>
      </c>
      <c r="V647" s="360">
        <v>1.5836785030909009</v>
      </c>
      <c r="W647" s="360">
        <v>1.4365028943332854</v>
      </c>
      <c r="X647" s="360">
        <v>-7614.2061547080993</v>
      </c>
      <c r="Y647" s="360">
        <v>0.4181821920114106</v>
      </c>
      <c r="Z647" s="360">
        <v>1.050417089877365</v>
      </c>
      <c r="AA647" s="360">
        <v>4784.5607548199623</v>
      </c>
      <c r="AB647" s="360">
        <v>0.32658972575785783</v>
      </c>
      <c r="AC647" s="360">
        <v>2.3244617373046617</v>
      </c>
      <c r="AD647" s="360">
        <v>7.077188942201329</v>
      </c>
      <c r="AE647" s="360">
        <v>2.2603545019236266</v>
      </c>
      <c r="AF647" s="360">
        <v>1.3267267038265256</v>
      </c>
      <c r="AG647" s="360">
        <v>-23054.401131456158</v>
      </c>
      <c r="AH647" s="360">
        <v>6957.0565057161484</v>
      </c>
      <c r="AI647" s="360">
        <v>0.23148538736849408</v>
      </c>
      <c r="AJ647" s="360">
        <v>3.07034705970106</v>
      </c>
      <c r="AK647" s="360">
        <v>7.077188942201329</v>
      </c>
      <c r="AL647" s="360">
        <v>1.5838499559893684</v>
      </c>
      <c r="AM647" s="360">
        <v>1.4364544183156573</v>
      </c>
      <c r="AN647" s="360">
        <v>-7587.4697517605064</v>
      </c>
      <c r="AO647" s="360">
        <f t="shared" si="27"/>
        <v>0</v>
      </c>
      <c r="AP647" s="360">
        <f t="shared" si="28"/>
        <v>1</v>
      </c>
      <c r="AQ647" s="360">
        <f t="shared" si="29"/>
        <v>1</v>
      </c>
    </row>
    <row r="648" spans="1:43">
      <c r="A648" s="360" t="s">
        <v>1085</v>
      </c>
      <c r="B648" t="s">
        <v>1074</v>
      </c>
      <c r="C648">
        <v>2</v>
      </c>
      <c r="D648" t="s">
        <v>1080</v>
      </c>
      <c r="E648" t="s">
        <v>1079</v>
      </c>
      <c r="F648" s="360">
        <v>9</v>
      </c>
      <c r="G648" s="360" t="str">
        <f>CONCATENATE(A648," ",B648," ",C648," ","inf+"," ",FanUpsizes!D648," ",FanUpsizes!F648)</f>
        <v>0.6ACH Infiltration 2 inf+ Existing 9</v>
      </c>
      <c r="H648" s="360">
        <v>5.6519615806043713E-2</v>
      </c>
      <c r="I648" s="360">
        <v>0.41716169533937164</v>
      </c>
      <c r="J648" s="360">
        <v>1.052979512507644</v>
      </c>
      <c r="K648" s="360">
        <v>0</v>
      </c>
      <c r="L648" s="360">
        <v>0.41716169533937164</v>
      </c>
      <c r="M648" s="360">
        <v>1.052979512507644</v>
      </c>
      <c r="N648" s="360">
        <v>1</v>
      </c>
      <c r="O648" s="360">
        <v>0.41716169533937164</v>
      </c>
      <c r="P648" s="360">
        <v>1.052979512507644</v>
      </c>
      <c r="Q648" s="360">
        <v>0</v>
      </c>
      <c r="R648" s="360">
        <v>0</v>
      </c>
      <c r="S648" s="360">
        <v>0.41716169533937164</v>
      </c>
      <c r="T648" s="360">
        <v>1.052979512507644</v>
      </c>
      <c r="U648" s="360">
        <v>1</v>
      </c>
      <c r="V648" s="360">
        <v>0.41716169533937164</v>
      </c>
      <c r="W648" s="360">
        <v>1.052979512507644</v>
      </c>
      <c r="X648" s="360">
        <v>0</v>
      </c>
      <c r="Y648" s="360">
        <v>0.4181821920114106</v>
      </c>
      <c r="Z648" s="360">
        <v>1.050417089877365</v>
      </c>
      <c r="AA648" s="360">
        <v>0</v>
      </c>
      <c r="AB648" s="360">
        <v>0.4181821920114106</v>
      </c>
      <c r="AC648" s="360">
        <v>1.050417089877365</v>
      </c>
      <c r="AD648" s="360">
        <v>1</v>
      </c>
      <c r="AE648" s="360">
        <v>0.4181821920114106</v>
      </c>
      <c r="AF648" s="360">
        <v>1.050417089877365</v>
      </c>
      <c r="AG648" s="360">
        <v>0</v>
      </c>
      <c r="AH648" s="360">
        <v>0</v>
      </c>
      <c r="AI648" s="360">
        <v>0.4181821920114106</v>
      </c>
      <c r="AJ648" s="360">
        <v>1.050417089877365</v>
      </c>
      <c r="AK648" s="360">
        <v>1</v>
      </c>
      <c r="AL648" s="360">
        <v>0.4181821920114106</v>
      </c>
      <c r="AM648" s="360">
        <v>1.050417089877365</v>
      </c>
      <c r="AN648" s="360">
        <v>0</v>
      </c>
      <c r="AO648" s="360">
        <f t="shared" si="27"/>
        <v>1</v>
      </c>
      <c r="AP648" s="360">
        <f t="shared" si="28"/>
        <v>0</v>
      </c>
      <c r="AQ648" s="360">
        <f t="shared" si="29"/>
        <v>0</v>
      </c>
    </row>
    <row r="649" spans="1:43">
      <c r="A649" s="360" t="s">
        <v>1085</v>
      </c>
      <c r="B649" t="s">
        <v>1076</v>
      </c>
      <c r="C649">
        <v>2</v>
      </c>
      <c r="D649" t="s">
        <v>1080</v>
      </c>
      <c r="E649" t="s">
        <v>1079</v>
      </c>
      <c r="F649" s="360">
        <v>9</v>
      </c>
      <c r="G649" s="360" t="str">
        <f>CONCATENATE(A649," ",B649," ",C649," ","inf+"," ",FanUpsizes!D649," ",FanUpsizes!F649)</f>
        <v>0.6ACH 5C 2 inf+ Existing 9</v>
      </c>
      <c r="H649" s="360">
        <v>5.6519615806043713E-2</v>
      </c>
      <c r="I649" s="360">
        <v>0.41716169533937164</v>
      </c>
      <c r="J649" s="360">
        <v>1.052979512507644</v>
      </c>
      <c r="K649" s="360">
        <v>3522.0114065418911</v>
      </c>
      <c r="L649" s="360">
        <v>0.35508942340330957</v>
      </c>
      <c r="M649" s="360">
        <v>1.8420558752527783</v>
      </c>
      <c r="N649" s="360">
        <v>3.2668970950648535</v>
      </c>
      <c r="O649" s="360">
        <v>1.1479994755208869</v>
      </c>
      <c r="P649" s="360">
        <v>1.0529795839769445</v>
      </c>
      <c r="Q649" s="360">
        <v>-9909.5816523878748</v>
      </c>
      <c r="R649" s="360">
        <v>3522.0114065418911</v>
      </c>
      <c r="S649" s="360">
        <v>0.35508942340330957</v>
      </c>
      <c r="T649" s="360">
        <v>1.8420558752527783</v>
      </c>
      <c r="U649" s="360">
        <v>3.2668970950648535</v>
      </c>
      <c r="V649" s="360">
        <v>1.1479994755208869</v>
      </c>
      <c r="W649" s="360">
        <v>1.0529795839769445</v>
      </c>
      <c r="X649" s="360">
        <v>-9909.5816523878748</v>
      </c>
      <c r="Y649" s="360">
        <v>0.4181821920114106</v>
      </c>
      <c r="Z649" s="360">
        <v>1.050417089877365</v>
      </c>
      <c r="AA649" s="360">
        <v>3534.9165977519719</v>
      </c>
      <c r="AB649" s="360">
        <v>0.35588405086355557</v>
      </c>
      <c r="AC649" s="360">
        <v>1.8393725200827229</v>
      </c>
      <c r="AD649" s="360">
        <v>3.290469361189662</v>
      </c>
      <c r="AE649" s="360">
        <v>1.1564866436435277</v>
      </c>
      <c r="AF649" s="360">
        <v>1.0504170899137548</v>
      </c>
      <c r="AG649" s="360">
        <v>-10024.02969047688</v>
      </c>
      <c r="AH649" s="360">
        <v>3534.9165977519719</v>
      </c>
      <c r="AI649" s="360">
        <v>0.35588405086355557</v>
      </c>
      <c r="AJ649" s="360">
        <v>1.8393725200827229</v>
      </c>
      <c r="AK649" s="360">
        <v>3.290469361189662</v>
      </c>
      <c r="AL649" s="360">
        <v>1.1564866436435277</v>
      </c>
      <c r="AM649" s="360">
        <v>1.0504170899137548</v>
      </c>
      <c r="AN649" s="360">
        <v>-10024.02969047688</v>
      </c>
      <c r="AO649" s="360">
        <f t="shared" si="27"/>
        <v>1</v>
      </c>
      <c r="AP649" s="360">
        <f t="shared" si="28"/>
        <v>1</v>
      </c>
      <c r="AQ649" s="360">
        <f t="shared" si="29"/>
        <v>1</v>
      </c>
    </row>
    <row r="650" spans="1:43">
      <c r="A650" s="360" t="s">
        <v>1077</v>
      </c>
      <c r="B650" t="s">
        <v>1075</v>
      </c>
      <c r="C650">
        <v>1</v>
      </c>
      <c r="D650" t="s">
        <v>1078</v>
      </c>
      <c r="E650" t="s">
        <v>1079</v>
      </c>
      <c r="F650">
        <v>10</v>
      </c>
      <c r="G650" s="360" t="str">
        <f>CONCATENATE(A650," ",B650," ",C650," ","inf+"," ",FanUpsizes!D650," ",FanUpsizes!F650)</f>
        <v>10ACH Percentile 1 inf+ New 10</v>
      </c>
      <c r="H650" s="360">
        <v>1.4421666666666666E-2</v>
      </c>
      <c r="I650" s="360">
        <v>0.46339046486776975</v>
      </c>
      <c r="J650" s="360">
        <v>0.78558120059912839</v>
      </c>
      <c r="K650" s="360">
        <v>992.74445769289593</v>
      </c>
      <c r="L650" s="360">
        <v>0.45055279890089739</v>
      </c>
      <c r="M650" s="360">
        <v>0.79961787088850389</v>
      </c>
      <c r="N650" s="360">
        <v>1.137841476645038</v>
      </c>
      <c r="O650" s="360">
        <v>0.45615322650667472</v>
      </c>
      <c r="P650" s="360">
        <v>0.78558156597421835</v>
      </c>
      <c r="Q650" s="360">
        <v>884.13296573282935</v>
      </c>
      <c r="R650" s="360">
        <v>1361.5499242940691</v>
      </c>
      <c r="S650" s="360">
        <v>0.43869026089790619</v>
      </c>
      <c r="T650" s="360">
        <v>0.82527829338277547</v>
      </c>
      <c r="U650" s="360">
        <v>1.5023528342671388</v>
      </c>
      <c r="V650" s="360">
        <v>0.45318419617711964</v>
      </c>
      <c r="W650" s="360">
        <v>0.78558164135982678</v>
      </c>
      <c r="X650" s="360">
        <v>1150.9940294758258</v>
      </c>
      <c r="Y650" s="360">
        <v>0.42673700136978721</v>
      </c>
      <c r="Z650" s="360">
        <v>0.85844348308147422</v>
      </c>
      <c r="AA650" s="360">
        <v>210.02851093770087</v>
      </c>
      <c r="AB650" s="360">
        <v>0.42411849249462402</v>
      </c>
      <c r="AC650" s="360">
        <v>0.86175369606742436</v>
      </c>
      <c r="AD650" s="360">
        <v>1.0326574142520146</v>
      </c>
      <c r="AE650" s="360">
        <v>0.42499546175263947</v>
      </c>
      <c r="AF650" s="360">
        <v>0.85844468368927618</v>
      </c>
      <c r="AG650" s="360">
        <v>196.53860064404375</v>
      </c>
      <c r="AH650" s="360">
        <v>355.00542713431287</v>
      </c>
      <c r="AI650" s="360">
        <v>0.4188324981003374</v>
      </c>
      <c r="AJ650" s="360">
        <v>0.87838482177483146</v>
      </c>
      <c r="AK650" s="360">
        <v>1.2632167071726559</v>
      </c>
      <c r="AL650" s="360">
        <v>0.42357718256101445</v>
      </c>
      <c r="AM650" s="360">
        <v>0.85844448383400573</v>
      </c>
      <c r="AN650" s="360">
        <v>315.52010182713747</v>
      </c>
      <c r="AO650" s="360">
        <f t="shared" si="27"/>
        <v>1</v>
      </c>
      <c r="AP650" s="360">
        <f t="shared" si="28"/>
        <v>1</v>
      </c>
      <c r="AQ650" s="360">
        <f t="shared" si="29"/>
        <v>1</v>
      </c>
    </row>
    <row r="651" spans="1:43">
      <c r="A651" s="360" t="s">
        <v>1077</v>
      </c>
      <c r="B651" t="s">
        <v>1074</v>
      </c>
      <c r="C651">
        <v>1</v>
      </c>
      <c r="D651" t="s">
        <v>1078</v>
      </c>
      <c r="E651" t="s">
        <v>1079</v>
      </c>
      <c r="F651" s="360">
        <v>10</v>
      </c>
      <c r="G651" s="360" t="str">
        <f>CONCATENATE(A651," ",B651," ",C651," ","inf+"," ",FanUpsizes!D651," ",FanUpsizes!F651)</f>
        <v>10ACH Infiltration 1 inf+ New 10</v>
      </c>
      <c r="H651" s="360">
        <v>1.4421666666666666E-2</v>
      </c>
      <c r="I651" s="360">
        <v>0.46339046486776975</v>
      </c>
      <c r="J651" s="360">
        <v>0.78558120059912839</v>
      </c>
      <c r="K651" s="360">
        <v>1312.8057371434156</v>
      </c>
      <c r="L651" s="360">
        <v>0.44487214689946436</v>
      </c>
      <c r="M651" s="360">
        <v>0.80676616933553524</v>
      </c>
      <c r="N651" s="360">
        <v>1.2248484227341641</v>
      </c>
      <c r="O651" s="360">
        <v>0.45273349378034289</v>
      </c>
      <c r="P651" s="360">
        <v>0.78558172071112142</v>
      </c>
      <c r="Q651" s="360">
        <v>1207.6028374461587</v>
      </c>
      <c r="R651" s="360">
        <v>1511.1117439799668</v>
      </c>
      <c r="S651" s="360">
        <v>0.43833484042508736</v>
      </c>
      <c r="T651" s="360">
        <v>0.82069674689078054</v>
      </c>
      <c r="U651" s="360">
        <v>1.4306359021364445</v>
      </c>
      <c r="V651" s="360">
        <v>0.45059711288314996</v>
      </c>
      <c r="W651" s="360">
        <v>0.78558135369304061</v>
      </c>
      <c r="X651" s="360">
        <v>1395.0219343898541</v>
      </c>
      <c r="Y651" s="360">
        <v>0.42673700136978721</v>
      </c>
      <c r="Z651" s="360">
        <v>0.85844348308147422</v>
      </c>
      <c r="AA651" s="360">
        <v>283.74385535121246</v>
      </c>
      <c r="AB651" s="360">
        <v>0.42288437301523996</v>
      </c>
      <c r="AC651" s="360">
        <v>0.86360750094355798</v>
      </c>
      <c r="AD651" s="360">
        <v>1.0526601170416467</v>
      </c>
      <c r="AE651" s="360">
        <v>0.42417837357647986</v>
      </c>
      <c r="AF651" s="360">
        <v>0.85844349922083329</v>
      </c>
      <c r="AG651" s="360">
        <v>269.34726856007421</v>
      </c>
      <c r="AH651" s="360">
        <v>368.66308809866632</v>
      </c>
      <c r="AI651" s="360">
        <v>0.41998954079295819</v>
      </c>
      <c r="AJ651" s="360">
        <v>0.87195143172561274</v>
      </c>
      <c r="AK651" s="360">
        <v>1.1596833786217671</v>
      </c>
      <c r="AL651" s="360">
        <v>0.42312092577825877</v>
      </c>
      <c r="AM651" s="360">
        <v>0.85844372936338531</v>
      </c>
      <c r="AN651" s="360">
        <v>350.25168023707704</v>
      </c>
      <c r="AO651" s="360">
        <f t="shared" si="27"/>
        <v>1</v>
      </c>
      <c r="AP651" s="360">
        <f t="shared" si="28"/>
        <v>1</v>
      </c>
      <c r="AQ651" s="360">
        <f t="shared" si="29"/>
        <v>1</v>
      </c>
    </row>
    <row r="652" spans="1:43">
      <c r="A652" s="360" t="s">
        <v>1077</v>
      </c>
      <c r="B652" t="s">
        <v>1076</v>
      </c>
      <c r="C652">
        <v>1</v>
      </c>
      <c r="D652" t="s">
        <v>1078</v>
      </c>
      <c r="E652" t="s">
        <v>1079</v>
      </c>
      <c r="F652" s="360">
        <v>10</v>
      </c>
      <c r="G652" s="360" t="str">
        <f>CONCATENATE(A652," ",B652," ",C652," ","inf+"," ",FanUpsizes!D652," ",FanUpsizes!F652)</f>
        <v>10ACH 5C 1 inf+ New 10</v>
      </c>
      <c r="H652" s="360">
        <v>1.4421666666666666E-2</v>
      </c>
      <c r="I652" s="360">
        <v>0.46339046486776975</v>
      </c>
      <c r="J652" s="360">
        <v>0.78558120059912839</v>
      </c>
      <c r="K652" s="360">
        <v>1338.8294991415628</v>
      </c>
      <c r="L652" s="360">
        <v>0.44431319504477768</v>
      </c>
      <c r="M652" s="360">
        <v>0.80764934480313333</v>
      </c>
      <c r="N652" s="360">
        <v>1.2365697472306556</v>
      </c>
      <c r="O652" s="360">
        <v>0.4524525014673752</v>
      </c>
      <c r="P652" s="360">
        <v>0.78558120900160788</v>
      </c>
      <c r="Q652" s="360">
        <v>1234.2988182075333</v>
      </c>
      <c r="R652" s="360">
        <v>1524.1236249790452</v>
      </c>
      <c r="S652" s="360">
        <v>0.43805536449774418</v>
      </c>
      <c r="T652" s="360">
        <v>0.82116613754161649</v>
      </c>
      <c r="U652" s="360">
        <v>1.4391702050536237</v>
      </c>
      <c r="V652" s="360">
        <v>0.45043921995614872</v>
      </c>
      <c r="W652" s="360">
        <v>0.78558246013288346</v>
      </c>
      <c r="X652" s="360">
        <v>1411.4475886080329</v>
      </c>
      <c r="Y652" s="360">
        <v>0.42673700136978721</v>
      </c>
      <c r="Z652" s="360">
        <v>0.85844348308147422</v>
      </c>
      <c r="AA652" s="360">
        <v>290.69206830640042</v>
      </c>
      <c r="AB652" s="360">
        <v>0.4227458102606757</v>
      </c>
      <c r="AC652" s="360">
        <v>0.86386269823916484</v>
      </c>
      <c r="AD652" s="360">
        <v>1.0555116154022053</v>
      </c>
      <c r="AE652" s="360">
        <v>0.42409587265983822</v>
      </c>
      <c r="AF652" s="360">
        <v>0.8584438902509991</v>
      </c>
      <c r="AG652" s="360">
        <v>276.24448367030357</v>
      </c>
      <c r="AH652" s="360">
        <v>370.56589028996962</v>
      </c>
      <c r="AI652" s="360">
        <v>0.41995444764944306</v>
      </c>
      <c r="AJ652" s="360">
        <v>0.87201804104547198</v>
      </c>
      <c r="AK652" s="360">
        <v>1.1607164718781529</v>
      </c>
      <c r="AL652" s="360">
        <v>0.42309512059759091</v>
      </c>
      <c r="AM652" s="360">
        <v>0.85844394789436529</v>
      </c>
      <c r="AN652" s="360">
        <v>352.63260281463687</v>
      </c>
      <c r="AO652" s="360">
        <f t="shared" si="27"/>
        <v>1</v>
      </c>
      <c r="AP652" s="360">
        <f t="shared" si="28"/>
        <v>1</v>
      </c>
      <c r="AQ652" s="360">
        <f t="shared" si="29"/>
        <v>1</v>
      </c>
    </row>
    <row r="653" spans="1:43">
      <c r="A653" s="360" t="s">
        <v>1077</v>
      </c>
      <c r="B653" t="s">
        <v>1075</v>
      </c>
      <c r="C653">
        <v>2</v>
      </c>
      <c r="D653" t="s">
        <v>1078</v>
      </c>
      <c r="E653" t="s">
        <v>1079</v>
      </c>
      <c r="F653" s="360">
        <v>10</v>
      </c>
      <c r="G653" s="360" t="str">
        <f>CONCATENATE(A653," ",B653," ",C653," ","inf+"," ",FanUpsizes!D653," ",FanUpsizes!F653)</f>
        <v>10ACH Percentile 2 inf+ New 10</v>
      </c>
      <c r="H653" s="360">
        <v>1.4421666666666666E-2</v>
      </c>
      <c r="I653" s="360">
        <v>0.60470130025954838</v>
      </c>
      <c r="J653" s="360">
        <v>0.61188033634985151</v>
      </c>
      <c r="K653" s="360">
        <v>992.74445769297245</v>
      </c>
      <c r="L653" s="360">
        <v>0.59186363429267297</v>
      </c>
      <c r="M653" s="360">
        <v>0.62027492341196022</v>
      </c>
      <c r="N653" s="360">
        <v>1.1332666020227979</v>
      </c>
      <c r="O653" s="360">
        <v>0.59726817968298984</v>
      </c>
      <c r="P653" s="360">
        <v>0.61188061334543842</v>
      </c>
      <c r="Q653" s="360">
        <v>887.73771497347366</v>
      </c>
      <c r="R653" s="360">
        <v>1361.54992429404</v>
      </c>
      <c r="S653" s="360">
        <v>0.58000109628969032</v>
      </c>
      <c r="T653" s="360">
        <v>0.635873673400012</v>
      </c>
      <c r="U653" s="360">
        <v>1.4928264371154989</v>
      </c>
      <c r="V653" s="360">
        <v>0.59415653785257438</v>
      </c>
      <c r="W653" s="360">
        <v>0.61188089978292426</v>
      </c>
      <c r="X653" s="360">
        <v>1154.986918417366</v>
      </c>
      <c r="Y653" s="360">
        <v>0.5641323243102897</v>
      </c>
      <c r="Z653" s="360">
        <v>0.66274194349239868</v>
      </c>
      <c r="AA653" s="360">
        <v>163.83052820648211</v>
      </c>
      <c r="AB653" s="360">
        <v>0.56212925615079101</v>
      </c>
      <c r="AC653" s="360">
        <v>0.66424611213127138</v>
      </c>
      <c r="AD653" s="360">
        <v>1.0294645374484757</v>
      </c>
      <c r="AE653" s="360">
        <v>0.56274322746060523</v>
      </c>
      <c r="AF653" s="360">
        <v>0.66274250484447683</v>
      </c>
      <c r="AG653" s="360">
        <v>154.25668759882754</v>
      </c>
      <c r="AH653" s="360">
        <v>276.84015780288263</v>
      </c>
      <c r="AI653" s="360">
        <v>0.55809662873992893</v>
      </c>
      <c r="AJ653" s="360">
        <v>0.67209245261970563</v>
      </c>
      <c r="AK653" s="360">
        <v>1.2420133540570197</v>
      </c>
      <c r="AL653" s="360">
        <v>0.56148336215534</v>
      </c>
      <c r="AM653" s="360">
        <v>0.66274231387120375</v>
      </c>
      <c r="AN653" s="360">
        <v>247.84486734529688</v>
      </c>
      <c r="AO653" s="360">
        <f t="shared" si="27"/>
        <v>1</v>
      </c>
      <c r="AP653" s="360">
        <f t="shared" si="28"/>
        <v>1</v>
      </c>
      <c r="AQ653" s="360">
        <f t="shared" si="29"/>
        <v>1</v>
      </c>
    </row>
    <row r="654" spans="1:43">
      <c r="A654" s="360" t="s">
        <v>1077</v>
      </c>
      <c r="B654" t="s">
        <v>1074</v>
      </c>
      <c r="C654">
        <v>2</v>
      </c>
      <c r="D654" t="s">
        <v>1078</v>
      </c>
      <c r="E654" t="s">
        <v>1079</v>
      </c>
      <c r="F654" s="360">
        <v>10</v>
      </c>
      <c r="G654" s="360" t="str">
        <f>CONCATENATE(A654," ",B654," ",C654," ","inf+"," ",FanUpsizes!D654," ",FanUpsizes!F654)</f>
        <v>10ACH Infiltration 2 inf+ New 10</v>
      </c>
      <c r="H654" s="360">
        <v>1.4421666666666666E-2</v>
      </c>
      <c r="I654" s="360">
        <v>0.60470130025954838</v>
      </c>
      <c r="J654" s="360">
        <v>0.61188033634985151</v>
      </c>
      <c r="K654" s="360">
        <v>1562.3877547102802</v>
      </c>
      <c r="L654" s="360">
        <v>0.58010134308970951</v>
      </c>
      <c r="M654" s="360">
        <v>0.63104598094375286</v>
      </c>
      <c r="N654" s="360">
        <v>1.3698823157703874</v>
      </c>
      <c r="O654" s="360">
        <v>0.59075665955880463</v>
      </c>
      <c r="P654" s="360">
        <v>0.61188041377899083</v>
      </c>
      <c r="Q654" s="360">
        <v>1481.6418430610006</v>
      </c>
      <c r="R654" s="360">
        <v>1645.5917009867696</v>
      </c>
      <c r="S654" s="360">
        <v>0.57487332057930363</v>
      </c>
      <c r="T654" s="360">
        <v>0.63969193815166325</v>
      </c>
      <c r="U654" s="360">
        <v>1.6319820474768498</v>
      </c>
      <c r="V654" s="360">
        <v>0.58979282043921022</v>
      </c>
      <c r="W654" s="360">
        <v>0.61188033672609088</v>
      </c>
      <c r="X654" s="360">
        <v>1560.2123915703955</v>
      </c>
      <c r="Y654" s="360">
        <v>0.5641323243102897</v>
      </c>
      <c r="Z654" s="360">
        <v>0.66274194349239868</v>
      </c>
      <c r="AA654" s="360">
        <v>275.71254850133812</v>
      </c>
      <c r="AB654" s="360">
        <v>0.55997757963871486</v>
      </c>
      <c r="AC654" s="360">
        <v>0.66670260864547704</v>
      </c>
      <c r="AD654" s="360">
        <v>1.0845128221223157</v>
      </c>
      <c r="AE654" s="360">
        <v>0.56140542281319494</v>
      </c>
      <c r="AF654" s="360">
        <v>0.66274222864941379</v>
      </c>
      <c r="AG654" s="360">
        <v>266.026706606348</v>
      </c>
      <c r="AH654" s="360">
        <v>307.26329583702341</v>
      </c>
      <c r="AI654" s="360">
        <v>0.55793613189319824</v>
      </c>
      <c r="AJ654" s="360">
        <v>0.67140659714416051</v>
      </c>
      <c r="AK654" s="360">
        <v>1.2202755328974058</v>
      </c>
      <c r="AL654" s="360">
        <v>0.56090242821600356</v>
      </c>
      <c r="AM654" s="360">
        <v>0.66274206024977456</v>
      </c>
      <c r="AN654" s="360">
        <v>294.46612416771347</v>
      </c>
      <c r="AO654" s="360">
        <f t="shared" si="27"/>
        <v>1</v>
      </c>
      <c r="AP654" s="360">
        <f t="shared" si="28"/>
        <v>1</v>
      </c>
      <c r="AQ654" s="360">
        <f t="shared" si="29"/>
        <v>1</v>
      </c>
    </row>
    <row r="655" spans="1:43">
      <c r="A655" s="360" t="s">
        <v>1077</v>
      </c>
      <c r="B655" t="s">
        <v>1076</v>
      </c>
      <c r="C655">
        <v>2</v>
      </c>
      <c r="D655" t="s">
        <v>1078</v>
      </c>
      <c r="E655" t="s">
        <v>1079</v>
      </c>
      <c r="F655" s="360">
        <v>10</v>
      </c>
      <c r="G655" s="360" t="str">
        <f>CONCATENATE(A655," ",B655," ",C655," ","inf+"," ",FanUpsizes!D655," ",FanUpsizes!F655)</f>
        <v>10ACH 5C 2 inf+ New 10</v>
      </c>
      <c r="H655" s="360">
        <v>1.4421666666666666E-2</v>
      </c>
      <c r="I655" s="360">
        <v>0.60470130025954838</v>
      </c>
      <c r="J655" s="360">
        <v>0.61188033634985151</v>
      </c>
      <c r="K655" s="360">
        <v>1338.829499141666</v>
      </c>
      <c r="L655" s="360">
        <v>0.58562403043655598</v>
      </c>
      <c r="M655" s="360">
        <v>0.62499258914915179</v>
      </c>
      <c r="N655" s="360">
        <v>1.2261715508655113</v>
      </c>
      <c r="O655" s="360">
        <v>0.5933850582218233</v>
      </c>
      <c r="P655" s="360">
        <v>0.61188046117117012</v>
      </c>
      <c r="Q655" s="360">
        <v>1238.8933640412913</v>
      </c>
      <c r="R655" s="360">
        <v>1533.8125732024484</v>
      </c>
      <c r="S655" s="360">
        <v>0.57763466425272814</v>
      </c>
      <c r="T655" s="360">
        <v>0.63648779739582961</v>
      </c>
      <c r="U655" s="360">
        <v>1.5181551706515992</v>
      </c>
      <c r="V655" s="360">
        <v>0.59129265554705324</v>
      </c>
      <c r="W655" s="360">
        <v>0.61188042061463066</v>
      </c>
      <c r="X655" s="360">
        <v>1405.8920779146531</v>
      </c>
      <c r="Y655" s="360">
        <v>0.5641323243102897</v>
      </c>
      <c r="Z655" s="360">
        <v>0.66274194349239868</v>
      </c>
      <c r="AA655" s="360">
        <v>226.4728972878564</v>
      </c>
      <c r="AB655" s="360">
        <v>0.56108968779252733</v>
      </c>
      <c r="AC655" s="360">
        <v>0.66518589373018733</v>
      </c>
      <c r="AD655" s="360">
        <v>1.0494276620302834</v>
      </c>
      <c r="AE655" s="360">
        <v>0.56202406951235706</v>
      </c>
      <c r="AF655" s="360">
        <v>0.66274304988960575</v>
      </c>
      <c r="AG655" s="360">
        <v>216.24100460867774</v>
      </c>
      <c r="AH655" s="360">
        <v>293.42314981779674</v>
      </c>
      <c r="AI655" s="360">
        <v>0.55821681491417108</v>
      </c>
      <c r="AJ655" s="360">
        <v>0.67101325046195337</v>
      </c>
      <c r="AK655" s="360">
        <v>1.2063243213189083</v>
      </c>
      <c r="AL655" s="360">
        <v>0.56110827984620337</v>
      </c>
      <c r="AM655" s="360">
        <v>0.66274301705254113</v>
      </c>
      <c r="AN655" s="360">
        <v>275.91238653912126</v>
      </c>
      <c r="AO655" s="360">
        <f t="shared" si="27"/>
        <v>1</v>
      </c>
      <c r="AP655" s="360">
        <f t="shared" si="28"/>
        <v>1</v>
      </c>
      <c r="AQ655" s="360">
        <f t="shared" si="29"/>
        <v>1</v>
      </c>
    </row>
    <row r="656" spans="1:43">
      <c r="A656" s="360" t="s">
        <v>1077</v>
      </c>
      <c r="B656" t="s">
        <v>1075</v>
      </c>
      <c r="C656">
        <v>1</v>
      </c>
      <c r="D656" t="s">
        <v>1080</v>
      </c>
      <c r="E656" t="s">
        <v>1079</v>
      </c>
      <c r="F656" s="360">
        <v>10</v>
      </c>
      <c r="G656" s="360" t="str">
        <f>CONCATENATE(A656," ",B656," ",C656," ","inf+"," ",FanUpsizes!D656," ",FanUpsizes!F656)</f>
        <v>10ACH Percentile 1 inf+ Existing 10</v>
      </c>
      <c r="H656" s="360">
        <v>1.8240877765064251E-2</v>
      </c>
      <c r="I656" s="360">
        <v>0.47755489033691378</v>
      </c>
      <c r="J656" s="360">
        <v>1.0397291629506231</v>
      </c>
      <c r="K656" s="360">
        <v>1255.647542220428</v>
      </c>
      <c r="L656" s="360">
        <v>0.46131749551265844</v>
      </c>
      <c r="M656" s="360">
        <v>1.0634810374510337</v>
      </c>
      <c r="N656" s="360">
        <v>1.1462128777890608</v>
      </c>
      <c r="O656" s="360">
        <v>0.46885763113437473</v>
      </c>
      <c r="P656" s="360">
        <v>1.0397292781851275</v>
      </c>
      <c r="Q656" s="360">
        <v>1109.9300235199994</v>
      </c>
      <c r="R656" s="360">
        <v>1722.1217432161379</v>
      </c>
      <c r="S656" s="360">
        <v>0.44631346645711872</v>
      </c>
      <c r="T656" s="360">
        <v>1.1054891925276968</v>
      </c>
      <c r="U656" s="360">
        <v>1.5195690599501228</v>
      </c>
      <c r="V656" s="360">
        <v>0.46541588618683888</v>
      </c>
      <c r="W656" s="360">
        <v>1.039729404369574</v>
      </c>
      <c r="X656" s="360">
        <v>1446.6785093060348</v>
      </c>
      <c r="Y656" s="360">
        <v>0.43602822496455562</v>
      </c>
      <c r="Z656" s="360">
        <v>1.1400840368099359</v>
      </c>
      <c r="AA656" s="360">
        <v>329.49347802081604</v>
      </c>
      <c r="AB656" s="360">
        <v>0.43186738596829233</v>
      </c>
      <c r="AC656" s="360">
        <v>1.1471996284996733</v>
      </c>
      <c r="AD656" s="360">
        <v>1.0378994350012742</v>
      </c>
      <c r="AE656" s="360">
        <v>0.43341899525114713</v>
      </c>
      <c r="AF656" s="360">
        <v>1.1400841000574102</v>
      </c>
      <c r="AG656" s="360">
        <v>305.44330879037</v>
      </c>
      <c r="AH656" s="360">
        <v>554.2485761285493</v>
      </c>
      <c r="AI656" s="360">
        <v>0.42360874376482371</v>
      </c>
      <c r="AJ656" s="360">
        <v>1.1805913004440278</v>
      </c>
      <c r="AK656" s="360">
        <v>1.2932484853449078</v>
      </c>
      <c r="AL656" s="360">
        <v>0.43165148015338539</v>
      </c>
      <c r="AM656" s="360">
        <v>1.1400847449065361</v>
      </c>
      <c r="AN656" s="360">
        <v>486.74396750354612</v>
      </c>
      <c r="AO656" s="360">
        <f t="shared" si="27"/>
        <v>1</v>
      </c>
      <c r="AP656" s="360">
        <f t="shared" si="28"/>
        <v>1</v>
      </c>
      <c r="AQ656" s="360">
        <f t="shared" si="29"/>
        <v>1</v>
      </c>
    </row>
    <row r="657" spans="1:43">
      <c r="A657" s="360" t="s">
        <v>1077</v>
      </c>
      <c r="B657" t="s">
        <v>1074</v>
      </c>
      <c r="C657">
        <v>1</v>
      </c>
      <c r="D657" t="s">
        <v>1080</v>
      </c>
      <c r="E657" t="s">
        <v>1079</v>
      </c>
      <c r="F657" s="360">
        <v>10</v>
      </c>
      <c r="G657" s="360" t="str">
        <f>CONCATENATE(A657," ",B657," ",C657," ","inf+"," ",FanUpsizes!D657," ",FanUpsizes!F657)</f>
        <v>10ACH Infiltration 1 inf+ Existing 10</v>
      </c>
      <c r="H657" s="360">
        <v>1.8240877765064251E-2</v>
      </c>
      <c r="I657" s="360">
        <v>0.47755489033691378</v>
      </c>
      <c r="J657" s="360">
        <v>1.0397291629506231</v>
      </c>
      <c r="K657" s="360">
        <v>617.34848578926631</v>
      </c>
      <c r="L657" s="360">
        <v>0.47067724321542448</v>
      </c>
      <c r="M657" s="360">
        <v>1.0481910555057437</v>
      </c>
      <c r="N657" s="360">
        <v>1.0475645076604347</v>
      </c>
      <c r="O657" s="360">
        <v>0.47356952781690997</v>
      </c>
      <c r="P657" s="360">
        <v>1.0397292242978349</v>
      </c>
      <c r="Q657" s="360">
        <v>539.58474302243826</v>
      </c>
      <c r="R657" s="360">
        <v>1334.2782720568202</v>
      </c>
      <c r="S657" s="360">
        <v>0.45721780306649978</v>
      </c>
      <c r="T657" s="360">
        <v>1.0733118665813719</v>
      </c>
      <c r="U657" s="360">
        <v>1.2169769447945931</v>
      </c>
      <c r="V657" s="360">
        <v>0.46752468607657272</v>
      </c>
      <c r="W657" s="360">
        <v>1.0397294523954772</v>
      </c>
      <c r="X657" s="360">
        <v>1135.0974856285636</v>
      </c>
      <c r="Y657" s="360">
        <v>0.43602822496455562</v>
      </c>
      <c r="Z657" s="360">
        <v>1.1400840368099359</v>
      </c>
      <c r="AA657" s="360">
        <v>149.50101011278142</v>
      </c>
      <c r="AB657" s="360">
        <v>0.43441318886540836</v>
      </c>
      <c r="AC657" s="360">
        <v>1.1423449623295419</v>
      </c>
      <c r="AD657" s="360">
        <v>1.0115053564808711</v>
      </c>
      <c r="AE657" s="360">
        <v>0.43493731247163608</v>
      </c>
      <c r="AF657" s="360">
        <v>1.1400848137467612</v>
      </c>
      <c r="AG657" s="360">
        <v>138.30337889806836</v>
      </c>
      <c r="AH657" s="360">
        <v>464.49605565034182</v>
      </c>
      <c r="AI657" s="360">
        <v>0.42843234055490176</v>
      </c>
      <c r="AJ657" s="360">
        <v>1.1570765969411689</v>
      </c>
      <c r="AK657" s="360">
        <v>1.099052659476415</v>
      </c>
      <c r="AL657" s="360">
        <v>0.43190021229058301</v>
      </c>
      <c r="AM657" s="360">
        <v>1.1400840367984451</v>
      </c>
      <c r="AN657" s="360">
        <v>426.34845584358959</v>
      </c>
      <c r="AO657" s="360">
        <f t="shared" si="27"/>
        <v>1</v>
      </c>
      <c r="AP657" s="360">
        <f t="shared" si="28"/>
        <v>1</v>
      </c>
      <c r="AQ657" s="360">
        <f t="shared" si="29"/>
        <v>1</v>
      </c>
    </row>
    <row r="658" spans="1:43">
      <c r="A658" s="360" t="s">
        <v>1077</v>
      </c>
      <c r="B658" t="s">
        <v>1076</v>
      </c>
      <c r="C658">
        <v>1</v>
      </c>
      <c r="D658" t="s">
        <v>1080</v>
      </c>
      <c r="E658" t="s">
        <v>1079</v>
      </c>
      <c r="F658" s="360">
        <v>10</v>
      </c>
      <c r="G658" s="360" t="str">
        <f>CONCATENATE(A658," ",B658," ",C658," ","inf+"," ",FanUpsizes!D658," ",FanUpsizes!F658)</f>
        <v>10ACH 5C 1 inf+ Existing 10</v>
      </c>
      <c r="H658" s="360">
        <v>1.8240877765064251E-2</v>
      </c>
      <c r="I658" s="360">
        <v>0.47755489033691378</v>
      </c>
      <c r="J658" s="360">
        <v>1.0397291629506231</v>
      </c>
      <c r="K658" s="360">
        <v>1693.3843921487442</v>
      </c>
      <c r="L658" s="360">
        <v>0.45342549149727324</v>
      </c>
      <c r="M658" s="360">
        <v>1.0770631225896943</v>
      </c>
      <c r="N658" s="360">
        <v>1.2521560506508842</v>
      </c>
      <c r="O658" s="360">
        <v>0.46445341128819811</v>
      </c>
      <c r="P658" s="360">
        <v>1.0397293583961855</v>
      </c>
      <c r="Q658" s="360">
        <v>1552.4606240102009</v>
      </c>
      <c r="R658" s="360">
        <v>1872.2962252365603</v>
      </c>
      <c r="S658" s="360">
        <v>0.44859192720742369</v>
      </c>
      <c r="T658" s="360">
        <v>1.0887728349171382</v>
      </c>
      <c r="U658" s="360">
        <v>1.3569157874274451</v>
      </c>
      <c r="V658" s="360">
        <v>0.46249983405052508</v>
      </c>
      <c r="W658" s="360">
        <v>1.0397291640214821</v>
      </c>
      <c r="X658" s="360">
        <v>1736.6812940060306</v>
      </c>
      <c r="Y658" s="360">
        <v>0.43602822496455562</v>
      </c>
      <c r="Z658" s="360">
        <v>1.1400840368099359</v>
      </c>
      <c r="AA658" s="360">
        <v>455.40579177070566</v>
      </c>
      <c r="AB658" s="360">
        <v>0.42968950949753604</v>
      </c>
      <c r="AC658" s="360">
        <v>1.151711674540367</v>
      </c>
      <c r="AD658" s="360">
        <v>1.0647516916176845</v>
      </c>
      <c r="AE658" s="360">
        <v>0.43208261582958707</v>
      </c>
      <c r="AF658" s="360">
        <v>1.1400841389297964</v>
      </c>
      <c r="AG658" s="360">
        <v>429.77009983851133</v>
      </c>
      <c r="AH658" s="360">
        <v>546.58471419674584</v>
      </c>
      <c r="AI658" s="360">
        <v>0.42723233141676126</v>
      </c>
      <c r="AJ658" s="360">
        <v>1.1595468444499011</v>
      </c>
      <c r="AK658" s="360">
        <v>1.1168113348302278</v>
      </c>
      <c r="AL658" s="360">
        <v>0.43105232189648834</v>
      </c>
      <c r="AM658" s="360">
        <v>1.1400869280040011</v>
      </c>
      <c r="AN658" s="360">
        <v>520.30512921458194</v>
      </c>
      <c r="AO658" s="360">
        <f t="shared" si="27"/>
        <v>1</v>
      </c>
      <c r="AP658" s="360">
        <f t="shared" si="28"/>
        <v>1</v>
      </c>
      <c r="AQ658" s="360">
        <f t="shared" si="29"/>
        <v>1</v>
      </c>
    </row>
    <row r="659" spans="1:43">
      <c r="A659" s="360" t="s">
        <v>1077</v>
      </c>
      <c r="B659" t="s">
        <v>1075</v>
      </c>
      <c r="C659">
        <v>2</v>
      </c>
      <c r="D659" t="s">
        <v>1080</v>
      </c>
      <c r="E659" t="s">
        <v>1079</v>
      </c>
      <c r="F659" s="360">
        <v>10</v>
      </c>
      <c r="G659" s="360" t="str">
        <f>CONCATENATE(A659," ",B659," ",C659," ","inf+"," ",FanUpsizes!D659," ",FanUpsizes!F659)</f>
        <v>10ACH Percentile 2 inf+ Existing 10</v>
      </c>
      <c r="H659" s="360">
        <v>5.0534692007948648E-3</v>
      </c>
      <c r="I659" s="360">
        <v>0.57006204183684961</v>
      </c>
      <c r="J659" s="360">
        <v>0.91139164279861595</v>
      </c>
      <c r="K659" s="360">
        <v>347.86572572825366</v>
      </c>
      <c r="L659" s="360">
        <v>0.56556361935398192</v>
      </c>
      <c r="M659" s="360">
        <v>0.91566289685605484</v>
      </c>
      <c r="N659" s="360">
        <v>1.1163006193445353</v>
      </c>
      <c r="O659" s="360">
        <v>0.56721285307193847</v>
      </c>
      <c r="P659" s="360">
        <v>0.9113916726252338</v>
      </c>
      <c r="Q659" s="360">
        <v>315.75485664474485</v>
      </c>
      <c r="R659" s="360">
        <v>477.09815840268476</v>
      </c>
      <c r="S659" s="360">
        <v>0.56140688963424978</v>
      </c>
      <c r="T659" s="360">
        <v>0.92419748125245793</v>
      </c>
      <c r="U659" s="360">
        <v>1.4506159565087178</v>
      </c>
      <c r="V659" s="360">
        <v>0.56592388749633027</v>
      </c>
      <c r="W659" s="360">
        <v>0.91139164933499128</v>
      </c>
      <c r="X659" s="360">
        <v>410.91625036548089</v>
      </c>
      <c r="Y659" s="360">
        <v>0.55303874183965795</v>
      </c>
      <c r="Z659" s="360">
        <v>0.94810947785414557</v>
      </c>
      <c r="AA659" s="360">
        <v>23.24902597728877</v>
      </c>
      <c r="AB659" s="360">
        <v>0.55279130985608727</v>
      </c>
      <c r="AC659" s="360">
        <v>0.94836879538487595</v>
      </c>
      <c r="AD659" s="360">
        <v>1.0223793313983736</v>
      </c>
      <c r="AE659" s="360">
        <v>0.55285323968321243</v>
      </c>
      <c r="AF659" s="360">
        <v>0.94810947867585638</v>
      </c>
      <c r="AG659" s="360">
        <v>22.128745490705388</v>
      </c>
      <c r="AH659" s="360">
        <v>40.086728897863388</v>
      </c>
      <c r="AI659" s="360">
        <v>0.55228421762705782</v>
      </c>
      <c r="AJ659" s="360">
        <v>0.94983904837466748</v>
      </c>
      <c r="AK659" s="360">
        <v>1.1876420220528676</v>
      </c>
      <c r="AL659" s="360">
        <v>0.55263658540829352</v>
      </c>
      <c r="AM659" s="360">
        <v>0.94810966257834195</v>
      </c>
      <c r="AN659" s="360">
        <v>36.09362763226008</v>
      </c>
      <c r="AO659" s="360">
        <f t="shared" si="27"/>
        <v>1</v>
      </c>
      <c r="AP659" s="360">
        <f t="shared" si="28"/>
        <v>1</v>
      </c>
      <c r="AQ659" s="360">
        <f t="shared" si="29"/>
        <v>1</v>
      </c>
    </row>
    <row r="660" spans="1:43">
      <c r="A660" s="360" t="s">
        <v>1077</v>
      </c>
      <c r="B660" t="s">
        <v>1074</v>
      </c>
      <c r="C660">
        <v>2</v>
      </c>
      <c r="D660" t="s">
        <v>1080</v>
      </c>
      <c r="E660" t="s">
        <v>1079</v>
      </c>
      <c r="F660" s="360">
        <v>10</v>
      </c>
      <c r="G660" s="360" t="str">
        <f>CONCATENATE(A660," ",B660," ",C660," ","inf+"," ",FanUpsizes!D660," ",FanUpsizes!F660)</f>
        <v>10ACH Infiltration 2 inf+ Existing 10</v>
      </c>
      <c r="H660" s="360">
        <v>5.0534692007948648E-3</v>
      </c>
      <c r="I660" s="360">
        <v>0.57006204183684961</v>
      </c>
      <c r="J660" s="360">
        <v>0.91139164279861595</v>
      </c>
      <c r="K660" s="360">
        <v>418.55189892715873</v>
      </c>
      <c r="L660" s="360">
        <v>0.56436716245129848</v>
      </c>
      <c r="M660" s="360">
        <v>0.91690183451627738</v>
      </c>
      <c r="N660" s="360">
        <v>1.1554067482942427</v>
      </c>
      <c r="O660" s="360">
        <v>0.56638501417819165</v>
      </c>
      <c r="P660" s="360">
        <v>0.91139191650201801</v>
      </c>
      <c r="Q660" s="360">
        <v>386.62884582400784</v>
      </c>
      <c r="R660" s="360">
        <v>506.99055015838326</v>
      </c>
      <c r="S660" s="360">
        <v>0.56183054608199756</v>
      </c>
      <c r="T660" s="360">
        <v>0.92149187650623077</v>
      </c>
      <c r="U660" s="360">
        <v>1.3265062770245772</v>
      </c>
      <c r="V660" s="360">
        <v>0.56524178853013163</v>
      </c>
      <c r="W660" s="360">
        <v>0.91139168874347176</v>
      </c>
      <c r="X660" s="360">
        <v>468.7966684550791</v>
      </c>
      <c r="Y660" s="360">
        <v>0.55303874183965795</v>
      </c>
      <c r="Z660" s="360">
        <v>0.94810947785414557</v>
      </c>
      <c r="AA660" s="360">
        <v>28.433049833337282</v>
      </c>
      <c r="AB660" s="360">
        <v>0.55272319976849782</v>
      </c>
      <c r="AC660" s="360">
        <v>0.94844992017983276</v>
      </c>
      <c r="AD660" s="360">
        <v>1.0297119062048654</v>
      </c>
      <c r="AE660" s="360">
        <v>0.55280160136246925</v>
      </c>
      <c r="AF660" s="360">
        <v>0.9481094788654566</v>
      </c>
      <c r="AG660" s="360">
        <v>27.216411823167615</v>
      </c>
      <c r="AH660" s="360">
        <v>40.042999170286997</v>
      </c>
      <c r="AI660" s="360">
        <v>0.5524348340932278</v>
      </c>
      <c r="AJ660" s="360">
        <v>0.94911591676706542</v>
      </c>
      <c r="AK660" s="360">
        <v>1.0968522031175398</v>
      </c>
      <c r="AL660" s="360">
        <v>0.55264002418555647</v>
      </c>
      <c r="AM660" s="360">
        <v>0.94810959838673936</v>
      </c>
      <c r="AN660" s="360">
        <v>38.064000055350213</v>
      </c>
      <c r="AO660" s="360">
        <f t="shared" si="27"/>
        <v>1</v>
      </c>
      <c r="AP660" s="360">
        <f t="shared" si="28"/>
        <v>1</v>
      </c>
      <c r="AQ660" s="360">
        <f t="shared" si="29"/>
        <v>1</v>
      </c>
    </row>
    <row r="661" spans="1:43">
      <c r="A661" s="360" t="s">
        <v>1077</v>
      </c>
      <c r="B661" t="s">
        <v>1076</v>
      </c>
      <c r="C661">
        <v>2</v>
      </c>
      <c r="D661" t="s">
        <v>1080</v>
      </c>
      <c r="E661" t="s">
        <v>1079</v>
      </c>
      <c r="F661" s="360">
        <v>10</v>
      </c>
      <c r="G661" s="360" t="str">
        <f>CONCATENATE(A661," ",B661," ",C661," ","inf+"," ",FanUpsizes!D661," ",FanUpsizes!F661)</f>
        <v>10ACH 5C 2 inf+ Existing 10</v>
      </c>
      <c r="H661" s="360">
        <v>5.0534692007948648E-3</v>
      </c>
      <c r="I661" s="360">
        <v>0.57006204183684961</v>
      </c>
      <c r="J661" s="360">
        <v>0.91139164279861595</v>
      </c>
      <c r="K661" s="360">
        <v>469.1367367868196</v>
      </c>
      <c r="L661" s="360">
        <v>0.56337721145530728</v>
      </c>
      <c r="M661" s="360">
        <v>0.9180702025290598</v>
      </c>
      <c r="N661" s="360">
        <v>1.194949404696007</v>
      </c>
      <c r="O661" s="360">
        <v>0.56571550752689492</v>
      </c>
      <c r="P661" s="360">
        <v>0.9113916448302698</v>
      </c>
      <c r="Q661" s="360">
        <v>438.95246818867776</v>
      </c>
      <c r="R661" s="360">
        <v>532.28296908822415</v>
      </c>
      <c r="S661" s="360">
        <v>0.56133557058400141</v>
      </c>
      <c r="T661" s="360">
        <v>0.92208574278096622</v>
      </c>
      <c r="U661" s="360">
        <v>1.3527598870769661</v>
      </c>
      <c r="V661" s="360">
        <v>0.56484649559965872</v>
      </c>
      <c r="W661" s="360">
        <v>0.91139269971995807</v>
      </c>
      <c r="X661" s="360">
        <v>499.94015706858778</v>
      </c>
      <c r="Y661" s="360">
        <v>0.55303874183965795</v>
      </c>
      <c r="Z661" s="360">
        <v>0.94810947785414557</v>
      </c>
      <c r="AA661" s="360">
        <v>32.461246557984495</v>
      </c>
      <c r="AB661" s="360">
        <v>0.55266272201712185</v>
      </c>
      <c r="AC661" s="360">
        <v>0.94853167383399772</v>
      </c>
      <c r="AD661" s="360">
        <v>1.0372704997812323</v>
      </c>
      <c r="AE661" s="360">
        <v>0.55275682977757712</v>
      </c>
      <c r="AF661" s="360">
        <v>0.94810949336478412</v>
      </c>
      <c r="AG661" s="360">
        <v>31.197278362407484</v>
      </c>
      <c r="AH661" s="360">
        <v>41.306866853777414</v>
      </c>
      <c r="AI661" s="360">
        <v>0.55241970192908529</v>
      </c>
      <c r="AJ661" s="360">
        <v>0.94913641527330472</v>
      </c>
      <c r="AK661" s="360">
        <v>1.0991520159097228</v>
      </c>
      <c r="AL661" s="360">
        <v>0.55262683159525749</v>
      </c>
      <c r="AM661" s="360">
        <v>0.94810955537199293</v>
      </c>
      <c r="AN661" s="360">
        <v>39.486992616358684</v>
      </c>
      <c r="AO661" s="360">
        <f t="shared" si="27"/>
        <v>1</v>
      </c>
      <c r="AP661" s="360">
        <f t="shared" si="28"/>
        <v>1</v>
      </c>
      <c r="AQ661" s="360">
        <f t="shared" si="29"/>
        <v>1</v>
      </c>
    </row>
    <row r="662" spans="1:43">
      <c r="A662" s="360" t="s">
        <v>1081</v>
      </c>
      <c r="B662" t="s">
        <v>1075</v>
      </c>
      <c r="C662">
        <v>1</v>
      </c>
      <c r="D662" t="s">
        <v>1078</v>
      </c>
      <c r="E662" t="s">
        <v>1079</v>
      </c>
      <c r="F662" s="360">
        <v>10</v>
      </c>
      <c r="G662" s="360" t="str">
        <f>CONCATENATE(A662," ",B662," ",C662," ","inf+"," ",FanUpsizes!D662," ",FanUpsizes!F662)</f>
        <v>7ACH Percentile 1 inf+ New 10</v>
      </c>
      <c r="H662" s="360">
        <v>1.4421666666666666E-2</v>
      </c>
      <c r="I662" s="360">
        <v>0.34043223231836239</v>
      </c>
      <c r="J662" s="360">
        <v>1.0480784650881858</v>
      </c>
      <c r="K662" s="360">
        <v>992.74445769294766</v>
      </c>
      <c r="L662" s="360">
        <v>0.32759456635149076</v>
      </c>
      <c r="M662" s="360">
        <v>1.0752319593947925</v>
      </c>
      <c r="N662" s="360">
        <v>1.1537908219494819</v>
      </c>
      <c r="O662" s="360">
        <v>0.33388571279640372</v>
      </c>
      <c r="P662" s="360">
        <v>1.0480791881093636</v>
      </c>
      <c r="Q662" s="360">
        <v>871.5657600451616</v>
      </c>
      <c r="R662" s="360">
        <v>1361.5499242940793</v>
      </c>
      <c r="S662" s="360">
        <v>0.31573202834850173</v>
      </c>
      <c r="T662" s="360">
        <v>1.1214296310148197</v>
      </c>
      <c r="U662" s="360">
        <v>1.5326679280589866</v>
      </c>
      <c r="V662" s="360">
        <v>0.33130934761006314</v>
      </c>
      <c r="W662" s="360">
        <v>1.048082482171534</v>
      </c>
      <c r="X662" s="360">
        <v>1138.2877774864471</v>
      </c>
      <c r="Y662" s="360">
        <v>0.30983824427243573</v>
      </c>
      <c r="Z662" s="360">
        <v>1.1495275734221413</v>
      </c>
      <c r="AA662" s="360">
        <v>291.19410194552233</v>
      </c>
      <c r="AB662" s="360">
        <v>0.3061407542300858</v>
      </c>
      <c r="AC662" s="360">
        <v>1.1587067844461514</v>
      </c>
      <c r="AD662" s="360">
        <v>1.0425166147897493</v>
      </c>
      <c r="AE662" s="360">
        <v>0.30764908974397487</v>
      </c>
      <c r="AF662" s="360">
        <v>1.1495351156223637</v>
      </c>
      <c r="AG662" s="360">
        <v>267.64268107045541</v>
      </c>
      <c r="AH662" s="360">
        <v>488.40084697045575</v>
      </c>
      <c r="AI662" s="360">
        <v>0.29888383015974956</v>
      </c>
      <c r="AJ662" s="360">
        <v>1.1986781600380823</v>
      </c>
      <c r="AK662" s="360">
        <v>1.3115435217013778</v>
      </c>
      <c r="AL662" s="360">
        <v>0.30627886201741517</v>
      </c>
      <c r="AM662" s="360">
        <v>1.149527787016194</v>
      </c>
      <c r="AN662" s="360">
        <v>425.61260738920686</v>
      </c>
      <c r="AO662" s="360">
        <f t="shared" si="27"/>
        <v>1</v>
      </c>
      <c r="AP662" s="360">
        <f t="shared" si="28"/>
        <v>1</v>
      </c>
      <c r="AQ662" s="360">
        <f t="shared" si="29"/>
        <v>1</v>
      </c>
    </row>
    <row r="663" spans="1:43">
      <c r="A663" s="360" t="s">
        <v>1081</v>
      </c>
      <c r="B663" t="s">
        <v>1074</v>
      </c>
      <c r="C663">
        <v>1</v>
      </c>
      <c r="D663" t="s">
        <v>1078</v>
      </c>
      <c r="E663" t="s">
        <v>1079</v>
      </c>
      <c r="F663" s="360">
        <v>10</v>
      </c>
      <c r="G663" s="360" t="str">
        <f>CONCATENATE(A663," ",B663," ",C663," ","inf+"," ",FanUpsizes!D663," ",FanUpsizes!F663)</f>
        <v>7ACH Infiltration 1 inf+ New 10</v>
      </c>
      <c r="H663" s="360">
        <v>1.4421666666666666E-2</v>
      </c>
      <c r="I663" s="360">
        <v>0.34043223231836239</v>
      </c>
      <c r="J663" s="360">
        <v>1.0480784650881858</v>
      </c>
      <c r="K663" s="360">
        <v>403.72884712553935</v>
      </c>
      <c r="L663" s="360">
        <v>0.33605175093544032</v>
      </c>
      <c r="M663" s="360">
        <v>1.0556911456025924</v>
      </c>
      <c r="N663" s="360">
        <v>1.0386097195299864</v>
      </c>
      <c r="O663" s="360">
        <v>0.33795533361773661</v>
      </c>
      <c r="P663" s="360">
        <v>1.0480840082596115</v>
      </c>
      <c r="Q663" s="360">
        <v>350.56478704812162</v>
      </c>
      <c r="R663" s="360">
        <v>1003.2674757032138</v>
      </c>
      <c r="S663" s="360">
        <v>0.32523420987816815</v>
      </c>
      <c r="T663" s="360">
        <v>1.083601717561977</v>
      </c>
      <c r="U663" s="360">
        <v>1.2078855251319265</v>
      </c>
      <c r="V663" s="360">
        <v>0.33325277045100976</v>
      </c>
      <c r="W663" s="360">
        <v>1.0480790759267089</v>
      </c>
      <c r="X663" s="360">
        <v>841.65271434507088</v>
      </c>
      <c r="Y663" s="360">
        <v>0.30983824427243573</v>
      </c>
      <c r="Z663" s="360">
        <v>1.1495275734221413</v>
      </c>
      <c r="AA663" s="360">
        <v>107.98475674290248</v>
      </c>
      <c r="AB663" s="360">
        <v>0.30869637878158818</v>
      </c>
      <c r="AC663" s="360">
        <v>1.1517981999299254</v>
      </c>
      <c r="AD663" s="360">
        <v>1.0099516014510268</v>
      </c>
      <c r="AE663" s="360">
        <v>0.30909519487420833</v>
      </c>
      <c r="AF663" s="360">
        <v>1.1495276821407563</v>
      </c>
      <c r="AG663" s="360">
        <v>99.051319652855796</v>
      </c>
      <c r="AH663" s="360">
        <v>397.78552068151288</v>
      </c>
      <c r="AI663" s="360">
        <v>0.30340471241837302</v>
      </c>
      <c r="AJ663" s="360">
        <v>1.1696754326662766</v>
      </c>
      <c r="AK663" s="360">
        <v>1.1017158868104129</v>
      </c>
      <c r="AL663" s="360">
        <v>0.30653935968399015</v>
      </c>
      <c r="AM663" s="360">
        <v>1.1495313657013841</v>
      </c>
      <c r="AN663" s="360">
        <v>361.20131547265436</v>
      </c>
      <c r="AO663" s="360">
        <f t="shared" si="27"/>
        <v>1</v>
      </c>
      <c r="AP663" s="360">
        <f t="shared" si="28"/>
        <v>1</v>
      </c>
      <c r="AQ663" s="360">
        <f t="shared" si="29"/>
        <v>1</v>
      </c>
    </row>
    <row r="664" spans="1:43">
      <c r="A664" s="360" t="s">
        <v>1081</v>
      </c>
      <c r="B664" t="s">
        <v>1076</v>
      </c>
      <c r="C664">
        <v>1</v>
      </c>
      <c r="D664" t="s">
        <v>1078</v>
      </c>
      <c r="E664" t="s">
        <v>1079</v>
      </c>
      <c r="F664" s="360">
        <v>10</v>
      </c>
      <c r="G664" s="360" t="str">
        <f>CONCATENATE(A664," ",B664," ",C664," ","inf+"," ",FanUpsizes!D664," ",FanUpsizes!F664)</f>
        <v>7ACH 5C 1 inf+ New 10</v>
      </c>
      <c r="H664" s="360">
        <v>1.4421666666666666E-2</v>
      </c>
      <c r="I664" s="360">
        <v>0.34043223231836239</v>
      </c>
      <c r="J664" s="360">
        <v>1.0480784650881858</v>
      </c>
      <c r="K664" s="360">
        <v>1338.8294991416226</v>
      </c>
      <c r="L664" s="360">
        <v>0.32135496249537215</v>
      </c>
      <c r="M664" s="360">
        <v>1.0907480144075863</v>
      </c>
      <c r="N664" s="360">
        <v>1.2666383383857438</v>
      </c>
      <c r="O664" s="360">
        <v>0.33061054795950778</v>
      </c>
      <c r="P664" s="360">
        <v>1.0480787553626276</v>
      </c>
      <c r="Q664" s="360">
        <v>1221.0127140249369</v>
      </c>
      <c r="R664" s="360">
        <v>1470.8178017112079</v>
      </c>
      <c r="S664" s="360">
        <v>0.31788581565813362</v>
      </c>
      <c r="T664" s="360">
        <v>1.1024933183555388</v>
      </c>
      <c r="U664" s="360">
        <v>1.3644036191963922</v>
      </c>
      <c r="V664" s="360">
        <v>0.32928803384845823</v>
      </c>
      <c r="W664" s="360">
        <v>1.0480793093438794</v>
      </c>
      <c r="X664" s="360">
        <v>1357.8994761600677</v>
      </c>
      <c r="Y664" s="360">
        <v>0.30983824427243573</v>
      </c>
      <c r="Z664" s="360">
        <v>1.1495275734221413</v>
      </c>
      <c r="AA664" s="360">
        <v>402.17920625567882</v>
      </c>
      <c r="AB664" s="360">
        <v>0.30420747310972351</v>
      </c>
      <c r="AC664" s="360">
        <v>1.1644877268943699</v>
      </c>
      <c r="AD664" s="360">
        <v>1.0728962593192757</v>
      </c>
      <c r="AE664" s="360">
        <v>0.30653794745966068</v>
      </c>
      <c r="AF664" s="360">
        <v>1.1495302121314341</v>
      </c>
      <c r="AG664" s="360">
        <v>377.10947835978857</v>
      </c>
      <c r="AH664" s="360">
        <v>476.51628983492435</v>
      </c>
      <c r="AI664" s="360">
        <v>0.30225992079784619</v>
      </c>
      <c r="AJ664" s="360">
        <v>1.1730610164377751</v>
      </c>
      <c r="AK664" s="360">
        <v>1.1231003781967963</v>
      </c>
      <c r="AL664" s="360">
        <v>0.30578363987818008</v>
      </c>
      <c r="AM664" s="360">
        <v>1.1495329094001152</v>
      </c>
      <c r="AN664" s="360">
        <v>451.24934087034541</v>
      </c>
      <c r="AO664" s="360">
        <f t="shared" si="27"/>
        <v>1</v>
      </c>
      <c r="AP664" s="360">
        <f t="shared" si="28"/>
        <v>1</v>
      </c>
      <c r="AQ664" s="360">
        <f t="shared" si="29"/>
        <v>1</v>
      </c>
    </row>
    <row r="665" spans="1:43">
      <c r="A665" s="360" t="s">
        <v>1081</v>
      </c>
      <c r="B665" t="s">
        <v>1075</v>
      </c>
      <c r="C665">
        <v>2</v>
      </c>
      <c r="D665" t="s">
        <v>1078</v>
      </c>
      <c r="E665" t="s">
        <v>1079</v>
      </c>
      <c r="F665" s="360">
        <v>10</v>
      </c>
      <c r="G665" s="360" t="str">
        <f>CONCATENATE(A665," ",B665," ",C665," ","inf+"," ",FanUpsizes!D665," ",FanUpsizes!F665)</f>
        <v>7ACH Percentile 2 inf+ New 10</v>
      </c>
      <c r="H665" s="360">
        <v>1.4421666666666666E-2</v>
      </c>
      <c r="I665" s="360">
        <v>0.43931571158102134</v>
      </c>
      <c r="J665" s="360">
        <v>0.82593721616762439</v>
      </c>
      <c r="K665" s="360">
        <v>992.74445769289377</v>
      </c>
      <c r="L665" s="360">
        <v>0.42647804561414965</v>
      </c>
      <c r="M665" s="360">
        <v>0.84235177984416842</v>
      </c>
      <c r="N665" s="360">
        <v>1.1479369951643235</v>
      </c>
      <c r="O665" s="360">
        <v>0.43249022871574894</v>
      </c>
      <c r="P665" s="360">
        <v>0.82593875359573665</v>
      </c>
      <c r="Q665" s="360">
        <v>876.17825315162565</v>
      </c>
      <c r="R665" s="360">
        <v>1361.54992429404</v>
      </c>
      <c r="S665" s="360">
        <v>0.41461550761116039</v>
      </c>
      <c r="T665" s="360">
        <v>0.8709226935905654</v>
      </c>
      <c r="U665" s="360">
        <v>1.5224228746574686</v>
      </c>
      <c r="V665" s="360">
        <v>0.42972409907759934</v>
      </c>
      <c r="W665" s="360">
        <v>0.82593727255120053</v>
      </c>
      <c r="X665" s="360">
        <v>1142.5818836191372</v>
      </c>
      <c r="Y665" s="360">
        <v>0.40360704817961179</v>
      </c>
      <c r="Z665" s="360">
        <v>0.90367334905154162</v>
      </c>
      <c r="AA665" s="360">
        <v>226.89846244645392</v>
      </c>
      <c r="AB665" s="360">
        <v>0.40076541635687263</v>
      </c>
      <c r="AC665" s="360">
        <v>0.90791370854803677</v>
      </c>
      <c r="AD665" s="360">
        <v>1.0368755390356781</v>
      </c>
      <c r="AE665" s="360">
        <v>0.40180419520334598</v>
      </c>
      <c r="AF665" s="360">
        <v>0.9036733676477503</v>
      </c>
      <c r="AG665" s="360">
        <v>210.74968372922734</v>
      </c>
      <c r="AH665" s="360">
        <v>380.92795659406852</v>
      </c>
      <c r="AI665" s="360">
        <v>0.39514807502275257</v>
      </c>
      <c r="AJ665" s="360">
        <v>0.92760573659731838</v>
      </c>
      <c r="AK665" s="360">
        <v>1.2814220250843573</v>
      </c>
      <c r="AL665" s="360">
        <v>0.40045781739866698</v>
      </c>
      <c r="AM665" s="360">
        <v>0.90367336668369524</v>
      </c>
      <c r="AN665" s="360">
        <v>336.1545949446442</v>
      </c>
      <c r="AO665" s="360">
        <f t="shared" si="27"/>
        <v>1</v>
      </c>
      <c r="AP665" s="360">
        <f t="shared" si="28"/>
        <v>1</v>
      </c>
      <c r="AQ665" s="360">
        <f t="shared" si="29"/>
        <v>1</v>
      </c>
    </row>
    <row r="666" spans="1:43">
      <c r="A666" s="360" t="s">
        <v>1081</v>
      </c>
      <c r="B666" t="s">
        <v>1074</v>
      </c>
      <c r="C666">
        <v>2</v>
      </c>
      <c r="D666" t="s">
        <v>1078</v>
      </c>
      <c r="E666" t="s">
        <v>1079</v>
      </c>
      <c r="F666" s="360">
        <v>10</v>
      </c>
      <c r="G666" s="360" t="str">
        <f>CONCATENATE(A666," ",B666," ",C666," ","inf+"," ",FanUpsizes!D666," ",FanUpsizes!F666)</f>
        <v>7ACH Infiltration 2 inf+ New 10</v>
      </c>
      <c r="H666" s="360">
        <v>1.4421666666666666E-2</v>
      </c>
      <c r="I666" s="360">
        <v>0.43931571158102134</v>
      </c>
      <c r="J666" s="360">
        <v>0.82593721616762439</v>
      </c>
      <c r="K666" s="360">
        <v>1052.4373848490013</v>
      </c>
      <c r="L666" s="360">
        <v>0.42549380430481082</v>
      </c>
      <c r="M666" s="360">
        <v>0.84374035281998827</v>
      </c>
      <c r="N666" s="360">
        <v>1.1626137556816771</v>
      </c>
      <c r="O666" s="360">
        <v>0.43194292665252743</v>
      </c>
      <c r="P666" s="360">
        <v>0.8259372506791185</v>
      </c>
      <c r="Q666" s="360">
        <v>934.01359241690523</v>
      </c>
      <c r="R666" s="360">
        <v>1375.8020246346423</v>
      </c>
      <c r="S666" s="360">
        <v>0.41704573306631859</v>
      </c>
      <c r="T666" s="360">
        <v>0.86114078384298243</v>
      </c>
      <c r="U666" s="360">
        <v>1.3758255607690553</v>
      </c>
      <c r="V666" s="360">
        <v>0.42880669969532526</v>
      </c>
      <c r="W666" s="360">
        <v>0.8259377437115567</v>
      </c>
      <c r="X666" s="360">
        <v>1223.6350062902777</v>
      </c>
      <c r="Y666" s="360">
        <v>0.40360704817961179</v>
      </c>
      <c r="Z666" s="360">
        <v>0.90367334905154162</v>
      </c>
      <c r="AA666" s="360">
        <v>241.43059458363859</v>
      </c>
      <c r="AB666" s="360">
        <v>0.40053843604235823</v>
      </c>
      <c r="AC666" s="360">
        <v>0.908298975717169</v>
      </c>
      <c r="AD666" s="360">
        <v>1.0404639487901435</v>
      </c>
      <c r="AE666" s="360">
        <v>0.40166147296853788</v>
      </c>
      <c r="AF666" s="360">
        <v>0.90367346531128745</v>
      </c>
      <c r="AG666" s="360">
        <v>224.82311458036037</v>
      </c>
      <c r="AH666" s="360">
        <v>375.29892492848899</v>
      </c>
      <c r="AI666" s="360">
        <v>0.39689240065740783</v>
      </c>
      <c r="AJ666" s="360">
        <v>0.91864238848811719</v>
      </c>
      <c r="AK666" s="360">
        <v>1.153484154156335</v>
      </c>
      <c r="AL666" s="360">
        <v>0.40018484358482398</v>
      </c>
      <c r="AM666" s="360">
        <v>0.9036735435076525</v>
      </c>
      <c r="AN666" s="360">
        <v>350.67345357482998</v>
      </c>
      <c r="AO666" s="360">
        <f t="shared" si="27"/>
        <v>1</v>
      </c>
      <c r="AP666" s="360">
        <f t="shared" si="28"/>
        <v>1</v>
      </c>
      <c r="AQ666" s="360">
        <f t="shared" si="29"/>
        <v>1</v>
      </c>
    </row>
    <row r="667" spans="1:43">
      <c r="A667" s="360" t="s">
        <v>1081</v>
      </c>
      <c r="B667" t="s">
        <v>1076</v>
      </c>
      <c r="C667">
        <v>2</v>
      </c>
      <c r="D667" t="s">
        <v>1078</v>
      </c>
      <c r="E667" t="s">
        <v>1079</v>
      </c>
      <c r="F667" s="360">
        <v>10</v>
      </c>
      <c r="G667" s="360" t="str">
        <f>CONCATENATE(A667," ",B667," ",C667," ","inf+"," ",FanUpsizes!D667," ",FanUpsizes!F667)</f>
        <v>7ACH 5C 2 inf+ New 10</v>
      </c>
      <c r="H667" s="360">
        <v>1.4421666666666666E-2</v>
      </c>
      <c r="I667" s="360">
        <v>0.43931571158102134</v>
      </c>
      <c r="J667" s="360">
        <v>0.82593721616762439</v>
      </c>
      <c r="K667" s="360">
        <v>1338.8294991415585</v>
      </c>
      <c r="L667" s="360">
        <v>0.42023844175803055</v>
      </c>
      <c r="M667" s="360">
        <v>0.85155715528228926</v>
      </c>
      <c r="N667" s="360">
        <v>1.2530071298428729</v>
      </c>
      <c r="O667" s="360">
        <v>0.42895017377071321</v>
      </c>
      <c r="P667" s="360">
        <v>0.82593724025512316</v>
      </c>
      <c r="Q667" s="360">
        <v>1227.035798242651</v>
      </c>
      <c r="R667" s="360">
        <v>1518.9980817809126</v>
      </c>
      <c r="S667" s="360">
        <v>0.41441805179292796</v>
      </c>
      <c r="T667" s="360">
        <v>0.865286470514401</v>
      </c>
      <c r="U667" s="360">
        <v>1.4421164121853869</v>
      </c>
      <c r="V667" s="360">
        <v>0.42709971844275801</v>
      </c>
      <c r="W667" s="360">
        <v>0.82593744049364659</v>
      </c>
      <c r="X667" s="360">
        <v>1403.3000627759275</v>
      </c>
      <c r="Y667" s="360">
        <v>0.40360704817961179</v>
      </c>
      <c r="Z667" s="360">
        <v>0.90367334905154162</v>
      </c>
      <c r="AA667" s="360">
        <v>312.94885225798407</v>
      </c>
      <c r="AB667" s="360">
        <v>0.39929287010490006</v>
      </c>
      <c r="AC667" s="360">
        <v>0.91053912711205565</v>
      </c>
      <c r="AD667" s="360">
        <v>1.0621846445325422</v>
      </c>
      <c r="AE667" s="360">
        <v>0.40087653521076616</v>
      </c>
      <c r="AF667" s="360">
        <v>0.90367702709573228</v>
      </c>
      <c r="AG667" s="360">
        <v>295.86211466590481</v>
      </c>
      <c r="AH667" s="360">
        <v>394.74721320385805</v>
      </c>
      <c r="AI667" s="360">
        <v>0.39657702672120948</v>
      </c>
      <c r="AJ667" s="360">
        <v>0.91922706513878683</v>
      </c>
      <c r="AK667" s="360">
        <v>1.1613677986569124</v>
      </c>
      <c r="AL667" s="360">
        <v>0.39993874001541746</v>
      </c>
      <c r="AM667" s="360">
        <v>0.90367629921208736</v>
      </c>
      <c r="AN667" s="360">
        <v>375.0257526575362</v>
      </c>
      <c r="AO667" s="360">
        <f t="shared" si="27"/>
        <v>1</v>
      </c>
      <c r="AP667" s="360">
        <f t="shared" si="28"/>
        <v>1</v>
      </c>
      <c r="AQ667" s="360">
        <f t="shared" si="29"/>
        <v>1</v>
      </c>
    </row>
    <row r="668" spans="1:43">
      <c r="A668" s="360" t="s">
        <v>1081</v>
      </c>
      <c r="B668" t="s">
        <v>1075</v>
      </c>
      <c r="C668">
        <v>1</v>
      </c>
      <c r="D668" t="s">
        <v>1080</v>
      </c>
      <c r="E668" t="s">
        <v>1079</v>
      </c>
      <c r="F668" s="360">
        <v>10</v>
      </c>
      <c r="G668" s="360" t="str">
        <f>CONCATENATE(A668," ",B668," ",C668," ","inf+"," ",FanUpsizes!D668," ",FanUpsizes!F668)</f>
        <v>7ACH Percentile 1 inf+ Existing 10</v>
      </c>
      <c r="H668" s="360">
        <v>3.0623114435544982E-2</v>
      </c>
      <c r="I668" s="360">
        <v>0.40176720582439834</v>
      </c>
      <c r="J668" s="360">
        <v>1.1781814403221924</v>
      </c>
      <c r="K668" s="360">
        <v>2108.0037304877583</v>
      </c>
      <c r="L668" s="360">
        <v>0.37450757466834761</v>
      </c>
      <c r="M668" s="360">
        <v>1.2463433736263203</v>
      </c>
      <c r="N668" s="360">
        <v>1.1910610759660232</v>
      </c>
      <c r="O668" s="360">
        <v>0.39260111634754613</v>
      </c>
      <c r="P668" s="360">
        <v>1.1781815814162531</v>
      </c>
      <c r="Q668" s="360">
        <v>1787.5265478413035</v>
      </c>
      <c r="R668" s="360">
        <v>2891.1394852888943</v>
      </c>
      <c r="S668" s="360">
        <v>0.34915496663494966</v>
      </c>
      <c r="T668" s="360">
        <v>1.3459902890758966</v>
      </c>
      <c r="U668" s="360">
        <v>1.5971509958365606</v>
      </c>
      <c r="V668" s="360">
        <v>0.39150574035450114</v>
      </c>
      <c r="W668" s="360">
        <v>1.1781815484314746</v>
      </c>
      <c r="X668" s="360">
        <v>2358.5364159470801</v>
      </c>
      <c r="Y668" s="360">
        <v>0.37361414899107948</v>
      </c>
      <c r="Z668" s="360">
        <v>1.2376888107652253</v>
      </c>
      <c r="AA668" s="360">
        <v>1198.9166600533713</v>
      </c>
      <c r="AB668" s="360">
        <v>0.35806737497289276</v>
      </c>
      <c r="AC668" s="360">
        <v>1.282962424914537</v>
      </c>
      <c r="AD668" s="360">
        <v>1.0920795663544929</v>
      </c>
      <c r="AE668" s="360">
        <v>0.36904933004416757</v>
      </c>
      <c r="AF668" s="360">
        <v>1.2376924880405757</v>
      </c>
      <c r="AG668" s="360">
        <v>1013.5940434353524</v>
      </c>
      <c r="AH668" s="360">
        <v>1954.9211814498817</v>
      </c>
      <c r="AI668" s="360">
        <v>0.33088331763600914</v>
      </c>
      <c r="AJ668" s="360">
        <v>1.415477974445865</v>
      </c>
      <c r="AK668" s="360">
        <v>1.5084911746679743</v>
      </c>
      <c r="AL668" s="360">
        <v>0.37171080912555104</v>
      </c>
      <c r="AM668" s="360">
        <v>1.2376889461928484</v>
      </c>
      <c r="AN668" s="360">
        <v>1547.4901146885084</v>
      </c>
      <c r="AO668" s="360">
        <f t="shared" si="27"/>
        <v>1</v>
      </c>
      <c r="AP668" s="360">
        <f t="shared" si="28"/>
        <v>1</v>
      </c>
      <c r="AQ668" s="360">
        <f t="shared" si="29"/>
        <v>1</v>
      </c>
    </row>
    <row r="669" spans="1:43">
      <c r="A669" s="360" t="s">
        <v>1081</v>
      </c>
      <c r="B669" t="s">
        <v>1074</v>
      </c>
      <c r="C669">
        <v>1</v>
      </c>
      <c r="D669" t="s">
        <v>1080</v>
      </c>
      <c r="E669" t="s">
        <v>1079</v>
      </c>
      <c r="F669" s="360">
        <v>10</v>
      </c>
      <c r="G669" s="360" t="str">
        <f>CONCATENATE(A669," ",B669," ",C669," ","inf+"," ",FanUpsizes!D669," ",FanUpsizes!F669)</f>
        <v>7ACH Infiltration 1 inf+ Existing 10</v>
      </c>
      <c r="H669" s="360">
        <v>3.0623114435544982E-2</v>
      </c>
      <c r="I669" s="360">
        <v>0.40176720582439834</v>
      </c>
      <c r="J669" s="360">
        <v>1.1781814403221924</v>
      </c>
      <c r="K669" s="360">
        <v>0</v>
      </c>
      <c r="L669" s="360">
        <v>0.40176720582439834</v>
      </c>
      <c r="M669" s="360">
        <v>1.1781814403221924</v>
      </c>
      <c r="N669" s="360">
        <v>1</v>
      </c>
      <c r="O669" s="360">
        <v>0.40176720582439834</v>
      </c>
      <c r="P669" s="360">
        <v>1.1781814403221924</v>
      </c>
      <c r="Q669" s="360">
        <v>0</v>
      </c>
      <c r="R669" s="360">
        <v>1421.4421227978255</v>
      </c>
      <c r="S669" s="360">
        <v>0.38151277093798186</v>
      </c>
      <c r="T669" s="360">
        <v>1.2245800223391132</v>
      </c>
      <c r="U669" s="360">
        <v>1.1207556754797083</v>
      </c>
      <c r="V669" s="360">
        <v>0.39367516895335769</v>
      </c>
      <c r="W669" s="360">
        <v>1.1781863534920787</v>
      </c>
      <c r="X669" s="360">
        <v>1136.2000011777727</v>
      </c>
      <c r="Y669" s="360">
        <v>0.37361414899107948</v>
      </c>
      <c r="Z669" s="360">
        <v>1.2376888107652253</v>
      </c>
      <c r="AA669" s="360">
        <v>0</v>
      </c>
      <c r="AB669" s="360">
        <v>0.37361414899107948</v>
      </c>
      <c r="AC669" s="360">
        <v>1.2376888107652253</v>
      </c>
      <c r="AD669" s="360">
        <v>1</v>
      </c>
      <c r="AE669" s="360">
        <v>0.37361414899107948</v>
      </c>
      <c r="AF669" s="360">
        <v>1.2376888107652253</v>
      </c>
      <c r="AG669" s="360">
        <v>0</v>
      </c>
      <c r="AH669" s="360">
        <v>1196.0701234563157</v>
      </c>
      <c r="AI669" s="360">
        <v>0.35637047712842507</v>
      </c>
      <c r="AJ669" s="360">
        <v>1.2881630775778818</v>
      </c>
      <c r="AK669" s="360">
        <v>1.1026502235803957</v>
      </c>
      <c r="AL669" s="360">
        <v>0.36841853001129371</v>
      </c>
      <c r="AM669" s="360">
        <v>1.2376907893376372</v>
      </c>
      <c r="AN669" s="360">
        <v>981.87343368285701</v>
      </c>
      <c r="AO669" s="360">
        <f t="shared" si="27"/>
        <v>1</v>
      </c>
      <c r="AP669" s="360">
        <f t="shared" si="28"/>
        <v>0</v>
      </c>
      <c r="AQ669" s="360">
        <f t="shared" si="29"/>
        <v>0</v>
      </c>
    </row>
    <row r="670" spans="1:43">
      <c r="A670" s="360" t="s">
        <v>1081</v>
      </c>
      <c r="B670" t="s">
        <v>1076</v>
      </c>
      <c r="C670">
        <v>1</v>
      </c>
      <c r="D670" t="s">
        <v>1080</v>
      </c>
      <c r="E670" t="s">
        <v>1079</v>
      </c>
      <c r="F670" s="360">
        <v>10</v>
      </c>
      <c r="G670" s="360" t="str">
        <f>CONCATENATE(A670," ",B670," ",C670," ","inf+"," ",FanUpsizes!D670," ",FanUpsizes!F670)</f>
        <v>7ACH 5C 1 inf+ Existing 10</v>
      </c>
      <c r="H670" s="360">
        <v>3.0623114435544982E-2</v>
      </c>
      <c r="I670" s="360">
        <v>0.40176720582439834</v>
      </c>
      <c r="J670" s="360">
        <v>1.1781814403221924</v>
      </c>
      <c r="K670" s="360">
        <v>2842.8842455955955</v>
      </c>
      <c r="L670" s="360">
        <v>0.36125833605156576</v>
      </c>
      <c r="M670" s="360">
        <v>1.2852451745017088</v>
      </c>
      <c r="N670" s="360">
        <v>1.3355873580671054</v>
      </c>
      <c r="O670" s="360">
        <v>0.389258228204648</v>
      </c>
      <c r="P670" s="360">
        <v>1.1781817086611615</v>
      </c>
      <c r="Q670" s="360">
        <v>2525.3995472597362</v>
      </c>
      <c r="R670" s="360">
        <v>2842.8842455955955</v>
      </c>
      <c r="S670" s="360">
        <v>0.36125833605156576</v>
      </c>
      <c r="T670" s="360">
        <v>1.2852451745017088</v>
      </c>
      <c r="U670" s="360">
        <v>1.3355873580671054</v>
      </c>
      <c r="V670" s="360">
        <v>0.389258228204648</v>
      </c>
      <c r="W670" s="360">
        <v>1.1781817086611615</v>
      </c>
      <c r="X670" s="360">
        <v>2525.3995472597362</v>
      </c>
      <c r="Y670" s="360">
        <v>0.37361414899107948</v>
      </c>
      <c r="Z670" s="360">
        <v>1.2376888107652253</v>
      </c>
      <c r="AA670" s="360">
        <v>1646.860414650024</v>
      </c>
      <c r="AB670" s="360">
        <v>0.35004263529212842</v>
      </c>
      <c r="AC670" s="360">
        <v>1.3105343833016907</v>
      </c>
      <c r="AD670" s="360">
        <v>1.1655947094373167</v>
      </c>
      <c r="AE670" s="360">
        <v>0.36755261511912946</v>
      </c>
      <c r="AF670" s="360">
        <v>1.2376903011268352</v>
      </c>
      <c r="AG670" s="360">
        <v>1446.957313997638</v>
      </c>
      <c r="AH670" s="360">
        <v>1646.860414650024</v>
      </c>
      <c r="AI670" s="360">
        <v>0.35004263529212842</v>
      </c>
      <c r="AJ670" s="360">
        <v>1.3105343833016907</v>
      </c>
      <c r="AK670" s="360">
        <v>1.1655947094373167</v>
      </c>
      <c r="AL670" s="360">
        <v>0.36755261511912946</v>
      </c>
      <c r="AM670" s="360">
        <v>1.2376903011268352</v>
      </c>
      <c r="AN670" s="360">
        <v>1446.957313997638</v>
      </c>
      <c r="AO670" s="360">
        <f t="shared" si="27"/>
        <v>1</v>
      </c>
      <c r="AP670" s="360">
        <f t="shared" si="28"/>
        <v>1</v>
      </c>
      <c r="AQ670" s="360">
        <f t="shared" si="29"/>
        <v>1</v>
      </c>
    </row>
    <row r="671" spans="1:43">
      <c r="A671" s="360" t="s">
        <v>1081</v>
      </c>
      <c r="B671" t="s">
        <v>1075</v>
      </c>
      <c r="C671">
        <v>2</v>
      </c>
      <c r="D671" t="s">
        <v>1080</v>
      </c>
      <c r="E671" t="s">
        <v>1079</v>
      </c>
      <c r="F671" s="360">
        <v>10</v>
      </c>
      <c r="G671" s="360" t="str">
        <f>CONCATENATE(A671," ",B671," ",C671," ","inf+"," ",FanUpsizes!D671," ",FanUpsizes!F671)</f>
        <v>7ACH Percentile 2 inf+ Existing 10</v>
      </c>
      <c r="H671" s="360">
        <v>2.1391928440556408E-2</v>
      </c>
      <c r="I671" s="360">
        <v>0.46522282371962587</v>
      </c>
      <c r="J671" s="360">
        <v>1.056688072883728</v>
      </c>
      <c r="K671" s="360">
        <v>1472.5564589432033</v>
      </c>
      <c r="L671" s="360">
        <v>0.44618047320255005</v>
      </c>
      <c r="M671" s="360">
        <v>1.0884252803934962</v>
      </c>
      <c r="N671" s="360">
        <v>1.1641620974648559</v>
      </c>
      <c r="O671" s="360">
        <v>0.45616925742916992</v>
      </c>
      <c r="P671" s="360">
        <v>1.0566898141765428</v>
      </c>
      <c r="Q671" s="360">
        <v>1280.6881540219613</v>
      </c>
      <c r="R671" s="360">
        <v>2019.6125192703332</v>
      </c>
      <c r="S671" s="360">
        <v>0.42858454826899717</v>
      </c>
      <c r="T671" s="360">
        <v>1.140409497906701</v>
      </c>
      <c r="U671" s="360">
        <v>1.5561561176641741</v>
      </c>
      <c r="V671" s="360">
        <v>0.4528471531266669</v>
      </c>
      <c r="W671" s="360">
        <v>1.0566881236045735</v>
      </c>
      <c r="X671" s="360">
        <v>1673.8405763056669</v>
      </c>
      <c r="Y671" s="360">
        <v>0.42275172946738571</v>
      </c>
      <c r="Z671" s="360">
        <v>1.1570355147465778</v>
      </c>
      <c r="AA671" s="360">
        <v>482.55458708431377</v>
      </c>
      <c r="AB671" s="360">
        <v>0.4165974239715588</v>
      </c>
      <c r="AC671" s="360">
        <v>1.1691936571341555</v>
      </c>
      <c r="AD671" s="360">
        <v>1.0488533123755783</v>
      </c>
      <c r="AE671" s="360">
        <v>0.41935124922235179</v>
      </c>
      <c r="AF671" s="360">
        <v>1.1570397168237032</v>
      </c>
      <c r="AG671" s="360">
        <v>438.87130082430815</v>
      </c>
      <c r="AH671" s="360">
        <v>802.64836693654524</v>
      </c>
      <c r="AI671" s="360">
        <v>0.4048510875260507</v>
      </c>
      <c r="AJ671" s="360">
        <v>1.2185205302809332</v>
      </c>
      <c r="AK671" s="360">
        <v>1.3427391752103996</v>
      </c>
      <c r="AL671" s="360">
        <v>0.41777286534520741</v>
      </c>
      <c r="AM671" s="360">
        <v>1.157035519665907</v>
      </c>
      <c r="AN671" s="360">
        <v>690.17048813080487</v>
      </c>
      <c r="AO671" s="360">
        <f t="shared" si="27"/>
        <v>1</v>
      </c>
      <c r="AP671" s="360">
        <f t="shared" si="28"/>
        <v>1</v>
      </c>
      <c r="AQ671" s="360">
        <f t="shared" si="29"/>
        <v>1</v>
      </c>
    </row>
    <row r="672" spans="1:43">
      <c r="A672" s="360" t="s">
        <v>1081</v>
      </c>
      <c r="B672" t="s">
        <v>1074</v>
      </c>
      <c r="C672">
        <v>2</v>
      </c>
      <c r="D672" t="s">
        <v>1080</v>
      </c>
      <c r="E672" t="s">
        <v>1079</v>
      </c>
      <c r="F672" s="360">
        <v>10</v>
      </c>
      <c r="G672" s="360" t="str">
        <f>CONCATENATE(A672," ",B672," ",C672," ","inf+"," ",FanUpsizes!D672," ",FanUpsizes!F672)</f>
        <v>7ACH Infiltration 2 inf+ Existing 10</v>
      </c>
      <c r="H672" s="360">
        <v>2.1391928440556408E-2</v>
      </c>
      <c r="I672" s="360">
        <v>0.46522282371962587</v>
      </c>
      <c r="J672" s="360">
        <v>1.056688072883728</v>
      </c>
      <c r="K672" s="360">
        <v>364.24908601483207</v>
      </c>
      <c r="L672" s="360">
        <v>0.4615098807887047</v>
      </c>
      <c r="M672" s="360">
        <v>1.0614316434901272</v>
      </c>
      <c r="N672" s="360">
        <v>1.0213099797434293</v>
      </c>
      <c r="O672" s="360">
        <v>0.46313266511288886</v>
      </c>
      <c r="P672" s="360">
        <v>1.0566896327568265</v>
      </c>
      <c r="Q672" s="360">
        <v>315.72453929676857</v>
      </c>
      <c r="R672" s="360">
        <v>1353.2223492151397</v>
      </c>
      <c r="S672" s="360">
        <v>0.44470701162680526</v>
      </c>
      <c r="T672" s="360">
        <v>1.0933222333260444</v>
      </c>
      <c r="U672" s="360">
        <v>1.1909242407784277</v>
      </c>
      <c r="V672" s="360">
        <v>0.4560456720942429</v>
      </c>
      <c r="W672" s="360">
        <v>1.0566881138389494</v>
      </c>
      <c r="X672" s="360">
        <v>1107.2913867879931</v>
      </c>
      <c r="Y672" s="360">
        <v>0.42275172946738571</v>
      </c>
      <c r="Z672" s="360">
        <v>1.1570355147465778</v>
      </c>
      <c r="AA672" s="360">
        <v>105.61592027717275</v>
      </c>
      <c r="AB672" s="360">
        <v>0.42169976919036972</v>
      </c>
      <c r="AC672" s="360">
        <v>1.1585727047090666</v>
      </c>
      <c r="AD672" s="360">
        <v>1.0057322436106952</v>
      </c>
      <c r="AE672" s="360">
        <v>0.42207506926459049</v>
      </c>
      <c r="AF672" s="360">
        <v>1.1570356531152179</v>
      </c>
      <c r="AG672" s="360">
        <v>96.454042008711696</v>
      </c>
      <c r="AH672" s="360">
        <v>624.45751595721924</v>
      </c>
      <c r="AI672" s="360">
        <v>0.41277502361473983</v>
      </c>
      <c r="AJ672" s="360">
        <v>1.1809617480311327</v>
      </c>
      <c r="AK672" s="360">
        <v>1.1039143162624925</v>
      </c>
      <c r="AL672" s="360">
        <v>0.41797113376281669</v>
      </c>
      <c r="AM672" s="360">
        <v>1.1570407755433871</v>
      </c>
      <c r="AN672" s="360">
        <v>557.67535393116941</v>
      </c>
      <c r="AO672" s="360">
        <f t="shared" si="27"/>
        <v>1</v>
      </c>
      <c r="AP672" s="360">
        <f t="shared" si="28"/>
        <v>1</v>
      </c>
      <c r="AQ672" s="360">
        <f t="shared" si="29"/>
        <v>1</v>
      </c>
    </row>
    <row r="673" spans="1:43">
      <c r="A673" s="360" t="s">
        <v>1081</v>
      </c>
      <c r="B673" t="s">
        <v>1076</v>
      </c>
      <c r="C673">
        <v>2</v>
      </c>
      <c r="D673" t="s">
        <v>1080</v>
      </c>
      <c r="E673" t="s">
        <v>1079</v>
      </c>
      <c r="F673" s="360">
        <v>10</v>
      </c>
      <c r="G673" s="360" t="str">
        <f>CONCATENATE(A673," ",B673," ",C673," ","inf+"," ",FanUpsizes!D673," ",FanUpsizes!F673)</f>
        <v>7ACH 5C 2 inf+ Existing 10</v>
      </c>
      <c r="H673" s="360">
        <v>2.1391928440556408E-2</v>
      </c>
      <c r="I673" s="360">
        <v>0.46522282371962587</v>
      </c>
      <c r="J673" s="360">
        <v>1.056688072883728</v>
      </c>
      <c r="K673" s="360">
        <v>1985.9108868422377</v>
      </c>
      <c r="L673" s="360">
        <v>0.43692515186746211</v>
      </c>
      <c r="M673" s="360">
        <v>1.1062110192442813</v>
      </c>
      <c r="N673" s="360">
        <v>1.2841291950325779</v>
      </c>
      <c r="O673" s="360">
        <v>0.45161266366382224</v>
      </c>
      <c r="P673" s="360">
        <v>1.056688245568367</v>
      </c>
      <c r="Q673" s="360">
        <v>1799.6872009196788</v>
      </c>
      <c r="R673" s="360">
        <v>2164.0532496288547</v>
      </c>
      <c r="S673" s="360">
        <v>0.43241464716618538</v>
      </c>
      <c r="T673" s="360">
        <v>1.1176494867672542</v>
      </c>
      <c r="U673" s="360">
        <v>1.371436855425491</v>
      </c>
      <c r="V673" s="360">
        <v>0.44998074690183898</v>
      </c>
      <c r="W673" s="360">
        <v>1.0566885032292108</v>
      </c>
      <c r="X673" s="360">
        <v>1986.7750992827198</v>
      </c>
      <c r="Y673" s="360">
        <v>0.42275172946738571</v>
      </c>
      <c r="Z673" s="360">
        <v>1.1570355147465778</v>
      </c>
      <c r="AA673" s="360">
        <v>663.99468698382418</v>
      </c>
      <c r="AB673" s="360">
        <v>0.41341847097908313</v>
      </c>
      <c r="AC673" s="360">
        <v>1.1766468127994492</v>
      </c>
      <c r="AD673" s="360">
        <v>1.0834495151550227</v>
      </c>
      <c r="AE673" s="360">
        <v>0.41764542604823873</v>
      </c>
      <c r="AF673" s="360">
        <v>1.157035658106002</v>
      </c>
      <c r="AG673" s="360">
        <v>617.94498494636855</v>
      </c>
      <c r="AH673" s="360">
        <v>773.64015497343678</v>
      </c>
      <c r="AI673" s="360">
        <v>0.41065344592654018</v>
      </c>
      <c r="AJ673" s="360">
        <v>1.185860246531097</v>
      </c>
      <c r="AK673" s="360">
        <v>1.1310808920402429</v>
      </c>
      <c r="AL673" s="360">
        <v>0.41667803680333398</v>
      </c>
      <c r="AM673" s="360">
        <v>1.1570361983470463</v>
      </c>
      <c r="AN673" s="360">
        <v>727.9182043127563</v>
      </c>
      <c r="AO673" s="360">
        <f t="shared" si="27"/>
        <v>1</v>
      </c>
      <c r="AP673" s="360">
        <f t="shared" si="28"/>
        <v>1</v>
      </c>
      <c r="AQ673" s="360">
        <f t="shared" si="29"/>
        <v>1</v>
      </c>
    </row>
    <row r="674" spans="1:43">
      <c r="A674" s="360" t="s">
        <v>1082</v>
      </c>
      <c r="B674" t="s">
        <v>1075</v>
      </c>
      <c r="C674">
        <v>1</v>
      </c>
      <c r="D674" t="s">
        <v>1078</v>
      </c>
      <c r="E674" t="s">
        <v>1079</v>
      </c>
      <c r="F674" s="360">
        <v>10</v>
      </c>
      <c r="G674" s="360" t="str">
        <f>CONCATENATE(A674," ",B674," ",C674," ","inf+"," ",FanUpsizes!D674," ",FanUpsizes!F674)</f>
        <v>5ACH Percentile 1 inf+ New 10</v>
      </c>
      <c r="H674" s="360">
        <v>2.2627938882532124E-2</v>
      </c>
      <c r="I674" s="360">
        <v>0.28992507189663552</v>
      </c>
      <c r="J674" s="360">
        <v>1.1802742115304188</v>
      </c>
      <c r="K674" s="360">
        <v>1557.6397259666005</v>
      </c>
      <c r="L674" s="360">
        <v>0.26978246788234522</v>
      </c>
      <c r="M674" s="360">
        <v>1.2504903077065941</v>
      </c>
      <c r="N674" s="360">
        <v>1.1928200332449295</v>
      </c>
      <c r="O674" s="360">
        <v>0.28342606579767038</v>
      </c>
      <c r="P674" s="360">
        <v>1.1802745246352913</v>
      </c>
      <c r="Q674" s="360">
        <v>1318.3937469732373</v>
      </c>
      <c r="R674" s="360">
        <v>2136.3365494554678</v>
      </c>
      <c r="S674" s="360">
        <v>0.25101851355945243</v>
      </c>
      <c r="T674" s="360">
        <v>1.3515749744111574</v>
      </c>
      <c r="U674" s="360">
        <v>1.5975500260524373</v>
      </c>
      <c r="V674" s="360">
        <v>0.28268900411011283</v>
      </c>
      <c r="W674" s="360">
        <v>1.1802788390605108</v>
      </c>
      <c r="X674" s="360">
        <v>1742.2700408544315</v>
      </c>
      <c r="Y674" s="360">
        <v>0.27048101832402888</v>
      </c>
      <c r="Z674" s="360">
        <v>1.2368702218905541</v>
      </c>
      <c r="AA674" s="360">
        <v>910.85469967351946</v>
      </c>
      <c r="AB674" s="360">
        <v>0.25866344698015303</v>
      </c>
      <c r="AC674" s="360">
        <v>1.2846794666431525</v>
      </c>
      <c r="AD674" s="360">
        <v>1.0957493389684962</v>
      </c>
      <c r="AE674" s="360">
        <v>0.267236042180033</v>
      </c>
      <c r="AF674" s="360">
        <v>1.2368709232470552</v>
      </c>
      <c r="AG674" s="360">
        <v>765.60955121239465</v>
      </c>
      <c r="AH674" s="360">
        <v>1482.5957047210923</v>
      </c>
      <c r="AI674" s="360">
        <v>0.23814559637550098</v>
      </c>
      <c r="AJ674" s="360">
        <v>1.4198285415266372</v>
      </c>
      <c r="AK674" s="360">
        <v>1.5138102891748666</v>
      </c>
      <c r="AL674" s="360">
        <v>0.26910283981850713</v>
      </c>
      <c r="AM674" s="360">
        <v>1.2368728075282838</v>
      </c>
      <c r="AN674" s="360">
        <v>1170.8789623746281</v>
      </c>
      <c r="AO674" s="360">
        <f t="shared" si="27"/>
        <v>1</v>
      </c>
      <c r="AP674" s="360">
        <f t="shared" si="28"/>
        <v>1</v>
      </c>
      <c r="AQ674" s="360">
        <f t="shared" si="29"/>
        <v>1</v>
      </c>
    </row>
    <row r="675" spans="1:43">
      <c r="A675" s="360" t="s">
        <v>1082</v>
      </c>
      <c r="B675" t="s">
        <v>1074</v>
      </c>
      <c r="C675">
        <v>1</v>
      </c>
      <c r="D675" t="s">
        <v>1078</v>
      </c>
      <c r="E675" t="s">
        <v>1079</v>
      </c>
      <c r="F675" s="360">
        <v>10</v>
      </c>
      <c r="G675" s="360" t="str">
        <f>CONCATENATE(A675," ",B675," ",C675," ","inf+"," ",FanUpsizes!D675," ",FanUpsizes!F675)</f>
        <v>5ACH Infiltration 1 inf+ New 10</v>
      </c>
      <c r="H675" s="360">
        <v>2.2627938882532124E-2</v>
      </c>
      <c r="I675" s="360">
        <v>0.28992507189663552</v>
      </c>
      <c r="J675" s="360">
        <v>1.1802742115304188</v>
      </c>
      <c r="K675" s="360">
        <v>0</v>
      </c>
      <c r="L675" s="360">
        <v>0.28992507189663552</v>
      </c>
      <c r="M675" s="360">
        <v>1.1802742115304188</v>
      </c>
      <c r="N675" s="360">
        <v>1</v>
      </c>
      <c r="O675" s="360">
        <v>0.28992507189663552</v>
      </c>
      <c r="P675" s="360">
        <v>1.1802742115304188</v>
      </c>
      <c r="Q675" s="360">
        <v>0</v>
      </c>
      <c r="R675" s="360">
        <v>1029.9117526194916</v>
      </c>
      <c r="S675" s="360">
        <v>0.27539723066720967</v>
      </c>
      <c r="T675" s="360">
        <v>1.2262661358262252</v>
      </c>
      <c r="U675" s="360">
        <v>1.1167680443877597</v>
      </c>
      <c r="V675" s="360">
        <v>0.28422346831681233</v>
      </c>
      <c r="W675" s="360">
        <v>1.1802746603461567</v>
      </c>
      <c r="X675" s="360">
        <v>823.59052396072786</v>
      </c>
      <c r="Y675" s="360">
        <v>0.27048101832402888</v>
      </c>
      <c r="Z675" s="360">
        <v>1.2368702218905541</v>
      </c>
      <c r="AA675" s="360">
        <v>0</v>
      </c>
      <c r="AB675" s="360">
        <v>0.27048101832402888</v>
      </c>
      <c r="AC675" s="360">
        <v>1.2368702218905541</v>
      </c>
      <c r="AD675" s="360">
        <v>1</v>
      </c>
      <c r="AE675" s="360">
        <v>0.27048101832402888</v>
      </c>
      <c r="AF675" s="360">
        <v>1.2368702218905541</v>
      </c>
      <c r="AG675" s="360">
        <v>0</v>
      </c>
      <c r="AH675" s="360">
        <v>886.82371472865566</v>
      </c>
      <c r="AI675" s="360">
        <v>0.25783404645923957</v>
      </c>
      <c r="AJ675" s="360">
        <v>1.287731740389547</v>
      </c>
      <c r="AK675" s="360">
        <v>1.1010500749946142</v>
      </c>
      <c r="AL675" s="360">
        <v>0.26681175533284313</v>
      </c>
      <c r="AM675" s="360">
        <v>1.2368703448906877</v>
      </c>
      <c r="AN675" s="360">
        <v>723.98002640811171</v>
      </c>
      <c r="AO675" s="360">
        <f t="shared" si="27"/>
        <v>1</v>
      </c>
      <c r="AP675" s="360">
        <f t="shared" si="28"/>
        <v>0</v>
      </c>
      <c r="AQ675" s="360">
        <f t="shared" si="29"/>
        <v>0</v>
      </c>
    </row>
    <row r="676" spans="1:43">
      <c r="A676" s="360" t="s">
        <v>1082</v>
      </c>
      <c r="B676" t="s">
        <v>1076</v>
      </c>
      <c r="C676">
        <v>1</v>
      </c>
      <c r="D676" t="s">
        <v>1078</v>
      </c>
      <c r="E676" t="s">
        <v>1079</v>
      </c>
      <c r="F676" s="360">
        <v>10</v>
      </c>
      <c r="G676" s="360" t="str">
        <f>CONCATENATE(A676," ",B676," ",C676," ","inf+"," ",FanUpsizes!D676," ",FanUpsizes!F676)</f>
        <v>5ACH 5C 1 inf+ New 10</v>
      </c>
      <c r="H676" s="360">
        <v>2.2627938882532124E-2</v>
      </c>
      <c r="I676" s="360">
        <v>0.28992507189663552</v>
      </c>
      <c r="J676" s="360">
        <v>1.1802742115304188</v>
      </c>
      <c r="K676" s="360">
        <v>2100.6554083468009</v>
      </c>
      <c r="L676" s="360">
        <v>0.25999238064965424</v>
      </c>
      <c r="M676" s="360">
        <v>1.290666311025815</v>
      </c>
      <c r="N676" s="360">
        <v>1.3390861214567435</v>
      </c>
      <c r="O676" s="360">
        <v>0.28120851588060708</v>
      </c>
      <c r="P676" s="360">
        <v>1.1802745437045825</v>
      </c>
      <c r="Q676" s="360">
        <v>1863.0031614886664</v>
      </c>
      <c r="R676" s="360">
        <v>2100.6554083468009</v>
      </c>
      <c r="S676" s="360">
        <v>0.25999238064965424</v>
      </c>
      <c r="T676" s="360">
        <v>1.290666311025815</v>
      </c>
      <c r="U676" s="360">
        <v>1.3390861214567435</v>
      </c>
      <c r="V676" s="360">
        <v>0.28120851588060708</v>
      </c>
      <c r="W676" s="360">
        <v>1.1802745437045825</v>
      </c>
      <c r="X676" s="360">
        <v>1863.0031614886664</v>
      </c>
      <c r="Y676" s="360">
        <v>0.27048101832402888</v>
      </c>
      <c r="Z676" s="360">
        <v>1.2368702218905541</v>
      </c>
      <c r="AA676" s="360">
        <v>1250.791285654313</v>
      </c>
      <c r="AB676" s="360">
        <v>0.25256890704829388</v>
      </c>
      <c r="AC676" s="360">
        <v>1.3137145937673129</v>
      </c>
      <c r="AD676" s="360">
        <v>1.1725815155711505</v>
      </c>
      <c r="AE676" s="360">
        <v>0.2662553434471962</v>
      </c>
      <c r="AF676" s="360">
        <v>1.2368715495836822</v>
      </c>
      <c r="AG676" s="360">
        <v>1094.0434543305123</v>
      </c>
      <c r="AH676" s="360">
        <v>1250.791285654313</v>
      </c>
      <c r="AI676" s="360">
        <v>0.25256890704829388</v>
      </c>
      <c r="AJ676" s="360">
        <v>1.3137145937673129</v>
      </c>
      <c r="AK676" s="360">
        <v>1.1725815155711505</v>
      </c>
      <c r="AL676" s="360">
        <v>0.2662553434471962</v>
      </c>
      <c r="AM676" s="360">
        <v>1.2368715495836822</v>
      </c>
      <c r="AN676" s="360">
        <v>1094.0434543305123</v>
      </c>
      <c r="AO676" s="360">
        <f t="shared" si="27"/>
        <v>1</v>
      </c>
      <c r="AP676" s="360">
        <f t="shared" si="28"/>
        <v>1</v>
      </c>
      <c r="AQ676" s="360">
        <f t="shared" si="29"/>
        <v>1</v>
      </c>
    </row>
    <row r="677" spans="1:43">
      <c r="A677" s="360" t="s">
        <v>1082</v>
      </c>
      <c r="B677" t="s">
        <v>1075</v>
      </c>
      <c r="C677">
        <v>2</v>
      </c>
      <c r="D677" t="s">
        <v>1078</v>
      </c>
      <c r="E677" t="s">
        <v>1079</v>
      </c>
      <c r="F677" s="360">
        <v>10</v>
      </c>
      <c r="G677" s="360" t="str">
        <f>CONCATENATE(A677," ",B677," ",C677," ","inf+"," ",FanUpsizes!D677," ",FanUpsizes!F677)</f>
        <v>5ACH Percentile 2 inf+ New 10</v>
      </c>
      <c r="H677" s="360">
        <v>1.6034234600397431E-2</v>
      </c>
      <c r="I677" s="360">
        <v>0.3351180566445196</v>
      </c>
      <c r="J677" s="360">
        <v>1.057686052458928</v>
      </c>
      <c r="K677" s="360">
        <v>1103.7488177205144</v>
      </c>
      <c r="L677" s="360">
        <v>0.32084493880092474</v>
      </c>
      <c r="M677" s="360">
        <v>1.0909646392084686</v>
      </c>
      <c r="N677" s="360">
        <v>1.1691280652274838</v>
      </c>
      <c r="O677" s="360">
        <v>0.32856603551917735</v>
      </c>
      <c r="P677" s="360">
        <v>1.0576902400388528</v>
      </c>
      <c r="Q677" s="360">
        <v>955.58426185408246</v>
      </c>
      <c r="R677" s="360">
        <v>1513.7925047694912</v>
      </c>
      <c r="S677" s="360">
        <v>0.30765598348165552</v>
      </c>
      <c r="T677" s="360">
        <v>1.1440961509639731</v>
      </c>
      <c r="U677" s="360">
        <v>1.5626417245014566</v>
      </c>
      <c r="V677" s="360">
        <v>0.32611320812424227</v>
      </c>
      <c r="W677" s="360">
        <v>1.0576892123377231</v>
      </c>
      <c r="X677" s="360">
        <v>1251.5981942426363</v>
      </c>
      <c r="Y677" s="360">
        <v>0.30438445770271072</v>
      </c>
      <c r="Z677" s="360">
        <v>1.1576564518960064</v>
      </c>
      <c r="AA677" s="360">
        <v>377.8202461909612</v>
      </c>
      <c r="AB677" s="360">
        <v>0.29955752611646985</v>
      </c>
      <c r="AC677" s="360">
        <v>1.1709945069619274</v>
      </c>
      <c r="AD677" s="360">
        <v>1.0517910719846106</v>
      </c>
      <c r="AE677" s="360">
        <v>0.30182120054373923</v>
      </c>
      <c r="AF677" s="360">
        <v>1.1576586831989184</v>
      </c>
      <c r="AG677" s="360">
        <v>341.77165169627472</v>
      </c>
      <c r="AH677" s="360">
        <v>627.57076082129163</v>
      </c>
      <c r="AI677" s="360">
        <v>0.29039641275169692</v>
      </c>
      <c r="AJ677" s="360">
        <v>1.222593540606506</v>
      </c>
      <c r="AK677" s="360">
        <v>1.3496620669780206</v>
      </c>
      <c r="AL677" s="360">
        <v>0.30060902603306749</v>
      </c>
      <c r="AM677" s="360">
        <v>1.1576564739778952</v>
      </c>
      <c r="AN677" s="360">
        <v>538.04820886205448</v>
      </c>
      <c r="AO677" s="360">
        <f t="shared" ref="AO677:AO740" si="30">IF(ROUND(P677,3)=ROUND(J677,3),1,0)</f>
        <v>1</v>
      </c>
      <c r="AP677" s="360">
        <f t="shared" ref="AP677:AP740" si="31">IF(O677&gt;L677,1,0)</f>
        <v>1</v>
      </c>
      <c r="AQ677" s="360">
        <f t="shared" ref="AQ677:AQ740" si="32">IF(I677&gt;L677,1,0)</f>
        <v>1</v>
      </c>
    </row>
    <row r="678" spans="1:43">
      <c r="A678" s="360" t="s">
        <v>1082</v>
      </c>
      <c r="B678" t="s">
        <v>1074</v>
      </c>
      <c r="C678">
        <v>2</v>
      </c>
      <c r="D678" t="s">
        <v>1078</v>
      </c>
      <c r="E678" t="s">
        <v>1079</v>
      </c>
      <c r="F678" s="360">
        <v>10</v>
      </c>
      <c r="G678" s="360" t="str">
        <f>CONCATENATE(A678," ",B678," ",C678," ","inf+"," ",FanUpsizes!D678," ",FanUpsizes!F678)</f>
        <v>5ACH Infiltration 2 inf+ New 10</v>
      </c>
      <c r="H678" s="360">
        <v>1.6034234600397431E-2</v>
      </c>
      <c r="I678" s="360">
        <v>0.3351180566445196</v>
      </c>
      <c r="J678" s="360">
        <v>1.057686052458928</v>
      </c>
      <c r="K678" s="360">
        <v>254.94912665745207</v>
      </c>
      <c r="L678" s="360">
        <v>0.33253768228756136</v>
      </c>
      <c r="M678" s="360">
        <v>1.0622966928920636</v>
      </c>
      <c r="N678" s="360">
        <v>1.0202930700920454</v>
      </c>
      <c r="O678" s="360">
        <v>0.33370010198915134</v>
      </c>
      <c r="P678" s="360">
        <v>1.0576870051454654</v>
      </c>
      <c r="Q678" s="360">
        <v>219.94664125840222</v>
      </c>
      <c r="R678" s="360">
        <v>996.01813651065834</v>
      </c>
      <c r="S678" s="360">
        <v>0.32015256086483224</v>
      </c>
      <c r="T678" s="360">
        <v>1.0944936919836294</v>
      </c>
      <c r="U678" s="360">
        <v>1.1870502562552061</v>
      </c>
      <c r="V678" s="360">
        <v>0.32856460074468946</v>
      </c>
      <c r="W678" s="360">
        <v>1.0576862684721406</v>
      </c>
      <c r="X678" s="360">
        <v>812.00180274650836</v>
      </c>
      <c r="Y678" s="360">
        <v>0.30438445770271072</v>
      </c>
      <c r="Z678" s="360">
        <v>1.1576564518960064</v>
      </c>
      <c r="AA678" s="360">
        <v>77.088677469279617</v>
      </c>
      <c r="AB678" s="360">
        <v>0.30362080800899532</v>
      </c>
      <c r="AC678" s="360">
        <v>1.1592252523067963</v>
      </c>
      <c r="AD678" s="360">
        <v>1.0056198876543438</v>
      </c>
      <c r="AE678" s="360">
        <v>0.30390699163504764</v>
      </c>
      <c r="AF678" s="360">
        <v>1.1576581728530448</v>
      </c>
      <c r="AG678" s="360">
        <v>70.027225138643985</v>
      </c>
      <c r="AH678" s="360">
        <v>480.76910089975814</v>
      </c>
      <c r="AI678" s="360">
        <v>0.296806004402421</v>
      </c>
      <c r="AJ678" s="360">
        <v>1.1824502701775186</v>
      </c>
      <c r="AK678" s="360">
        <v>1.1034515342547158</v>
      </c>
      <c r="AL678" s="360">
        <v>0.30085664972818649</v>
      </c>
      <c r="AM678" s="360">
        <v>1.1576564647708065</v>
      </c>
      <c r="AN678" s="360">
        <v>427.4634003306071</v>
      </c>
      <c r="AO678" s="360">
        <f t="shared" si="30"/>
        <v>1</v>
      </c>
      <c r="AP678" s="360">
        <f t="shared" si="31"/>
        <v>1</v>
      </c>
      <c r="AQ678" s="360">
        <f t="shared" si="32"/>
        <v>1</v>
      </c>
    </row>
    <row r="679" spans="1:43">
      <c r="A679" s="360" t="s">
        <v>1082</v>
      </c>
      <c r="B679" t="s">
        <v>1076</v>
      </c>
      <c r="C679">
        <v>2</v>
      </c>
      <c r="D679" t="s">
        <v>1078</v>
      </c>
      <c r="E679" t="s">
        <v>1079</v>
      </c>
      <c r="F679" s="360">
        <v>10</v>
      </c>
      <c r="G679" s="360" t="str">
        <f>CONCATENATE(A679," ",B679," ",C679," ","inf+"," ",FanUpsizes!D679," ",FanUpsizes!F679)</f>
        <v>5ACH 5C 2 inf+ New 10</v>
      </c>
      <c r="H679" s="360">
        <v>1.6034234600397431E-2</v>
      </c>
      <c r="I679" s="360">
        <v>0.3351180566445196</v>
      </c>
      <c r="J679" s="360">
        <v>1.057686052458928</v>
      </c>
      <c r="K679" s="360">
        <v>1488.5315806658409</v>
      </c>
      <c r="L679" s="360">
        <v>0.31390764962658829</v>
      </c>
      <c r="M679" s="360">
        <v>1.1096095383912505</v>
      </c>
      <c r="N679" s="360">
        <v>1.2929840325777999</v>
      </c>
      <c r="O679" s="360">
        <v>0.32528734743923643</v>
      </c>
      <c r="P679" s="360">
        <v>1.0576864914567274</v>
      </c>
      <c r="Q679" s="360">
        <v>1344.5982728986844</v>
      </c>
      <c r="R679" s="360">
        <v>1612.8093635148568</v>
      </c>
      <c r="S679" s="360">
        <v>0.31083754453434415</v>
      </c>
      <c r="T679" s="360">
        <v>1.120257831609224</v>
      </c>
      <c r="U679" s="360">
        <v>1.3729901259208683</v>
      </c>
      <c r="V679" s="360">
        <v>0.32421047063009489</v>
      </c>
      <c r="W679" s="360">
        <v>1.0576894118198825</v>
      </c>
      <c r="X679" s="360">
        <v>1475.9261097267183</v>
      </c>
      <c r="Y679" s="360">
        <v>0.30438445770271072</v>
      </c>
      <c r="Z679" s="360">
        <v>1.1576564518960064</v>
      </c>
      <c r="AA679" s="360">
        <v>519.72467244551206</v>
      </c>
      <c r="AB679" s="360">
        <v>0.29706558687925533</v>
      </c>
      <c r="AC679" s="360">
        <v>1.1791276591602666</v>
      </c>
      <c r="AD679" s="360">
        <v>1.0885048482568449</v>
      </c>
      <c r="AE679" s="360">
        <v>0.30053902307209368</v>
      </c>
      <c r="AF679" s="360">
        <v>1.157663912761671</v>
      </c>
      <c r="AG679" s="360">
        <v>481.78114566112572</v>
      </c>
      <c r="AH679" s="360">
        <v>599.04430788499155</v>
      </c>
      <c r="AI679" s="360">
        <v>0.29512291467104784</v>
      </c>
      <c r="AJ679" s="360">
        <v>1.1878744611300267</v>
      </c>
      <c r="AK679" s="360">
        <v>1.1323791954712119</v>
      </c>
      <c r="AL679" s="360">
        <v>0.29988313306197922</v>
      </c>
      <c r="AM679" s="360">
        <v>1.1576573448953584</v>
      </c>
      <c r="AN679" s="360">
        <v>561.67965861301582</v>
      </c>
      <c r="AO679" s="360">
        <f t="shared" si="30"/>
        <v>1</v>
      </c>
      <c r="AP679" s="360">
        <f t="shared" si="31"/>
        <v>1</v>
      </c>
      <c r="AQ679" s="360">
        <f t="shared" si="32"/>
        <v>1</v>
      </c>
    </row>
    <row r="680" spans="1:43">
      <c r="A680" s="360" t="s">
        <v>1082</v>
      </c>
      <c r="B680" t="s">
        <v>1075</v>
      </c>
      <c r="C680">
        <v>1</v>
      </c>
      <c r="D680" t="s">
        <v>1080</v>
      </c>
      <c r="E680" t="s">
        <v>1079</v>
      </c>
      <c r="F680" s="360">
        <v>10</v>
      </c>
      <c r="G680" s="360" t="str">
        <f>CONCATENATE(A680," ",B680," ",C680," ","inf+"," ",FanUpsizes!D680," ",FanUpsizes!F680)</f>
        <v>5ACH Percentile 1 inf+ Existing 10</v>
      </c>
      <c r="H680" s="360">
        <v>3.8877938882532125E-2</v>
      </c>
      <c r="I680" s="360">
        <v>0.35977578966917145</v>
      </c>
      <c r="J680" s="360">
        <v>1.2608737275490127</v>
      </c>
      <c r="K680" s="360">
        <v>2676.241189332673</v>
      </c>
      <c r="L680" s="360">
        <v>0.32516800095857529</v>
      </c>
      <c r="M680" s="360">
        <v>1.3993632337570869</v>
      </c>
      <c r="N680" s="360">
        <v>1.2369017877458011</v>
      </c>
      <c r="O680" s="360">
        <v>0.36246608140961412</v>
      </c>
      <c r="P680" s="360">
        <v>1.2608742063492198</v>
      </c>
      <c r="Q680" s="360">
        <v>2096.3084679567</v>
      </c>
      <c r="R680" s="360">
        <v>3691.4957411166711</v>
      </c>
      <c r="S680" s="360">
        <v>0.28963583441930152</v>
      </c>
      <c r="T680" s="360">
        <v>1.583487028800961</v>
      </c>
      <c r="U680" s="360">
        <v>1.7782687495476845</v>
      </c>
      <c r="V680" s="360">
        <v>0.37675420342521515</v>
      </c>
      <c r="W680" s="360">
        <v>1.260873929014352</v>
      </c>
      <c r="X680" s="360">
        <v>2772.7022441119984</v>
      </c>
      <c r="Y680" s="360">
        <v>0.35983171506205008</v>
      </c>
      <c r="Z680" s="360">
        <v>1.2411930893068908</v>
      </c>
      <c r="AA680" s="360">
        <v>2338.8805753341489</v>
      </c>
      <c r="AB680" s="360">
        <v>0.32933512005908239</v>
      </c>
      <c r="AC680" s="360">
        <v>1.3706334343259776</v>
      </c>
      <c r="AD680" s="360">
        <v>1.2027353492407948</v>
      </c>
      <c r="AE680" s="360">
        <v>0.36726016387919186</v>
      </c>
      <c r="AF680" s="360">
        <v>1.2411931210704006</v>
      </c>
      <c r="AG680" s="360">
        <v>1658.1491927451218</v>
      </c>
      <c r="AH680" s="360">
        <v>3683.0869815377191</v>
      </c>
      <c r="AI680" s="360">
        <v>0.2827166411949204</v>
      </c>
      <c r="AJ680" s="360">
        <v>1.6191685763139494</v>
      </c>
      <c r="AK680" s="360">
        <v>1.7935533265426373</v>
      </c>
      <c r="AL680" s="360">
        <v>0.38422564530972447</v>
      </c>
      <c r="AM680" s="360">
        <v>1.2411932742977905</v>
      </c>
      <c r="AN680" s="360">
        <v>2489.8269298816454</v>
      </c>
      <c r="AO680" s="360">
        <f t="shared" si="30"/>
        <v>1</v>
      </c>
      <c r="AP680" s="360">
        <f t="shared" si="31"/>
        <v>1</v>
      </c>
      <c r="AQ680" s="360">
        <f t="shared" si="32"/>
        <v>1</v>
      </c>
    </row>
    <row r="681" spans="1:43">
      <c r="A681" s="360" t="s">
        <v>1082</v>
      </c>
      <c r="B681" t="s">
        <v>1074</v>
      </c>
      <c r="C681">
        <v>1</v>
      </c>
      <c r="D681" t="s">
        <v>1080</v>
      </c>
      <c r="E681" t="s">
        <v>1079</v>
      </c>
      <c r="F681" s="360">
        <v>10</v>
      </c>
      <c r="G681" s="360" t="str">
        <f>CONCATENATE(A681," ",B681," ",C681," ","inf+"," ",FanUpsizes!D681," ",FanUpsizes!F681)</f>
        <v>5ACH Infiltration 1 inf+ Existing 10</v>
      </c>
      <c r="H681" s="360">
        <v>3.8877938882532125E-2</v>
      </c>
      <c r="I681" s="360">
        <v>0.35977578966917145</v>
      </c>
      <c r="J681" s="360">
        <v>1.2608737275490127</v>
      </c>
      <c r="K681" s="360">
        <v>0</v>
      </c>
      <c r="L681" s="360">
        <v>0.35977578966917145</v>
      </c>
      <c r="M681" s="360">
        <v>1.2608737275490127</v>
      </c>
      <c r="N681" s="360">
        <v>1</v>
      </c>
      <c r="O681" s="360">
        <v>0.35977578966917145</v>
      </c>
      <c r="P681" s="360">
        <v>1.2608737275490127</v>
      </c>
      <c r="Q681" s="360">
        <v>0</v>
      </c>
      <c r="R681" s="360">
        <v>657.89697757052284</v>
      </c>
      <c r="S681" s="360">
        <v>0.35244640706245589</v>
      </c>
      <c r="T681" s="360">
        <v>1.281677145033336</v>
      </c>
      <c r="U681" s="360">
        <v>1.0291192811530934</v>
      </c>
      <c r="V681" s="360">
        <v>0.35761417639582799</v>
      </c>
      <c r="W681" s="360">
        <v>1.2608741955994216</v>
      </c>
      <c r="X681" s="360">
        <v>531.66042998689898</v>
      </c>
      <c r="Y681" s="360">
        <v>0.35983171506205008</v>
      </c>
      <c r="Z681" s="360">
        <v>1.2411930893068908</v>
      </c>
      <c r="AA681" s="360">
        <v>0</v>
      </c>
      <c r="AB681" s="360">
        <v>0.35983171506205008</v>
      </c>
      <c r="AC681" s="360">
        <v>1.2411930893068908</v>
      </c>
      <c r="AD681" s="360">
        <v>1</v>
      </c>
      <c r="AE681" s="360">
        <v>0.35983171506205008</v>
      </c>
      <c r="AF681" s="360">
        <v>1.2411930893068908</v>
      </c>
      <c r="AG681" s="360">
        <v>0</v>
      </c>
      <c r="AH681" s="360">
        <v>776.50884361838337</v>
      </c>
      <c r="AI681" s="360">
        <v>0.35113018607448143</v>
      </c>
      <c r="AJ681" s="360">
        <v>1.2703259611057098</v>
      </c>
      <c r="AK681" s="360">
        <v>1.0359234400262201</v>
      </c>
      <c r="AL681" s="360">
        <v>0.35905144384689125</v>
      </c>
      <c r="AM681" s="360">
        <v>1.2411934064602468</v>
      </c>
      <c r="AN681" s="360">
        <v>563.84568762005392</v>
      </c>
      <c r="AO681" s="360">
        <f t="shared" si="30"/>
        <v>1</v>
      </c>
      <c r="AP681" s="360">
        <f t="shared" si="31"/>
        <v>0</v>
      </c>
      <c r="AQ681" s="360">
        <f t="shared" si="32"/>
        <v>0</v>
      </c>
    </row>
    <row r="682" spans="1:43">
      <c r="A682" s="360" t="s">
        <v>1082</v>
      </c>
      <c r="B682" t="s">
        <v>1076</v>
      </c>
      <c r="C682">
        <v>1</v>
      </c>
      <c r="D682" t="s">
        <v>1080</v>
      </c>
      <c r="E682" t="s">
        <v>1079</v>
      </c>
      <c r="F682" s="360">
        <v>10</v>
      </c>
      <c r="G682" s="360" t="str">
        <f>CONCATENATE(A682," ",B682," ",C682," ","inf+"," ",FanUpsizes!D682," ",FanUpsizes!F682)</f>
        <v>5ACH 5C 1 inf+ Existing 10</v>
      </c>
      <c r="H682" s="360">
        <v>3.8877938882532125E-2</v>
      </c>
      <c r="I682" s="360">
        <v>0.35977578966917145</v>
      </c>
      <c r="J682" s="360">
        <v>1.2608737275490127</v>
      </c>
      <c r="K682" s="360">
        <v>3609.217481226874</v>
      </c>
      <c r="L682" s="360">
        <v>0.30834727260752215</v>
      </c>
      <c r="M682" s="360">
        <v>1.4788250787994175</v>
      </c>
      <c r="N682" s="360">
        <v>1.4401564102586106</v>
      </c>
      <c r="O682" s="360">
        <v>0.3728802868484466</v>
      </c>
      <c r="P682" s="360">
        <v>1.2608757209806001</v>
      </c>
      <c r="Q682" s="360">
        <v>2898.3657024096401</v>
      </c>
      <c r="R682" s="360">
        <v>3609.217481226874</v>
      </c>
      <c r="S682" s="360">
        <v>0.30834727260752215</v>
      </c>
      <c r="T682" s="360">
        <v>1.4788250787994175</v>
      </c>
      <c r="U682" s="360">
        <v>1.4401564102586106</v>
      </c>
      <c r="V682" s="360">
        <v>0.3728802868484466</v>
      </c>
      <c r="W682" s="360">
        <v>1.2608757209806001</v>
      </c>
      <c r="X682" s="360">
        <v>2898.3657024096401</v>
      </c>
      <c r="Y682" s="360">
        <v>0.35983171506205008</v>
      </c>
      <c r="Z682" s="360">
        <v>1.2411930893068908</v>
      </c>
      <c r="AA682" s="360">
        <v>3194.7099881206818</v>
      </c>
      <c r="AB682" s="360">
        <v>0.31385955042358959</v>
      </c>
      <c r="AC682" s="360">
        <v>1.4474593061515131</v>
      </c>
      <c r="AD682" s="360">
        <v>1.4073051865907804</v>
      </c>
      <c r="AE682" s="360">
        <v>0.38047171377386352</v>
      </c>
      <c r="AF682" s="360">
        <v>1.2411932010780424</v>
      </c>
      <c r="AG682" s="360">
        <v>2396.4695016234105</v>
      </c>
      <c r="AH682" s="360">
        <v>3194.7099881206818</v>
      </c>
      <c r="AI682" s="360">
        <v>0.31385955042358959</v>
      </c>
      <c r="AJ682" s="360">
        <v>1.4474593061515131</v>
      </c>
      <c r="AK682" s="360">
        <v>1.4073051865907804</v>
      </c>
      <c r="AL682" s="360">
        <v>0.38047171377386352</v>
      </c>
      <c r="AM682" s="360">
        <v>1.2411932010780424</v>
      </c>
      <c r="AN682" s="360">
        <v>2396.4695016234105</v>
      </c>
      <c r="AO682" s="360">
        <f t="shared" si="30"/>
        <v>1</v>
      </c>
      <c r="AP682" s="360">
        <f t="shared" si="31"/>
        <v>1</v>
      </c>
      <c r="AQ682" s="360">
        <f t="shared" si="32"/>
        <v>1</v>
      </c>
    </row>
    <row r="683" spans="1:43">
      <c r="A683" s="360" t="s">
        <v>1082</v>
      </c>
      <c r="B683" t="s">
        <v>1075</v>
      </c>
      <c r="C683">
        <v>2</v>
      </c>
      <c r="D683" t="s">
        <v>1080</v>
      </c>
      <c r="E683" t="s">
        <v>1079</v>
      </c>
      <c r="F683" s="360">
        <v>10</v>
      </c>
      <c r="G683" s="360" t="str">
        <f>CONCATENATE(A683," ",B683," ",C683," ","inf+"," ",FanUpsizes!D683," ",FanUpsizes!F683)</f>
        <v>5ACH Percentile 2 inf+ Existing 10</v>
      </c>
      <c r="H683" s="360">
        <v>3.2284234600397435E-2</v>
      </c>
      <c r="I683" s="360">
        <v>0.39719286037772417</v>
      </c>
      <c r="J683" s="360">
        <v>1.1845988136088734</v>
      </c>
      <c r="K683" s="360">
        <v>2222.350281086543</v>
      </c>
      <c r="L683" s="360">
        <v>0.36845455783783782</v>
      </c>
      <c r="M683" s="360">
        <v>1.2633367660194996</v>
      </c>
      <c r="N683" s="360">
        <v>1.2050882323557632</v>
      </c>
      <c r="O683" s="360">
        <v>0.3895817929246867</v>
      </c>
      <c r="P683" s="360">
        <v>1.1845988572465833</v>
      </c>
      <c r="Q683" s="360">
        <v>1858.0361903203307</v>
      </c>
      <c r="R683" s="360">
        <v>3048.3123556404271</v>
      </c>
      <c r="S683" s="360">
        <v>0.34154093808321512</v>
      </c>
      <c r="T683" s="360">
        <v>1.3727231262961395</v>
      </c>
      <c r="U683" s="360">
        <v>1.6320907003382468</v>
      </c>
      <c r="V683" s="360">
        <v>0.39028710402776079</v>
      </c>
      <c r="W683" s="360">
        <v>1.1845990935254693</v>
      </c>
      <c r="X683" s="360">
        <v>2452.1691099182217</v>
      </c>
      <c r="Y683" s="360">
        <v>0.37292719669576463</v>
      </c>
      <c r="Z683" s="360">
        <v>1.2318234734766595</v>
      </c>
      <c r="AA683" s="360">
        <v>1388.5258525771681</v>
      </c>
      <c r="AB683" s="360">
        <v>0.3548989749167567</v>
      </c>
      <c r="AC683" s="360">
        <v>1.2888800991527107</v>
      </c>
      <c r="AD683" s="360">
        <v>1.1107794442700107</v>
      </c>
      <c r="AE683" s="360">
        <v>0.36941676723339445</v>
      </c>
      <c r="AF683" s="360">
        <v>1.2318240786336103</v>
      </c>
      <c r="AG683" s="360">
        <v>1139.6301103857936</v>
      </c>
      <c r="AH683" s="360">
        <v>2240.6314439510379</v>
      </c>
      <c r="AI683" s="360">
        <v>0.32450080745111154</v>
      </c>
      <c r="AJ683" s="360">
        <v>1.4378234530430702</v>
      </c>
      <c r="AK683" s="360">
        <v>1.5612096624675993</v>
      </c>
      <c r="AL683" s="360">
        <v>0.37414520862668788</v>
      </c>
      <c r="AM683" s="360">
        <v>1.2318245277900961</v>
      </c>
      <c r="AN683" s="360">
        <v>1727.5220597101054</v>
      </c>
      <c r="AO683" s="360">
        <f t="shared" si="30"/>
        <v>1</v>
      </c>
      <c r="AP683" s="360">
        <f t="shared" si="31"/>
        <v>1</v>
      </c>
      <c r="AQ683" s="360">
        <f t="shared" si="32"/>
        <v>1</v>
      </c>
    </row>
    <row r="684" spans="1:43">
      <c r="A684" s="360" t="s">
        <v>1082</v>
      </c>
      <c r="B684" t="s">
        <v>1074</v>
      </c>
      <c r="C684">
        <v>2</v>
      </c>
      <c r="D684" t="s">
        <v>1080</v>
      </c>
      <c r="E684" t="s">
        <v>1079</v>
      </c>
      <c r="F684" s="360">
        <v>10</v>
      </c>
      <c r="G684" s="360" t="str">
        <f>CONCATENATE(A684," ",B684," ",C684," ","inf+"," ",FanUpsizes!D684," ",FanUpsizes!F684)</f>
        <v>5ACH Infiltration 2 inf+ Existing 10</v>
      </c>
      <c r="H684" s="360">
        <v>3.2284234600397435E-2</v>
      </c>
      <c r="I684" s="360">
        <v>0.39719286037772417</v>
      </c>
      <c r="J684" s="360">
        <v>1.1845988136088734</v>
      </c>
      <c r="K684" s="360">
        <v>0</v>
      </c>
      <c r="L684" s="360">
        <v>0.39719286037772417</v>
      </c>
      <c r="M684" s="360">
        <v>1.1845988136088734</v>
      </c>
      <c r="N684" s="360">
        <v>1</v>
      </c>
      <c r="O684" s="360">
        <v>0.39719286037772417</v>
      </c>
      <c r="P684" s="360">
        <v>1.1845988136088734</v>
      </c>
      <c r="Q684" s="360">
        <v>0</v>
      </c>
      <c r="R684" s="360">
        <v>1336.9654746565345</v>
      </c>
      <c r="S684" s="360">
        <v>0.37900190929060029</v>
      </c>
      <c r="T684" s="360">
        <v>1.22819186987113</v>
      </c>
      <c r="U684" s="360">
        <v>1.1025013655837199</v>
      </c>
      <c r="V684" s="360">
        <v>0.39048750547623556</v>
      </c>
      <c r="W684" s="360">
        <v>1.1845989576913427</v>
      </c>
      <c r="X684" s="360">
        <v>1064.4536055171372</v>
      </c>
      <c r="Y684" s="360">
        <v>0.37292719669576463</v>
      </c>
      <c r="Z684" s="360">
        <v>1.2318234734766595</v>
      </c>
      <c r="AA684" s="360">
        <v>0</v>
      </c>
      <c r="AB684" s="360">
        <v>0.37292719669576463</v>
      </c>
      <c r="AC684" s="360">
        <v>1.2318234734766595</v>
      </c>
      <c r="AD684" s="360">
        <v>1</v>
      </c>
      <c r="AE684" s="360">
        <v>0.37292719669576463</v>
      </c>
      <c r="AF684" s="360">
        <v>1.2318234734766595</v>
      </c>
      <c r="AG684" s="360">
        <v>0</v>
      </c>
      <c r="AH684" s="360">
        <v>1216.0810743509326</v>
      </c>
      <c r="AI684" s="360">
        <v>0.35622960013740024</v>
      </c>
      <c r="AJ684" s="360">
        <v>1.2825967239200844</v>
      </c>
      <c r="AK684" s="360">
        <v>1.0945492691633507</v>
      </c>
      <c r="AL684" s="360">
        <v>0.36891454451359251</v>
      </c>
      <c r="AM684" s="360">
        <v>1.2318258717163455</v>
      </c>
      <c r="AN684" s="360">
        <v>968.0005400230109</v>
      </c>
      <c r="AO684" s="360">
        <f t="shared" si="30"/>
        <v>1</v>
      </c>
      <c r="AP684" s="360">
        <f t="shared" si="31"/>
        <v>0</v>
      </c>
      <c r="AQ684" s="360">
        <f t="shared" si="32"/>
        <v>0</v>
      </c>
    </row>
    <row r="685" spans="1:43">
      <c r="A685" s="360" t="s">
        <v>1082</v>
      </c>
      <c r="B685" t="s">
        <v>1076</v>
      </c>
      <c r="C685">
        <v>2</v>
      </c>
      <c r="D685" t="s">
        <v>1080</v>
      </c>
      <c r="E685" t="s">
        <v>1079</v>
      </c>
      <c r="F685" s="360">
        <v>10</v>
      </c>
      <c r="G685" s="360" t="str">
        <f>CONCATENATE(A685," ",B685," ",C685," ","inf+"," ",FanUpsizes!D685," ",FanUpsizes!F685)</f>
        <v>5ACH 5C 2 inf+ Existing 10</v>
      </c>
      <c r="H685" s="360">
        <v>3.2284234600397435E-2</v>
      </c>
      <c r="I685" s="360">
        <v>0.39719286037772417</v>
      </c>
      <c r="J685" s="360">
        <v>1.1845988136088734</v>
      </c>
      <c r="K685" s="360">
        <v>2997.0936535458982</v>
      </c>
      <c r="L685" s="360">
        <v>0.35448662754514321</v>
      </c>
      <c r="M685" s="360">
        <v>1.3074952493931034</v>
      </c>
      <c r="N685" s="360">
        <v>1.3598445113975732</v>
      </c>
      <c r="O685" s="360">
        <v>0.38754541437799922</v>
      </c>
      <c r="P685" s="360">
        <v>1.1845988825668345</v>
      </c>
      <c r="Q685" s="360">
        <v>2633.008829990451</v>
      </c>
      <c r="R685" s="360">
        <v>2997.0936535458982</v>
      </c>
      <c r="S685" s="360">
        <v>0.35448662754514321</v>
      </c>
      <c r="T685" s="360">
        <v>1.3074952493931034</v>
      </c>
      <c r="U685" s="360">
        <v>1.3598445113975732</v>
      </c>
      <c r="V685" s="360">
        <v>0.38754541437799922</v>
      </c>
      <c r="W685" s="360">
        <v>1.1845988825668345</v>
      </c>
      <c r="X685" s="360">
        <v>2633.008829990451</v>
      </c>
      <c r="Y685" s="360">
        <v>0.37292719669576463</v>
      </c>
      <c r="Z685" s="360">
        <v>1.2318234734766595</v>
      </c>
      <c r="AA685" s="360">
        <v>1900.1158152555406</v>
      </c>
      <c r="AB685" s="360">
        <v>0.34571211404806607</v>
      </c>
      <c r="AC685" s="360">
        <v>1.3226110081571303</v>
      </c>
      <c r="AD685" s="360">
        <v>1.2005321498986607</v>
      </c>
      <c r="AE685" s="360">
        <v>0.3689487602431713</v>
      </c>
      <c r="AF685" s="360">
        <v>1.2318234737446341</v>
      </c>
      <c r="AG685" s="360">
        <v>1631.4255748646326</v>
      </c>
      <c r="AH685" s="360">
        <v>1900.1158152555406</v>
      </c>
      <c r="AI685" s="360">
        <v>0.34571211404806607</v>
      </c>
      <c r="AJ685" s="360">
        <v>1.3226110081571303</v>
      </c>
      <c r="AK685" s="360">
        <v>1.2005321498986607</v>
      </c>
      <c r="AL685" s="360">
        <v>0.3689487602431713</v>
      </c>
      <c r="AM685" s="360">
        <v>1.2318234737446341</v>
      </c>
      <c r="AN685" s="360">
        <v>1631.4255748646326</v>
      </c>
      <c r="AO685" s="360">
        <f t="shared" si="30"/>
        <v>1</v>
      </c>
      <c r="AP685" s="360">
        <f t="shared" si="31"/>
        <v>1</v>
      </c>
      <c r="AQ685" s="360">
        <f t="shared" si="32"/>
        <v>1</v>
      </c>
    </row>
    <row r="686" spans="1:43">
      <c r="A686" s="360" t="s">
        <v>1083</v>
      </c>
      <c r="B686" t="s">
        <v>1075</v>
      </c>
      <c r="C686">
        <v>1</v>
      </c>
      <c r="D686" t="s">
        <v>1078</v>
      </c>
      <c r="E686" t="s">
        <v>1079</v>
      </c>
      <c r="F686" s="360">
        <v>10</v>
      </c>
      <c r="G686" s="360" t="str">
        <f>CONCATENATE(A686," ",B686," ",C686," ","inf+"," ",FanUpsizes!D686," ",FanUpsizes!F686)</f>
        <v>3ACH Percentile 1 inf+ New 10</v>
      </c>
      <c r="H686" s="360">
        <v>3.0882763329519274E-2</v>
      </c>
      <c r="I686" s="360">
        <v>0.25383677780941105</v>
      </c>
      <c r="J686" s="360">
        <v>1.2755890922285258</v>
      </c>
      <c r="K686" s="360">
        <v>2126.2411258882021</v>
      </c>
      <c r="L686" s="360">
        <v>0.22633994942661964</v>
      </c>
      <c r="M686" s="360">
        <v>1.4666126412539437</v>
      </c>
      <c r="N686" s="360">
        <v>1.2780080104670684</v>
      </c>
      <c r="O686" s="360">
        <v>0.26716513749831877</v>
      </c>
      <c r="P686" s="360">
        <v>1.2755894432769437</v>
      </c>
      <c r="Q686" s="360">
        <v>1429.4565145270426</v>
      </c>
      <c r="R686" s="360">
        <v>3000.7639110005962</v>
      </c>
      <c r="S686" s="360">
        <v>0.19427375499439442</v>
      </c>
      <c r="T686" s="360">
        <v>1.7155070235126657</v>
      </c>
      <c r="U686" s="360">
        <v>1.9320212209600582</v>
      </c>
      <c r="V686" s="360">
        <v>0.28665135660460883</v>
      </c>
      <c r="W686" s="360">
        <v>1.2755922135406155</v>
      </c>
      <c r="X686" s="360">
        <v>2047.1300622441311</v>
      </c>
      <c r="Y686" s="360">
        <v>0.26313252552093441</v>
      </c>
      <c r="Z686" s="360">
        <v>1.2228598349584947</v>
      </c>
      <c r="AA686" s="360">
        <v>2204.0088918616807</v>
      </c>
      <c r="AB686" s="360">
        <v>0.23437227406773406</v>
      </c>
      <c r="AC686" s="360">
        <v>1.4191513552688331</v>
      </c>
      <c r="AD686" s="360">
        <v>1.2994664516551442</v>
      </c>
      <c r="AE686" s="360">
        <v>0.28169126397728667</v>
      </c>
      <c r="AF686" s="360">
        <v>1.2228598601066636</v>
      </c>
      <c r="AG686" s="360">
        <v>1336.2781877373952</v>
      </c>
      <c r="AH686" s="360">
        <v>3404.5351299945969</v>
      </c>
      <c r="AI686" s="360">
        <v>0.19340642987396597</v>
      </c>
      <c r="AJ686" s="360">
        <v>1.727172069769715</v>
      </c>
      <c r="AK686" s="360">
        <v>1.99217787376338</v>
      </c>
      <c r="AL686" s="360">
        <v>0.30153566529282688</v>
      </c>
      <c r="AM686" s="360">
        <v>1.2228617304085079</v>
      </c>
      <c r="AN686" s="360">
        <v>2048.2437386915462</v>
      </c>
      <c r="AO686" s="360">
        <f t="shared" si="30"/>
        <v>1</v>
      </c>
      <c r="AP686" s="360">
        <f t="shared" si="31"/>
        <v>1</v>
      </c>
      <c r="AQ686" s="360">
        <f t="shared" si="32"/>
        <v>1</v>
      </c>
    </row>
    <row r="687" spans="1:43">
      <c r="A687" s="360" t="s">
        <v>1083</v>
      </c>
      <c r="B687" t="s">
        <v>1074</v>
      </c>
      <c r="C687">
        <v>1</v>
      </c>
      <c r="D687" t="s">
        <v>1078</v>
      </c>
      <c r="E687" t="s">
        <v>1079</v>
      </c>
      <c r="F687" s="360">
        <v>10</v>
      </c>
      <c r="G687" s="360" t="str">
        <f>CONCATENATE(A687," ",B687," ",C687," ","inf+"," ",FanUpsizes!D687," ",FanUpsizes!F687)</f>
        <v>3ACH Infiltration 1 inf+ New 10</v>
      </c>
      <c r="H687" s="360">
        <v>3.0882763329519274E-2</v>
      </c>
      <c r="I687" s="360">
        <v>0.25383677780941105</v>
      </c>
      <c r="J687" s="360">
        <v>1.2755890922285258</v>
      </c>
      <c r="K687" s="360">
        <v>0</v>
      </c>
      <c r="L687" s="360">
        <v>0.25383677780941105</v>
      </c>
      <c r="M687" s="360">
        <v>1.2755890922285258</v>
      </c>
      <c r="N687" s="360">
        <v>1</v>
      </c>
      <c r="O687" s="360">
        <v>0.25383677780941105</v>
      </c>
      <c r="P687" s="360">
        <v>1.2755890922285258</v>
      </c>
      <c r="Q687" s="360">
        <v>0</v>
      </c>
      <c r="R687" s="360">
        <v>142.36486087181336</v>
      </c>
      <c r="S687" s="360">
        <v>0.25246419127580505</v>
      </c>
      <c r="T687" s="360">
        <v>1.2812978612147738</v>
      </c>
      <c r="U687" s="360">
        <v>1.0064297780693157</v>
      </c>
      <c r="V687" s="360">
        <v>0.25352029391043551</v>
      </c>
      <c r="W687" s="360">
        <v>1.2756036166922486</v>
      </c>
      <c r="X687" s="360">
        <v>114.98137611731413</v>
      </c>
      <c r="Y687" s="360">
        <v>0.26313252552093441</v>
      </c>
      <c r="Z687" s="360">
        <v>1.2228598349584947</v>
      </c>
      <c r="AA687" s="360">
        <v>0</v>
      </c>
      <c r="AB687" s="360">
        <v>0.26313252552093441</v>
      </c>
      <c r="AC687" s="360">
        <v>1.2228598349584947</v>
      </c>
      <c r="AD687" s="360">
        <v>1</v>
      </c>
      <c r="AE687" s="360">
        <v>0.26313252552093441</v>
      </c>
      <c r="AF687" s="360">
        <v>1.2228598349584947</v>
      </c>
      <c r="AG687" s="360">
        <v>0</v>
      </c>
      <c r="AH687" s="360">
        <v>188.42269339565027</v>
      </c>
      <c r="AI687" s="360">
        <v>0.2613091975514964</v>
      </c>
      <c r="AJ687" s="360">
        <v>1.2312148413678794</v>
      </c>
      <c r="AK687" s="360">
        <v>1.0088803004613021</v>
      </c>
      <c r="AL687" s="360">
        <v>0.2630565727490764</v>
      </c>
      <c r="AM687" s="360">
        <v>1.2228601348978656</v>
      </c>
      <c r="AN687" s="360">
        <v>135.45284252826931</v>
      </c>
      <c r="AO687" s="360">
        <f t="shared" si="30"/>
        <v>1</v>
      </c>
      <c r="AP687" s="360">
        <f t="shared" si="31"/>
        <v>0</v>
      </c>
      <c r="AQ687" s="360">
        <f t="shared" si="32"/>
        <v>0</v>
      </c>
    </row>
    <row r="688" spans="1:43">
      <c r="A688" s="360" t="s">
        <v>1083</v>
      </c>
      <c r="B688" t="s">
        <v>1076</v>
      </c>
      <c r="C688">
        <v>1</v>
      </c>
      <c r="D688" t="s">
        <v>1078</v>
      </c>
      <c r="E688" t="s">
        <v>1079</v>
      </c>
      <c r="F688" s="360">
        <v>10</v>
      </c>
      <c r="G688" s="360" t="str">
        <f>CONCATENATE(A688," ",B688," ",C688," ","inf+"," ",FanUpsizes!D688," ",FanUpsizes!F688)</f>
        <v>3ACH 5C 1 inf+ New 10</v>
      </c>
      <c r="H688" s="360">
        <v>3.0882763329519274E-2</v>
      </c>
      <c r="I688" s="360">
        <v>0.25383677780941105</v>
      </c>
      <c r="J688" s="360">
        <v>1.2755890922285258</v>
      </c>
      <c r="K688" s="360">
        <v>2874.323460750792</v>
      </c>
      <c r="L688" s="360">
        <v>0.21283958119156016</v>
      </c>
      <c r="M688" s="360">
        <v>1.5781683516336105</v>
      </c>
      <c r="N688" s="360">
        <v>1.5800958166127228</v>
      </c>
      <c r="O688" s="360">
        <v>0.29007129810305415</v>
      </c>
      <c r="P688" s="360">
        <v>1.275589601656967</v>
      </c>
      <c r="Q688" s="360">
        <v>1960.5392170841808</v>
      </c>
      <c r="R688" s="360">
        <v>2874.323460750792</v>
      </c>
      <c r="S688" s="360">
        <v>0.21283958119156016</v>
      </c>
      <c r="T688" s="360">
        <v>1.5781683516336105</v>
      </c>
      <c r="U688" s="360">
        <v>1.5800958166127228</v>
      </c>
      <c r="V688" s="360">
        <v>0.29007129810305415</v>
      </c>
      <c r="W688" s="360">
        <v>1.275589601656967</v>
      </c>
      <c r="X688" s="360">
        <v>1960.5392170841808</v>
      </c>
      <c r="Y688" s="360">
        <v>0.26313252552093441</v>
      </c>
      <c r="Z688" s="360">
        <v>1.2228598349584947</v>
      </c>
      <c r="AA688" s="360">
        <v>3002.2412666057398</v>
      </c>
      <c r="AB688" s="360">
        <v>0.2199038805735555</v>
      </c>
      <c r="AC688" s="360">
        <v>1.5364653417531757</v>
      </c>
      <c r="AD688" s="360">
        <v>1.670652091617651</v>
      </c>
      <c r="AE688" s="360">
        <v>0.3119404986944887</v>
      </c>
      <c r="AF688" s="360">
        <v>1.2228600838922485</v>
      </c>
      <c r="AG688" s="360">
        <v>1881.5821455081511</v>
      </c>
      <c r="AH688" s="360">
        <v>3002.2412666057398</v>
      </c>
      <c r="AI688" s="360">
        <v>0.2199038805735555</v>
      </c>
      <c r="AJ688" s="360">
        <v>1.5364653417531757</v>
      </c>
      <c r="AK688" s="360">
        <v>1.670652091617651</v>
      </c>
      <c r="AL688" s="360">
        <v>0.3119404986944887</v>
      </c>
      <c r="AM688" s="360">
        <v>1.2228600838922485</v>
      </c>
      <c r="AN688" s="360">
        <v>1881.5821455081511</v>
      </c>
      <c r="AO688" s="360">
        <f t="shared" si="30"/>
        <v>1</v>
      </c>
      <c r="AP688" s="360">
        <f t="shared" si="31"/>
        <v>1</v>
      </c>
      <c r="AQ688" s="360">
        <f t="shared" si="32"/>
        <v>1</v>
      </c>
    </row>
    <row r="689" spans="1:43">
      <c r="A689" s="360" t="s">
        <v>1083</v>
      </c>
      <c r="B689" t="s">
        <v>1075</v>
      </c>
      <c r="C689">
        <v>2</v>
      </c>
      <c r="D689" t="s">
        <v>1078</v>
      </c>
      <c r="E689" t="s">
        <v>1079</v>
      </c>
      <c r="F689" s="360">
        <v>10</v>
      </c>
      <c r="G689" s="360" t="str">
        <f>CONCATENATE(A689," ",B689," ",C689," ","inf+"," ",FanUpsizes!D689," ",FanUpsizes!F689)</f>
        <v>3ACH Percentile 2 inf+ New 10</v>
      </c>
      <c r="H689" s="360">
        <v>2.6926540760238461E-2</v>
      </c>
      <c r="I689" s="360">
        <v>0.26994176019180899</v>
      </c>
      <c r="J689" s="360">
        <v>1.2338645588763091</v>
      </c>
      <c r="K689" s="360">
        <v>1853.542639863879</v>
      </c>
      <c r="L689" s="360">
        <v>0.24597269032540375</v>
      </c>
      <c r="M689" s="360">
        <v>1.3500922496372976</v>
      </c>
      <c r="N689" s="360">
        <v>1.2248688277773851</v>
      </c>
      <c r="O689" s="360">
        <v>0.2686127382585709</v>
      </c>
      <c r="P689" s="360">
        <v>1.2338653350899027</v>
      </c>
      <c r="Q689" s="360">
        <v>1497.7998643825265</v>
      </c>
      <c r="R689" s="360">
        <v>2547.8080168205643</v>
      </c>
      <c r="S689" s="360">
        <v>0.22240136260773491</v>
      </c>
      <c r="T689" s="360">
        <v>1.5025728992614398</v>
      </c>
      <c r="U689" s="360">
        <v>1.7169384693448906</v>
      </c>
      <c r="V689" s="360">
        <v>0.27453103796166944</v>
      </c>
      <c r="W689" s="360">
        <v>1.2338645995777482</v>
      </c>
      <c r="X689" s="360">
        <v>1972.3165284234267</v>
      </c>
      <c r="Y689" s="360">
        <v>0.26436932132557472</v>
      </c>
      <c r="Z689" s="360">
        <v>1.2357665582464834</v>
      </c>
      <c r="AA689" s="360">
        <v>1482.5173877967463</v>
      </c>
      <c r="AB689" s="360">
        <v>0.24505993449714195</v>
      </c>
      <c r="AC689" s="360">
        <v>1.3382004900611222</v>
      </c>
      <c r="AD689" s="360">
        <v>1.1695472168647232</v>
      </c>
      <c r="AE689" s="360">
        <v>0.26604580780898734</v>
      </c>
      <c r="AF689" s="360">
        <v>1.2357670258518194</v>
      </c>
      <c r="AG689" s="360">
        <v>1110.1318604411395</v>
      </c>
      <c r="AH689" s="360">
        <v>2346.5599913753413</v>
      </c>
      <c r="AI689" s="360">
        <v>0.2148592028846906</v>
      </c>
      <c r="AJ689" s="360">
        <v>1.5490761365584342</v>
      </c>
      <c r="AK689" s="360">
        <v>1.7096255536781197</v>
      </c>
      <c r="AL689" s="360">
        <v>0.27463863132382954</v>
      </c>
      <c r="AM689" s="360">
        <v>1.2357666620380547</v>
      </c>
      <c r="AN689" s="360">
        <v>1669.042459464785</v>
      </c>
      <c r="AO689" s="360">
        <f t="shared" si="30"/>
        <v>1</v>
      </c>
      <c r="AP689" s="360">
        <f t="shared" si="31"/>
        <v>1</v>
      </c>
      <c r="AQ689" s="360">
        <f t="shared" si="32"/>
        <v>1</v>
      </c>
    </row>
    <row r="690" spans="1:43">
      <c r="A690" s="360" t="s">
        <v>1083</v>
      </c>
      <c r="B690" t="s">
        <v>1074</v>
      </c>
      <c r="C690">
        <v>2</v>
      </c>
      <c r="D690" t="s">
        <v>1078</v>
      </c>
      <c r="E690" t="s">
        <v>1079</v>
      </c>
      <c r="F690" s="360">
        <v>10</v>
      </c>
      <c r="G690" s="360" t="str">
        <f>CONCATENATE(A690," ",B690," ",C690," ","inf+"," ",FanUpsizes!D690," ",FanUpsizes!F690)</f>
        <v>3ACH Infiltration 2 inf+ New 10</v>
      </c>
      <c r="H690" s="360">
        <v>2.6926540760238461E-2</v>
      </c>
      <c r="I690" s="360">
        <v>0.26994176019180899</v>
      </c>
      <c r="J690" s="360">
        <v>1.2338645588763091</v>
      </c>
      <c r="K690" s="360">
        <v>0</v>
      </c>
      <c r="L690" s="360">
        <v>0.26994176019180899</v>
      </c>
      <c r="M690" s="360">
        <v>1.2338645588763091</v>
      </c>
      <c r="N690" s="360">
        <v>1</v>
      </c>
      <c r="O690" s="360">
        <v>0.26994176019180899</v>
      </c>
      <c r="P690" s="360">
        <v>1.2338645588763091</v>
      </c>
      <c r="Q690" s="360">
        <v>0</v>
      </c>
      <c r="R690" s="360">
        <v>578.87081782088057</v>
      </c>
      <c r="S690" s="360">
        <v>0.26321499330549575</v>
      </c>
      <c r="T690" s="360">
        <v>1.2585848952638761</v>
      </c>
      <c r="U690" s="360">
        <v>1.0404427425911436</v>
      </c>
      <c r="V690" s="360">
        <v>0.26780758438222713</v>
      </c>
      <c r="W690" s="360">
        <v>1.233864558900005</v>
      </c>
      <c r="X690" s="360">
        <v>465.24275484116788</v>
      </c>
      <c r="Y690" s="360">
        <v>0.26436932132557472</v>
      </c>
      <c r="Z690" s="360">
        <v>1.2357665582464834</v>
      </c>
      <c r="AA690" s="360">
        <v>0</v>
      </c>
      <c r="AB690" s="360">
        <v>0.26436932132557472</v>
      </c>
      <c r="AC690" s="360">
        <v>1.2357665582464834</v>
      </c>
      <c r="AD690" s="360">
        <v>1</v>
      </c>
      <c r="AE690" s="360">
        <v>0.26436932132557472</v>
      </c>
      <c r="AF690" s="360">
        <v>1.2357665582464834</v>
      </c>
      <c r="AG690" s="360">
        <v>0</v>
      </c>
      <c r="AH690" s="360">
        <v>637.33130230700385</v>
      </c>
      <c r="AI690" s="360">
        <v>0.25691490094322283</v>
      </c>
      <c r="AJ690" s="360">
        <v>1.2687835605411948</v>
      </c>
      <c r="AK690" s="360">
        <v>1.0453473910022963</v>
      </c>
      <c r="AL690" s="360">
        <v>0.26337720424046368</v>
      </c>
      <c r="AM690" s="360">
        <v>1.2357686034983431</v>
      </c>
      <c r="AN690" s="360">
        <v>472.69486077202856</v>
      </c>
      <c r="AO690" s="360">
        <f t="shared" si="30"/>
        <v>1</v>
      </c>
      <c r="AP690" s="360">
        <f t="shared" si="31"/>
        <v>0</v>
      </c>
      <c r="AQ690" s="360">
        <f t="shared" si="32"/>
        <v>0</v>
      </c>
    </row>
    <row r="691" spans="1:43">
      <c r="A691" s="360" t="s">
        <v>1083</v>
      </c>
      <c r="B691" t="s">
        <v>1076</v>
      </c>
      <c r="C691">
        <v>2</v>
      </c>
      <c r="D691" t="s">
        <v>1078</v>
      </c>
      <c r="E691" t="s">
        <v>1079</v>
      </c>
      <c r="F691" s="360">
        <v>10</v>
      </c>
      <c r="G691" s="360" t="str">
        <f>CONCATENATE(A691," ",B691," ",C691," ","inf+"," ",FanUpsizes!D691," ",FanUpsizes!F691)</f>
        <v>3ACH 5C 2 inf+ New 10</v>
      </c>
      <c r="H691" s="360">
        <v>2.6926540760238461E-2</v>
      </c>
      <c r="I691" s="360">
        <v>0.26994176019180899</v>
      </c>
      <c r="J691" s="360">
        <v>1.2338645588763091</v>
      </c>
      <c r="K691" s="360">
        <v>2499.714347369521</v>
      </c>
      <c r="L691" s="360">
        <v>0.23432279219345917</v>
      </c>
      <c r="M691" s="360">
        <v>1.4158413251839734</v>
      </c>
      <c r="N691" s="360">
        <v>1.4064193461875243</v>
      </c>
      <c r="O691" s="360">
        <v>0.27205773473852185</v>
      </c>
      <c r="P691" s="360">
        <v>1.2338649871895977</v>
      </c>
      <c r="Q691" s="360">
        <v>2096.0031501504018</v>
      </c>
      <c r="R691" s="360">
        <v>2499.714347369521</v>
      </c>
      <c r="S691" s="360">
        <v>0.23432279219345917</v>
      </c>
      <c r="T691" s="360">
        <v>1.4158413251839734</v>
      </c>
      <c r="U691" s="360">
        <v>1.4064193461875243</v>
      </c>
      <c r="V691" s="360">
        <v>0.27205773473852185</v>
      </c>
      <c r="W691" s="360">
        <v>1.2338649871895977</v>
      </c>
      <c r="X691" s="360">
        <v>2096.0031501504018</v>
      </c>
      <c r="Y691" s="360">
        <v>0.26436932132557472</v>
      </c>
      <c r="Z691" s="360">
        <v>1.2357665582464834</v>
      </c>
      <c r="AA691" s="360">
        <v>2022.6942318407837</v>
      </c>
      <c r="AB691" s="360">
        <v>0.23530729566063888</v>
      </c>
      <c r="AC691" s="360">
        <v>1.3980874052573389</v>
      </c>
      <c r="AD691" s="360">
        <v>1.3251492137381859</v>
      </c>
      <c r="AE691" s="360">
        <v>0.27060835819629486</v>
      </c>
      <c r="AF691" s="360">
        <v>1.2357666803071681</v>
      </c>
      <c r="AG691" s="360">
        <v>1603.4110846655913</v>
      </c>
      <c r="AH691" s="360">
        <v>2022.6942318407837</v>
      </c>
      <c r="AI691" s="360">
        <v>0.23530729566063888</v>
      </c>
      <c r="AJ691" s="360">
        <v>1.3980874052573389</v>
      </c>
      <c r="AK691" s="360">
        <v>1.3251492137381859</v>
      </c>
      <c r="AL691" s="360">
        <v>0.27060835819629486</v>
      </c>
      <c r="AM691" s="360">
        <v>1.2357666803071681</v>
      </c>
      <c r="AN691" s="360">
        <v>1603.4110846655913</v>
      </c>
      <c r="AO691" s="360">
        <f t="shared" si="30"/>
        <v>1</v>
      </c>
      <c r="AP691" s="360">
        <f t="shared" si="31"/>
        <v>1</v>
      </c>
      <c r="AQ691" s="360">
        <f t="shared" si="32"/>
        <v>1</v>
      </c>
    </row>
    <row r="692" spans="1:43">
      <c r="A692" s="360" t="s">
        <v>1083</v>
      </c>
      <c r="B692" t="s">
        <v>1075</v>
      </c>
      <c r="C692">
        <v>1</v>
      </c>
      <c r="D692" t="s">
        <v>1080</v>
      </c>
      <c r="E692" t="s">
        <v>1079</v>
      </c>
      <c r="F692" s="360">
        <v>10</v>
      </c>
      <c r="G692" s="360" t="str">
        <f>CONCATENATE(A692," ",B692," ",C692," ","inf+"," ",FanUpsizes!D692," ",FanUpsizes!F692)</f>
        <v>3ACH Percentile 1 inf+ Existing 10</v>
      </c>
      <c r="H692" s="360">
        <v>4.7132763329519274E-2</v>
      </c>
      <c r="I692" s="360">
        <v>0.35383755211731299</v>
      </c>
      <c r="J692" s="360">
        <v>1.2436138792670648</v>
      </c>
      <c r="K692" s="360">
        <v>3613.0667967541344</v>
      </c>
      <c r="L692" s="360">
        <v>0.30659701075014839</v>
      </c>
      <c r="M692" s="360">
        <v>1.578624921170197</v>
      </c>
      <c r="N692" s="360">
        <v>1.5090172939510245</v>
      </c>
      <c r="O692" s="360">
        <v>0.43766434948540023</v>
      </c>
      <c r="P692" s="360">
        <v>1.2436186538419087</v>
      </c>
      <c r="Q692" s="360">
        <v>1172.2103059066344</v>
      </c>
      <c r="R692" s="360">
        <v>5380.0650494208539</v>
      </c>
      <c r="S692" s="360">
        <v>0.24420965463633568</v>
      </c>
      <c r="T692" s="360">
        <v>1.9661626232150577</v>
      </c>
      <c r="U692" s="360">
        <v>2.4087569280415497</v>
      </c>
      <c r="V692" s="360">
        <v>0.48925085593034917</v>
      </c>
      <c r="W692" s="360">
        <v>1.2436164008917243</v>
      </c>
      <c r="X692" s="360">
        <v>2333.3462551950374</v>
      </c>
      <c r="Y692" s="360">
        <v>0.37236550521640405</v>
      </c>
      <c r="Z692" s="360">
        <v>1.1822510229590122</v>
      </c>
      <c r="AA692" s="360">
        <v>4126.7854428095816</v>
      </c>
      <c r="AB692" s="360">
        <v>0.31851349657947914</v>
      </c>
      <c r="AC692" s="360">
        <v>1.5348131078699085</v>
      </c>
      <c r="AD692" s="360">
        <v>1.6195934610931222</v>
      </c>
      <c r="AE692" s="360">
        <v>0.47644708852582068</v>
      </c>
      <c r="AF692" s="360">
        <v>1.1822510864410096</v>
      </c>
      <c r="AG692" s="360">
        <v>1169.327206910513</v>
      </c>
      <c r="AH692" s="360">
        <v>6195.9008304292238</v>
      </c>
      <c r="AI692" s="360">
        <v>0.24922040099138915</v>
      </c>
      <c r="AJ692" s="360">
        <v>1.9332920149572161</v>
      </c>
      <c r="AK692" s="360">
        <v>2.5727180184557206</v>
      </c>
      <c r="AL692" s="360">
        <v>0.52908816187439345</v>
      </c>
      <c r="AM692" s="360">
        <v>1.1822532648579764</v>
      </c>
      <c r="AN692" s="360">
        <v>2431.7841927687678</v>
      </c>
      <c r="AO692" s="360">
        <f t="shared" si="30"/>
        <v>1</v>
      </c>
      <c r="AP692" s="360">
        <f t="shared" si="31"/>
        <v>1</v>
      </c>
      <c r="AQ692" s="360">
        <f t="shared" si="32"/>
        <v>1</v>
      </c>
    </row>
    <row r="693" spans="1:43">
      <c r="A693" s="360" t="s">
        <v>1083</v>
      </c>
      <c r="B693" t="s">
        <v>1074</v>
      </c>
      <c r="C693">
        <v>1</v>
      </c>
      <c r="D693" t="s">
        <v>1080</v>
      </c>
      <c r="E693" t="s">
        <v>1079</v>
      </c>
      <c r="F693" s="360">
        <v>10</v>
      </c>
      <c r="G693" s="360" t="str">
        <f>CONCATENATE(A693," ",B693," ",C693," ","inf+"," ",FanUpsizes!D693," ",FanUpsizes!F693)</f>
        <v>3ACH Infiltration 1 inf+ Existing 10</v>
      </c>
      <c r="H693" s="360">
        <v>4.7132763329519274E-2</v>
      </c>
      <c r="I693" s="360">
        <v>0.35383755211731299</v>
      </c>
      <c r="J693" s="360">
        <v>1.2436138792670648</v>
      </c>
      <c r="K693" s="360">
        <v>0</v>
      </c>
      <c r="L693" s="360">
        <v>0.35383755211731299</v>
      </c>
      <c r="M693" s="360">
        <v>1.2436138792670648</v>
      </c>
      <c r="N693" s="360">
        <v>1</v>
      </c>
      <c r="O693" s="360">
        <v>0.35383755211731299</v>
      </c>
      <c r="P693" s="360">
        <v>1.2436138792670648</v>
      </c>
      <c r="Q693" s="360">
        <v>0</v>
      </c>
      <c r="R693" s="360">
        <v>0</v>
      </c>
      <c r="S693" s="360">
        <v>0.35383755211731299</v>
      </c>
      <c r="T693" s="360">
        <v>1.2436138792670648</v>
      </c>
      <c r="U693" s="360">
        <v>1</v>
      </c>
      <c r="V693" s="360">
        <v>0.35383755211731299</v>
      </c>
      <c r="W693" s="360">
        <v>1.2436138792670648</v>
      </c>
      <c r="X693" s="360">
        <v>0</v>
      </c>
      <c r="Y693" s="360">
        <v>0.37236550521640405</v>
      </c>
      <c r="Z693" s="360">
        <v>1.1822510229590122</v>
      </c>
      <c r="AA693" s="360">
        <v>0</v>
      </c>
      <c r="AB693" s="360">
        <v>0.37236550521640405</v>
      </c>
      <c r="AC693" s="360">
        <v>1.1822510229590122</v>
      </c>
      <c r="AD693" s="360">
        <v>1</v>
      </c>
      <c r="AE693" s="360">
        <v>0.37236550521640405</v>
      </c>
      <c r="AF693" s="360">
        <v>1.1822510229590122</v>
      </c>
      <c r="AG693" s="360">
        <v>0</v>
      </c>
      <c r="AH693" s="360">
        <v>0</v>
      </c>
      <c r="AI693" s="360">
        <v>0.37236550521640405</v>
      </c>
      <c r="AJ693" s="360">
        <v>1.1822510229590122</v>
      </c>
      <c r="AK693" s="360">
        <v>1</v>
      </c>
      <c r="AL693" s="360">
        <v>0.37236550521640405</v>
      </c>
      <c r="AM693" s="360">
        <v>1.1822510229590122</v>
      </c>
      <c r="AN693" s="360">
        <v>0</v>
      </c>
      <c r="AO693" s="360">
        <f t="shared" si="30"/>
        <v>1</v>
      </c>
      <c r="AP693" s="360">
        <f t="shared" si="31"/>
        <v>0</v>
      </c>
      <c r="AQ693" s="360">
        <f t="shared" si="32"/>
        <v>0</v>
      </c>
    </row>
    <row r="694" spans="1:43">
      <c r="A694" s="360" t="s">
        <v>1083</v>
      </c>
      <c r="B694" t="s">
        <v>1076</v>
      </c>
      <c r="C694">
        <v>1</v>
      </c>
      <c r="D694" t="s">
        <v>1080</v>
      </c>
      <c r="E694" t="s">
        <v>1079</v>
      </c>
      <c r="F694" s="360">
        <v>10</v>
      </c>
      <c r="G694" s="360" t="str">
        <f>CONCATENATE(A694," ",B694," ",C694," ","inf+"," ",FanUpsizes!D694," ",FanUpsizes!F694)</f>
        <v>3ACH 5C 1 inf+ Existing 10</v>
      </c>
      <c r="H694" s="360">
        <v>4.7132763329519274E-2</v>
      </c>
      <c r="I694" s="360">
        <v>0.35383755211731299</v>
      </c>
      <c r="J694" s="360">
        <v>1.2436138792670648</v>
      </c>
      <c r="K694" s="360">
        <v>4940.7637161333942</v>
      </c>
      <c r="L694" s="360">
        <v>0.28251182248280016</v>
      </c>
      <c r="M694" s="360">
        <v>1.7824849541719081</v>
      </c>
      <c r="N694" s="360">
        <v>2.6192218445540951</v>
      </c>
      <c r="O694" s="360">
        <v>0.64172697000265022</v>
      </c>
      <c r="P694" s="360">
        <v>1.243613879574569</v>
      </c>
      <c r="Q694" s="360">
        <v>495.07112104574065</v>
      </c>
      <c r="R694" s="360">
        <v>4940.7637161333942</v>
      </c>
      <c r="S694" s="360">
        <v>0.28251182248280016</v>
      </c>
      <c r="T694" s="360">
        <v>1.7824849541719081</v>
      </c>
      <c r="U694" s="360">
        <v>2.6192218445540951</v>
      </c>
      <c r="V694" s="360">
        <v>0.64172697000265022</v>
      </c>
      <c r="W694" s="360">
        <v>1.243613879574569</v>
      </c>
      <c r="X694" s="360">
        <v>495.07112104574065</v>
      </c>
      <c r="Y694" s="360">
        <v>0.37236550521640405</v>
      </c>
      <c r="Z694" s="360">
        <v>1.1822510229590122</v>
      </c>
      <c r="AA694" s="360">
        <v>5601.829259695789</v>
      </c>
      <c r="AB694" s="360">
        <v>0.29172306974170359</v>
      </c>
      <c r="AC694" s="360">
        <v>1.7479427231230311</v>
      </c>
      <c r="AD694" s="360">
        <v>3.1705852708597146</v>
      </c>
      <c r="AE694" s="360">
        <v>0.76852589827097728</v>
      </c>
      <c r="AF694" s="360">
        <v>1.1822511649373544</v>
      </c>
      <c r="AG694" s="360">
        <v>-290.89182878132158</v>
      </c>
      <c r="AH694" s="360">
        <v>5601.829259695789</v>
      </c>
      <c r="AI694" s="360">
        <v>0.29172306974170359</v>
      </c>
      <c r="AJ694" s="360">
        <v>1.7479427231230311</v>
      </c>
      <c r="AK694" s="360">
        <v>3.1705852708597146</v>
      </c>
      <c r="AL694" s="360">
        <v>0.76852589827097728</v>
      </c>
      <c r="AM694" s="360">
        <v>1.1822511649373544</v>
      </c>
      <c r="AN694" s="360">
        <v>-290.89182878132158</v>
      </c>
      <c r="AO694" s="360">
        <f t="shared" si="30"/>
        <v>1</v>
      </c>
      <c r="AP694" s="360">
        <f t="shared" si="31"/>
        <v>1</v>
      </c>
      <c r="AQ694" s="360">
        <f t="shared" si="32"/>
        <v>1</v>
      </c>
    </row>
    <row r="695" spans="1:43">
      <c r="A695" s="360" t="s">
        <v>1083</v>
      </c>
      <c r="B695" t="s">
        <v>1075</v>
      </c>
      <c r="C695">
        <v>2</v>
      </c>
      <c r="D695" t="s">
        <v>1080</v>
      </c>
      <c r="E695" t="s">
        <v>1079</v>
      </c>
      <c r="F695" s="360">
        <v>10</v>
      </c>
      <c r="G695" s="360" t="str">
        <f>CONCATENATE(A695," ",B695," ",C695," ","inf+"," ",FanUpsizes!D695," ",FanUpsizes!F695)</f>
        <v>3ACH Percentile 2 inf+ Existing 10</v>
      </c>
      <c r="H695" s="360">
        <v>4.3176540760238462E-2</v>
      </c>
      <c r="I695" s="360">
        <v>0.35038289333329209</v>
      </c>
      <c r="J695" s="360">
        <v>1.2702499928627493</v>
      </c>
      <c r="K695" s="360">
        <v>2981.0624132344196</v>
      </c>
      <c r="L695" s="360">
        <v>0.31180550692142178</v>
      </c>
      <c r="M695" s="360">
        <v>1.4798886849004969</v>
      </c>
      <c r="N695" s="360">
        <v>1.3087918563740486</v>
      </c>
      <c r="O695" s="360">
        <v>0.37639068537945031</v>
      </c>
      <c r="P695" s="360">
        <v>1.2702499941552723</v>
      </c>
      <c r="Q695" s="360">
        <v>1857.8183318814329</v>
      </c>
      <c r="R695" s="360">
        <v>4244.1788827360433</v>
      </c>
      <c r="S695" s="360">
        <v>0.26567173367424479</v>
      </c>
      <c r="T695" s="360">
        <v>1.7445368116610138</v>
      </c>
      <c r="U695" s="360">
        <v>2.0043754137706653</v>
      </c>
      <c r="V695" s="360">
        <v>0.40739469707092563</v>
      </c>
      <c r="W695" s="360">
        <v>1.2702503103472409</v>
      </c>
      <c r="X695" s="360">
        <v>2746.1248990424065</v>
      </c>
      <c r="Y695" s="360">
        <v>0.36463204421244305</v>
      </c>
      <c r="Z695" s="360">
        <v>1.2136164624388812</v>
      </c>
      <c r="AA695" s="360">
        <v>3184.9482561390191</v>
      </c>
      <c r="AB695" s="360">
        <v>0.32308237100531934</v>
      </c>
      <c r="AC695" s="360">
        <v>1.4325188213469562</v>
      </c>
      <c r="AD695" s="360">
        <v>1.3453144910478303</v>
      </c>
      <c r="AE695" s="360">
        <v>0.39990052134809134</v>
      </c>
      <c r="AF695" s="360">
        <v>1.2136207388033924</v>
      </c>
      <c r="AG695" s="360">
        <v>1770.564978969506</v>
      </c>
      <c r="AH695" s="360">
        <v>4887.7340046031495</v>
      </c>
      <c r="AI695" s="360">
        <v>0.26515472687606434</v>
      </c>
      <c r="AJ695" s="360">
        <v>1.7509744400403753</v>
      </c>
      <c r="AK695" s="360">
        <v>2.0784095286268376</v>
      </c>
      <c r="AL695" s="360">
        <v>0.43095792858646986</v>
      </c>
      <c r="AM695" s="360">
        <v>1.2136167542325274</v>
      </c>
      <c r="AN695" s="360">
        <v>2783.7778270335825</v>
      </c>
      <c r="AO695" s="360">
        <f t="shared" si="30"/>
        <v>1</v>
      </c>
      <c r="AP695" s="360">
        <f t="shared" si="31"/>
        <v>1</v>
      </c>
      <c r="AQ695" s="360">
        <f t="shared" si="32"/>
        <v>1</v>
      </c>
    </row>
    <row r="696" spans="1:43">
      <c r="A696" s="360" t="s">
        <v>1083</v>
      </c>
      <c r="B696" t="s">
        <v>1074</v>
      </c>
      <c r="C696">
        <v>2</v>
      </c>
      <c r="D696" t="s">
        <v>1080</v>
      </c>
      <c r="E696" t="s">
        <v>1079</v>
      </c>
      <c r="F696" s="360">
        <v>10</v>
      </c>
      <c r="G696" s="360" t="str">
        <f>CONCATENATE(A696," ",B696," ",C696," ","inf+"," ",FanUpsizes!D696," ",FanUpsizes!F696)</f>
        <v>3ACH Infiltration 2 inf+ Existing 10</v>
      </c>
      <c r="H696" s="360">
        <v>4.3176540760238462E-2</v>
      </c>
      <c r="I696" s="360">
        <v>0.35038289333329209</v>
      </c>
      <c r="J696" s="360">
        <v>1.2702499928627493</v>
      </c>
      <c r="K696" s="360">
        <v>0</v>
      </c>
      <c r="L696" s="360">
        <v>0.35038289333329209</v>
      </c>
      <c r="M696" s="360">
        <v>1.2702499928627493</v>
      </c>
      <c r="N696" s="360">
        <v>1</v>
      </c>
      <c r="O696" s="360">
        <v>0.35038289333329209</v>
      </c>
      <c r="P696" s="360">
        <v>1.2702499928627493</v>
      </c>
      <c r="Q696" s="360">
        <v>0</v>
      </c>
      <c r="R696" s="360">
        <v>78.469655065787364</v>
      </c>
      <c r="S696" s="360">
        <v>0.34966441105443458</v>
      </c>
      <c r="T696" s="360">
        <v>1.2724251983321273</v>
      </c>
      <c r="U696" s="360">
        <v>1.0023621165000109</v>
      </c>
      <c r="V696" s="360">
        <v>0.3502262514306943</v>
      </c>
      <c r="W696" s="360">
        <v>1.2702504212724097</v>
      </c>
      <c r="X696" s="360">
        <v>63.304579432648495</v>
      </c>
      <c r="Y696" s="360">
        <v>0.36463204421244305</v>
      </c>
      <c r="Z696" s="360">
        <v>1.2136164624388812</v>
      </c>
      <c r="AA696" s="360">
        <v>0</v>
      </c>
      <c r="AB696" s="360">
        <v>0.36463204421244305</v>
      </c>
      <c r="AC696" s="360">
        <v>1.2136164624388812</v>
      </c>
      <c r="AD696" s="360">
        <v>1</v>
      </c>
      <c r="AE696" s="360">
        <v>0.36463204421244305</v>
      </c>
      <c r="AF696" s="360">
        <v>1.2136164624388812</v>
      </c>
      <c r="AG696" s="360">
        <v>0</v>
      </c>
      <c r="AH696" s="360">
        <v>105.19260363009839</v>
      </c>
      <c r="AI696" s="360">
        <v>0.36366642517605446</v>
      </c>
      <c r="AJ696" s="360">
        <v>1.2168221317514298</v>
      </c>
      <c r="AK696" s="360">
        <v>1.003354666045674</v>
      </c>
      <c r="AL696" s="360">
        <v>0.36460466035502909</v>
      </c>
      <c r="AM696" s="360">
        <v>1.2136165608745457</v>
      </c>
      <c r="AN696" s="360">
        <v>76.001898246642014</v>
      </c>
      <c r="AO696" s="360">
        <f t="shared" si="30"/>
        <v>1</v>
      </c>
      <c r="AP696" s="360">
        <f t="shared" si="31"/>
        <v>0</v>
      </c>
      <c r="AQ696" s="360">
        <f t="shared" si="32"/>
        <v>0</v>
      </c>
    </row>
    <row r="697" spans="1:43">
      <c r="A697" s="360" t="s">
        <v>1083</v>
      </c>
      <c r="B697" t="s">
        <v>1076</v>
      </c>
      <c r="C697">
        <v>2</v>
      </c>
      <c r="D697" t="s">
        <v>1080</v>
      </c>
      <c r="E697" t="s">
        <v>1079</v>
      </c>
      <c r="F697" s="360">
        <v>10</v>
      </c>
      <c r="G697" s="360" t="str">
        <f>CONCATENATE(A697," ",B697," ",C697," ","inf+"," ",FanUpsizes!D697," ",FanUpsizes!F697)</f>
        <v>3ACH 5C 2 inf+ Existing 10</v>
      </c>
      <c r="H697" s="360">
        <v>4.3176540760238462E-2</v>
      </c>
      <c r="I697" s="360">
        <v>0.35038289333329209</v>
      </c>
      <c r="J697" s="360">
        <v>1.2702499928627493</v>
      </c>
      <c r="K697" s="360">
        <v>4042.4188519739896</v>
      </c>
      <c r="L697" s="360">
        <v>0.29263733260964342</v>
      </c>
      <c r="M697" s="360">
        <v>1.6008696828777433</v>
      </c>
      <c r="N697" s="360">
        <v>1.6706316916405879</v>
      </c>
      <c r="O697" s="360">
        <v>0.41921903725990811</v>
      </c>
      <c r="P697" s="360">
        <v>1.2702517155488708</v>
      </c>
      <c r="Q697" s="360">
        <v>2530.2612960631604</v>
      </c>
      <c r="R697" s="360">
        <v>4042.4188519739896</v>
      </c>
      <c r="S697" s="360">
        <v>0.29263733260964342</v>
      </c>
      <c r="T697" s="360">
        <v>1.6008696828777433</v>
      </c>
      <c r="U697" s="360">
        <v>1.6706316916405879</v>
      </c>
      <c r="V697" s="360">
        <v>0.41921903725990811</v>
      </c>
      <c r="W697" s="360">
        <v>1.2702517155488708</v>
      </c>
      <c r="X697" s="360">
        <v>2530.2612960631604</v>
      </c>
      <c r="Y697" s="360">
        <v>0.36463204421244305</v>
      </c>
      <c r="Z697" s="360">
        <v>1.2136164624388812</v>
      </c>
      <c r="AA697" s="360">
        <v>4327.5852619524758</v>
      </c>
      <c r="AB697" s="360">
        <v>0.30236313106022106</v>
      </c>
      <c r="AC697" s="360">
        <v>1.5601992344863573</v>
      </c>
      <c r="AD697" s="360">
        <v>1.802596542846626</v>
      </c>
      <c r="AE697" s="360">
        <v>0.45741964219807635</v>
      </c>
      <c r="AF697" s="360">
        <v>1.2136166600029641</v>
      </c>
      <c r="AG697" s="360">
        <v>2433.7728584859078</v>
      </c>
      <c r="AH697" s="360">
        <v>4327.5852619524758</v>
      </c>
      <c r="AI697" s="360">
        <v>0.30236313106022106</v>
      </c>
      <c r="AJ697" s="360">
        <v>1.5601992344863573</v>
      </c>
      <c r="AK697" s="360">
        <v>1.802596542846626</v>
      </c>
      <c r="AL697" s="360">
        <v>0.45741964219807635</v>
      </c>
      <c r="AM697" s="360">
        <v>1.2136166600029641</v>
      </c>
      <c r="AN697" s="360">
        <v>2433.7728584859078</v>
      </c>
      <c r="AO697" s="360">
        <f t="shared" si="30"/>
        <v>1</v>
      </c>
      <c r="AP697" s="360">
        <f t="shared" si="31"/>
        <v>1</v>
      </c>
      <c r="AQ697" s="360">
        <f t="shared" si="32"/>
        <v>1</v>
      </c>
    </row>
    <row r="698" spans="1:43">
      <c r="A698" s="360" t="s">
        <v>1084</v>
      </c>
      <c r="B698" t="s">
        <v>1075</v>
      </c>
      <c r="C698">
        <v>1</v>
      </c>
      <c r="D698" t="s">
        <v>1078</v>
      </c>
      <c r="E698" t="s">
        <v>1079</v>
      </c>
      <c r="F698" s="360">
        <v>10</v>
      </c>
      <c r="G698" s="360" t="str">
        <f>CONCATENATE(A698," ",B698," ",C698," ","inf+"," ",FanUpsizes!D698," ",FanUpsizes!F698)</f>
        <v>1.5ACH Percentile 1 inf+ New 10</v>
      </c>
      <c r="H698" s="360">
        <v>3.7073881664759639E-2</v>
      </c>
      <c r="I698" s="360">
        <v>0.27383075093155362</v>
      </c>
      <c r="J698" s="360">
        <v>1.1661236379741979</v>
      </c>
      <c r="K698" s="360">
        <v>3566.1612751934181</v>
      </c>
      <c r="L698" s="360">
        <v>0.22725587545637443</v>
      </c>
      <c r="M698" s="360">
        <v>1.7252635098485436</v>
      </c>
      <c r="N698" s="360">
        <v>2.2203881018903422</v>
      </c>
      <c r="O698" s="360">
        <v>0.48055753898743692</v>
      </c>
      <c r="P698" s="360">
        <v>1.1661247837255204</v>
      </c>
      <c r="Q698" s="360">
        <v>-1242.4711858521537</v>
      </c>
      <c r="R698" s="360">
        <v>5299.7605424941794</v>
      </c>
      <c r="S698" s="360">
        <v>0.16943088977619733</v>
      </c>
      <c r="T698" s="360">
        <v>2.2431839822508022</v>
      </c>
      <c r="U698" s="360">
        <v>3.6277586013593308</v>
      </c>
      <c r="V698" s="360">
        <v>0.55151526765687997</v>
      </c>
      <c r="W698" s="360">
        <v>1.1661236478120147</v>
      </c>
      <c r="X698" s="360">
        <v>-28.325613258133707</v>
      </c>
      <c r="Y698" s="360">
        <v>0.28167574688162056</v>
      </c>
      <c r="Z698" s="360">
        <v>1.1341336982600367</v>
      </c>
      <c r="AA698" s="360">
        <v>3790.708418941585</v>
      </c>
      <c r="AB698" s="360">
        <v>0.2322353987586443</v>
      </c>
      <c r="AC698" s="360">
        <v>1.7008421439496946</v>
      </c>
      <c r="AD698" s="360">
        <v>2.3725067246323541</v>
      </c>
      <c r="AE698" s="360">
        <v>0.51431974429507932</v>
      </c>
      <c r="AF698" s="360">
        <v>1.134136164410767</v>
      </c>
      <c r="AG698" s="360">
        <v>-1544.4275980583639</v>
      </c>
      <c r="AH698" s="360">
        <v>5541.4602385651651</v>
      </c>
      <c r="AI698" s="360">
        <v>0.17431804526060685</v>
      </c>
      <c r="AJ698" s="360">
        <v>2.1813727564273107</v>
      </c>
      <c r="AK698" s="360">
        <v>3.8720443560028137</v>
      </c>
      <c r="AL698" s="360">
        <v>0.58958789852346061</v>
      </c>
      <c r="AM698" s="360">
        <v>1.1341338034365829</v>
      </c>
      <c r="AN698" s="360">
        <v>-249.86322925561808</v>
      </c>
      <c r="AO698" s="360">
        <f t="shared" si="30"/>
        <v>1</v>
      </c>
      <c r="AP698" s="360">
        <f t="shared" si="31"/>
        <v>1</v>
      </c>
      <c r="AQ698" s="360">
        <f t="shared" si="32"/>
        <v>1</v>
      </c>
    </row>
    <row r="699" spans="1:43">
      <c r="A699" s="360" t="s">
        <v>1084</v>
      </c>
      <c r="B699" t="s">
        <v>1074</v>
      </c>
      <c r="C699">
        <v>1</v>
      </c>
      <c r="D699" t="s">
        <v>1078</v>
      </c>
      <c r="E699" t="s">
        <v>1079</v>
      </c>
      <c r="F699" s="360">
        <v>10</v>
      </c>
      <c r="G699" s="360" t="str">
        <f>CONCATENATE(A699," ",B699," ",C699," ","inf+"," ",FanUpsizes!D699," ",FanUpsizes!F699)</f>
        <v>1.5ACH Infiltration 1 inf+ New 10</v>
      </c>
      <c r="H699" s="360">
        <v>3.7073881664759639E-2</v>
      </c>
      <c r="I699" s="360">
        <v>0.27383075093155362</v>
      </c>
      <c r="J699" s="360">
        <v>1.1661236379741979</v>
      </c>
      <c r="K699" s="360">
        <v>0</v>
      </c>
      <c r="L699" s="360">
        <v>0.27383075093155362</v>
      </c>
      <c r="M699" s="360">
        <v>1.1661236379741979</v>
      </c>
      <c r="N699" s="360">
        <v>1</v>
      </c>
      <c r="O699" s="360">
        <v>0.27383075093155362</v>
      </c>
      <c r="P699" s="360">
        <v>1.1661236379741979</v>
      </c>
      <c r="Q699" s="360">
        <v>0</v>
      </c>
      <c r="R699" s="360">
        <v>0</v>
      </c>
      <c r="S699" s="360">
        <v>0.27383075093155362</v>
      </c>
      <c r="T699" s="360">
        <v>1.1661236379741979</v>
      </c>
      <c r="U699" s="360">
        <v>1</v>
      </c>
      <c r="V699" s="360">
        <v>0.27383075093155362</v>
      </c>
      <c r="W699" s="360">
        <v>1.1661236379741979</v>
      </c>
      <c r="X699" s="360">
        <v>0</v>
      </c>
      <c r="Y699" s="360">
        <v>0.28167574688162056</v>
      </c>
      <c r="Z699" s="360">
        <v>1.1341336982600367</v>
      </c>
      <c r="AA699" s="360">
        <v>0</v>
      </c>
      <c r="AB699" s="360">
        <v>0.28167574688162056</v>
      </c>
      <c r="AC699" s="360">
        <v>1.1341336982600367</v>
      </c>
      <c r="AD699" s="360">
        <v>1</v>
      </c>
      <c r="AE699" s="360">
        <v>0.28167574688162056</v>
      </c>
      <c r="AF699" s="360">
        <v>1.1341336982600367</v>
      </c>
      <c r="AG699" s="360">
        <v>0</v>
      </c>
      <c r="AH699" s="360">
        <v>0</v>
      </c>
      <c r="AI699" s="360">
        <v>0.28167574688162056</v>
      </c>
      <c r="AJ699" s="360">
        <v>1.1341336982600367</v>
      </c>
      <c r="AK699" s="360">
        <v>1</v>
      </c>
      <c r="AL699" s="360">
        <v>0.28167574688162056</v>
      </c>
      <c r="AM699" s="360">
        <v>1.1341336982600367</v>
      </c>
      <c r="AN699" s="360">
        <v>0</v>
      </c>
      <c r="AO699" s="360">
        <f t="shared" si="30"/>
        <v>1</v>
      </c>
      <c r="AP699" s="360">
        <f t="shared" si="31"/>
        <v>0</v>
      </c>
      <c r="AQ699" s="360">
        <f t="shared" si="32"/>
        <v>0</v>
      </c>
    </row>
    <row r="700" spans="1:43">
      <c r="A700" s="360" t="s">
        <v>1084</v>
      </c>
      <c r="B700" t="s">
        <v>1076</v>
      </c>
      <c r="C700">
        <v>1</v>
      </c>
      <c r="D700" t="s">
        <v>1078</v>
      </c>
      <c r="E700" t="s">
        <v>1079</v>
      </c>
      <c r="F700" s="360">
        <v>10</v>
      </c>
      <c r="G700" s="360" t="str">
        <f>CONCATENATE(A700," ",B700," ",C700," ","inf+"," ",FanUpsizes!D700," ",FanUpsizes!F700)</f>
        <v>1.5ACH 5C 1 inf+ New 10</v>
      </c>
      <c r="H700" s="360">
        <v>3.7073881664759639E-2</v>
      </c>
      <c r="I700" s="360">
        <v>0.27383075093155362</v>
      </c>
      <c r="J700" s="360">
        <v>1.1661236379741979</v>
      </c>
      <c r="K700" s="360">
        <v>4835.9076195735724</v>
      </c>
      <c r="L700" s="360">
        <v>0.20416653043364427</v>
      </c>
      <c r="M700" s="360">
        <v>2.0867483912437224</v>
      </c>
      <c r="N700" s="360">
        <v>10.789266784012467</v>
      </c>
      <c r="O700" s="360">
        <v>1.9226572102628072</v>
      </c>
      <c r="P700" s="360">
        <v>1.2840430429311682</v>
      </c>
      <c r="Q700" s="360">
        <v>-16512.809225823839</v>
      </c>
      <c r="R700" s="360">
        <v>4835.9076195735724</v>
      </c>
      <c r="S700" s="360">
        <v>0.20416653043364427</v>
      </c>
      <c r="T700" s="360">
        <v>2.0867483912437224</v>
      </c>
      <c r="U700" s="360">
        <v>10.789266784012467</v>
      </c>
      <c r="V700" s="360">
        <v>1.9226572102628072</v>
      </c>
      <c r="W700" s="360">
        <v>1.2840430429311682</v>
      </c>
      <c r="X700" s="360">
        <v>-16512.809225823839</v>
      </c>
      <c r="Y700" s="360">
        <v>0.28167574688162056</v>
      </c>
      <c r="Z700" s="360">
        <v>1.1341336982600367</v>
      </c>
      <c r="AA700" s="360">
        <v>5132.0285113160071</v>
      </c>
      <c r="AB700" s="360">
        <v>0.20784856493644377</v>
      </c>
      <c r="AC700" s="360">
        <v>2.0677624183989809</v>
      </c>
      <c r="AD700" s="360">
        <v>10.789266784012467</v>
      </c>
      <c r="AE700" s="360">
        <v>1.9230087057598013</v>
      </c>
      <c r="AF700" s="360">
        <v>1.2840264726748949</v>
      </c>
      <c r="AG700" s="360">
        <v>-16161.931261292957</v>
      </c>
      <c r="AH700" s="360">
        <v>5132.0285113160071</v>
      </c>
      <c r="AI700" s="360">
        <v>0.20784856493644377</v>
      </c>
      <c r="AJ700" s="360">
        <v>2.0677624183989809</v>
      </c>
      <c r="AK700" s="360">
        <v>10.789266784012467</v>
      </c>
      <c r="AL700" s="360">
        <v>1.9230087057598013</v>
      </c>
      <c r="AM700" s="360">
        <v>1.2840264726748949</v>
      </c>
      <c r="AN700" s="360">
        <v>-16161.931261292957</v>
      </c>
      <c r="AO700" s="360">
        <f t="shared" si="30"/>
        <v>0</v>
      </c>
      <c r="AP700" s="360">
        <f t="shared" si="31"/>
        <v>1</v>
      </c>
      <c r="AQ700" s="360">
        <f t="shared" si="32"/>
        <v>1</v>
      </c>
    </row>
    <row r="701" spans="1:43">
      <c r="A701" s="360" t="s">
        <v>1084</v>
      </c>
      <c r="B701" t="s">
        <v>1075</v>
      </c>
      <c r="C701">
        <v>2</v>
      </c>
      <c r="D701" t="s">
        <v>1078</v>
      </c>
      <c r="E701" t="s">
        <v>1079</v>
      </c>
      <c r="F701" s="360">
        <v>10</v>
      </c>
      <c r="G701" s="360" t="str">
        <f>CONCATENATE(A701," ",B701," ",C701," ","inf+"," ",FanUpsizes!D701," ",FanUpsizes!F701)</f>
        <v>1.5ACH Percentile 2 inf+ New 10</v>
      </c>
      <c r="H701" s="360">
        <v>3.5095770380119226E-2</v>
      </c>
      <c r="I701" s="360">
        <v>0.26169674884956767</v>
      </c>
      <c r="J701" s="360">
        <v>1.2212805174806995</v>
      </c>
      <c r="K701" s="360">
        <v>2880.3770772975181</v>
      </c>
      <c r="L701" s="360">
        <v>0.2240405410547418</v>
      </c>
      <c r="M701" s="360">
        <v>1.6040416009060467</v>
      </c>
      <c r="N701" s="360">
        <v>1.6095074899815431</v>
      </c>
      <c r="O701" s="360">
        <v>0.34219284158691105</v>
      </c>
      <c r="P701" s="360">
        <v>1.2212810629497057</v>
      </c>
      <c r="Q701" s="360">
        <v>661.61053632787969</v>
      </c>
      <c r="R701" s="360">
        <v>4287.9929881815151</v>
      </c>
      <c r="S701" s="360">
        <v>0.1752968954470937</v>
      </c>
      <c r="T701" s="360">
        <v>2.0228789059284842</v>
      </c>
      <c r="U701" s="360">
        <v>2.58920783047241</v>
      </c>
      <c r="V701" s="360">
        <v>0.3855234026068517</v>
      </c>
      <c r="W701" s="360">
        <v>1.2212822620476078</v>
      </c>
      <c r="X701" s="360">
        <v>1562.2712744998773</v>
      </c>
      <c r="Y701" s="360">
        <v>0.27409628030475158</v>
      </c>
      <c r="Z701" s="360">
        <v>1.1667973043233633</v>
      </c>
      <c r="AA701" s="360">
        <v>3223.8656112502531</v>
      </c>
      <c r="AB701" s="360">
        <v>0.23204215885658558</v>
      </c>
      <c r="AC701" s="360">
        <v>1.5638982580963376</v>
      </c>
      <c r="AD701" s="360">
        <v>1.7261069672501785</v>
      </c>
      <c r="AE701" s="360">
        <v>0.37085400917439443</v>
      </c>
      <c r="AF701" s="360">
        <v>1.1667991760235581</v>
      </c>
      <c r="AG701" s="360">
        <v>615.77330127381367</v>
      </c>
      <c r="AH701" s="360">
        <v>4796.7111938244761</v>
      </c>
      <c r="AI701" s="360">
        <v>0.17957096167716258</v>
      </c>
      <c r="AJ701" s="360">
        <v>1.9815021195832514</v>
      </c>
      <c r="AK701" s="360">
        <v>2.7652358604467677</v>
      </c>
      <c r="AL701" s="360">
        <v>0.41569884338038449</v>
      </c>
      <c r="AM701" s="360">
        <v>1.1667991214457112</v>
      </c>
      <c r="AN701" s="360">
        <v>1585.0779288752101</v>
      </c>
      <c r="AO701" s="360">
        <f t="shared" si="30"/>
        <v>1</v>
      </c>
      <c r="AP701" s="360">
        <f t="shared" si="31"/>
        <v>1</v>
      </c>
      <c r="AQ701" s="360">
        <f t="shared" si="32"/>
        <v>1</v>
      </c>
    </row>
    <row r="702" spans="1:43">
      <c r="A702" s="360" t="s">
        <v>1084</v>
      </c>
      <c r="B702" t="s">
        <v>1074</v>
      </c>
      <c r="C702">
        <v>2</v>
      </c>
      <c r="D702" t="s">
        <v>1078</v>
      </c>
      <c r="E702" t="s">
        <v>1079</v>
      </c>
      <c r="F702" s="360">
        <v>10</v>
      </c>
      <c r="G702" s="360" t="str">
        <f>CONCATENATE(A702," ",B702," ",C702," ","inf+"," ",FanUpsizes!D702," ",FanUpsizes!F702)</f>
        <v>1.5ACH Infiltration 2 inf+ New 10</v>
      </c>
      <c r="H702" s="360">
        <v>3.5095770380119226E-2</v>
      </c>
      <c r="I702" s="360">
        <v>0.26169674884956767</v>
      </c>
      <c r="J702" s="360">
        <v>1.2212805174806995</v>
      </c>
      <c r="K702" s="360">
        <v>0</v>
      </c>
      <c r="L702" s="360">
        <v>0.26169674884956767</v>
      </c>
      <c r="M702" s="360">
        <v>1.2212805174806995</v>
      </c>
      <c r="N702" s="360">
        <v>1</v>
      </c>
      <c r="O702" s="360">
        <v>0.26169674884956767</v>
      </c>
      <c r="P702" s="360">
        <v>1.2212805174806995</v>
      </c>
      <c r="Q702" s="360">
        <v>0</v>
      </c>
      <c r="R702" s="360">
        <v>0</v>
      </c>
      <c r="S702" s="360">
        <v>0.26169674884956767</v>
      </c>
      <c r="T702" s="360">
        <v>1.2212805174806995</v>
      </c>
      <c r="U702" s="360">
        <v>1</v>
      </c>
      <c r="V702" s="360">
        <v>0.26169674884956767</v>
      </c>
      <c r="W702" s="360">
        <v>1.2212805174806995</v>
      </c>
      <c r="X702" s="360">
        <v>0</v>
      </c>
      <c r="Y702" s="360">
        <v>0.27409628030475158</v>
      </c>
      <c r="Z702" s="360">
        <v>1.1667973043233633</v>
      </c>
      <c r="AA702" s="360">
        <v>0</v>
      </c>
      <c r="AB702" s="360">
        <v>0.27409628030475158</v>
      </c>
      <c r="AC702" s="360">
        <v>1.1667973043233633</v>
      </c>
      <c r="AD702" s="360">
        <v>1</v>
      </c>
      <c r="AE702" s="360">
        <v>0.27409628030475158</v>
      </c>
      <c r="AF702" s="360">
        <v>1.1667973043233633</v>
      </c>
      <c r="AG702" s="360">
        <v>0</v>
      </c>
      <c r="AH702" s="360">
        <v>0</v>
      </c>
      <c r="AI702" s="360">
        <v>0.27409628030475158</v>
      </c>
      <c r="AJ702" s="360">
        <v>1.1667973043233633</v>
      </c>
      <c r="AK702" s="360">
        <v>1</v>
      </c>
      <c r="AL702" s="360">
        <v>0.27409628030475158</v>
      </c>
      <c r="AM702" s="360">
        <v>1.1667973043233633</v>
      </c>
      <c r="AN702" s="360">
        <v>0</v>
      </c>
      <c r="AO702" s="360">
        <f t="shared" si="30"/>
        <v>1</v>
      </c>
      <c r="AP702" s="360">
        <f t="shared" si="31"/>
        <v>0</v>
      </c>
      <c r="AQ702" s="360">
        <f t="shared" si="32"/>
        <v>0</v>
      </c>
    </row>
    <row r="703" spans="1:43">
      <c r="A703" s="360" t="s">
        <v>1084</v>
      </c>
      <c r="B703" t="s">
        <v>1076</v>
      </c>
      <c r="C703">
        <v>2</v>
      </c>
      <c r="D703" t="s">
        <v>1078</v>
      </c>
      <c r="E703" t="s">
        <v>1079</v>
      </c>
      <c r="F703" s="360">
        <v>10</v>
      </c>
      <c r="G703" s="360" t="str">
        <f>CONCATENATE(A703," ",B703," ",C703," ","inf+"," ",FanUpsizes!D703," ",FanUpsizes!F703)</f>
        <v>1.5ACH 5C 2 inf+ New 10</v>
      </c>
      <c r="H703" s="360">
        <v>3.5095770380119226E-2</v>
      </c>
      <c r="I703" s="360">
        <v>0.26169674884956767</v>
      </c>
      <c r="J703" s="360">
        <v>1.2212805174806995</v>
      </c>
      <c r="K703" s="360">
        <v>3920.9358942095537</v>
      </c>
      <c r="L703" s="360">
        <v>0.20514715096997202</v>
      </c>
      <c r="M703" s="360">
        <v>1.8388217330076735</v>
      </c>
      <c r="N703" s="360">
        <v>3.2962240741856084</v>
      </c>
      <c r="O703" s="360">
        <v>0.58571899100424796</v>
      </c>
      <c r="P703" s="360">
        <v>1.2212806609316984</v>
      </c>
      <c r="Q703" s="360">
        <v>-798.92772146400193</v>
      </c>
      <c r="R703" s="360">
        <v>3920.9358942095537</v>
      </c>
      <c r="S703" s="360">
        <v>0.20514715096997202</v>
      </c>
      <c r="T703" s="360">
        <v>1.8388217330076735</v>
      </c>
      <c r="U703" s="360">
        <v>3.2962240741856084</v>
      </c>
      <c r="V703" s="360">
        <v>0.58571899100424796</v>
      </c>
      <c r="W703" s="360">
        <v>1.2212806609316984</v>
      </c>
      <c r="X703" s="360">
        <v>-798.92772146400193</v>
      </c>
      <c r="Y703" s="360">
        <v>0.27409628030475158</v>
      </c>
      <c r="Z703" s="360">
        <v>1.1667973043233633</v>
      </c>
      <c r="AA703" s="360">
        <v>4366.4454074585019</v>
      </c>
      <c r="AB703" s="360">
        <v>0.211281774898013</v>
      </c>
      <c r="AC703" s="360">
        <v>1.8071734455799213</v>
      </c>
      <c r="AD703" s="360">
        <v>4.0870204892942548</v>
      </c>
      <c r="AE703" s="360">
        <v>0.71895922038574578</v>
      </c>
      <c r="AF703" s="360">
        <v>1.1667974103395022</v>
      </c>
      <c r="AG703" s="360">
        <v>-1920.0084567040983</v>
      </c>
      <c r="AH703" s="360">
        <v>4366.4454074585019</v>
      </c>
      <c r="AI703" s="360">
        <v>0.211281774898013</v>
      </c>
      <c r="AJ703" s="360">
        <v>1.8071734455799213</v>
      </c>
      <c r="AK703" s="360">
        <v>4.0870204892942548</v>
      </c>
      <c r="AL703" s="360">
        <v>0.71895922038574578</v>
      </c>
      <c r="AM703" s="360">
        <v>1.1667974103395022</v>
      </c>
      <c r="AN703" s="360">
        <v>-1920.0084567040983</v>
      </c>
      <c r="AO703" s="360">
        <f t="shared" si="30"/>
        <v>1</v>
      </c>
      <c r="AP703" s="360">
        <f t="shared" si="31"/>
        <v>1</v>
      </c>
      <c r="AQ703" s="360">
        <f t="shared" si="32"/>
        <v>1</v>
      </c>
    </row>
    <row r="704" spans="1:43">
      <c r="A704" s="360" t="s">
        <v>1084</v>
      </c>
      <c r="B704" t="s">
        <v>1075</v>
      </c>
      <c r="C704">
        <v>1</v>
      </c>
      <c r="D704" t="s">
        <v>1080</v>
      </c>
      <c r="E704" t="s">
        <v>1079</v>
      </c>
      <c r="F704" s="360">
        <v>10</v>
      </c>
      <c r="G704" s="360" t="str">
        <f>CONCATENATE(A704," ",B704," ",C704," ","inf+"," ",FanUpsizes!D704," ",FanUpsizes!F704)</f>
        <v>1.5ACH Percentile 1 inf+ Existing 10</v>
      </c>
      <c r="H704" s="360">
        <v>5.332388166475964E-2</v>
      </c>
      <c r="I704" s="360">
        <v>0.39357905007969923</v>
      </c>
      <c r="J704" s="360">
        <v>1.1160505802130027</v>
      </c>
      <c r="K704" s="360">
        <v>5780.7907625289854</v>
      </c>
      <c r="L704" s="360">
        <v>0.31817370924906663</v>
      </c>
      <c r="M704" s="360">
        <v>1.9500837350369074</v>
      </c>
      <c r="N704" s="360">
        <v>6.4075443371805436</v>
      </c>
      <c r="O704" s="360">
        <v>1.9330848858567533</v>
      </c>
      <c r="P704" s="360">
        <v>1.1160506310138407</v>
      </c>
      <c r="Q704" s="360">
        <v>-24892.177133642766</v>
      </c>
      <c r="R704" s="360">
        <v>8428.6940644409769</v>
      </c>
      <c r="S704" s="360">
        <v>0.23123065155294792</v>
      </c>
      <c r="T704" s="360">
        <v>2.5184538388694673</v>
      </c>
      <c r="U704" s="360">
        <v>7.5013293764836622</v>
      </c>
      <c r="V704" s="360">
        <v>1.6016934990929805</v>
      </c>
      <c r="W704" s="360">
        <v>1.1778802303229909</v>
      </c>
      <c r="X704" s="360">
        <v>-10978.588126007391</v>
      </c>
      <c r="Y704" s="360">
        <v>0.39923514126819903</v>
      </c>
      <c r="Z704" s="360">
        <v>1.1003809058203746</v>
      </c>
      <c r="AA704" s="360">
        <v>5944.4560458819333</v>
      </c>
      <c r="AB704" s="360">
        <v>0.32173968403050862</v>
      </c>
      <c r="AC704" s="360">
        <v>1.9378635068675512</v>
      </c>
      <c r="AD704" s="360">
        <v>7.1448948602444444</v>
      </c>
      <c r="AE704" s="360">
        <v>2.1537922941988694</v>
      </c>
      <c r="AF704" s="360">
        <v>1.1003809781549545</v>
      </c>
      <c r="AG704" s="360">
        <v>-28828.478250663433</v>
      </c>
      <c r="AH704" s="360">
        <v>8540.7975784652226</v>
      </c>
      <c r="AI704" s="360">
        <v>0.23631084529698279</v>
      </c>
      <c r="AJ704" s="360">
        <v>2.4654291122941752</v>
      </c>
      <c r="AK704" s="360">
        <v>7.5013293764836622</v>
      </c>
      <c r="AL704" s="360">
        <v>1.6025051654203375</v>
      </c>
      <c r="AM704" s="360">
        <v>1.1776905356588128</v>
      </c>
      <c r="AN704" s="360">
        <v>-10744.235158694783</v>
      </c>
      <c r="AO704" s="360">
        <f t="shared" si="30"/>
        <v>1</v>
      </c>
      <c r="AP704" s="360">
        <f t="shared" si="31"/>
        <v>1</v>
      </c>
      <c r="AQ704" s="360">
        <f t="shared" si="32"/>
        <v>1</v>
      </c>
    </row>
    <row r="705" spans="1:43">
      <c r="A705" s="360" t="s">
        <v>1084</v>
      </c>
      <c r="B705" t="s">
        <v>1074</v>
      </c>
      <c r="C705">
        <v>1</v>
      </c>
      <c r="D705" t="s">
        <v>1080</v>
      </c>
      <c r="E705" t="s">
        <v>1079</v>
      </c>
      <c r="F705" s="360">
        <v>10</v>
      </c>
      <c r="G705" s="360" t="str">
        <f>CONCATENATE(A705," ",B705," ",C705," ","inf+"," ",FanUpsizes!D705," ",FanUpsizes!F705)</f>
        <v>1.5ACH Infiltration 1 inf+ Existing 10</v>
      </c>
      <c r="H705" s="360">
        <v>5.332388166475964E-2</v>
      </c>
      <c r="I705" s="360">
        <v>0.39357905007969923</v>
      </c>
      <c r="J705" s="360">
        <v>1.1160505802130027</v>
      </c>
      <c r="K705" s="360">
        <v>0</v>
      </c>
      <c r="L705" s="360">
        <v>0.39357905007969923</v>
      </c>
      <c r="M705" s="360">
        <v>1.1160505802130027</v>
      </c>
      <c r="N705" s="360">
        <v>1</v>
      </c>
      <c r="O705" s="360">
        <v>0.39357905007969923</v>
      </c>
      <c r="P705" s="360">
        <v>1.1160505802130027</v>
      </c>
      <c r="Q705" s="360">
        <v>0</v>
      </c>
      <c r="R705" s="360">
        <v>0</v>
      </c>
      <c r="S705" s="360">
        <v>0.39357905007969923</v>
      </c>
      <c r="T705" s="360">
        <v>1.1160505802130027</v>
      </c>
      <c r="U705" s="360">
        <v>1</v>
      </c>
      <c r="V705" s="360">
        <v>0.39357905007969923</v>
      </c>
      <c r="W705" s="360">
        <v>1.1160505802130027</v>
      </c>
      <c r="X705" s="360">
        <v>0</v>
      </c>
      <c r="Y705" s="360">
        <v>0.39923514126819903</v>
      </c>
      <c r="Z705" s="360">
        <v>1.1003809058203746</v>
      </c>
      <c r="AA705" s="360">
        <v>0</v>
      </c>
      <c r="AB705" s="360">
        <v>0.39923514126819903</v>
      </c>
      <c r="AC705" s="360">
        <v>1.1003809058203746</v>
      </c>
      <c r="AD705" s="360">
        <v>1</v>
      </c>
      <c r="AE705" s="360">
        <v>0.39923514126819903</v>
      </c>
      <c r="AF705" s="360">
        <v>1.1003809058203746</v>
      </c>
      <c r="AG705" s="360">
        <v>0</v>
      </c>
      <c r="AH705" s="360">
        <v>0</v>
      </c>
      <c r="AI705" s="360">
        <v>0.39923514126819903</v>
      </c>
      <c r="AJ705" s="360">
        <v>1.1003809058203746</v>
      </c>
      <c r="AK705" s="360">
        <v>1</v>
      </c>
      <c r="AL705" s="360">
        <v>0.39923514126819903</v>
      </c>
      <c r="AM705" s="360">
        <v>1.1003809058203746</v>
      </c>
      <c r="AN705" s="360">
        <v>0</v>
      </c>
      <c r="AO705" s="360">
        <f t="shared" si="30"/>
        <v>1</v>
      </c>
      <c r="AP705" s="360">
        <f t="shared" si="31"/>
        <v>0</v>
      </c>
      <c r="AQ705" s="360">
        <f t="shared" si="32"/>
        <v>0</v>
      </c>
    </row>
    <row r="706" spans="1:43">
      <c r="A706" s="360" t="s">
        <v>1084</v>
      </c>
      <c r="B706" t="s">
        <v>1076</v>
      </c>
      <c r="C706">
        <v>1</v>
      </c>
      <c r="D706" t="s">
        <v>1080</v>
      </c>
      <c r="E706" t="s">
        <v>1079</v>
      </c>
      <c r="F706" s="360">
        <v>10</v>
      </c>
      <c r="G706" s="360" t="str">
        <f>CONCATENATE(A706," ",B706," ",C706," ","inf+"," ",FanUpsizes!D706," ",FanUpsizes!F706)</f>
        <v>1.5ACH 5C 1 inf+ Existing 10</v>
      </c>
      <c r="H706" s="360">
        <v>5.332388166475964E-2</v>
      </c>
      <c r="I706" s="360">
        <v>0.39357905007969923</v>
      </c>
      <c r="J706" s="360">
        <v>1.1160505802130027</v>
      </c>
      <c r="K706" s="360">
        <v>7819.8896578650683</v>
      </c>
      <c r="L706" s="360">
        <v>0.28107983718904639</v>
      </c>
      <c r="M706" s="360">
        <v>2.5055380135511269</v>
      </c>
      <c r="N706" s="360">
        <v>7.5013293764836622</v>
      </c>
      <c r="O706" s="360">
        <v>1.9226572102628072</v>
      </c>
      <c r="P706" s="360">
        <v>1.7657034873453512</v>
      </c>
      <c r="Q706" s="360">
        <v>-12573.799878187572</v>
      </c>
      <c r="R706" s="360">
        <v>7819.8896578650683</v>
      </c>
      <c r="S706" s="360">
        <v>0.28107983718904639</v>
      </c>
      <c r="T706" s="360">
        <v>2.5055380135511269</v>
      </c>
      <c r="U706" s="360">
        <v>7.5013293764836622</v>
      </c>
      <c r="V706" s="360">
        <v>1.9226572102628072</v>
      </c>
      <c r="W706" s="360">
        <v>1.7657034873453512</v>
      </c>
      <c r="X706" s="360">
        <v>-12573.799878187572</v>
      </c>
      <c r="Y706" s="360">
        <v>0.39923514126819903</v>
      </c>
      <c r="Z706" s="360">
        <v>1.1003809058203746</v>
      </c>
      <c r="AA706" s="360">
        <v>8036.3997071866243</v>
      </c>
      <c r="AB706" s="360">
        <v>0.28369010181168625</v>
      </c>
      <c r="AC706" s="360">
        <v>2.4960885647730904</v>
      </c>
      <c r="AD706" s="360">
        <v>7.5013293764836622</v>
      </c>
      <c r="AE706" s="360">
        <v>1.9230087057598013</v>
      </c>
      <c r="AF706" s="360">
        <v>1.7656806934283569</v>
      </c>
      <c r="AG706" s="360">
        <v>-12319.863321999681</v>
      </c>
      <c r="AH706" s="360">
        <v>8036.3997071866243</v>
      </c>
      <c r="AI706" s="360">
        <v>0.28369010181168625</v>
      </c>
      <c r="AJ706" s="360">
        <v>2.4960885647730904</v>
      </c>
      <c r="AK706" s="360">
        <v>7.5013293764836622</v>
      </c>
      <c r="AL706" s="360">
        <v>1.9230087057598013</v>
      </c>
      <c r="AM706" s="360">
        <v>1.7656806934283569</v>
      </c>
      <c r="AN706" s="360">
        <v>-12319.863321999681</v>
      </c>
      <c r="AO706" s="360">
        <f t="shared" si="30"/>
        <v>0</v>
      </c>
      <c r="AP706" s="360">
        <f t="shared" si="31"/>
        <v>1</v>
      </c>
      <c r="AQ706" s="360">
        <f t="shared" si="32"/>
        <v>1</v>
      </c>
    </row>
    <row r="707" spans="1:43">
      <c r="A707" s="360" t="s">
        <v>1084</v>
      </c>
      <c r="B707" t="s">
        <v>1075</v>
      </c>
      <c r="C707">
        <v>2</v>
      </c>
      <c r="D707" t="s">
        <v>1080</v>
      </c>
      <c r="E707" t="s">
        <v>1079</v>
      </c>
      <c r="F707" s="360">
        <v>10</v>
      </c>
      <c r="G707" s="360" t="str">
        <f>CONCATENATE(A707," ",B707," ",C707," ","inf+"," ",FanUpsizes!D707," ",FanUpsizes!F707)</f>
        <v>1.5ACH Percentile 2 inf+ Existing 10</v>
      </c>
      <c r="H707" s="360">
        <v>5.1345770380119227E-2</v>
      </c>
      <c r="I707" s="360">
        <v>0.3792255843764229</v>
      </c>
      <c r="J707" s="360">
        <v>1.1583168598264997</v>
      </c>
      <c r="K707" s="360">
        <v>5036.3242083204686</v>
      </c>
      <c r="L707" s="360">
        <v>0.31348151948322628</v>
      </c>
      <c r="M707" s="360">
        <v>1.7685976955661407</v>
      </c>
      <c r="N707" s="360">
        <v>2.5944374699670041</v>
      </c>
      <c r="O707" s="360">
        <v>0.77186274609975025</v>
      </c>
      <c r="P707" s="360">
        <v>1.1583168649448443</v>
      </c>
      <c r="Q707" s="360">
        <v>-3666.770058746984</v>
      </c>
      <c r="R707" s="360">
        <v>7448.925974914745</v>
      </c>
      <c r="S707" s="360">
        <v>0.23315286454783235</v>
      </c>
      <c r="T707" s="360">
        <v>2.2866325386880035</v>
      </c>
      <c r="U707" s="360">
        <v>4.2300095373716609</v>
      </c>
      <c r="V707" s="360">
        <v>0.88488684461049727</v>
      </c>
      <c r="W707" s="360">
        <v>1.1583168642891155</v>
      </c>
      <c r="X707" s="360">
        <v>-1676.3688559384198</v>
      </c>
      <c r="Y707" s="360">
        <v>0.38952704850241932</v>
      </c>
      <c r="Z707" s="360">
        <v>1.1281542449374287</v>
      </c>
      <c r="AA707" s="360">
        <v>5321.3580309159661</v>
      </c>
      <c r="AB707" s="360">
        <v>0.32014042169327067</v>
      </c>
      <c r="AC707" s="360">
        <v>1.7457843262873556</v>
      </c>
      <c r="AD707" s="360">
        <v>2.8046523808174535</v>
      </c>
      <c r="AE707" s="360">
        <v>0.83477730669042105</v>
      </c>
      <c r="AF707" s="360">
        <v>1.1281545817600811</v>
      </c>
      <c r="AG707" s="360">
        <v>-4421.0159992785066</v>
      </c>
      <c r="AH707" s="360">
        <v>7753.2300834675671</v>
      </c>
      <c r="AI707" s="360">
        <v>0.23975112199423862</v>
      </c>
      <c r="AJ707" s="360">
        <v>2.2261444297165931</v>
      </c>
      <c r="AK707" s="360">
        <v>4.5692480646860991</v>
      </c>
      <c r="AL707" s="360">
        <v>0.95632760409225326</v>
      </c>
      <c r="AM707" s="360">
        <v>1.1281542534749167</v>
      </c>
      <c r="AN707" s="360">
        <v>-2272.4007821607483</v>
      </c>
      <c r="AO707" s="360">
        <f t="shared" si="30"/>
        <v>1</v>
      </c>
      <c r="AP707" s="360">
        <f t="shared" si="31"/>
        <v>1</v>
      </c>
      <c r="AQ707" s="360">
        <f t="shared" si="32"/>
        <v>1</v>
      </c>
    </row>
    <row r="708" spans="1:43">
      <c r="A708" s="360" t="s">
        <v>1084</v>
      </c>
      <c r="B708" t="s">
        <v>1074</v>
      </c>
      <c r="C708">
        <v>2</v>
      </c>
      <c r="D708" t="s">
        <v>1080</v>
      </c>
      <c r="E708" t="s">
        <v>1079</v>
      </c>
      <c r="F708" s="360">
        <v>10</v>
      </c>
      <c r="G708" s="360" t="str">
        <f>CONCATENATE(A708," ",B708," ",C708," ","inf+"," ",FanUpsizes!D708," ",FanUpsizes!F708)</f>
        <v>1.5ACH Infiltration 2 inf+ Existing 10</v>
      </c>
      <c r="H708" s="360">
        <v>5.1345770380119227E-2</v>
      </c>
      <c r="I708" s="360">
        <v>0.3792255843764229</v>
      </c>
      <c r="J708" s="360">
        <v>1.1583168598264997</v>
      </c>
      <c r="K708" s="360">
        <v>0</v>
      </c>
      <c r="L708" s="360">
        <v>0.3792255843764229</v>
      </c>
      <c r="M708" s="360">
        <v>1.1583168598264997</v>
      </c>
      <c r="N708" s="360">
        <v>1</v>
      </c>
      <c r="O708" s="360">
        <v>0.3792255843764229</v>
      </c>
      <c r="P708" s="360">
        <v>1.1583168598264997</v>
      </c>
      <c r="Q708" s="360">
        <v>0</v>
      </c>
      <c r="R708" s="360">
        <v>0</v>
      </c>
      <c r="S708" s="360">
        <v>0.3792255843764229</v>
      </c>
      <c r="T708" s="360">
        <v>1.1583168598264997</v>
      </c>
      <c r="U708" s="360">
        <v>1</v>
      </c>
      <c r="V708" s="360">
        <v>0.3792255843764229</v>
      </c>
      <c r="W708" s="360">
        <v>1.1583168598264997</v>
      </c>
      <c r="X708" s="360">
        <v>0</v>
      </c>
      <c r="Y708" s="360">
        <v>0.38952704850241932</v>
      </c>
      <c r="Z708" s="360">
        <v>1.1281542449374287</v>
      </c>
      <c r="AA708" s="360">
        <v>0</v>
      </c>
      <c r="AB708" s="360">
        <v>0.38952704850241932</v>
      </c>
      <c r="AC708" s="360">
        <v>1.1281542449374287</v>
      </c>
      <c r="AD708" s="360">
        <v>1</v>
      </c>
      <c r="AE708" s="360">
        <v>0.38952704850241932</v>
      </c>
      <c r="AF708" s="360">
        <v>1.1281542449374287</v>
      </c>
      <c r="AG708" s="360">
        <v>0</v>
      </c>
      <c r="AH708" s="360">
        <v>0</v>
      </c>
      <c r="AI708" s="360">
        <v>0.38952704850241932</v>
      </c>
      <c r="AJ708" s="360">
        <v>1.1281542449374287</v>
      </c>
      <c r="AK708" s="360">
        <v>1</v>
      </c>
      <c r="AL708" s="360">
        <v>0.38952704850241932</v>
      </c>
      <c r="AM708" s="360">
        <v>1.1281542449374287</v>
      </c>
      <c r="AN708" s="360">
        <v>0</v>
      </c>
      <c r="AO708" s="360">
        <f t="shared" si="30"/>
        <v>1</v>
      </c>
      <c r="AP708" s="360">
        <f t="shared" si="31"/>
        <v>0</v>
      </c>
      <c r="AQ708" s="360">
        <f t="shared" si="32"/>
        <v>0</v>
      </c>
    </row>
    <row r="709" spans="1:43">
      <c r="A709" s="360" t="s">
        <v>1084</v>
      </c>
      <c r="B709" t="s">
        <v>1076</v>
      </c>
      <c r="C709">
        <v>2</v>
      </c>
      <c r="D709" t="s">
        <v>1080</v>
      </c>
      <c r="E709" t="s">
        <v>1079</v>
      </c>
      <c r="F709" s="360">
        <v>10</v>
      </c>
      <c r="G709" s="360" t="str">
        <f>CONCATENATE(A709," ",B709," ",C709," ","inf+"," ",FanUpsizes!D709," ",FanUpsizes!F709)</f>
        <v>1.5ACH 5C 2 inf+ Existing 10</v>
      </c>
      <c r="H709" s="360">
        <v>5.1345770380119227E-2</v>
      </c>
      <c r="I709" s="360">
        <v>0.3792255843764229</v>
      </c>
      <c r="J709" s="360">
        <v>1.1583168598264997</v>
      </c>
      <c r="K709" s="360">
        <v>6816.1567174796446</v>
      </c>
      <c r="L709" s="360">
        <v>0.28111236962738056</v>
      </c>
      <c r="M709" s="360">
        <v>2.15250387627606</v>
      </c>
      <c r="N709" s="360">
        <v>7.7903203523629987</v>
      </c>
      <c r="O709" s="360">
        <v>1.9320115977765973</v>
      </c>
      <c r="P709" s="360">
        <v>1.4080228292516555</v>
      </c>
      <c r="Q709" s="360">
        <v>-13692.700712976142</v>
      </c>
      <c r="R709" s="360">
        <v>6816.1567174796446</v>
      </c>
      <c r="S709" s="360">
        <v>0.28111236962738056</v>
      </c>
      <c r="T709" s="360">
        <v>2.15250387627606</v>
      </c>
      <c r="U709" s="360">
        <v>7.7903203523629987</v>
      </c>
      <c r="V709" s="360">
        <v>1.9320115977765973</v>
      </c>
      <c r="W709" s="360">
        <v>1.4080228292516555</v>
      </c>
      <c r="X709" s="360">
        <v>-13692.700712976142</v>
      </c>
      <c r="Y709" s="360">
        <v>0.38952704850241932</v>
      </c>
      <c r="Z709" s="360">
        <v>1.1281542449374287</v>
      </c>
      <c r="AA709" s="360">
        <v>7195.2757353668067</v>
      </c>
      <c r="AB709" s="360">
        <v>0.28606661399413591</v>
      </c>
      <c r="AC709" s="360">
        <v>2.134822354447993</v>
      </c>
      <c r="AD709" s="360">
        <v>7.7903203523629987</v>
      </c>
      <c r="AE709" s="360">
        <v>1.932666384322089</v>
      </c>
      <c r="AF709" s="360">
        <v>1.4079825665375083</v>
      </c>
      <c r="AG709" s="360">
        <v>-13243.811626809482</v>
      </c>
      <c r="AH709" s="360">
        <v>7195.2757353668067</v>
      </c>
      <c r="AI709" s="360">
        <v>0.28606661399413591</v>
      </c>
      <c r="AJ709" s="360">
        <v>2.134822354447993</v>
      </c>
      <c r="AK709" s="360">
        <v>7.7903203523629987</v>
      </c>
      <c r="AL709" s="360">
        <v>1.932666384322089</v>
      </c>
      <c r="AM709" s="360">
        <v>1.4079825665375083</v>
      </c>
      <c r="AN709" s="360">
        <v>-13243.811626809482</v>
      </c>
      <c r="AO709" s="360">
        <f t="shared" si="30"/>
        <v>0</v>
      </c>
      <c r="AP709" s="360">
        <f t="shared" si="31"/>
        <v>1</v>
      </c>
      <c r="AQ709" s="360">
        <f t="shared" si="32"/>
        <v>1</v>
      </c>
    </row>
    <row r="710" spans="1:43">
      <c r="A710" s="360" t="s">
        <v>1085</v>
      </c>
      <c r="B710" t="s">
        <v>1075</v>
      </c>
      <c r="C710">
        <v>1</v>
      </c>
      <c r="D710" t="s">
        <v>1078</v>
      </c>
      <c r="E710" t="s">
        <v>1079</v>
      </c>
      <c r="F710" s="360">
        <v>10</v>
      </c>
      <c r="G710" s="360" t="str">
        <f>CONCATENATE(A710," ",B710," ",C710," ","inf+"," ",FanUpsizes!D710," ",FanUpsizes!F710)</f>
        <v>0.6ACH Percentile 1 inf+ New 10</v>
      </c>
      <c r="H710" s="360">
        <v>4.0788552665903852E-2</v>
      </c>
      <c r="I710" s="360">
        <v>0.30105338718039254</v>
      </c>
      <c r="J710" s="360">
        <v>1.0606876122496527</v>
      </c>
      <c r="K710" s="360">
        <v>4973.2604018732172</v>
      </c>
      <c r="L710" s="360">
        <v>0.2362496116284083</v>
      </c>
      <c r="M710" s="360">
        <v>2.4395864437336381</v>
      </c>
      <c r="N710" s="360">
        <v>9.8066730456550317</v>
      </c>
      <c r="O710" s="360">
        <v>2.2480132934185093</v>
      </c>
      <c r="P710" s="360">
        <v>1.4913639943247043</v>
      </c>
      <c r="Q710" s="360">
        <v>-33237.3630182048</v>
      </c>
      <c r="R710" s="360">
        <v>7024.7019116259025</v>
      </c>
      <c r="S710" s="360">
        <v>0.16914838577567012</v>
      </c>
      <c r="T710" s="360">
        <v>3.0924988607905801</v>
      </c>
      <c r="U710" s="360">
        <v>9.8066730456550317</v>
      </c>
      <c r="V710" s="360">
        <v>1.5899735105182446</v>
      </c>
      <c r="W710" s="360">
        <v>1.5619068890387806</v>
      </c>
      <c r="X710" s="360">
        <v>-13119.546859775497</v>
      </c>
      <c r="Y710" s="360">
        <v>0.3022481781083744</v>
      </c>
      <c r="Z710" s="360">
        <v>1.0565082695481536</v>
      </c>
      <c r="AA710" s="360">
        <v>5007.9178511493947</v>
      </c>
      <c r="AB710" s="360">
        <v>0.23700172771501143</v>
      </c>
      <c r="AC710" s="360">
        <v>2.4357058447266526</v>
      </c>
      <c r="AD710" s="360">
        <v>9.8066730456550317</v>
      </c>
      <c r="AE710" s="360">
        <v>2.2480902323614802</v>
      </c>
      <c r="AF710" s="360">
        <v>1.4913601598792439</v>
      </c>
      <c r="AG710" s="360">
        <v>-33184.48309998215</v>
      </c>
      <c r="AH710" s="360">
        <v>7040.3197175541854</v>
      </c>
      <c r="AI710" s="360">
        <v>0.17040831656984359</v>
      </c>
      <c r="AJ710" s="360">
        <v>3.0707345703830859</v>
      </c>
      <c r="AK710" s="360">
        <v>9.8066730456550317</v>
      </c>
      <c r="AL710" s="360">
        <v>1.5901034615710037</v>
      </c>
      <c r="AM710" s="360">
        <v>1.5618803771755987</v>
      </c>
      <c r="AN710" s="360">
        <v>-13068.659173159427</v>
      </c>
      <c r="AO710" s="360">
        <f t="shared" si="30"/>
        <v>0</v>
      </c>
      <c r="AP710" s="360">
        <f t="shared" si="31"/>
        <v>1</v>
      </c>
      <c r="AQ710" s="360">
        <f t="shared" si="32"/>
        <v>1</v>
      </c>
    </row>
    <row r="711" spans="1:43">
      <c r="A711" s="360" t="s">
        <v>1085</v>
      </c>
      <c r="B711" t="s">
        <v>1074</v>
      </c>
      <c r="C711">
        <v>1</v>
      </c>
      <c r="D711" t="s">
        <v>1078</v>
      </c>
      <c r="E711" t="s">
        <v>1079</v>
      </c>
      <c r="F711" s="360">
        <v>10</v>
      </c>
      <c r="G711" s="360" t="str">
        <f>CONCATENATE(A711," ",B711," ",C711," ","inf+"," ",FanUpsizes!D711," ",FanUpsizes!F711)</f>
        <v>0.6ACH Infiltration 1 inf+ New 10</v>
      </c>
      <c r="H711" s="360">
        <v>4.0788552665903852E-2</v>
      </c>
      <c r="I711" s="360">
        <v>0.30105338718039254</v>
      </c>
      <c r="J711" s="360">
        <v>1.0606876122496527</v>
      </c>
      <c r="K711" s="360">
        <v>0</v>
      </c>
      <c r="L711" s="360">
        <v>0.30105338718039254</v>
      </c>
      <c r="M711" s="360">
        <v>1.0606876122496527</v>
      </c>
      <c r="N711" s="360">
        <v>1</v>
      </c>
      <c r="O711" s="360">
        <v>0.30105338718039254</v>
      </c>
      <c r="P711" s="360">
        <v>1.0606876122496527</v>
      </c>
      <c r="Q711" s="360">
        <v>0</v>
      </c>
      <c r="R711" s="360">
        <v>0</v>
      </c>
      <c r="S711" s="360">
        <v>0.30105338718039254</v>
      </c>
      <c r="T711" s="360">
        <v>1.0606876122496527</v>
      </c>
      <c r="U711" s="360">
        <v>1</v>
      </c>
      <c r="V711" s="360">
        <v>0.30105338718039254</v>
      </c>
      <c r="W711" s="360">
        <v>1.0606876122496527</v>
      </c>
      <c r="X711" s="360">
        <v>0</v>
      </c>
      <c r="Y711" s="360">
        <v>0.3022481781083744</v>
      </c>
      <c r="Z711" s="360">
        <v>1.0565082695481536</v>
      </c>
      <c r="AA711" s="360">
        <v>0</v>
      </c>
      <c r="AB711" s="360">
        <v>0.3022481781083744</v>
      </c>
      <c r="AC711" s="360">
        <v>1.0565082695481536</v>
      </c>
      <c r="AD711" s="360">
        <v>1</v>
      </c>
      <c r="AE711" s="360">
        <v>0.3022481781083744</v>
      </c>
      <c r="AF711" s="360">
        <v>1.0565082695481536</v>
      </c>
      <c r="AG711" s="360">
        <v>0</v>
      </c>
      <c r="AH711" s="360">
        <v>0</v>
      </c>
      <c r="AI711" s="360">
        <v>0.3022481781083744</v>
      </c>
      <c r="AJ711" s="360">
        <v>1.0565082695481536</v>
      </c>
      <c r="AK711" s="360">
        <v>1</v>
      </c>
      <c r="AL711" s="360">
        <v>0.3022481781083744</v>
      </c>
      <c r="AM711" s="360">
        <v>1.0565082695481536</v>
      </c>
      <c r="AN711" s="360">
        <v>0</v>
      </c>
      <c r="AO711" s="360">
        <f t="shared" si="30"/>
        <v>1</v>
      </c>
      <c r="AP711" s="360">
        <f t="shared" si="31"/>
        <v>0</v>
      </c>
      <c r="AQ711" s="360">
        <f t="shared" si="32"/>
        <v>0</v>
      </c>
    </row>
    <row r="712" spans="1:43">
      <c r="A712" s="360" t="s">
        <v>1085</v>
      </c>
      <c r="B712" t="s">
        <v>1076</v>
      </c>
      <c r="C712">
        <v>1</v>
      </c>
      <c r="D712" t="s">
        <v>1078</v>
      </c>
      <c r="E712" t="s">
        <v>1079</v>
      </c>
      <c r="F712" s="360">
        <v>10</v>
      </c>
      <c r="G712" s="360" t="str">
        <f>CONCATENATE(A712," ",B712," ",C712," ","inf+"," ",FanUpsizes!D712," ",FanUpsizes!F712)</f>
        <v>0.6ACH 5C 1 inf+ New 10</v>
      </c>
      <c r="H712" s="360">
        <v>4.0788552665903852E-2</v>
      </c>
      <c r="I712" s="360">
        <v>0.30105338718039254</v>
      </c>
      <c r="J712" s="360">
        <v>1.0606876122496527</v>
      </c>
      <c r="K712" s="360">
        <v>6714.1224278174841</v>
      </c>
      <c r="L712" s="360">
        <v>0.20457400181706503</v>
      </c>
      <c r="M712" s="360">
        <v>3.5006284336828575</v>
      </c>
      <c r="N712" s="360">
        <v>9.8066730456550317</v>
      </c>
      <c r="O712" s="360">
        <v>1.9055085424608502</v>
      </c>
      <c r="P712" s="360">
        <v>2.6462536268174497</v>
      </c>
      <c r="Q712" s="360">
        <v>-14416.974718146472</v>
      </c>
      <c r="R712" s="360">
        <v>6714.1224278174841</v>
      </c>
      <c r="S712" s="360">
        <v>0.20457400181706503</v>
      </c>
      <c r="T712" s="360">
        <v>3.5006284336828575</v>
      </c>
      <c r="U712" s="360">
        <v>9.8066730456550317</v>
      </c>
      <c r="V712" s="360">
        <v>1.9055085424608502</v>
      </c>
      <c r="W712" s="360">
        <v>2.6462536268174497</v>
      </c>
      <c r="X712" s="360">
        <v>-14416.974718146472</v>
      </c>
      <c r="Y712" s="360">
        <v>0.3022481781083744</v>
      </c>
      <c r="Z712" s="360">
        <v>1.0565082695481536</v>
      </c>
      <c r="AA712" s="360">
        <v>6759.954868218214</v>
      </c>
      <c r="AB712" s="360">
        <v>0.20512404947967625</v>
      </c>
      <c r="AC712" s="360">
        <v>3.4973398224104368</v>
      </c>
      <c r="AD712" s="360">
        <v>9.8066730456550335</v>
      </c>
      <c r="AE712" s="360">
        <v>1.9055647906034963</v>
      </c>
      <c r="AF712" s="360">
        <v>2.6462503869150908</v>
      </c>
      <c r="AG712" s="360">
        <v>-14362.950460388147</v>
      </c>
      <c r="AH712" s="360">
        <v>6759.954868218214</v>
      </c>
      <c r="AI712" s="360">
        <v>0.20512404947967625</v>
      </c>
      <c r="AJ712" s="360">
        <v>3.4973398224104368</v>
      </c>
      <c r="AK712" s="360">
        <v>9.8066730456550317</v>
      </c>
      <c r="AL712" s="360">
        <v>1.9055647906034963</v>
      </c>
      <c r="AM712" s="360">
        <v>2.6462503869150908</v>
      </c>
      <c r="AN712" s="360">
        <v>-14362.950460388147</v>
      </c>
      <c r="AO712" s="360">
        <f t="shared" si="30"/>
        <v>0</v>
      </c>
      <c r="AP712" s="360">
        <f t="shared" si="31"/>
        <v>1</v>
      </c>
      <c r="AQ712" s="360">
        <f t="shared" si="32"/>
        <v>1</v>
      </c>
    </row>
    <row r="713" spans="1:43">
      <c r="A713" s="360" t="s">
        <v>1085</v>
      </c>
      <c r="B713" t="s">
        <v>1075</v>
      </c>
      <c r="C713">
        <v>2</v>
      </c>
      <c r="D713" t="s">
        <v>1078</v>
      </c>
      <c r="E713" t="s">
        <v>1079</v>
      </c>
      <c r="F713" s="360">
        <v>10</v>
      </c>
      <c r="G713" s="360" t="str">
        <f>CONCATENATE(A713," ",B713," ",C713," ","inf+"," ",FanUpsizes!D713," ",FanUpsizes!F713)</f>
        <v>0.6ACH Percentile 2 inf+ New 10</v>
      </c>
      <c r="H713" s="360">
        <v>3.9997308152047689E-2</v>
      </c>
      <c r="I713" s="360">
        <v>0.2952133456634875</v>
      </c>
      <c r="J713" s="360">
        <v>1.0816613104312192</v>
      </c>
      <c r="K713" s="360">
        <v>4671.6267594771825</v>
      </c>
      <c r="L713" s="360">
        <v>0.23432538619962129</v>
      </c>
      <c r="M713" s="360">
        <v>2.1701389878144925</v>
      </c>
      <c r="N713" s="360">
        <v>10.000673007278911</v>
      </c>
      <c r="O713" s="360">
        <v>2.250520432825688</v>
      </c>
      <c r="P713" s="360">
        <v>1.2399548448634043</v>
      </c>
      <c r="Q713" s="360">
        <v>-33623.164206976697</v>
      </c>
      <c r="R713" s="360">
        <v>6680.5404536524302</v>
      </c>
      <c r="S713" s="360">
        <v>0.16858092073747682</v>
      </c>
      <c r="T713" s="360">
        <v>2.7872995899032902</v>
      </c>
      <c r="U713" s="360">
        <v>10.000673007278911</v>
      </c>
      <c r="V713" s="360">
        <v>1.5924806499254067</v>
      </c>
      <c r="W713" s="360">
        <v>1.3072137704616704</v>
      </c>
      <c r="X713" s="360">
        <v>-13505.348048547221</v>
      </c>
      <c r="Y713" s="360">
        <v>0.29741954194688003</v>
      </c>
      <c r="Z713" s="360">
        <v>1.073680564359311</v>
      </c>
      <c r="AA713" s="360">
        <v>4733.4285961851429</v>
      </c>
      <c r="AB713" s="360">
        <v>0.23574066169015123</v>
      </c>
      <c r="AC713" s="360">
        <v>2.1631255825747333</v>
      </c>
      <c r="AD713" s="360">
        <v>10.000673007278911</v>
      </c>
      <c r="AE713" s="360">
        <v>2.2506628350943783</v>
      </c>
      <c r="AF713" s="360">
        <v>1.239948064696988</v>
      </c>
      <c r="AG713" s="360">
        <v>-33527.453768925407</v>
      </c>
      <c r="AH713" s="360">
        <v>6710.4369236055563</v>
      </c>
      <c r="AI713" s="360">
        <v>0.17087117992112036</v>
      </c>
      <c r="AJ713" s="360">
        <v>2.7509916423436791</v>
      </c>
      <c r="AK713" s="360">
        <v>10.000673007278911</v>
      </c>
      <c r="AL713" s="360">
        <v>1.592720317854172</v>
      </c>
      <c r="AM713" s="360">
        <v>1.3071682262239659</v>
      </c>
      <c r="AN713" s="360">
        <v>-13413.275505288415</v>
      </c>
      <c r="AO713" s="360">
        <f t="shared" si="30"/>
        <v>0</v>
      </c>
      <c r="AP713" s="360">
        <f t="shared" si="31"/>
        <v>1</v>
      </c>
      <c r="AQ713" s="360">
        <f t="shared" si="32"/>
        <v>1</v>
      </c>
    </row>
    <row r="714" spans="1:43">
      <c r="A714" s="360" t="s">
        <v>1085</v>
      </c>
      <c r="B714" t="s">
        <v>1074</v>
      </c>
      <c r="C714">
        <v>2</v>
      </c>
      <c r="D714" t="s">
        <v>1078</v>
      </c>
      <c r="E714" t="s">
        <v>1079</v>
      </c>
      <c r="F714" s="360">
        <v>10</v>
      </c>
      <c r="G714" s="360" t="str">
        <f>CONCATENATE(A714," ",B714," ",C714," ","inf+"," ",FanUpsizes!D714," ",FanUpsizes!F714)</f>
        <v>0.6ACH Infiltration 2 inf+ New 10</v>
      </c>
      <c r="H714" s="360">
        <v>3.9997308152047689E-2</v>
      </c>
      <c r="I714" s="360">
        <v>0.2952133456634875</v>
      </c>
      <c r="J714" s="360">
        <v>1.0816613104312192</v>
      </c>
      <c r="K714" s="360">
        <v>0</v>
      </c>
      <c r="L714" s="360">
        <v>0.2952133456634875</v>
      </c>
      <c r="M714" s="360">
        <v>1.0816613104312192</v>
      </c>
      <c r="N714" s="360">
        <v>1</v>
      </c>
      <c r="O714" s="360">
        <v>0.2952133456634875</v>
      </c>
      <c r="P714" s="360">
        <v>1.0816613104312192</v>
      </c>
      <c r="Q714" s="360">
        <v>0</v>
      </c>
      <c r="R714" s="360">
        <v>0</v>
      </c>
      <c r="S714" s="360">
        <v>0.2952133456634875</v>
      </c>
      <c r="T714" s="360">
        <v>1.0816613104312192</v>
      </c>
      <c r="U714" s="360">
        <v>1</v>
      </c>
      <c r="V714" s="360">
        <v>0.2952133456634875</v>
      </c>
      <c r="W714" s="360">
        <v>1.0816613104312192</v>
      </c>
      <c r="X714" s="360">
        <v>0</v>
      </c>
      <c r="Y714" s="360">
        <v>0.29741954194688003</v>
      </c>
      <c r="Z714" s="360">
        <v>1.073680564359311</v>
      </c>
      <c r="AA714" s="360">
        <v>0</v>
      </c>
      <c r="AB714" s="360">
        <v>0.29741954194688003</v>
      </c>
      <c r="AC714" s="360">
        <v>1.073680564359311</v>
      </c>
      <c r="AD714" s="360">
        <v>1</v>
      </c>
      <c r="AE714" s="360">
        <v>0.29741954194688003</v>
      </c>
      <c r="AF714" s="360">
        <v>1.073680564359311</v>
      </c>
      <c r="AG714" s="360">
        <v>0</v>
      </c>
      <c r="AH714" s="360">
        <v>0</v>
      </c>
      <c r="AI714" s="360">
        <v>0.29741954194688003</v>
      </c>
      <c r="AJ714" s="360">
        <v>1.073680564359311</v>
      </c>
      <c r="AK714" s="360">
        <v>1</v>
      </c>
      <c r="AL714" s="360">
        <v>0.29741954194688003</v>
      </c>
      <c r="AM714" s="360">
        <v>1.073680564359311</v>
      </c>
      <c r="AN714" s="360">
        <v>0</v>
      </c>
      <c r="AO714" s="360">
        <f t="shared" si="30"/>
        <v>1</v>
      </c>
      <c r="AP714" s="360">
        <f t="shared" si="31"/>
        <v>0</v>
      </c>
      <c r="AQ714" s="360">
        <f t="shared" si="32"/>
        <v>0</v>
      </c>
    </row>
    <row r="715" spans="1:43">
      <c r="A715" s="360" t="s">
        <v>1085</v>
      </c>
      <c r="B715" t="s">
        <v>1076</v>
      </c>
      <c r="C715">
        <v>2</v>
      </c>
      <c r="D715" t="s">
        <v>1078</v>
      </c>
      <c r="E715" t="s">
        <v>1079</v>
      </c>
      <c r="F715" s="360">
        <v>10</v>
      </c>
      <c r="G715" s="360" t="str">
        <f>CONCATENATE(A715," ",B715," ",C715," ","inf+"," ",FanUpsizes!D715," ",FanUpsizes!F715)</f>
        <v>0.6ACH 5C 2 inf+ New 10</v>
      </c>
      <c r="H715" s="360">
        <v>3.9997308152047689E-2</v>
      </c>
      <c r="I715" s="360">
        <v>0.2952133456634875</v>
      </c>
      <c r="J715" s="360">
        <v>1.0816613104312192</v>
      </c>
      <c r="K715" s="360">
        <v>6307.076625152913</v>
      </c>
      <c r="L715" s="360">
        <v>0.20456906352062337</v>
      </c>
      <c r="M715" s="360">
        <v>2.9561059898268063</v>
      </c>
      <c r="N715" s="360">
        <v>10.000673007278911</v>
      </c>
      <c r="O715" s="360">
        <v>1.9092502974663672</v>
      </c>
      <c r="P715" s="360">
        <v>2.1338904549636983</v>
      </c>
      <c r="Q715" s="360">
        <v>-14870.56654492196</v>
      </c>
      <c r="R715" s="360">
        <v>6307.076625152913</v>
      </c>
      <c r="S715" s="360">
        <v>0.20456906352062337</v>
      </c>
      <c r="T715" s="360">
        <v>2.9561059898268063</v>
      </c>
      <c r="U715" s="360">
        <v>10.000673007278911</v>
      </c>
      <c r="V715" s="360">
        <v>1.9092502974663672</v>
      </c>
      <c r="W715" s="360">
        <v>2.1338904549636983</v>
      </c>
      <c r="X715" s="360">
        <v>-14870.56654492196</v>
      </c>
      <c r="Y715" s="360">
        <v>0.29741954194688003</v>
      </c>
      <c r="Z715" s="360">
        <v>1.073680564359311</v>
      </c>
      <c r="AA715" s="360">
        <v>6389.5189931187415</v>
      </c>
      <c r="AB715" s="360">
        <v>0.20561128013038138</v>
      </c>
      <c r="AC715" s="360">
        <v>2.9503565597224859</v>
      </c>
      <c r="AD715" s="360">
        <v>10.000673007278911</v>
      </c>
      <c r="AE715" s="360">
        <v>1.9093550947518212</v>
      </c>
      <c r="AF715" s="360">
        <v>2.1338848574939764</v>
      </c>
      <c r="AG715" s="360">
        <v>-14772.775234588888</v>
      </c>
      <c r="AH715" s="360">
        <v>6389.5189931187415</v>
      </c>
      <c r="AI715" s="360">
        <v>0.20561128013038138</v>
      </c>
      <c r="AJ715" s="360">
        <v>2.9503565597224859</v>
      </c>
      <c r="AK715" s="360">
        <v>10.000673007278911</v>
      </c>
      <c r="AL715" s="360">
        <v>1.9093550947518212</v>
      </c>
      <c r="AM715" s="360">
        <v>2.1338848574939764</v>
      </c>
      <c r="AN715" s="360">
        <v>-14772.775234588888</v>
      </c>
      <c r="AO715" s="360">
        <f t="shared" si="30"/>
        <v>0</v>
      </c>
      <c r="AP715" s="360">
        <f t="shared" si="31"/>
        <v>1</v>
      </c>
      <c r="AQ715" s="360">
        <f t="shared" si="32"/>
        <v>1</v>
      </c>
    </row>
    <row r="716" spans="1:43">
      <c r="A716" s="360" t="s">
        <v>1085</v>
      </c>
      <c r="B716" t="s">
        <v>1075</v>
      </c>
      <c r="C716">
        <v>1</v>
      </c>
      <c r="D716" t="s">
        <v>1080</v>
      </c>
      <c r="E716" t="s">
        <v>1079</v>
      </c>
      <c r="F716" s="360">
        <v>10</v>
      </c>
      <c r="G716" s="360" t="str">
        <f>CONCATENATE(A716," ",B716," ",C716," ","inf+"," ",FanUpsizes!D716," ",FanUpsizes!F716)</f>
        <v>0.6ACH Percentile 1 inf+ Existing 10</v>
      </c>
      <c r="H716" s="360">
        <v>5.7038552665903852E-2</v>
      </c>
      <c r="I716" s="360">
        <v>0.42099188026086792</v>
      </c>
      <c r="J716" s="360">
        <v>1.0434026543777433</v>
      </c>
      <c r="K716" s="360">
        <v>7195.4892899682563</v>
      </c>
      <c r="L716" s="360">
        <v>0.32725773531628172</v>
      </c>
      <c r="M716" s="360">
        <v>2.9413274966149121</v>
      </c>
      <c r="N716" s="360">
        <v>7.012800663841344</v>
      </c>
      <c r="O716" s="360">
        <v>2.2480132934185093</v>
      </c>
      <c r="P716" s="360">
        <v>2.0505694937806989</v>
      </c>
      <c r="Q716" s="360">
        <v>-29286.562740794372</v>
      </c>
      <c r="R716" s="360">
        <v>10064.217081157172</v>
      </c>
      <c r="S716" s="360">
        <v>0.23342364328325205</v>
      </c>
      <c r="T716" s="360">
        <v>3.6157257179145152</v>
      </c>
      <c r="U716" s="360">
        <v>7.012800663841344</v>
      </c>
      <c r="V716" s="360">
        <v>1.5899735105182446</v>
      </c>
      <c r="W716" s="360">
        <v>2.1476023966403703</v>
      </c>
      <c r="X716" s="360">
        <v>-9168.7465823650691</v>
      </c>
      <c r="Y716" s="360">
        <v>0.42184774173740874</v>
      </c>
      <c r="Z716" s="360">
        <v>1.0412898970584843</v>
      </c>
      <c r="AA716" s="360">
        <v>7220.3218349103636</v>
      </c>
      <c r="AB716" s="360">
        <v>0.3277964200090715</v>
      </c>
      <c r="AC716" s="360">
        <v>2.9393325705695332</v>
      </c>
      <c r="AD716" s="360">
        <v>7.012800663841344</v>
      </c>
      <c r="AE716" s="360">
        <v>2.2480902323614802</v>
      </c>
      <c r="AF716" s="360">
        <v>2.0505642192499658</v>
      </c>
      <c r="AG716" s="360">
        <v>-29249.264264391884</v>
      </c>
      <c r="AH716" s="360">
        <v>10075.26283981143</v>
      </c>
      <c r="AI716" s="360">
        <v>0.23432962930350903</v>
      </c>
      <c r="AJ716" s="360">
        <v>3.6039049691840321</v>
      </c>
      <c r="AK716" s="360">
        <v>7.012800663841344</v>
      </c>
      <c r="AL716" s="360">
        <v>1.5901034615710037</v>
      </c>
      <c r="AM716" s="360">
        <v>2.1475659290504643</v>
      </c>
      <c r="AN716" s="360">
        <v>-9133.44033756916</v>
      </c>
      <c r="AO716" s="360">
        <f t="shared" si="30"/>
        <v>0</v>
      </c>
      <c r="AP716" s="360">
        <f t="shared" si="31"/>
        <v>1</v>
      </c>
      <c r="AQ716" s="360">
        <f t="shared" si="32"/>
        <v>1</v>
      </c>
    </row>
    <row r="717" spans="1:43">
      <c r="A717" s="360" t="s">
        <v>1085</v>
      </c>
      <c r="B717" t="s">
        <v>1074</v>
      </c>
      <c r="C717">
        <v>1</v>
      </c>
      <c r="D717" t="s">
        <v>1080</v>
      </c>
      <c r="E717" t="s">
        <v>1079</v>
      </c>
      <c r="F717" s="360">
        <v>10</v>
      </c>
      <c r="G717" s="360" t="str">
        <f>CONCATENATE(A717," ",B717," ",C717," ","inf+"," ",FanUpsizes!D717," ",FanUpsizes!F717)</f>
        <v>0.6ACH Infiltration 1 inf+ Existing 10</v>
      </c>
      <c r="H717" s="360">
        <v>5.7038552665903852E-2</v>
      </c>
      <c r="I717" s="360">
        <v>0.42099188026086792</v>
      </c>
      <c r="J717" s="360">
        <v>1.0434026543777433</v>
      </c>
      <c r="K717" s="360">
        <v>0</v>
      </c>
      <c r="L717" s="360">
        <v>0.42099188026086792</v>
      </c>
      <c r="M717" s="360">
        <v>1.0434026543777433</v>
      </c>
      <c r="N717" s="360">
        <v>1</v>
      </c>
      <c r="O717" s="360">
        <v>0.42099188026086792</v>
      </c>
      <c r="P717" s="360">
        <v>1.0434026543777433</v>
      </c>
      <c r="Q717" s="360">
        <v>0</v>
      </c>
      <c r="R717" s="360">
        <v>0</v>
      </c>
      <c r="S717" s="360">
        <v>0.42099188026086792</v>
      </c>
      <c r="T717" s="360">
        <v>1.0434026543777433</v>
      </c>
      <c r="U717" s="360">
        <v>1</v>
      </c>
      <c r="V717" s="360">
        <v>0.42099188026086792</v>
      </c>
      <c r="W717" s="360">
        <v>1.0434026543777433</v>
      </c>
      <c r="X717" s="360">
        <v>0</v>
      </c>
      <c r="Y717" s="360">
        <v>0.42184774173740874</v>
      </c>
      <c r="Z717" s="360">
        <v>1.0412898970584843</v>
      </c>
      <c r="AA717" s="360">
        <v>0</v>
      </c>
      <c r="AB717" s="360">
        <v>0.42184774173740874</v>
      </c>
      <c r="AC717" s="360">
        <v>1.0412898970584843</v>
      </c>
      <c r="AD717" s="360">
        <v>1</v>
      </c>
      <c r="AE717" s="360">
        <v>0.42184774173740874</v>
      </c>
      <c r="AF717" s="360">
        <v>1.0412898970584843</v>
      </c>
      <c r="AG717" s="360">
        <v>0</v>
      </c>
      <c r="AH717" s="360">
        <v>0</v>
      </c>
      <c r="AI717" s="360">
        <v>0.42184774173740874</v>
      </c>
      <c r="AJ717" s="360">
        <v>1.0412898970584843</v>
      </c>
      <c r="AK717" s="360">
        <v>1</v>
      </c>
      <c r="AL717" s="360">
        <v>0.42184774173740874</v>
      </c>
      <c r="AM717" s="360">
        <v>1.0412898970584843</v>
      </c>
      <c r="AN717" s="360">
        <v>0</v>
      </c>
      <c r="AO717" s="360">
        <f t="shared" si="30"/>
        <v>1</v>
      </c>
      <c r="AP717" s="360">
        <f t="shared" si="31"/>
        <v>0</v>
      </c>
      <c r="AQ717" s="360">
        <f t="shared" si="32"/>
        <v>0</v>
      </c>
    </row>
    <row r="718" spans="1:43">
      <c r="A718" s="360" t="s">
        <v>1085</v>
      </c>
      <c r="B718" t="s">
        <v>1076</v>
      </c>
      <c r="C718">
        <v>1</v>
      </c>
      <c r="D718" t="s">
        <v>1080</v>
      </c>
      <c r="E718" t="s">
        <v>1079</v>
      </c>
      <c r="F718" s="360">
        <v>10</v>
      </c>
      <c r="G718" s="360" t="str">
        <f>CONCATENATE(A718," ",B718," ",C718," ","inf+"," ",FanUpsizes!D718," ",FanUpsizes!F718)</f>
        <v>0.6ACH 5C 1 inf+ Existing 10</v>
      </c>
      <c r="H718" s="360">
        <v>5.7038552665903852E-2</v>
      </c>
      <c r="I718" s="360">
        <v>0.42099188026086792</v>
      </c>
      <c r="J718" s="360">
        <v>1.0434026543777433</v>
      </c>
      <c r="K718" s="360">
        <v>9708.9945710597713</v>
      </c>
      <c r="L718" s="360">
        <v>0.28152084326823573</v>
      </c>
      <c r="M718" s="360">
        <v>4.441495330257645</v>
      </c>
      <c r="N718" s="360">
        <v>7.012800663841344</v>
      </c>
      <c r="O718" s="360">
        <v>1.9055085424608502</v>
      </c>
      <c r="P718" s="360">
        <v>3.6386417222755494</v>
      </c>
      <c r="Q718" s="360">
        <v>-10466.174440736046</v>
      </c>
      <c r="R718" s="360">
        <v>9708.9945710597713</v>
      </c>
      <c r="S718" s="360">
        <v>0.28152084326823573</v>
      </c>
      <c r="T718" s="360">
        <v>4.441495330257645</v>
      </c>
      <c r="U718" s="360">
        <v>7.012800663841344</v>
      </c>
      <c r="V718" s="360">
        <v>1.9055085424608502</v>
      </c>
      <c r="W718" s="360">
        <v>3.6386417222755494</v>
      </c>
      <c r="X718" s="360">
        <v>-10466.174440736046</v>
      </c>
      <c r="Y718" s="360">
        <v>0.42184774173740874</v>
      </c>
      <c r="Z718" s="360">
        <v>1.0412898970584843</v>
      </c>
      <c r="AA718" s="360">
        <v>9741.83496223988</v>
      </c>
      <c r="AB718" s="360">
        <v>0.28191473319635002</v>
      </c>
      <c r="AC718" s="360">
        <v>4.4397876624398149</v>
      </c>
      <c r="AD718" s="360">
        <v>7.012800663841344</v>
      </c>
      <c r="AE718" s="360">
        <v>1.9055647906034963</v>
      </c>
      <c r="AF718" s="360">
        <v>3.6386372654922261</v>
      </c>
      <c r="AG718" s="360">
        <v>-10427.731624797878</v>
      </c>
      <c r="AH718" s="360">
        <v>9741.83496223988</v>
      </c>
      <c r="AI718" s="360">
        <v>0.28191473319635002</v>
      </c>
      <c r="AJ718" s="360">
        <v>4.4397876624398149</v>
      </c>
      <c r="AK718" s="360">
        <v>7.012800663841344</v>
      </c>
      <c r="AL718" s="360">
        <v>1.9055647906034963</v>
      </c>
      <c r="AM718" s="360">
        <v>3.6386372654922261</v>
      </c>
      <c r="AN718" s="360">
        <v>-10427.731624797878</v>
      </c>
      <c r="AO718" s="360">
        <f t="shared" si="30"/>
        <v>0</v>
      </c>
      <c r="AP718" s="360">
        <f t="shared" si="31"/>
        <v>1</v>
      </c>
      <c r="AQ718" s="360">
        <f t="shared" si="32"/>
        <v>1</v>
      </c>
    </row>
    <row r="719" spans="1:43">
      <c r="A719" s="360" t="s">
        <v>1085</v>
      </c>
      <c r="B719" t="s">
        <v>1075</v>
      </c>
      <c r="C719">
        <v>2</v>
      </c>
      <c r="D719" t="s">
        <v>1080</v>
      </c>
      <c r="E719" t="s">
        <v>1079</v>
      </c>
      <c r="F719" s="360">
        <v>10</v>
      </c>
      <c r="G719" s="360" t="str">
        <f>CONCATENATE(A719," ",B719," ",C719," ","inf+"," ",FanUpsizes!D719," ",FanUpsizes!F719)</f>
        <v>0.6ACH Percentile 2 inf+ Existing 10</v>
      </c>
      <c r="H719" s="360">
        <v>5.624730815204769E-2</v>
      </c>
      <c r="I719" s="360">
        <v>0.41515183874392109</v>
      </c>
      <c r="J719" s="360">
        <v>1.0580755604180527</v>
      </c>
      <c r="K719" s="360">
        <v>6893.8556475722344</v>
      </c>
      <c r="L719" s="360">
        <v>0.32533350988745702</v>
      </c>
      <c r="M719" s="360">
        <v>2.575921978965201</v>
      </c>
      <c r="N719" s="360">
        <v>7.1114514301505816</v>
      </c>
      <c r="O719" s="360">
        <v>2.250520432825688</v>
      </c>
      <c r="P719" s="360">
        <v>1.7048392318400249</v>
      </c>
      <c r="Q719" s="360">
        <v>-29672.363929566302</v>
      </c>
      <c r="R719" s="360">
        <v>9722.7881595957897</v>
      </c>
      <c r="S719" s="360">
        <v>0.23280109377473232</v>
      </c>
      <c r="T719" s="360">
        <v>3.2126226887454146</v>
      </c>
      <c r="U719" s="360">
        <v>7.1114514301505816</v>
      </c>
      <c r="V719" s="360">
        <v>1.5924806499254067</v>
      </c>
      <c r="W719" s="360">
        <v>1.7973560601069853</v>
      </c>
      <c r="X719" s="360">
        <v>-9554.5477711368294</v>
      </c>
      <c r="Y719" s="360">
        <v>0.41672585448338967</v>
      </c>
      <c r="Z719" s="360">
        <v>1.0540915340309323</v>
      </c>
      <c r="AA719" s="360">
        <v>6937.9668000547808</v>
      </c>
      <c r="AB719" s="360">
        <v>0.3263430173654121</v>
      </c>
      <c r="AC719" s="360">
        <v>2.572351909985223</v>
      </c>
      <c r="AD719" s="360">
        <v>7.1114514301505816</v>
      </c>
      <c r="AE719" s="360">
        <v>2.2506628350943783</v>
      </c>
      <c r="AF719" s="360">
        <v>1.7048299052300291</v>
      </c>
      <c r="AG719" s="360">
        <v>-29605.14007473904</v>
      </c>
      <c r="AH719" s="360">
        <v>9741.6771261105059</v>
      </c>
      <c r="AI719" s="360">
        <v>0.23448647058294964</v>
      </c>
      <c r="AJ719" s="360">
        <v>3.1923045417721267</v>
      </c>
      <c r="AK719" s="360">
        <v>7.1114514301505816</v>
      </c>
      <c r="AL719" s="360">
        <v>1.592720317854172</v>
      </c>
      <c r="AM719" s="360">
        <v>1.7972934122552597</v>
      </c>
      <c r="AN719" s="360">
        <v>-9490.96181110205</v>
      </c>
      <c r="AO719" s="360">
        <f t="shared" si="30"/>
        <v>0</v>
      </c>
      <c r="AP719" s="360">
        <f t="shared" si="31"/>
        <v>1</v>
      </c>
      <c r="AQ719" s="360">
        <f t="shared" si="32"/>
        <v>1</v>
      </c>
    </row>
    <row r="720" spans="1:43">
      <c r="A720" s="360" t="s">
        <v>1085</v>
      </c>
      <c r="B720" t="s">
        <v>1074</v>
      </c>
      <c r="C720">
        <v>2</v>
      </c>
      <c r="D720" t="s">
        <v>1080</v>
      </c>
      <c r="E720" t="s">
        <v>1079</v>
      </c>
      <c r="F720" s="360">
        <v>10</v>
      </c>
      <c r="G720" s="360" t="str">
        <f>CONCATENATE(A720," ",B720," ",C720," ","inf+"," ",FanUpsizes!D720," ",FanUpsizes!F720)</f>
        <v>0.6ACH Infiltration 2 inf+ Existing 10</v>
      </c>
      <c r="H720" s="360">
        <v>5.624730815204769E-2</v>
      </c>
      <c r="I720" s="360">
        <v>0.41515183874392109</v>
      </c>
      <c r="J720" s="360">
        <v>1.0580755604180527</v>
      </c>
      <c r="K720" s="360">
        <v>0</v>
      </c>
      <c r="L720" s="360">
        <v>0.41515183874392109</v>
      </c>
      <c r="M720" s="360">
        <v>1.0580755604180527</v>
      </c>
      <c r="N720" s="360">
        <v>1</v>
      </c>
      <c r="O720" s="360">
        <v>0.41515183874392109</v>
      </c>
      <c r="P720" s="360">
        <v>1.0580755604180527</v>
      </c>
      <c r="Q720" s="360">
        <v>0</v>
      </c>
      <c r="R720" s="360">
        <v>0</v>
      </c>
      <c r="S720" s="360">
        <v>0.41515183874392109</v>
      </c>
      <c r="T720" s="360">
        <v>1.0580755604180527</v>
      </c>
      <c r="U720" s="360">
        <v>1</v>
      </c>
      <c r="V720" s="360">
        <v>0.41515183874392109</v>
      </c>
      <c r="W720" s="360">
        <v>1.0580755604180527</v>
      </c>
      <c r="X720" s="360">
        <v>0</v>
      </c>
      <c r="Y720" s="360">
        <v>0.41672585448338967</v>
      </c>
      <c r="Z720" s="360">
        <v>1.0540915340309323</v>
      </c>
      <c r="AA720" s="360">
        <v>0</v>
      </c>
      <c r="AB720" s="360">
        <v>0.41672585448338967</v>
      </c>
      <c r="AC720" s="360">
        <v>1.0540915340309323</v>
      </c>
      <c r="AD720" s="360">
        <v>1</v>
      </c>
      <c r="AE720" s="360">
        <v>0.41672585448338967</v>
      </c>
      <c r="AF720" s="360">
        <v>1.0540915340309323</v>
      </c>
      <c r="AG720" s="360">
        <v>0</v>
      </c>
      <c r="AH720" s="360">
        <v>0</v>
      </c>
      <c r="AI720" s="360">
        <v>0.41672585448338967</v>
      </c>
      <c r="AJ720" s="360">
        <v>1.0540915340309323</v>
      </c>
      <c r="AK720" s="360">
        <v>1</v>
      </c>
      <c r="AL720" s="360">
        <v>0.41672585448338967</v>
      </c>
      <c r="AM720" s="360">
        <v>1.0540915340309323</v>
      </c>
      <c r="AN720" s="360">
        <v>0</v>
      </c>
      <c r="AO720" s="360">
        <f t="shared" si="30"/>
        <v>1</v>
      </c>
      <c r="AP720" s="360">
        <f t="shared" si="31"/>
        <v>0</v>
      </c>
      <c r="AQ720" s="360">
        <f t="shared" si="32"/>
        <v>0</v>
      </c>
    </row>
    <row r="721" spans="1:43">
      <c r="A721" s="360" t="s">
        <v>1085</v>
      </c>
      <c r="B721" t="s">
        <v>1076</v>
      </c>
      <c r="C721">
        <v>2</v>
      </c>
      <c r="D721" t="s">
        <v>1080</v>
      </c>
      <c r="E721" t="s">
        <v>1079</v>
      </c>
      <c r="F721" s="360">
        <v>10</v>
      </c>
      <c r="G721" s="360" t="str">
        <f>CONCATENATE(A721," ",B721," ",C721," ","inf+"," ",FanUpsizes!D721," ",FanUpsizes!F721)</f>
        <v>0.6ACH 5C 2 inf+ Existing 10</v>
      </c>
      <c r="H721" s="360">
        <v>5.624730815204769E-2</v>
      </c>
      <c r="I721" s="360">
        <v>0.41515183874392109</v>
      </c>
      <c r="J721" s="360">
        <v>1.0580755604180527</v>
      </c>
      <c r="K721" s="360">
        <v>9301.9487683951829</v>
      </c>
      <c r="L721" s="360">
        <v>0.28151590497175721</v>
      </c>
      <c r="M721" s="360">
        <v>3.7050384984042757</v>
      </c>
      <c r="N721" s="360">
        <v>7.1114514301505816</v>
      </c>
      <c r="O721" s="360">
        <v>1.9092502974663672</v>
      </c>
      <c r="P721" s="360">
        <v>2.9341846134088421</v>
      </c>
      <c r="Q721" s="360">
        <v>-10919.766267511568</v>
      </c>
      <c r="R721" s="360">
        <v>9301.9487683951829</v>
      </c>
      <c r="S721" s="360">
        <v>0.28151590497175721</v>
      </c>
      <c r="T721" s="360">
        <v>3.7050384984042757</v>
      </c>
      <c r="U721" s="360">
        <v>7.1114514301505816</v>
      </c>
      <c r="V721" s="360">
        <v>1.9092502974663672</v>
      </c>
      <c r="W721" s="360">
        <v>2.9341846134088421</v>
      </c>
      <c r="X721" s="360">
        <v>-10919.766267511568</v>
      </c>
      <c r="Y721" s="360">
        <v>0.41672585448338967</v>
      </c>
      <c r="Z721" s="360">
        <v>1.0540915340309323</v>
      </c>
      <c r="AA721" s="360">
        <v>9360.7968522117499</v>
      </c>
      <c r="AB721" s="360">
        <v>0.28225907280730483</v>
      </c>
      <c r="AC721" s="360">
        <v>3.7020848458046256</v>
      </c>
      <c r="AD721" s="360">
        <v>7.1114514301505816</v>
      </c>
      <c r="AE721" s="360">
        <v>1.9093550947518212</v>
      </c>
      <c r="AF721" s="360">
        <v>2.9341769135730553</v>
      </c>
      <c r="AG721" s="360">
        <v>-10850.461540402523</v>
      </c>
      <c r="AH721" s="360">
        <v>9360.7968522117499</v>
      </c>
      <c r="AI721" s="360">
        <v>0.28225907280730483</v>
      </c>
      <c r="AJ721" s="360">
        <v>3.7020848458046256</v>
      </c>
      <c r="AK721" s="360">
        <v>7.1114514301505816</v>
      </c>
      <c r="AL721" s="360">
        <v>1.9093550947518212</v>
      </c>
      <c r="AM721" s="360">
        <v>2.9341769135730553</v>
      </c>
      <c r="AN721" s="360">
        <v>-10850.461540402523</v>
      </c>
      <c r="AO721" s="360">
        <f t="shared" si="30"/>
        <v>0</v>
      </c>
      <c r="AP721" s="360">
        <f t="shared" si="31"/>
        <v>1</v>
      </c>
      <c r="AQ721" s="360">
        <f t="shared" si="32"/>
        <v>1</v>
      </c>
    </row>
    <row r="722" spans="1:43">
      <c r="A722" s="360" t="s">
        <v>1077</v>
      </c>
      <c r="B722" t="s">
        <v>1075</v>
      </c>
      <c r="C722">
        <v>1</v>
      </c>
      <c r="D722" t="s">
        <v>1078</v>
      </c>
      <c r="E722" t="s">
        <v>1079</v>
      </c>
      <c r="F722">
        <v>11</v>
      </c>
      <c r="G722" s="360" t="str">
        <f>CONCATENATE(A722," ",B722," ",C722," ","inf+"," ",FanUpsizes!D722," ",FanUpsizes!F722)</f>
        <v>10ACH Percentile 1 inf+ New 11</v>
      </c>
      <c r="H722" s="360">
        <v>1.4421666666666666E-2</v>
      </c>
      <c r="I722" s="360">
        <v>0.39430690144946801</v>
      </c>
      <c r="J722" s="360">
        <v>0.88449467851396113</v>
      </c>
      <c r="K722" s="360">
        <v>828.54399258610317</v>
      </c>
      <c r="L722" s="360">
        <v>0.38177908922812626</v>
      </c>
      <c r="M722" s="360">
        <v>0.9041825994444449</v>
      </c>
      <c r="N722" s="360">
        <v>1.1642595935229738</v>
      </c>
      <c r="O722" s="360">
        <v>0.38851449119117798</v>
      </c>
      <c r="P722" s="360">
        <v>0.88449468962134714</v>
      </c>
      <c r="Q722" s="360">
        <v>695.16681395301316</v>
      </c>
      <c r="R722" s="360">
        <v>1221.9865460005863</v>
      </c>
      <c r="S722" s="360">
        <v>0.36970086871598706</v>
      </c>
      <c r="T722" s="360">
        <v>0.93655776751666364</v>
      </c>
      <c r="U722" s="360">
        <v>1.5670112420297551</v>
      </c>
      <c r="V722" s="360">
        <v>0.38617023597025985</v>
      </c>
      <c r="W722" s="360">
        <v>0.88449468663515984</v>
      </c>
      <c r="X722" s="360">
        <v>984.66533045860103</v>
      </c>
      <c r="Y722" s="360">
        <v>0.3601745129426927</v>
      </c>
      <c r="Z722" s="360">
        <v>0.96995916456491105</v>
      </c>
      <c r="AA722" s="360">
        <v>212.34094883999219</v>
      </c>
      <c r="AB722" s="360">
        <v>0.35708529492069668</v>
      </c>
      <c r="AC722" s="360">
        <v>0.9754871994646277</v>
      </c>
      <c r="AD722" s="360">
        <v>1.0441276725287045</v>
      </c>
      <c r="AE722" s="360">
        <v>0.35843651059733245</v>
      </c>
      <c r="AF722" s="360">
        <v>0.9699591788296984</v>
      </c>
      <c r="AG722" s="360">
        <v>189.77061104412553</v>
      </c>
      <c r="AH722" s="360">
        <v>399.32548552614963</v>
      </c>
      <c r="AI722" s="360">
        <v>0.35098325303957389</v>
      </c>
      <c r="AJ722" s="360">
        <v>0.99701947486447173</v>
      </c>
      <c r="AK722" s="360">
        <v>1.2938936322487153</v>
      </c>
      <c r="AL722" s="360">
        <v>0.35698348828320903</v>
      </c>
      <c r="AM722" s="360">
        <v>0.96995933657014854</v>
      </c>
      <c r="AN722" s="360">
        <v>349.16059484700565</v>
      </c>
      <c r="AO722" s="360">
        <f t="shared" si="30"/>
        <v>1</v>
      </c>
      <c r="AP722" s="360">
        <f t="shared" si="31"/>
        <v>1</v>
      </c>
      <c r="AQ722" s="360">
        <f t="shared" si="32"/>
        <v>1</v>
      </c>
    </row>
    <row r="723" spans="1:43">
      <c r="A723" s="360" t="s">
        <v>1077</v>
      </c>
      <c r="B723" t="s">
        <v>1074</v>
      </c>
      <c r="C723">
        <v>1</v>
      </c>
      <c r="D723" t="s">
        <v>1078</v>
      </c>
      <c r="E723" t="s">
        <v>1079</v>
      </c>
      <c r="F723" s="360">
        <v>11</v>
      </c>
      <c r="G723" s="360" t="str">
        <f>CONCATENATE(A723," ",B723," ",C723," ","inf+"," ",FanUpsizes!D723," ",FanUpsizes!F723)</f>
        <v>10ACH Infiltration 1 inf+ New 11</v>
      </c>
      <c r="H723" s="360">
        <v>1.4421666666666666E-2</v>
      </c>
      <c r="I723" s="360">
        <v>0.39430690144946801</v>
      </c>
      <c r="J723" s="360">
        <v>0.88449467851396113</v>
      </c>
      <c r="K723" s="360">
        <v>938.22131613347403</v>
      </c>
      <c r="L723" s="360">
        <v>0.37978022879125856</v>
      </c>
      <c r="M723" s="360">
        <v>0.9078342722605649</v>
      </c>
      <c r="N723" s="360">
        <v>1.2010244818132949</v>
      </c>
      <c r="O723" s="360">
        <v>0.38762399798690189</v>
      </c>
      <c r="P723" s="360">
        <v>0.88449586544626291</v>
      </c>
      <c r="Q723" s="360">
        <v>797.03923598725999</v>
      </c>
      <c r="R723" s="360">
        <v>1260.9261358289052</v>
      </c>
      <c r="S723" s="360">
        <v>0.37017476267974309</v>
      </c>
      <c r="T723" s="360">
        <v>0.93273209743385044</v>
      </c>
      <c r="U723" s="360">
        <v>1.5120789868776037</v>
      </c>
      <c r="V723" s="360">
        <v>0.38528184312833186</v>
      </c>
      <c r="W723" s="360">
        <v>0.88449492379212036</v>
      </c>
      <c r="X723" s="360">
        <v>1066.5368315882704</v>
      </c>
      <c r="Y723" s="360">
        <v>0.3601745129426927</v>
      </c>
      <c r="Z723" s="360">
        <v>0.96995916456491105</v>
      </c>
      <c r="AA723" s="360">
        <v>242.81242434890822</v>
      </c>
      <c r="AB723" s="360">
        <v>0.35655678686022085</v>
      </c>
      <c r="AC723" s="360">
        <v>0.97659810770024835</v>
      </c>
      <c r="AD723" s="360">
        <v>1.0538177569523457</v>
      </c>
      <c r="AE723" s="360">
        <v>0.35815360389738959</v>
      </c>
      <c r="AF723" s="360">
        <v>0.96995917600937021</v>
      </c>
      <c r="AG723" s="360">
        <v>218.36567153936585</v>
      </c>
      <c r="AH723" s="360">
        <v>397.15668211186244</v>
      </c>
      <c r="AI723" s="360">
        <v>0.35183058856723226</v>
      </c>
      <c r="AJ723" s="360">
        <v>0.99238715323304838</v>
      </c>
      <c r="AK723" s="360">
        <v>1.2277873520874902</v>
      </c>
      <c r="AL723" s="360">
        <v>0.35676121865394345</v>
      </c>
      <c r="AM723" s="360">
        <v>0.9699594464067659</v>
      </c>
      <c r="AN723" s="360">
        <v>358.59136483817758</v>
      </c>
      <c r="AO723" s="360">
        <f t="shared" si="30"/>
        <v>1</v>
      </c>
      <c r="AP723" s="360">
        <f t="shared" si="31"/>
        <v>1</v>
      </c>
      <c r="AQ723" s="360">
        <f t="shared" si="32"/>
        <v>1</v>
      </c>
    </row>
    <row r="724" spans="1:43">
      <c r="A724" s="360" t="s">
        <v>1077</v>
      </c>
      <c r="B724" t="s">
        <v>1076</v>
      </c>
      <c r="C724">
        <v>1</v>
      </c>
      <c r="D724" t="s">
        <v>1078</v>
      </c>
      <c r="E724" t="s">
        <v>1079</v>
      </c>
      <c r="F724" s="360">
        <v>11</v>
      </c>
      <c r="G724" s="360" t="str">
        <f>CONCATENATE(A724," ",B724," ",C724," ","inf+"," ",FanUpsizes!D724," ",FanUpsizes!F724)</f>
        <v>10ACH 5C 1 inf+ New 11</v>
      </c>
      <c r="H724" s="360">
        <v>1.4421666666666666E-2</v>
      </c>
      <c r="I724" s="360">
        <v>0.39430690144946801</v>
      </c>
      <c r="J724" s="360">
        <v>0.88449467851396113</v>
      </c>
      <c r="K724" s="360">
        <v>997.9613349650034</v>
      </c>
      <c r="L724" s="360">
        <v>0.37863802282733444</v>
      </c>
      <c r="M724" s="360">
        <v>0.91000601506885481</v>
      </c>
      <c r="N724" s="360">
        <v>1.2240038757853877</v>
      </c>
      <c r="O724" s="360">
        <v>0.38712392279957175</v>
      </c>
      <c r="P724" s="360">
        <v>0.88449604020223838</v>
      </c>
      <c r="Q724" s="360">
        <v>854.02252651556466</v>
      </c>
      <c r="R724" s="360">
        <v>1290.7961452446741</v>
      </c>
      <c r="S724" s="360">
        <v>0.36960365969778081</v>
      </c>
      <c r="T724" s="360">
        <v>0.93389850930237639</v>
      </c>
      <c r="U724" s="360">
        <v>1.5316537309468525</v>
      </c>
      <c r="V724" s="360">
        <v>0.38498712103648869</v>
      </c>
      <c r="W724" s="360">
        <v>0.88449494050505673</v>
      </c>
      <c r="X724" s="360">
        <v>1104.8566125820453</v>
      </c>
      <c r="Y724" s="360">
        <v>0.3601745129426927</v>
      </c>
      <c r="Z724" s="360">
        <v>0.96995916456491105</v>
      </c>
      <c r="AA724" s="360">
        <v>259.93217920122254</v>
      </c>
      <c r="AB724" s="360">
        <v>0.35624558725924521</v>
      </c>
      <c r="AC724" s="360">
        <v>0.9772847617531174</v>
      </c>
      <c r="AD724" s="360">
        <v>1.0599541954032055</v>
      </c>
      <c r="AE724" s="360">
        <v>0.35799101133487704</v>
      </c>
      <c r="AF724" s="360">
        <v>0.96995939347968851</v>
      </c>
      <c r="AG724" s="360">
        <v>234.62812680479925</v>
      </c>
      <c r="AH724" s="360">
        <v>401.79371042801102</v>
      </c>
      <c r="AI724" s="360">
        <v>0.35175158542499252</v>
      </c>
      <c r="AJ724" s="360">
        <v>0.99256813737492477</v>
      </c>
      <c r="AK724" s="360">
        <v>1.2304696389082039</v>
      </c>
      <c r="AL724" s="360">
        <v>0.35670428021763162</v>
      </c>
      <c r="AM724" s="360">
        <v>0.9699597610859908</v>
      </c>
      <c r="AN724" s="360">
        <v>364.93841615102531</v>
      </c>
      <c r="AO724" s="360">
        <f t="shared" si="30"/>
        <v>1</v>
      </c>
      <c r="AP724" s="360">
        <f t="shared" si="31"/>
        <v>1</v>
      </c>
      <c r="AQ724" s="360">
        <f t="shared" si="32"/>
        <v>1</v>
      </c>
    </row>
    <row r="725" spans="1:43">
      <c r="A725" s="360" t="s">
        <v>1077</v>
      </c>
      <c r="B725" t="s">
        <v>1075</v>
      </c>
      <c r="C725">
        <v>2</v>
      </c>
      <c r="D725" t="s">
        <v>1078</v>
      </c>
      <c r="E725" t="s">
        <v>1079</v>
      </c>
      <c r="F725" s="360">
        <v>11</v>
      </c>
      <c r="G725" s="360" t="str">
        <f>CONCATENATE(A725," ",B725," ",C725," ","inf+"," ",FanUpsizes!D725," ",FanUpsizes!F725)</f>
        <v>10ACH Percentile 2 inf+ New 11</v>
      </c>
      <c r="H725" s="360">
        <v>1.4421666666666666E-2</v>
      </c>
      <c r="I725" s="360">
        <v>0.50751216566603841</v>
      </c>
      <c r="J725" s="360">
        <v>0.69732305359727587</v>
      </c>
      <c r="K725" s="360">
        <v>828.54399258607623</v>
      </c>
      <c r="L725" s="360">
        <v>0.49498435344469893</v>
      </c>
      <c r="M725" s="360">
        <v>0.70925661079558822</v>
      </c>
      <c r="N725" s="360">
        <v>1.1581069739115946</v>
      </c>
      <c r="O725" s="360">
        <v>0.50144623552389211</v>
      </c>
      <c r="P725" s="360">
        <v>0.69732319446834201</v>
      </c>
      <c r="Q725" s="360">
        <v>700.16268072314722</v>
      </c>
      <c r="R725" s="360">
        <v>1221.9865460004953</v>
      </c>
      <c r="S725" s="360">
        <v>0.48290613293256734</v>
      </c>
      <c r="T725" s="360">
        <v>0.72918578127343492</v>
      </c>
      <c r="U725" s="360">
        <v>1.5531269826559242</v>
      </c>
      <c r="V725" s="360">
        <v>0.49886759925735752</v>
      </c>
      <c r="W725" s="360">
        <v>0.6973232560623529</v>
      </c>
      <c r="X725" s="360">
        <v>990.47655441191614</v>
      </c>
      <c r="Y725" s="360">
        <v>0.46906888975804045</v>
      </c>
      <c r="Z725" s="360">
        <v>0.75876864274932099</v>
      </c>
      <c r="AA725" s="360">
        <v>166.91070552381134</v>
      </c>
      <c r="AB725" s="360">
        <v>0.46668400676310773</v>
      </c>
      <c r="AC725" s="360">
        <v>0.76132147754333124</v>
      </c>
      <c r="AD725" s="360">
        <v>1.0395563716327585</v>
      </c>
      <c r="AE725" s="360">
        <v>0.46763969479853817</v>
      </c>
      <c r="AF725" s="360">
        <v>0.75876936066565726</v>
      </c>
      <c r="AG725" s="360">
        <v>150.87121063594563</v>
      </c>
      <c r="AH725" s="360">
        <v>313.54913159528019</v>
      </c>
      <c r="AI725" s="360">
        <v>0.46197482503277598</v>
      </c>
      <c r="AJ725" s="360">
        <v>0.77162583879654656</v>
      </c>
      <c r="AK725" s="360">
        <v>1.2665831728214514</v>
      </c>
      <c r="AL725" s="360">
        <v>0.46628211631494154</v>
      </c>
      <c r="AM725" s="360">
        <v>0.75876867123055769</v>
      </c>
      <c r="AN725" s="360">
        <v>277.24447883310216</v>
      </c>
      <c r="AO725" s="360">
        <f t="shared" si="30"/>
        <v>1</v>
      </c>
      <c r="AP725" s="360">
        <f t="shared" si="31"/>
        <v>1</v>
      </c>
      <c r="AQ725" s="360">
        <f t="shared" si="32"/>
        <v>1</v>
      </c>
    </row>
    <row r="726" spans="1:43">
      <c r="A726" s="360" t="s">
        <v>1077</v>
      </c>
      <c r="B726" t="s">
        <v>1074</v>
      </c>
      <c r="C726">
        <v>2</v>
      </c>
      <c r="D726" t="s">
        <v>1078</v>
      </c>
      <c r="E726" t="s">
        <v>1079</v>
      </c>
      <c r="F726" s="360">
        <v>11</v>
      </c>
      <c r="G726" s="360" t="str">
        <f>CONCATENATE(A726," ",B726," ",C726," ","inf+"," ",FanUpsizes!D726," ",FanUpsizes!F726)</f>
        <v>10ACH Infiltration 2 inf+ New 11</v>
      </c>
      <c r="H726" s="360">
        <v>1.4421666666666666E-2</v>
      </c>
      <c r="I726" s="360">
        <v>0.50751216566603841</v>
      </c>
      <c r="J726" s="360">
        <v>0.69732305359727587</v>
      </c>
      <c r="K726" s="360">
        <v>1355.8849085628744</v>
      </c>
      <c r="L726" s="360">
        <v>0.48335572464176824</v>
      </c>
      <c r="M726" s="360">
        <v>0.72422175361074959</v>
      </c>
      <c r="N726" s="360">
        <v>1.445774514102498</v>
      </c>
      <c r="O726" s="360">
        <v>0.49641170368790988</v>
      </c>
      <c r="P726" s="360">
        <v>0.69732394626123317</v>
      </c>
      <c r="Q726" s="360">
        <v>1228.9955165308891</v>
      </c>
      <c r="R726" s="360">
        <v>1486.0878202743577</v>
      </c>
      <c r="S726" s="360">
        <v>0.47667564242190441</v>
      </c>
      <c r="T726" s="360">
        <v>0.73820143235449676</v>
      </c>
      <c r="U726" s="360">
        <v>1.8466532926401353</v>
      </c>
      <c r="V726" s="360">
        <v>0.49588068138524999</v>
      </c>
      <c r="W726" s="360">
        <v>0.69732313434705018</v>
      </c>
      <c r="X726" s="360">
        <v>1355.325298679177</v>
      </c>
      <c r="Y726" s="360">
        <v>0.46906888975804045</v>
      </c>
      <c r="Z726" s="360">
        <v>0.75876864274932099</v>
      </c>
      <c r="AA726" s="360">
        <v>291.18149814277132</v>
      </c>
      <c r="AB726" s="360">
        <v>0.46411427341026573</v>
      </c>
      <c r="AC726" s="360">
        <v>0.76522578728928048</v>
      </c>
      <c r="AD726" s="360">
        <v>1.1113624662560972</v>
      </c>
      <c r="AE726" s="360">
        <v>0.46629009691296169</v>
      </c>
      <c r="AF726" s="360">
        <v>0.75876985652915663</v>
      </c>
      <c r="AG726" s="360">
        <v>272.0033599107652</v>
      </c>
      <c r="AH726" s="360">
        <v>348.34616533411287</v>
      </c>
      <c r="AI726" s="360">
        <v>0.46109931099194212</v>
      </c>
      <c r="AJ726" s="360">
        <v>0.77343000477365242</v>
      </c>
      <c r="AK726" s="360">
        <v>1.3250928590264488</v>
      </c>
      <c r="AL726" s="360">
        <v>0.46581520714815933</v>
      </c>
      <c r="AM726" s="360">
        <v>0.75876864550290468</v>
      </c>
      <c r="AN726" s="360">
        <v>326.59911598789796</v>
      </c>
      <c r="AO726" s="360">
        <f t="shared" si="30"/>
        <v>1</v>
      </c>
      <c r="AP726" s="360">
        <f t="shared" si="31"/>
        <v>1</v>
      </c>
      <c r="AQ726" s="360">
        <f t="shared" si="32"/>
        <v>1</v>
      </c>
    </row>
    <row r="727" spans="1:43">
      <c r="A727" s="360" t="s">
        <v>1077</v>
      </c>
      <c r="B727" t="s">
        <v>1076</v>
      </c>
      <c r="C727">
        <v>2</v>
      </c>
      <c r="D727" t="s">
        <v>1078</v>
      </c>
      <c r="E727" t="s">
        <v>1079</v>
      </c>
      <c r="F727" s="360">
        <v>11</v>
      </c>
      <c r="G727" s="360" t="str">
        <f>CONCATENATE(A727," ",B727," ",C727," ","inf+"," ",FanUpsizes!D727," ",FanUpsizes!F727)</f>
        <v>10ACH 5C 2 inf+ New 11</v>
      </c>
      <c r="H727" s="360">
        <v>1.4421666666666666E-2</v>
      </c>
      <c r="I727" s="360">
        <v>0.50751216566603841</v>
      </c>
      <c r="J727" s="360">
        <v>0.69732305359727587</v>
      </c>
      <c r="K727" s="360">
        <v>997.9613349650034</v>
      </c>
      <c r="L727" s="360">
        <v>0.49184328704390851</v>
      </c>
      <c r="M727" s="360">
        <v>0.71275211090155799</v>
      </c>
      <c r="N727" s="360">
        <v>1.2147246148208408</v>
      </c>
      <c r="O727" s="360">
        <v>0.49994486507508556</v>
      </c>
      <c r="P727" s="360">
        <v>0.69732344542416291</v>
      </c>
      <c r="Q727" s="360">
        <v>859.98512766181523</v>
      </c>
      <c r="R727" s="360">
        <v>1307.126033475417</v>
      </c>
      <c r="S727" s="360">
        <v>0.4809194236229753</v>
      </c>
      <c r="T727" s="360">
        <v>0.73210984949064495</v>
      </c>
      <c r="U727" s="360">
        <v>1.635471979112467</v>
      </c>
      <c r="V727" s="360">
        <v>0.49800274206216999</v>
      </c>
      <c r="W727" s="360">
        <v>0.69732310814367582</v>
      </c>
      <c r="X727" s="360">
        <v>1095.2544968018565</v>
      </c>
      <c r="Y727" s="360">
        <v>0.46906888975804045</v>
      </c>
      <c r="Z727" s="360">
        <v>0.75876864274932099</v>
      </c>
      <c r="AA727" s="360">
        <v>204.18604514978932</v>
      </c>
      <c r="AB727" s="360">
        <v>0.46603957921452588</v>
      </c>
      <c r="AC727" s="360">
        <v>0.7621455717915252</v>
      </c>
      <c r="AD727" s="360">
        <v>1.053484728765558</v>
      </c>
      <c r="AE727" s="360">
        <v>0.46726934231177525</v>
      </c>
      <c r="AF727" s="360">
        <v>0.75876885626711599</v>
      </c>
      <c r="AG727" s="360">
        <v>186.23865494960296</v>
      </c>
      <c r="AH727" s="360">
        <v>324.18664655243435</v>
      </c>
      <c r="AI727" s="360">
        <v>0.46158604275525156</v>
      </c>
      <c r="AJ727" s="360">
        <v>0.77262824733628288</v>
      </c>
      <c r="AK727" s="360">
        <v>1.2969699831086983</v>
      </c>
      <c r="AL727" s="360">
        <v>0.46618409132596578</v>
      </c>
      <c r="AM727" s="360">
        <v>0.75876898367372592</v>
      </c>
      <c r="AN727" s="360">
        <v>289.76673652393424</v>
      </c>
      <c r="AO727" s="360">
        <f t="shared" si="30"/>
        <v>1</v>
      </c>
      <c r="AP727" s="360">
        <f t="shared" si="31"/>
        <v>1</v>
      </c>
      <c r="AQ727" s="360">
        <f t="shared" si="32"/>
        <v>1</v>
      </c>
    </row>
    <row r="728" spans="1:43">
      <c r="A728" s="360" t="s">
        <v>1077</v>
      </c>
      <c r="B728" t="s">
        <v>1075</v>
      </c>
      <c r="C728">
        <v>1</v>
      </c>
      <c r="D728" t="s">
        <v>1080</v>
      </c>
      <c r="E728" t="s">
        <v>1079</v>
      </c>
      <c r="F728" s="360">
        <v>11</v>
      </c>
      <c r="G728" s="360" t="str">
        <f>CONCATENATE(A728," ",B728," ",C728," ","inf+"," ",FanUpsizes!D728," ",FanUpsizes!F728)</f>
        <v>10ACH Percentile 1 inf+ Existing 11</v>
      </c>
      <c r="H728" s="360">
        <v>2.0992485914059972E-2</v>
      </c>
      <c r="I728" s="360">
        <v>0.41873623022878892</v>
      </c>
      <c r="J728" s="360">
        <v>1.1346074540642095</v>
      </c>
      <c r="K728" s="360">
        <v>1206.0463256819621</v>
      </c>
      <c r="L728" s="360">
        <v>0.40050047928064458</v>
      </c>
      <c r="M728" s="360">
        <v>1.1717662801387685</v>
      </c>
      <c r="N728" s="360">
        <v>1.1792568007686572</v>
      </c>
      <c r="O728" s="360">
        <v>0.41130050719040023</v>
      </c>
      <c r="P728" s="360">
        <v>1.1346081474020486</v>
      </c>
      <c r="Q728" s="360">
        <v>994.1737037828417</v>
      </c>
      <c r="R728" s="360">
        <v>1778.7497067436293</v>
      </c>
      <c r="S728" s="360">
        <v>0.38291916362355977</v>
      </c>
      <c r="T728" s="360">
        <v>1.229876897863398</v>
      </c>
      <c r="U728" s="360">
        <v>1.586237758479083</v>
      </c>
      <c r="V728" s="360">
        <v>0.40839109681737873</v>
      </c>
      <c r="W728" s="360">
        <v>1.1346085962694252</v>
      </c>
      <c r="X728" s="360">
        <v>1421.5861833046581</v>
      </c>
      <c r="Y728" s="360">
        <v>0.3795143064809125</v>
      </c>
      <c r="Z728" s="360">
        <v>1.2443529894815848</v>
      </c>
      <c r="AA728" s="360">
        <v>434.24482229651477</v>
      </c>
      <c r="AB728" s="360">
        <v>0.37308014682804946</v>
      </c>
      <c r="AC728" s="360">
        <v>1.259518299085153</v>
      </c>
      <c r="AD728" s="360">
        <v>1.0561239428981928</v>
      </c>
      <c r="AE728" s="360">
        <v>0.37638653778022907</v>
      </c>
      <c r="AF728" s="360">
        <v>1.2443542040056192</v>
      </c>
      <c r="AG728" s="360">
        <v>377.89118617788517</v>
      </c>
      <c r="AH728" s="360">
        <v>808.6317860138131</v>
      </c>
      <c r="AI728" s="360">
        <v>0.36074203632166296</v>
      </c>
      <c r="AJ728" s="360">
        <v>1.3128297433228227</v>
      </c>
      <c r="AK728" s="360">
        <v>1.354511823837278</v>
      </c>
      <c r="AL728" s="360">
        <v>0.37458185637988306</v>
      </c>
      <c r="AM728" s="360">
        <v>1.2443533020123254</v>
      </c>
      <c r="AN728" s="360">
        <v>687.37682191367878</v>
      </c>
      <c r="AO728" s="360">
        <f t="shared" si="30"/>
        <v>1</v>
      </c>
      <c r="AP728" s="360">
        <f t="shared" si="31"/>
        <v>1</v>
      </c>
      <c r="AQ728" s="360">
        <f t="shared" si="32"/>
        <v>1</v>
      </c>
    </row>
    <row r="729" spans="1:43">
      <c r="A729" s="360" t="s">
        <v>1077</v>
      </c>
      <c r="B729" t="s">
        <v>1074</v>
      </c>
      <c r="C729">
        <v>1</v>
      </c>
      <c r="D729" t="s">
        <v>1080</v>
      </c>
      <c r="E729" t="s">
        <v>1079</v>
      </c>
      <c r="F729" s="360">
        <v>11</v>
      </c>
      <c r="G729" s="360" t="str">
        <f>CONCATENATE(A729," ",B729," ",C729," ","inf+"," ",FanUpsizes!D729," ",FanUpsizes!F729)</f>
        <v>10ACH Infiltration 1 inf+ Existing 11</v>
      </c>
      <c r="H729" s="360">
        <v>2.0992485914059972E-2</v>
      </c>
      <c r="I729" s="360">
        <v>0.41873623022878892</v>
      </c>
      <c r="J729" s="360">
        <v>1.1346074540642095</v>
      </c>
      <c r="K729" s="360">
        <v>172.27657806799849</v>
      </c>
      <c r="L729" s="360">
        <v>0.41666679971382015</v>
      </c>
      <c r="M729" s="360">
        <v>1.137800324854283</v>
      </c>
      <c r="N729" s="360">
        <v>1.0132201597241197</v>
      </c>
      <c r="O729" s="360">
        <v>0.41767402582391827</v>
      </c>
      <c r="P729" s="360">
        <v>1.1346075019181954</v>
      </c>
      <c r="Q729" s="360">
        <v>142.98440569123088</v>
      </c>
      <c r="R729" s="360">
        <v>1139.6401370404856</v>
      </c>
      <c r="S729" s="360">
        <v>0.39785620695596158</v>
      </c>
      <c r="T729" s="360">
        <v>1.1823797604749555</v>
      </c>
      <c r="U729" s="360">
        <v>1.2362538479285361</v>
      </c>
      <c r="V729" s="360">
        <v>0.41148103475783199</v>
      </c>
      <c r="W729" s="360">
        <v>1.1346079380572276</v>
      </c>
      <c r="X729" s="360">
        <v>844.71112295832177</v>
      </c>
      <c r="Y729" s="360">
        <v>0.3795143064809125</v>
      </c>
      <c r="Z729" s="360">
        <v>1.2443529894815848</v>
      </c>
      <c r="AA729" s="360">
        <v>54.240666517084605</v>
      </c>
      <c r="AB729" s="360">
        <v>0.37887857706150374</v>
      </c>
      <c r="AC729" s="360">
        <v>1.2454722450388833</v>
      </c>
      <c r="AD729" s="360">
        <v>1.0037810583376949</v>
      </c>
      <c r="AE729" s="360">
        <v>0.37913997159536877</v>
      </c>
      <c r="AF729" s="360">
        <v>1.2443566918766096</v>
      </c>
      <c r="AG729" s="360">
        <v>47.790382218744256</v>
      </c>
      <c r="AH729" s="360">
        <v>612.76342722039851</v>
      </c>
      <c r="AI729" s="360">
        <v>0.36782395308377491</v>
      </c>
      <c r="AJ729" s="360">
        <v>1.2790024646136795</v>
      </c>
      <c r="AK729" s="360">
        <v>1.1440408575969971</v>
      </c>
      <c r="AL729" s="360">
        <v>0.37507970367889859</v>
      </c>
      <c r="AM729" s="360">
        <v>1.2443539478716004</v>
      </c>
      <c r="AN729" s="360">
        <v>512.54634757890733</v>
      </c>
      <c r="AO729" s="360">
        <f t="shared" si="30"/>
        <v>1</v>
      </c>
      <c r="AP729" s="360">
        <f t="shared" si="31"/>
        <v>1</v>
      </c>
      <c r="AQ729" s="360">
        <f t="shared" si="32"/>
        <v>1</v>
      </c>
    </row>
    <row r="730" spans="1:43">
      <c r="A730" s="360" t="s">
        <v>1077</v>
      </c>
      <c r="B730" t="s">
        <v>1076</v>
      </c>
      <c r="C730">
        <v>1</v>
      </c>
      <c r="D730" t="s">
        <v>1080</v>
      </c>
      <c r="E730" t="s">
        <v>1079</v>
      </c>
      <c r="F730" s="360">
        <v>11</v>
      </c>
      <c r="G730" s="360" t="str">
        <f>CONCATENATE(A730," ",B730," ",C730," ","inf+"," ",FanUpsizes!D730," ",FanUpsizes!F730)</f>
        <v>10ACH 5C 1 inf+ Existing 11</v>
      </c>
      <c r="H730" s="360">
        <v>2.0992485914059972E-2</v>
      </c>
      <c r="I730" s="360">
        <v>0.41873623022878892</v>
      </c>
      <c r="J730" s="360">
        <v>1.1346074540642095</v>
      </c>
      <c r="K730" s="360">
        <v>1452.6538264437495</v>
      </c>
      <c r="L730" s="360">
        <v>0.3959282759633847</v>
      </c>
      <c r="M730" s="360">
        <v>1.1827545577604737</v>
      </c>
      <c r="N730" s="360">
        <v>1.2454922891973559</v>
      </c>
      <c r="O730" s="360">
        <v>0.40961577793361731</v>
      </c>
      <c r="P730" s="360">
        <v>1.1346074841092653</v>
      </c>
      <c r="Q730" s="360">
        <v>1223.034391809357</v>
      </c>
      <c r="R730" s="360">
        <v>1779.8287612283468</v>
      </c>
      <c r="S730" s="360">
        <v>0.38748694508074488</v>
      </c>
      <c r="T730" s="360">
        <v>1.2070628827335621</v>
      </c>
      <c r="U730" s="360">
        <v>1.4124734905246128</v>
      </c>
      <c r="V730" s="360">
        <v>0.40713584706837735</v>
      </c>
      <c r="W730" s="360">
        <v>1.1346081175285168</v>
      </c>
      <c r="X730" s="360">
        <v>1528.9756567168049</v>
      </c>
      <c r="Y730" s="360">
        <v>0.3795143064809125</v>
      </c>
      <c r="Z730" s="360">
        <v>1.2443529894815848</v>
      </c>
      <c r="AA730" s="360">
        <v>531.00114123882292</v>
      </c>
      <c r="AB730" s="360">
        <v>0.37133750047238007</v>
      </c>
      <c r="AC730" s="360">
        <v>1.2644025823965142</v>
      </c>
      <c r="AD730" s="360">
        <v>1.0766759246100586</v>
      </c>
      <c r="AE730" s="360">
        <v>0.3756193129304049</v>
      </c>
      <c r="AF730" s="360">
        <v>1.2443530517658261</v>
      </c>
      <c r="AG730" s="360">
        <v>467.82231592515961</v>
      </c>
      <c r="AH730" s="360">
        <v>740.33020591829472</v>
      </c>
      <c r="AI730" s="360">
        <v>0.36588818384710164</v>
      </c>
      <c r="AJ730" s="360">
        <v>1.284175814080269</v>
      </c>
      <c r="AK730" s="360">
        <v>1.1733885970583877</v>
      </c>
      <c r="AL730" s="360">
        <v>0.37397866746840974</v>
      </c>
      <c r="AM730" s="360">
        <v>1.2443546078490877</v>
      </c>
      <c r="AN730" s="360">
        <v>663.75270719569926</v>
      </c>
      <c r="AO730" s="360">
        <f t="shared" si="30"/>
        <v>1</v>
      </c>
      <c r="AP730" s="360">
        <f t="shared" si="31"/>
        <v>1</v>
      </c>
      <c r="AQ730" s="360">
        <f t="shared" si="32"/>
        <v>1</v>
      </c>
    </row>
    <row r="731" spans="1:43">
      <c r="A731" s="360" t="s">
        <v>1077</v>
      </c>
      <c r="B731" t="s">
        <v>1075</v>
      </c>
      <c r="C731">
        <v>2</v>
      </c>
      <c r="D731" t="s">
        <v>1080</v>
      </c>
      <c r="E731" t="s">
        <v>1079</v>
      </c>
      <c r="F731" s="360">
        <v>11</v>
      </c>
      <c r="G731" s="360" t="str">
        <f>CONCATENATE(A731," ",B731," ",C731," ","inf+"," ",FanUpsizes!D731," ",FanUpsizes!F731)</f>
        <v>10ACH Percentile 2 inf+ Existing 11</v>
      </c>
      <c r="H731" s="360">
        <v>8.6842379207418691E-3</v>
      </c>
      <c r="I731" s="360">
        <v>0.48629893795445767</v>
      </c>
      <c r="J731" s="360">
        <v>1.0096793585102046</v>
      </c>
      <c r="K731" s="360">
        <v>498.92105577853289</v>
      </c>
      <c r="L731" s="360">
        <v>0.47875511486721378</v>
      </c>
      <c r="M731" s="360">
        <v>1.0199807806871888</v>
      </c>
      <c r="N731" s="360">
        <v>1.1470618158225294</v>
      </c>
      <c r="O731" s="360">
        <v>0.48236418907687323</v>
      </c>
      <c r="P731" s="360">
        <v>1.0096793975391825</v>
      </c>
      <c r="Q731" s="360">
        <v>427.01475176129549</v>
      </c>
      <c r="R731" s="360">
        <v>735.83880051419192</v>
      </c>
      <c r="S731" s="360">
        <v>0.4714820206395498</v>
      </c>
      <c r="T731" s="360">
        <v>1.0378742902444908</v>
      </c>
      <c r="U731" s="360">
        <v>1.5293592614188236</v>
      </c>
      <c r="V731" s="360">
        <v>0.48062949040538849</v>
      </c>
      <c r="W731" s="360">
        <v>1.0096797609691566</v>
      </c>
      <c r="X731" s="360">
        <v>602.42164718337835</v>
      </c>
      <c r="Y731" s="360">
        <v>0.4597760098748131</v>
      </c>
      <c r="Z731" s="360">
        <v>1.0761621373910906</v>
      </c>
      <c r="AA731" s="360">
        <v>63.966430348046188</v>
      </c>
      <c r="AB731" s="360">
        <v>0.45890592586085655</v>
      </c>
      <c r="AC731" s="360">
        <v>1.0774629083929905</v>
      </c>
      <c r="AD731" s="360">
        <v>1.0341995578035241</v>
      </c>
      <c r="AE731" s="360">
        <v>0.45922270090904049</v>
      </c>
      <c r="AF731" s="360">
        <v>1.0761624580470557</v>
      </c>
      <c r="AG731" s="360">
        <v>58.500233449197253</v>
      </c>
      <c r="AH731" s="360">
        <v>120.82340861962059</v>
      </c>
      <c r="AI731" s="360">
        <v>0.45716640851981144</v>
      </c>
      <c r="AJ731" s="360">
        <v>1.082981098547781</v>
      </c>
      <c r="AK731" s="360">
        <v>1.2333373851985423</v>
      </c>
      <c r="AL731" s="360">
        <v>0.45862758146958083</v>
      </c>
      <c r="AM731" s="360">
        <v>1.0761628155184599</v>
      </c>
      <c r="AN731" s="360">
        <v>107.70164200315406</v>
      </c>
      <c r="AO731" s="360">
        <f t="shared" si="30"/>
        <v>1</v>
      </c>
      <c r="AP731" s="360">
        <f t="shared" si="31"/>
        <v>1</v>
      </c>
      <c r="AQ731" s="360">
        <f t="shared" si="32"/>
        <v>1</v>
      </c>
    </row>
    <row r="732" spans="1:43">
      <c r="A732" s="360" t="s">
        <v>1077</v>
      </c>
      <c r="B732" t="s">
        <v>1074</v>
      </c>
      <c r="C732">
        <v>2</v>
      </c>
      <c r="D732" t="s">
        <v>1080</v>
      </c>
      <c r="E732" t="s">
        <v>1079</v>
      </c>
      <c r="F732" s="360">
        <v>11</v>
      </c>
      <c r="G732" s="360" t="str">
        <f>CONCATENATE(A732," ",B732," ",C732," ","inf+"," ",FanUpsizes!D732," ",FanUpsizes!F732)</f>
        <v>10ACH Infiltration 2 inf+ Existing 11</v>
      </c>
      <c r="H732" s="360">
        <v>8.6842379207418691E-3</v>
      </c>
      <c r="I732" s="360">
        <v>0.48629893795445767</v>
      </c>
      <c r="J732" s="360">
        <v>1.0096793585102046</v>
      </c>
      <c r="K732" s="360">
        <v>461.27193779039771</v>
      </c>
      <c r="L732" s="360">
        <v>0.47943193701616643</v>
      </c>
      <c r="M732" s="360">
        <v>1.0189385546124727</v>
      </c>
      <c r="N732" s="360">
        <v>1.1301643186222246</v>
      </c>
      <c r="O732" s="360">
        <v>0.48271442437230189</v>
      </c>
      <c r="P732" s="360">
        <v>1.0096819964187351</v>
      </c>
      <c r="Q732" s="360">
        <v>392.72714255162725</v>
      </c>
      <c r="R732" s="360">
        <v>701.2535209480227</v>
      </c>
      <c r="S732" s="360">
        <v>0.47306066257075452</v>
      </c>
      <c r="T732" s="360">
        <v>1.0327891695114895</v>
      </c>
      <c r="U732" s="360">
        <v>1.3993984854142421</v>
      </c>
      <c r="V732" s="360">
        <v>0.48058802716384297</v>
      </c>
      <c r="W732" s="360">
        <v>1.0096797795784329</v>
      </c>
      <c r="X732" s="360">
        <v>586.77774607804952</v>
      </c>
      <c r="Y732" s="360">
        <v>0.4597760098748131</v>
      </c>
      <c r="Z732" s="360">
        <v>1.0761621373910906</v>
      </c>
      <c r="AA732" s="360">
        <v>58.742868214942682</v>
      </c>
      <c r="AB732" s="360">
        <v>0.45898903596445767</v>
      </c>
      <c r="AC732" s="360">
        <v>1.0773214460437202</v>
      </c>
      <c r="AD732" s="360">
        <v>1.0303004451487598</v>
      </c>
      <c r="AE732" s="360">
        <v>0.45927429275769982</v>
      </c>
      <c r="AF732" s="360">
        <v>1.076162386482016</v>
      </c>
      <c r="AG732" s="360">
        <v>53.609193959982186</v>
      </c>
      <c r="AH732" s="360">
        <v>113.92175682370058</v>
      </c>
      <c r="AI732" s="360">
        <v>0.45757664430465633</v>
      </c>
      <c r="AJ732" s="360">
        <v>1.0811399827553534</v>
      </c>
      <c r="AK732" s="360">
        <v>1.1547882052259013</v>
      </c>
      <c r="AL732" s="360">
        <v>0.4586495390212823</v>
      </c>
      <c r="AM732" s="360">
        <v>1.0761629240339172</v>
      </c>
      <c r="AN732" s="360">
        <v>103.44313976194634</v>
      </c>
      <c r="AO732" s="360">
        <f t="shared" si="30"/>
        <v>1</v>
      </c>
      <c r="AP732" s="360">
        <f t="shared" si="31"/>
        <v>1</v>
      </c>
      <c r="AQ732" s="360">
        <f t="shared" si="32"/>
        <v>1</v>
      </c>
    </row>
    <row r="733" spans="1:43">
      <c r="A733" s="360" t="s">
        <v>1077</v>
      </c>
      <c r="B733" t="s">
        <v>1076</v>
      </c>
      <c r="C733">
        <v>2</v>
      </c>
      <c r="D733" t="s">
        <v>1080</v>
      </c>
      <c r="E733" t="s">
        <v>1079</v>
      </c>
      <c r="F733" s="360">
        <v>11</v>
      </c>
      <c r="G733" s="360" t="str">
        <f>CONCATENATE(A733," ",B733," ",C733," ","inf+"," ",FanUpsizes!D733," ",FanUpsizes!F733)</f>
        <v>10ACH 5C 2 inf+ Existing 11</v>
      </c>
      <c r="H733" s="360">
        <v>8.6842379207418691E-3</v>
      </c>
      <c r="I733" s="360">
        <v>0.48629893795445767</v>
      </c>
      <c r="J733" s="360">
        <v>1.0096793585102046</v>
      </c>
      <c r="K733" s="360">
        <v>600.93842610920046</v>
      </c>
      <c r="L733" s="360">
        <v>0.47686367134825014</v>
      </c>
      <c r="M733" s="360">
        <v>1.0230027336252792</v>
      </c>
      <c r="N733" s="360">
        <v>1.1989933758183868</v>
      </c>
      <c r="O733" s="360">
        <v>0.48137082390080743</v>
      </c>
      <c r="P733" s="360">
        <v>1.009679438508865</v>
      </c>
      <c r="Q733" s="360">
        <v>523.94081519420729</v>
      </c>
      <c r="R733" s="360">
        <v>771.08676510740747</v>
      </c>
      <c r="S733" s="360">
        <v>0.47177652973679762</v>
      </c>
      <c r="T733" s="360">
        <v>1.0348895432441982</v>
      </c>
      <c r="U733" s="360">
        <v>1.453062310129049</v>
      </c>
      <c r="V733" s="360">
        <v>0.47973462273465528</v>
      </c>
      <c r="W733" s="360">
        <v>1.0096797769335055</v>
      </c>
      <c r="X733" s="360">
        <v>672.86865140348129</v>
      </c>
      <c r="Y733" s="360">
        <v>0.4597760098748131</v>
      </c>
      <c r="Z733" s="360">
        <v>1.0761621373910906</v>
      </c>
      <c r="AA733" s="360">
        <v>78.353716388773989</v>
      </c>
      <c r="AB733" s="360">
        <v>0.45867050330443859</v>
      </c>
      <c r="AC733" s="360">
        <v>1.0778847575632486</v>
      </c>
      <c r="AD733" s="360">
        <v>1.0461219679518061</v>
      </c>
      <c r="AE733" s="360">
        <v>0.45907789123493009</v>
      </c>
      <c r="AF733" s="360">
        <v>1.0761622333792376</v>
      </c>
      <c r="AG733" s="360">
        <v>72.204362791328336</v>
      </c>
      <c r="AH733" s="360">
        <v>119.50264073332023</v>
      </c>
      <c r="AI733" s="360">
        <v>0.45749675612572294</v>
      </c>
      <c r="AJ733" s="360">
        <v>1.0812823567355001</v>
      </c>
      <c r="AK733" s="360">
        <v>1.1604641561892808</v>
      </c>
      <c r="AL733" s="360">
        <v>0.45858393553811161</v>
      </c>
      <c r="AM733" s="360">
        <v>1.0761621382998963</v>
      </c>
      <c r="AN733" s="360">
        <v>110.30493843036403</v>
      </c>
      <c r="AO733" s="360">
        <f t="shared" si="30"/>
        <v>1</v>
      </c>
      <c r="AP733" s="360">
        <f t="shared" si="31"/>
        <v>1</v>
      </c>
      <c r="AQ733" s="360">
        <f t="shared" si="32"/>
        <v>1</v>
      </c>
    </row>
    <row r="734" spans="1:43">
      <c r="A734" s="360" t="s">
        <v>1081</v>
      </c>
      <c r="B734" t="s">
        <v>1075</v>
      </c>
      <c r="C734">
        <v>1</v>
      </c>
      <c r="D734" t="s">
        <v>1078</v>
      </c>
      <c r="E734" t="s">
        <v>1079</v>
      </c>
      <c r="F734" s="360">
        <v>11</v>
      </c>
      <c r="G734" s="360" t="str">
        <f>CONCATENATE(A734," ",B734," ",C734," ","inf+"," ",FanUpsizes!D734," ",FanUpsizes!F734)</f>
        <v>7ACH Percentile 1 inf+ New 11</v>
      </c>
      <c r="H734" s="360">
        <v>1.6299240139841978E-2</v>
      </c>
      <c r="I734" s="360">
        <v>0.29910422471708742</v>
      </c>
      <c r="J734" s="360">
        <v>1.1428523348908066</v>
      </c>
      <c r="K734" s="360">
        <v>936.41309383459122</v>
      </c>
      <c r="L734" s="360">
        <v>0.28494540212452479</v>
      </c>
      <c r="M734" s="360">
        <v>1.1846472122453873</v>
      </c>
      <c r="N734" s="360">
        <v>1.1879832264192614</v>
      </c>
      <c r="O734" s="360">
        <v>0.29379116102076025</v>
      </c>
      <c r="P734" s="360">
        <v>1.1428532952486639</v>
      </c>
      <c r="Q734" s="360">
        <v>763.90011000056711</v>
      </c>
      <c r="R734" s="360">
        <v>1381.0783885995211</v>
      </c>
      <c r="S734" s="360">
        <v>0.27129470410608825</v>
      </c>
      <c r="T734" s="360">
        <v>1.2479092033064554</v>
      </c>
      <c r="U734" s="360">
        <v>1.5986515570370832</v>
      </c>
      <c r="V734" s="360">
        <v>0.29180114222976977</v>
      </c>
      <c r="W734" s="360">
        <v>1.1428524831847575</v>
      </c>
      <c r="X734" s="360">
        <v>1097.8929515051639</v>
      </c>
      <c r="Y734" s="360">
        <v>0.27123698138669516</v>
      </c>
      <c r="Z734" s="360">
        <v>1.2508226178190764</v>
      </c>
      <c r="AA734" s="360">
        <v>369.84840241152438</v>
      </c>
      <c r="AB734" s="360">
        <v>0.26573560441203276</v>
      </c>
      <c r="AC734" s="360">
        <v>1.2696807045988656</v>
      </c>
      <c r="AD734" s="360">
        <v>1.0628300979847709</v>
      </c>
      <c r="AE734" s="360">
        <v>0.26881833950412543</v>
      </c>
      <c r="AF734" s="360">
        <v>1.2508233525320007</v>
      </c>
      <c r="AG734" s="360">
        <v>316.88172018507743</v>
      </c>
      <c r="AH734" s="360">
        <v>686.15784017591591</v>
      </c>
      <c r="AI734" s="360">
        <v>0.2553042550501109</v>
      </c>
      <c r="AJ734" s="360">
        <v>1.3317132424046769</v>
      </c>
      <c r="AK734" s="360">
        <v>1.3790190713653068</v>
      </c>
      <c r="AL734" s="360">
        <v>0.26761914544376453</v>
      </c>
      <c r="AM734" s="360">
        <v>1.2508226219404632</v>
      </c>
      <c r="AN734" s="360">
        <v>576.00342804272441</v>
      </c>
      <c r="AO734" s="360">
        <f t="shared" si="30"/>
        <v>1</v>
      </c>
      <c r="AP734" s="360">
        <f t="shared" si="31"/>
        <v>1</v>
      </c>
      <c r="AQ734" s="360">
        <f t="shared" si="32"/>
        <v>1</v>
      </c>
    </row>
    <row r="735" spans="1:43">
      <c r="A735" s="360" t="s">
        <v>1081</v>
      </c>
      <c r="B735" t="s">
        <v>1074</v>
      </c>
      <c r="C735">
        <v>1</v>
      </c>
      <c r="D735" t="s">
        <v>1078</v>
      </c>
      <c r="E735" t="s">
        <v>1079</v>
      </c>
      <c r="F735" s="360">
        <v>11</v>
      </c>
      <c r="G735" s="360" t="str">
        <f>CONCATENATE(A735," ",B735," ",C735," ","inf+"," ",FanUpsizes!D735," ",FanUpsizes!F735)</f>
        <v>7ACH Infiltration 1 inf+ New 11</v>
      </c>
      <c r="H735" s="360">
        <v>1.6299240139841978E-2</v>
      </c>
      <c r="I735" s="360">
        <v>0.29910422471708742</v>
      </c>
      <c r="J735" s="360">
        <v>1.1428523348908066</v>
      </c>
      <c r="K735" s="360">
        <v>76.75247132244094</v>
      </c>
      <c r="L735" s="360">
        <v>0.29822530653481355</v>
      </c>
      <c r="M735" s="360">
        <v>1.1447397671369892</v>
      </c>
      <c r="N735" s="360">
        <v>1.0071777135239333</v>
      </c>
      <c r="O735" s="360">
        <v>0.29865749649117934</v>
      </c>
      <c r="P735" s="360">
        <v>1.1428525541527674</v>
      </c>
      <c r="Q735" s="360">
        <v>63.995056279285286</v>
      </c>
      <c r="R735" s="360">
        <v>840.36260850064798</v>
      </c>
      <c r="S735" s="360">
        <v>0.28384675439668478</v>
      </c>
      <c r="T735" s="360">
        <v>1.1921477552870634</v>
      </c>
      <c r="U735" s="360">
        <v>1.2230625130996284</v>
      </c>
      <c r="V735" s="360">
        <v>0.29411314307408032</v>
      </c>
      <c r="W735" s="360">
        <v>1.1428528617876579</v>
      </c>
      <c r="X735" s="360">
        <v>614.23195565158403</v>
      </c>
      <c r="Y735" s="360">
        <v>0.27123698138669516</v>
      </c>
      <c r="Z735" s="360">
        <v>1.2508226178190764</v>
      </c>
      <c r="AA735" s="360">
        <v>25.955324293776421</v>
      </c>
      <c r="AB735" s="360">
        <v>0.27094588191259755</v>
      </c>
      <c r="AC735" s="360">
        <v>1.2515347083759043</v>
      </c>
      <c r="AD735" s="360">
        <v>1.0021439151797307</v>
      </c>
      <c r="AE735" s="360">
        <v>0.27107057607034618</v>
      </c>
      <c r="AF735" s="360">
        <v>1.2508229069932548</v>
      </c>
      <c r="AG735" s="360">
        <v>22.79419896671244</v>
      </c>
      <c r="AH735" s="360">
        <v>502.82660965970126</v>
      </c>
      <c r="AI735" s="360">
        <v>0.26182005291824073</v>
      </c>
      <c r="AJ735" s="360">
        <v>1.2897781666007073</v>
      </c>
      <c r="AK735" s="360">
        <v>1.1439374108747249</v>
      </c>
      <c r="AL735" s="360">
        <v>0.26798342574403178</v>
      </c>
      <c r="AM735" s="360">
        <v>1.2508229842924796</v>
      </c>
      <c r="AN735" s="360">
        <v>413.66567098064604</v>
      </c>
      <c r="AO735" s="360">
        <f t="shared" si="30"/>
        <v>1</v>
      </c>
      <c r="AP735" s="360">
        <f t="shared" si="31"/>
        <v>1</v>
      </c>
      <c r="AQ735" s="360">
        <f t="shared" si="32"/>
        <v>1</v>
      </c>
    </row>
    <row r="736" spans="1:43">
      <c r="A736" s="360" t="s">
        <v>1081</v>
      </c>
      <c r="B736" t="s">
        <v>1076</v>
      </c>
      <c r="C736">
        <v>1</v>
      </c>
      <c r="D736" t="s">
        <v>1078</v>
      </c>
      <c r="E736" t="s">
        <v>1079</v>
      </c>
      <c r="F736" s="360">
        <v>11</v>
      </c>
      <c r="G736" s="360" t="str">
        <f>CONCATENATE(A736," ",B736," ",C736," ","inf+"," ",FanUpsizes!D736," ",FanUpsizes!F736)</f>
        <v>7ACH 5C 1 inf+ New 11</v>
      </c>
      <c r="H736" s="360">
        <v>1.6299240139841978E-2</v>
      </c>
      <c r="I736" s="360">
        <v>0.29910422471708742</v>
      </c>
      <c r="J736" s="360">
        <v>1.1428523348908066</v>
      </c>
      <c r="K736" s="360">
        <v>1127.8870760803429</v>
      </c>
      <c r="L736" s="360">
        <v>0.2813953966539357</v>
      </c>
      <c r="M736" s="360">
        <v>1.1969850221732865</v>
      </c>
      <c r="N736" s="360">
        <v>1.2572806324424721</v>
      </c>
      <c r="O736" s="360">
        <v>0.2926274182377972</v>
      </c>
      <c r="P736" s="360">
        <v>1.142852847461338</v>
      </c>
      <c r="Q736" s="360">
        <v>941.04212357575079</v>
      </c>
      <c r="R736" s="360">
        <v>1365.9299108796031</v>
      </c>
      <c r="S736" s="360">
        <v>0.27543179945624285</v>
      </c>
      <c r="T736" s="360">
        <v>1.2211062776566237</v>
      </c>
      <c r="U736" s="360">
        <v>1.411086122757893</v>
      </c>
      <c r="V736" s="360">
        <v>0.29105186406517114</v>
      </c>
      <c r="W736" s="360">
        <v>1.1428526848735492</v>
      </c>
      <c r="X736" s="360">
        <v>1165.242879952561</v>
      </c>
      <c r="Y736" s="360">
        <v>0.27123698138669516</v>
      </c>
      <c r="Z736" s="360">
        <v>1.2508226178190764</v>
      </c>
      <c r="AA736" s="360">
        <v>452.09462194223124</v>
      </c>
      <c r="AB736" s="360">
        <v>0.26424773090933912</v>
      </c>
      <c r="AC736" s="360">
        <v>1.27569380754551</v>
      </c>
      <c r="AD736" s="360">
        <v>1.0859192805524778</v>
      </c>
      <c r="AE736" s="360">
        <v>0.26824039337276878</v>
      </c>
      <c r="AF736" s="360">
        <v>1.2508229030568752</v>
      </c>
      <c r="AG736" s="360">
        <v>392.74476250289177</v>
      </c>
      <c r="AH736" s="360">
        <v>616.95754610538506</v>
      </c>
      <c r="AI736" s="360">
        <v>0.26009159680161265</v>
      </c>
      <c r="AJ736" s="360">
        <v>1.2964977987281874</v>
      </c>
      <c r="AK736" s="360">
        <v>1.1781407407211246</v>
      </c>
      <c r="AL736" s="360">
        <v>0.26713332710843724</v>
      </c>
      <c r="AM736" s="360">
        <v>1.2508235727534733</v>
      </c>
      <c r="AN736" s="360">
        <v>547.11212934734624</v>
      </c>
      <c r="AO736" s="360">
        <f t="shared" si="30"/>
        <v>1</v>
      </c>
      <c r="AP736" s="360">
        <f t="shared" si="31"/>
        <v>1</v>
      </c>
      <c r="AQ736" s="360">
        <f t="shared" si="32"/>
        <v>1</v>
      </c>
    </row>
    <row r="737" spans="1:43">
      <c r="A737" s="360" t="s">
        <v>1081</v>
      </c>
      <c r="B737" t="s">
        <v>1075</v>
      </c>
      <c r="C737">
        <v>2</v>
      </c>
      <c r="D737" t="s">
        <v>1078</v>
      </c>
      <c r="E737" t="s">
        <v>1079</v>
      </c>
      <c r="F737" s="360">
        <v>11</v>
      </c>
      <c r="G737" s="360" t="str">
        <f>CONCATENATE(A737," ",B737," ",C737," ","inf+"," ",FanUpsizes!D737," ",FanUpsizes!F737)</f>
        <v>7ACH Percentile 2 inf+ New 11</v>
      </c>
      <c r="H737" s="360">
        <v>1.4421666666666666E-2</v>
      </c>
      <c r="I737" s="360">
        <v>0.37129081789261081</v>
      </c>
      <c r="J737" s="360">
        <v>0.93666662129151179</v>
      </c>
      <c r="K737" s="360">
        <v>828.54399258608453</v>
      </c>
      <c r="L737" s="360">
        <v>0.35876300567126862</v>
      </c>
      <c r="M737" s="360">
        <v>0.95992375627791027</v>
      </c>
      <c r="N737" s="360">
        <v>1.1752802757091649</v>
      </c>
      <c r="O737" s="360">
        <v>0.36595466522185482</v>
      </c>
      <c r="P737" s="360">
        <v>0.93666724988118333</v>
      </c>
      <c r="Q737" s="360">
        <v>686.2181281253728</v>
      </c>
      <c r="R737" s="360">
        <v>1221.9865460005615</v>
      </c>
      <c r="S737" s="360">
        <v>0.34668478515913265</v>
      </c>
      <c r="T737" s="360">
        <v>0.9965046454634704</v>
      </c>
      <c r="U737" s="360">
        <v>1.5882939200134016</v>
      </c>
      <c r="V737" s="360">
        <v>0.36383205170656269</v>
      </c>
      <c r="W737" s="360">
        <v>0.93666719489930073</v>
      </c>
      <c r="X737" s="360">
        <v>975.75751587801756</v>
      </c>
      <c r="Y737" s="360">
        <v>0.33841273218750556</v>
      </c>
      <c r="Z737" s="360">
        <v>1.0283273926837799</v>
      </c>
      <c r="AA737" s="360">
        <v>230.78693775566501</v>
      </c>
      <c r="AB737" s="360">
        <v>0.33503883114851607</v>
      </c>
      <c r="AC737" s="360">
        <v>1.0355096255837015</v>
      </c>
      <c r="AD737" s="360">
        <v>1.0493862386939865</v>
      </c>
      <c r="AE737" s="360">
        <v>0.3366365625923402</v>
      </c>
      <c r="AF737" s="360">
        <v>1.02832832070146</v>
      </c>
      <c r="AG737" s="360">
        <v>203.83577277110706</v>
      </c>
      <c r="AH737" s="360">
        <v>430.80478731933221</v>
      </c>
      <c r="AI737" s="360">
        <v>0.3284963594486357</v>
      </c>
      <c r="AJ737" s="360">
        <v>1.0616162211001088</v>
      </c>
      <c r="AK737" s="360">
        <v>1.31509527588116</v>
      </c>
      <c r="AL737" s="360">
        <v>0.33527359567588833</v>
      </c>
      <c r="AM737" s="360">
        <v>1.0283301233032842</v>
      </c>
      <c r="AN737" s="360">
        <v>373.16977123859164</v>
      </c>
      <c r="AO737" s="360">
        <f t="shared" si="30"/>
        <v>1</v>
      </c>
      <c r="AP737" s="360">
        <f t="shared" si="31"/>
        <v>1</v>
      </c>
      <c r="AQ737" s="360">
        <f t="shared" si="32"/>
        <v>1</v>
      </c>
    </row>
    <row r="738" spans="1:43">
      <c r="A738" s="360" t="s">
        <v>1081</v>
      </c>
      <c r="B738" t="s">
        <v>1074</v>
      </c>
      <c r="C738">
        <v>2</v>
      </c>
      <c r="D738" t="s">
        <v>1078</v>
      </c>
      <c r="E738" t="s">
        <v>1079</v>
      </c>
      <c r="F738" s="360">
        <v>11</v>
      </c>
      <c r="G738" s="360" t="str">
        <f>CONCATENATE(A738," ",B738," ",C738," ","inf+"," ",FanUpsizes!D738," ",FanUpsizes!F738)</f>
        <v>7ACH Infiltration 2 inf+ New 11</v>
      </c>
      <c r="H738" s="360">
        <v>1.4421666666666666E-2</v>
      </c>
      <c r="I738" s="360">
        <v>0.37129081789261081</v>
      </c>
      <c r="J738" s="360">
        <v>0.93666662129151179</v>
      </c>
      <c r="K738" s="360">
        <v>661.10012964754105</v>
      </c>
      <c r="L738" s="360">
        <v>0.36168535178109701</v>
      </c>
      <c r="M738" s="360">
        <v>0.95397618823371122</v>
      </c>
      <c r="N738" s="360">
        <v>1.1247552966289958</v>
      </c>
      <c r="O738" s="360">
        <v>0.36716618069397922</v>
      </c>
      <c r="P738" s="360">
        <v>0.93666699127058572</v>
      </c>
      <c r="Q738" s="360">
        <v>538.91054378456181</v>
      </c>
      <c r="R738" s="360">
        <v>1112.0880899550875</v>
      </c>
      <c r="S738" s="360">
        <v>0.35020861206911219</v>
      </c>
      <c r="T738" s="360">
        <v>0.98451667073658011</v>
      </c>
      <c r="U738" s="360">
        <v>1.4282837892618552</v>
      </c>
      <c r="V738" s="360">
        <v>0.3641578021870347</v>
      </c>
      <c r="W738" s="360">
        <v>0.93666786156772353</v>
      </c>
      <c r="X738" s="360">
        <v>885.763194776246</v>
      </c>
      <c r="Y738" s="360">
        <v>0.33841273218750556</v>
      </c>
      <c r="Z738" s="360">
        <v>1.0283273926837799</v>
      </c>
      <c r="AA738" s="360">
        <v>181.57066423518293</v>
      </c>
      <c r="AB738" s="360">
        <v>0.3358620192332194</v>
      </c>
      <c r="AC738" s="360">
        <v>1.0335663812295688</v>
      </c>
      <c r="AD738" s="360">
        <v>1.0352203848568888</v>
      </c>
      <c r="AE738" s="360">
        <v>0.33705311937493354</v>
      </c>
      <c r="AF738" s="360">
        <v>1.0283273973795999</v>
      </c>
      <c r="AG738" s="360">
        <v>159.11376113101002</v>
      </c>
      <c r="AH738" s="360">
        <v>400.15481623508379</v>
      </c>
      <c r="AI738" s="360">
        <v>0.33013013550306441</v>
      </c>
      <c r="AJ738" s="360">
        <v>1.0533177492740669</v>
      </c>
      <c r="AK738" s="360">
        <v>1.2126691437664696</v>
      </c>
      <c r="AL738" s="360">
        <v>0.3352528927039059</v>
      </c>
      <c r="AM738" s="360">
        <v>1.0283294021977643</v>
      </c>
      <c r="AN738" s="360">
        <v>349.88860403959825</v>
      </c>
      <c r="AO738" s="360">
        <f t="shared" si="30"/>
        <v>1</v>
      </c>
      <c r="AP738" s="360">
        <f t="shared" si="31"/>
        <v>1</v>
      </c>
      <c r="AQ738" s="360">
        <f t="shared" si="32"/>
        <v>1</v>
      </c>
    </row>
    <row r="739" spans="1:43">
      <c r="A739" s="360" t="s">
        <v>1081</v>
      </c>
      <c r="B739" t="s">
        <v>1076</v>
      </c>
      <c r="C739">
        <v>2</v>
      </c>
      <c r="D739" t="s">
        <v>1078</v>
      </c>
      <c r="E739" t="s">
        <v>1079</v>
      </c>
      <c r="F739" s="360">
        <v>11</v>
      </c>
      <c r="G739" s="360" t="str">
        <f>CONCATENATE(A739," ",B739," ",C739," ","inf+"," ",FanUpsizes!D739," ",FanUpsizes!F739)</f>
        <v>7ACH 5C 2 inf+ New 11</v>
      </c>
      <c r="H739" s="360">
        <v>1.4421666666666666E-2</v>
      </c>
      <c r="I739" s="360">
        <v>0.37129081789261081</v>
      </c>
      <c r="J739" s="360">
        <v>0.93666662129151179</v>
      </c>
      <c r="K739" s="360">
        <v>997.96133496496611</v>
      </c>
      <c r="L739" s="360">
        <v>0.35562193927047564</v>
      </c>
      <c r="M739" s="360">
        <v>0.96671059463217546</v>
      </c>
      <c r="N739" s="360">
        <v>1.2389646392309634</v>
      </c>
      <c r="O739" s="360">
        <v>0.36468069541054793</v>
      </c>
      <c r="P739" s="360">
        <v>0.93666706109415165</v>
      </c>
      <c r="Q739" s="360">
        <v>844.40914613852863</v>
      </c>
      <c r="R739" s="360">
        <v>1280.5186926138022</v>
      </c>
      <c r="S739" s="360">
        <v>0.34717690581380095</v>
      </c>
      <c r="T739" s="360">
        <v>0.99136961181913841</v>
      </c>
      <c r="U739" s="360">
        <v>1.5239755070644962</v>
      </c>
      <c r="V739" s="360">
        <v>0.3626875009917459</v>
      </c>
      <c r="W739" s="360">
        <v>0.93666693424055414</v>
      </c>
      <c r="X739" s="360">
        <v>1091.879393452215</v>
      </c>
      <c r="Y739" s="360">
        <v>0.33841273218750556</v>
      </c>
      <c r="Z739" s="360">
        <v>1.0283273926837799</v>
      </c>
      <c r="AA739" s="360">
        <v>282.07513049636924</v>
      </c>
      <c r="AB739" s="360">
        <v>0.33412902423072882</v>
      </c>
      <c r="AC739" s="360">
        <v>1.0377972492625949</v>
      </c>
      <c r="AD739" s="360">
        <v>1.0669398517184854</v>
      </c>
      <c r="AE739" s="360">
        <v>0.33618607095605763</v>
      </c>
      <c r="AF739" s="360">
        <v>1.028327656372499</v>
      </c>
      <c r="AG739" s="360">
        <v>251.98851666584281</v>
      </c>
      <c r="AH739" s="360">
        <v>427.25104303152119</v>
      </c>
      <c r="AI739" s="360">
        <v>0.3296894794882928</v>
      </c>
      <c r="AJ739" s="360">
        <v>1.0544377738977471</v>
      </c>
      <c r="AK739" s="360">
        <v>1.2265773377323042</v>
      </c>
      <c r="AL739" s="360">
        <v>0.33495111410650985</v>
      </c>
      <c r="AM739" s="360">
        <v>1.0283275270675865</v>
      </c>
      <c r="AN739" s="360">
        <v>386.12743979306561</v>
      </c>
      <c r="AO739" s="360">
        <f t="shared" si="30"/>
        <v>1</v>
      </c>
      <c r="AP739" s="360">
        <f t="shared" si="31"/>
        <v>1</v>
      </c>
      <c r="AQ739" s="360">
        <f t="shared" si="32"/>
        <v>1</v>
      </c>
    </row>
    <row r="740" spans="1:43">
      <c r="A740" s="360" t="s">
        <v>1081</v>
      </c>
      <c r="B740" t="s">
        <v>1075</v>
      </c>
      <c r="C740">
        <v>1</v>
      </c>
      <c r="D740" t="s">
        <v>1080</v>
      </c>
      <c r="E740" t="s">
        <v>1079</v>
      </c>
      <c r="F740" s="360">
        <v>11</v>
      </c>
      <c r="G740" s="360" t="str">
        <f>CONCATENATE(A740," ",B740," ",C740," ","inf+"," ",FanUpsizes!D740," ",FanUpsizes!F740)</f>
        <v>7ACH Percentile 1 inf+ Existing 11</v>
      </c>
      <c r="H740" s="360">
        <v>3.2549240139841978E-2</v>
      </c>
      <c r="I740" s="360">
        <v>0.3620762895561937</v>
      </c>
      <c r="J740" s="360">
        <v>1.2662543883676696</v>
      </c>
      <c r="K740" s="360">
        <v>1869.9972759349889</v>
      </c>
      <c r="L740" s="360">
        <v>0.33380141829171517</v>
      </c>
      <c r="M740" s="360">
        <v>1.3614828245290791</v>
      </c>
      <c r="N740" s="360">
        <v>1.2185455520950852</v>
      </c>
      <c r="O740" s="360">
        <v>0.35744016460655154</v>
      </c>
      <c r="P740" s="360">
        <v>1.2662543906160122</v>
      </c>
      <c r="Q740" s="360">
        <v>1462.280971031583</v>
      </c>
      <c r="R740" s="360">
        <v>2758.8606744629833</v>
      </c>
      <c r="S740" s="360">
        <v>0.30636905960802957</v>
      </c>
      <c r="T740" s="360">
        <v>1.4872348896160994</v>
      </c>
      <c r="U740" s="360">
        <v>1.654423862068781</v>
      </c>
      <c r="V740" s="360">
        <v>0.35968926875710566</v>
      </c>
      <c r="W740" s="360">
        <v>1.2662550550456588</v>
      </c>
      <c r="X740" s="360">
        <v>2139.6915910473017</v>
      </c>
      <c r="Y740" s="360">
        <v>0.34544959193710129</v>
      </c>
      <c r="Z740" s="360">
        <v>1.3040543057065461</v>
      </c>
      <c r="AA740" s="360">
        <v>1315.5650787053314</v>
      </c>
      <c r="AB740" s="360">
        <v>0.32555417072114606</v>
      </c>
      <c r="AC740" s="360">
        <v>1.3787270530997007</v>
      </c>
      <c r="AD740" s="360">
        <v>1.1280034134643258</v>
      </c>
      <c r="AE740" s="360">
        <v>0.34360023827754588</v>
      </c>
      <c r="AF740" s="360">
        <v>1.3040559580601891</v>
      </c>
      <c r="AG740" s="360">
        <v>985.9257492715941</v>
      </c>
      <c r="AH740" s="360">
        <v>2348.2099976627892</v>
      </c>
      <c r="AI740" s="360">
        <v>0.29190212546940564</v>
      </c>
      <c r="AJ740" s="360">
        <v>1.5554674830367479</v>
      </c>
      <c r="AK740" s="360">
        <v>1.6110958979167882</v>
      </c>
      <c r="AL740" s="360">
        <v>0.34962135193312527</v>
      </c>
      <c r="AM740" s="360">
        <v>1.3040550192957547</v>
      </c>
      <c r="AN740" s="360">
        <v>1725.2031001561199</v>
      </c>
      <c r="AO740" s="360">
        <f t="shared" si="30"/>
        <v>1</v>
      </c>
      <c r="AP740" s="360">
        <f t="shared" si="31"/>
        <v>1</v>
      </c>
      <c r="AQ740" s="360">
        <f t="shared" si="32"/>
        <v>1</v>
      </c>
    </row>
    <row r="741" spans="1:43">
      <c r="A741" s="360" t="s">
        <v>1081</v>
      </c>
      <c r="B741" t="s">
        <v>1074</v>
      </c>
      <c r="C741">
        <v>1</v>
      </c>
      <c r="D741" t="s">
        <v>1080</v>
      </c>
      <c r="E741" t="s">
        <v>1079</v>
      </c>
      <c r="F741" s="360">
        <v>11</v>
      </c>
      <c r="G741" s="360" t="str">
        <f>CONCATENATE(A741," ",B741," ",C741," ","inf+"," ",FanUpsizes!D741," ",FanUpsizes!F741)</f>
        <v>7ACH Infiltration 1 inf+ Existing 11</v>
      </c>
      <c r="H741" s="360">
        <v>3.2549240139841978E-2</v>
      </c>
      <c r="I741" s="360">
        <v>0.3620762895561937</v>
      </c>
      <c r="J741" s="360">
        <v>1.2662543883676696</v>
      </c>
      <c r="K741" s="360">
        <v>0</v>
      </c>
      <c r="L741" s="360">
        <v>0.3620762895561937</v>
      </c>
      <c r="M741" s="360">
        <v>1.2662543883676696</v>
      </c>
      <c r="N741" s="360">
        <v>1</v>
      </c>
      <c r="O741" s="360">
        <v>0.3620762895561937</v>
      </c>
      <c r="P741" s="360">
        <v>1.2662543883676696</v>
      </c>
      <c r="Q741" s="360">
        <v>0</v>
      </c>
      <c r="R741" s="360">
        <v>1125.8384370003878</v>
      </c>
      <c r="S741" s="360">
        <v>0.34440106692772388</v>
      </c>
      <c r="T741" s="360">
        <v>1.3188276587786423</v>
      </c>
      <c r="U741" s="360">
        <v>1.1087163039398418</v>
      </c>
      <c r="V741" s="360">
        <v>0.35709675190853651</v>
      </c>
      <c r="W741" s="360">
        <v>1.2662554324094981</v>
      </c>
      <c r="X741" s="360">
        <v>843.39345692602342</v>
      </c>
      <c r="Y741" s="360">
        <v>0.34544959193710129</v>
      </c>
      <c r="Z741" s="360">
        <v>1.3040543057065461</v>
      </c>
      <c r="AA741" s="360">
        <v>0</v>
      </c>
      <c r="AB741" s="360">
        <v>0.34544959193710129</v>
      </c>
      <c r="AC741" s="360">
        <v>1.3040543057065461</v>
      </c>
      <c r="AD741" s="360">
        <v>1</v>
      </c>
      <c r="AE741" s="360">
        <v>0.34544959193710129</v>
      </c>
      <c r="AF741" s="360">
        <v>1.3040543057065461</v>
      </c>
      <c r="AG741" s="360">
        <v>0</v>
      </c>
      <c r="AH741" s="360">
        <v>1151.4550107900084</v>
      </c>
      <c r="AI741" s="360">
        <v>0.32723474715241624</v>
      </c>
      <c r="AJ741" s="360">
        <v>1.3700566067604993</v>
      </c>
      <c r="AK741" s="360">
        <v>1.1075025408008252</v>
      </c>
      <c r="AL741" s="360">
        <v>0.34282300118988179</v>
      </c>
      <c r="AM741" s="360">
        <v>1.3040571827167509</v>
      </c>
      <c r="AN741" s="360">
        <v>835.02602896167343</v>
      </c>
      <c r="AO741" s="360">
        <f t="shared" ref="AO741:AO804" si="33">IF(ROUND(P741,3)=ROUND(J741,3),1,0)</f>
        <v>1</v>
      </c>
      <c r="AP741" s="360">
        <f t="shared" ref="AP741:AP804" si="34">IF(O741&gt;L741,1,0)</f>
        <v>0</v>
      </c>
      <c r="AQ741" s="360">
        <f t="shared" ref="AQ741:AQ804" si="35">IF(I741&gt;L741,1,0)</f>
        <v>0</v>
      </c>
    </row>
    <row r="742" spans="1:43">
      <c r="A742" s="360" t="s">
        <v>1081</v>
      </c>
      <c r="B742" t="s">
        <v>1076</v>
      </c>
      <c r="C742">
        <v>1</v>
      </c>
      <c r="D742" t="s">
        <v>1080</v>
      </c>
      <c r="E742" t="s">
        <v>1079</v>
      </c>
      <c r="F742" s="360">
        <v>11</v>
      </c>
      <c r="G742" s="360" t="str">
        <f>CONCATENATE(A742," ",B742," ",C742," ","inf+"," ",FanUpsizes!D742," ",FanUpsizes!F742)</f>
        <v>7ACH 5C 1 inf+ Existing 11</v>
      </c>
      <c r="H742" s="360">
        <v>3.2549240139841978E-2</v>
      </c>
      <c r="I742" s="360">
        <v>0.3620762895561937</v>
      </c>
      <c r="J742" s="360">
        <v>1.2662543883676696</v>
      </c>
      <c r="K742" s="360">
        <v>2252.3667959357522</v>
      </c>
      <c r="L742" s="360">
        <v>0.32671213194654708</v>
      </c>
      <c r="M742" s="360">
        <v>1.3897131689577662</v>
      </c>
      <c r="N742" s="360">
        <v>1.3009805911225141</v>
      </c>
      <c r="O742" s="360">
        <v>0.35766205488401681</v>
      </c>
      <c r="P742" s="360">
        <v>1.2662547854628885</v>
      </c>
      <c r="Q742" s="360">
        <v>1802.417449751925</v>
      </c>
      <c r="R742" s="360">
        <v>2252.3667959357522</v>
      </c>
      <c r="S742" s="360">
        <v>0.32671213194654708</v>
      </c>
      <c r="T742" s="360">
        <v>1.3897131689577662</v>
      </c>
      <c r="U742" s="360">
        <v>1.3009805911225141</v>
      </c>
      <c r="V742" s="360">
        <v>0.35766205488401681</v>
      </c>
      <c r="W742" s="360">
        <v>1.2662547854628885</v>
      </c>
      <c r="X742" s="360">
        <v>1802.417449751925</v>
      </c>
      <c r="Y742" s="360">
        <v>0.34544959193710129</v>
      </c>
      <c r="Z742" s="360">
        <v>1.3040543057065461</v>
      </c>
      <c r="AA742" s="360">
        <v>1602.6249419589317</v>
      </c>
      <c r="AB742" s="360">
        <v>0.32025856680411041</v>
      </c>
      <c r="AC742" s="360">
        <v>1.4018937150771411</v>
      </c>
      <c r="AD742" s="360">
        <v>1.1800518545432561</v>
      </c>
      <c r="AE742" s="360">
        <v>0.34411861694970847</v>
      </c>
      <c r="AF742" s="360">
        <v>1.3040543670139415</v>
      </c>
      <c r="AG742" s="360">
        <v>1227.3650573180789</v>
      </c>
      <c r="AH742" s="360">
        <v>1602.6249419589317</v>
      </c>
      <c r="AI742" s="360">
        <v>0.32025856680411041</v>
      </c>
      <c r="AJ742" s="360">
        <v>1.4018937150771411</v>
      </c>
      <c r="AK742" s="360">
        <v>1.1800518545432561</v>
      </c>
      <c r="AL742" s="360">
        <v>0.34411861694970847</v>
      </c>
      <c r="AM742" s="360">
        <v>1.3040543670139415</v>
      </c>
      <c r="AN742" s="360">
        <v>1227.3650573180789</v>
      </c>
      <c r="AO742" s="360">
        <f t="shared" si="33"/>
        <v>1</v>
      </c>
      <c r="AP742" s="360">
        <f t="shared" si="34"/>
        <v>1</v>
      </c>
      <c r="AQ742" s="360">
        <f t="shared" si="35"/>
        <v>1</v>
      </c>
    </row>
    <row r="743" spans="1:43">
      <c r="A743" s="360" t="s">
        <v>1081</v>
      </c>
      <c r="B743" t="s">
        <v>1075</v>
      </c>
      <c r="C743">
        <v>2</v>
      </c>
      <c r="D743" t="s">
        <v>1080</v>
      </c>
      <c r="E743" t="s">
        <v>1079</v>
      </c>
      <c r="F743" s="360">
        <v>11</v>
      </c>
      <c r="G743" s="360" t="str">
        <f>CONCATENATE(A743," ",B743," ",C743," ","inf+"," ",FanUpsizes!D743," ",FanUpsizes!F743)</f>
        <v>7ACH Percentile 2 inf+ Existing 11</v>
      </c>
      <c r="H743" s="360">
        <v>2.3933466544519312E-2</v>
      </c>
      <c r="I743" s="360">
        <v>0.40676677425062763</v>
      </c>
      <c r="J743" s="360">
        <v>1.1598290012396693</v>
      </c>
      <c r="K743" s="360">
        <v>1375.0095870026053</v>
      </c>
      <c r="L743" s="360">
        <v>0.38597625248877782</v>
      </c>
      <c r="M743" s="360">
        <v>1.2082833600018972</v>
      </c>
      <c r="N743" s="360">
        <v>1.1965378506383866</v>
      </c>
      <c r="O743" s="360">
        <v>0.39968258372116139</v>
      </c>
      <c r="P743" s="360">
        <v>1.1598304039975789</v>
      </c>
      <c r="Q743" s="360">
        <v>1110.1674165921056</v>
      </c>
      <c r="R743" s="360">
        <v>2027.9468935553643</v>
      </c>
      <c r="S743" s="360">
        <v>0.36593185032458869</v>
      </c>
      <c r="T743" s="360">
        <v>1.2791487055483601</v>
      </c>
      <c r="U743" s="360">
        <v>1.609971819535029</v>
      </c>
      <c r="V743" s="360">
        <v>0.39713594395097668</v>
      </c>
      <c r="W743" s="360">
        <v>1.1598292261632712</v>
      </c>
      <c r="X743" s="360">
        <v>1604.2602053740786</v>
      </c>
      <c r="Y743" s="360">
        <v>0.36969939266705887</v>
      </c>
      <c r="Z743" s="360">
        <v>1.2626701782149137</v>
      </c>
      <c r="AA743" s="360">
        <v>603.14763839028558</v>
      </c>
      <c r="AB743" s="360">
        <v>0.36069481109113227</v>
      </c>
      <c r="AC743" s="360">
        <v>1.2870618029890186</v>
      </c>
      <c r="AD743" s="360">
        <v>1.0710222893519701</v>
      </c>
      <c r="AE743" s="360">
        <v>0.36613489786503517</v>
      </c>
      <c r="AF743" s="360">
        <v>1.2626766481300413</v>
      </c>
      <c r="AG743" s="360">
        <v>508.35643838589527</v>
      </c>
      <c r="AH743" s="360">
        <v>1107.7935399836101</v>
      </c>
      <c r="AI743" s="360">
        <v>0.34406761043448725</v>
      </c>
      <c r="AJ743" s="360">
        <v>1.3626609192996375</v>
      </c>
      <c r="AK743" s="360">
        <v>1.41435291544231</v>
      </c>
      <c r="AL743" s="360">
        <v>0.36508013701963238</v>
      </c>
      <c r="AM743" s="360">
        <v>1.2626723833388509</v>
      </c>
      <c r="AN743" s="360">
        <v>913.64914326925111</v>
      </c>
      <c r="AO743" s="360">
        <f t="shared" si="33"/>
        <v>1</v>
      </c>
      <c r="AP743" s="360">
        <f t="shared" si="34"/>
        <v>1</v>
      </c>
      <c r="AQ743" s="360">
        <f t="shared" si="35"/>
        <v>1</v>
      </c>
    </row>
    <row r="744" spans="1:43">
      <c r="A744" s="360" t="s">
        <v>1081</v>
      </c>
      <c r="B744" t="s">
        <v>1074</v>
      </c>
      <c r="C744">
        <v>2</v>
      </c>
      <c r="D744" t="s">
        <v>1080</v>
      </c>
      <c r="E744" t="s">
        <v>1079</v>
      </c>
      <c r="F744" s="360">
        <v>11</v>
      </c>
      <c r="G744" s="360" t="str">
        <f>CONCATENATE(A744," ",B744," ",C744," ","inf+"," ",FanUpsizes!D744," ",FanUpsizes!F744)</f>
        <v>7ACH Infiltration 2 inf+ Existing 11</v>
      </c>
      <c r="H744" s="360">
        <v>2.3933466544519312E-2</v>
      </c>
      <c r="I744" s="360">
        <v>0.40676677425062763</v>
      </c>
      <c r="J744" s="360">
        <v>1.1598290012396693</v>
      </c>
      <c r="K744" s="360">
        <v>48.372562701688189</v>
      </c>
      <c r="L744" s="360">
        <v>0.40625255669007754</v>
      </c>
      <c r="M744" s="360">
        <v>1.1606523094172165</v>
      </c>
      <c r="N744" s="360">
        <v>1.0028063175553481</v>
      </c>
      <c r="O744" s="360">
        <v>0.4065035355606102</v>
      </c>
      <c r="P744" s="360">
        <v>1.1598290032678129</v>
      </c>
      <c r="Q744" s="360">
        <v>40.867979124046443</v>
      </c>
      <c r="R744" s="360">
        <v>1174.9498484449261</v>
      </c>
      <c r="S744" s="360">
        <v>0.38564856482764348</v>
      </c>
      <c r="T744" s="360">
        <v>1.2115877502434849</v>
      </c>
      <c r="U744" s="360">
        <v>1.2068836923326554</v>
      </c>
      <c r="V744" s="360">
        <v>0.40001677918513556</v>
      </c>
      <c r="W744" s="360">
        <v>1.15983007868356</v>
      </c>
      <c r="X744" s="360">
        <v>854.77716853433719</v>
      </c>
      <c r="Y744" s="360">
        <v>0.36969939266705887</v>
      </c>
      <c r="Z744" s="360">
        <v>1.2626701782149137</v>
      </c>
      <c r="AA744" s="360">
        <v>17.553710475974476</v>
      </c>
      <c r="AB744" s="360">
        <v>0.36951621861006101</v>
      </c>
      <c r="AC744" s="360">
        <v>1.2630029630171795</v>
      </c>
      <c r="AD744" s="360">
        <v>1.00085912519069</v>
      </c>
      <c r="AE744" s="360">
        <v>0.36959511353558444</v>
      </c>
      <c r="AF744" s="360">
        <v>1.2626713168868369</v>
      </c>
      <c r="AG744" s="360">
        <v>15.490649288913161</v>
      </c>
      <c r="AH744" s="360">
        <v>784.73208460429441</v>
      </c>
      <c r="AI744" s="360">
        <v>0.35528783645144091</v>
      </c>
      <c r="AJ744" s="360">
        <v>1.3078826064967408</v>
      </c>
      <c r="AK744" s="360">
        <v>1.1440416816154877</v>
      </c>
      <c r="AL744" s="360">
        <v>0.3651093011225004</v>
      </c>
      <c r="AM744" s="360">
        <v>1.2626706426056786</v>
      </c>
      <c r="AN744" s="360">
        <v>634.68468507631258</v>
      </c>
      <c r="AO744" s="360">
        <f t="shared" si="33"/>
        <v>1</v>
      </c>
      <c r="AP744" s="360">
        <f t="shared" si="34"/>
        <v>1</v>
      </c>
      <c r="AQ744" s="360">
        <f t="shared" si="35"/>
        <v>1</v>
      </c>
    </row>
    <row r="745" spans="1:43">
      <c r="A745" s="360" t="s">
        <v>1081</v>
      </c>
      <c r="B745" t="s">
        <v>1076</v>
      </c>
      <c r="C745">
        <v>2</v>
      </c>
      <c r="D745" t="s">
        <v>1080</v>
      </c>
      <c r="E745" t="s">
        <v>1079</v>
      </c>
      <c r="F745" s="360">
        <v>11</v>
      </c>
      <c r="G745" s="360" t="str">
        <f>CONCATENATE(A745," ",B745," ",C745," ","inf+"," ",FanUpsizes!D745," ",FanUpsizes!F745)</f>
        <v>7ACH 5C 2 inf+ Existing 11</v>
      </c>
      <c r="H745" s="360">
        <v>2.3933466544519312E-2</v>
      </c>
      <c r="I745" s="360">
        <v>0.40676677425062763</v>
      </c>
      <c r="J745" s="360">
        <v>1.1598290012396693</v>
      </c>
      <c r="K745" s="360">
        <v>1656.1660157015567</v>
      </c>
      <c r="L745" s="360">
        <v>0.38076349800241643</v>
      </c>
      <c r="M745" s="360">
        <v>1.222433371230579</v>
      </c>
      <c r="N745" s="360">
        <v>1.2689941744022895</v>
      </c>
      <c r="O745" s="360">
        <v>0.39818734303186626</v>
      </c>
      <c r="P745" s="360">
        <v>1.1598314722265477</v>
      </c>
      <c r="Q745" s="360">
        <v>1369.3156561778069</v>
      </c>
      <c r="R745" s="360">
        <v>1978.8465749448005</v>
      </c>
      <c r="S745" s="360">
        <v>0.37290403548381096</v>
      </c>
      <c r="T745" s="360">
        <v>1.2461189788869635</v>
      </c>
      <c r="U745" s="360">
        <v>1.4050111139645172</v>
      </c>
      <c r="V745" s="360">
        <v>0.39614078986793649</v>
      </c>
      <c r="W745" s="360">
        <v>1.1598302791005677</v>
      </c>
      <c r="X745" s="360">
        <v>1677.639506264353</v>
      </c>
      <c r="Y745" s="360">
        <v>0.36969939266705887</v>
      </c>
      <c r="Z745" s="360">
        <v>1.2626701782149137</v>
      </c>
      <c r="AA745" s="360">
        <v>735.99006582285131</v>
      </c>
      <c r="AB745" s="360">
        <v>0.35828124355185215</v>
      </c>
      <c r="AC745" s="360">
        <v>1.2947173942351389</v>
      </c>
      <c r="AD745" s="360">
        <v>1.0972161616772562</v>
      </c>
      <c r="AE745" s="360">
        <v>0.36532326147981425</v>
      </c>
      <c r="AF745" s="360">
        <v>1.2626709846104767</v>
      </c>
      <c r="AG745" s="360">
        <v>629.95584214204007</v>
      </c>
      <c r="AH745" s="360">
        <v>977.72724160397547</v>
      </c>
      <c r="AI745" s="360">
        <v>0.35236700143555688</v>
      </c>
      <c r="AJ745" s="360">
        <v>1.3169029650974757</v>
      </c>
      <c r="AK745" s="360">
        <v>1.1843222664668216</v>
      </c>
      <c r="AL745" s="360">
        <v>0.36391842188411205</v>
      </c>
      <c r="AM745" s="360">
        <v>1.262672832225654</v>
      </c>
      <c r="AN745" s="360">
        <v>856.51336974046035</v>
      </c>
      <c r="AO745" s="360">
        <f t="shared" si="33"/>
        <v>1</v>
      </c>
      <c r="AP745" s="360">
        <f t="shared" si="34"/>
        <v>1</v>
      </c>
      <c r="AQ745" s="360">
        <f t="shared" si="35"/>
        <v>1</v>
      </c>
    </row>
    <row r="746" spans="1:43">
      <c r="A746" s="360" t="s">
        <v>1082</v>
      </c>
      <c r="B746" t="s">
        <v>1075</v>
      </c>
      <c r="C746">
        <v>1</v>
      </c>
      <c r="D746" t="s">
        <v>1078</v>
      </c>
      <c r="E746" t="s">
        <v>1079</v>
      </c>
      <c r="F746" s="360">
        <v>11</v>
      </c>
      <c r="G746" s="360" t="str">
        <f>CONCATENATE(A746," ",B746," ",C746," ","inf+"," ",FanUpsizes!D746," ",FanUpsizes!F746)</f>
        <v>5ACH Percentile 1 inf+ New 11</v>
      </c>
      <c r="H746" s="360">
        <v>2.4003742957029985E-2</v>
      </c>
      <c r="I746" s="360">
        <v>0.26171313321832906</v>
      </c>
      <c r="J746" s="360">
        <v>1.267192711759576</v>
      </c>
      <c r="K746" s="360">
        <v>1379.0470606699741</v>
      </c>
      <c r="L746" s="360">
        <v>0.24086156374820306</v>
      </c>
      <c r="M746" s="360">
        <v>1.3650729691829384</v>
      </c>
      <c r="N746" s="360">
        <v>1.2203802238735699</v>
      </c>
      <c r="O746" s="360">
        <v>0.25867826826101509</v>
      </c>
      <c r="P746" s="360">
        <v>1.2672000963360817</v>
      </c>
      <c r="Q746" s="360">
        <v>1074.4047743691617</v>
      </c>
      <c r="R746" s="360">
        <v>2034.86601341755</v>
      </c>
      <c r="S746" s="360">
        <v>0.22058747517581165</v>
      </c>
      <c r="T746" s="360">
        <v>1.4931413947402212</v>
      </c>
      <c r="U746" s="360">
        <v>1.6576231565508535</v>
      </c>
      <c r="V746" s="360">
        <v>0.26049588919975158</v>
      </c>
      <c r="W746" s="360">
        <v>1.26719271176376</v>
      </c>
      <c r="X746" s="360">
        <v>1575.8662714585546</v>
      </c>
      <c r="Y746" s="360">
        <v>0.25078748528934613</v>
      </c>
      <c r="Z746" s="360">
        <v>1.3014182733367863</v>
      </c>
      <c r="AA746" s="360">
        <v>993.82015878677203</v>
      </c>
      <c r="AB746" s="360">
        <v>0.23575107041118681</v>
      </c>
      <c r="AC746" s="360">
        <v>1.3796901417325749</v>
      </c>
      <c r="AD746" s="360">
        <v>1.13234735872661</v>
      </c>
      <c r="AE746" s="360">
        <v>0.24967988733823421</v>
      </c>
      <c r="AF746" s="360">
        <v>1.301418537976347</v>
      </c>
      <c r="AG746" s="360">
        <v>738.72913529290406</v>
      </c>
      <c r="AH746" s="360">
        <v>1769.7692826732361</v>
      </c>
      <c r="AI746" s="360">
        <v>0.2104895313905375</v>
      </c>
      <c r="AJ746" s="360">
        <v>1.5600437683567716</v>
      </c>
      <c r="AK746" s="360">
        <v>1.6175371723803562</v>
      </c>
      <c r="AL746" s="360">
        <v>0.25404014373618389</v>
      </c>
      <c r="AM746" s="360">
        <v>1.3014184568186422</v>
      </c>
      <c r="AN746" s="360">
        <v>1295.65344202035</v>
      </c>
      <c r="AO746" s="360">
        <f t="shared" si="33"/>
        <v>1</v>
      </c>
      <c r="AP746" s="360">
        <f t="shared" si="34"/>
        <v>1</v>
      </c>
      <c r="AQ746" s="360">
        <f t="shared" si="35"/>
        <v>1</v>
      </c>
    </row>
    <row r="747" spans="1:43">
      <c r="A747" s="360" t="s">
        <v>1082</v>
      </c>
      <c r="B747" t="s">
        <v>1074</v>
      </c>
      <c r="C747">
        <v>1</v>
      </c>
      <c r="D747" t="s">
        <v>1078</v>
      </c>
      <c r="E747" t="s">
        <v>1079</v>
      </c>
      <c r="F747" s="360">
        <v>11</v>
      </c>
      <c r="G747" s="360" t="str">
        <f>CONCATENATE(A747," ",B747," ",C747," ","inf+"," ",FanUpsizes!D747," ",FanUpsizes!F747)</f>
        <v>5ACH Infiltration 1 inf+ New 11</v>
      </c>
      <c r="H747" s="360">
        <v>2.4003742957029985E-2</v>
      </c>
      <c r="I747" s="360">
        <v>0.26171313321832906</v>
      </c>
      <c r="J747" s="360">
        <v>1.267192711759576</v>
      </c>
      <c r="K747" s="360">
        <v>0</v>
      </c>
      <c r="L747" s="360">
        <v>0.26171313321832906</v>
      </c>
      <c r="M747" s="360">
        <v>1.267192711759576</v>
      </c>
      <c r="N747" s="360">
        <v>1</v>
      </c>
      <c r="O747" s="360">
        <v>0.26171313321832906</v>
      </c>
      <c r="P747" s="360">
        <v>1.267192711759576</v>
      </c>
      <c r="Q747" s="360">
        <v>0</v>
      </c>
      <c r="R747" s="360">
        <v>780.79821943630725</v>
      </c>
      <c r="S747" s="360">
        <v>0.24962387458518881</v>
      </c>
      <c r="T747" s="360">
        <v>1.316932577887012</v>
      </c>
      <c r="U747" s="360">
        <v>1.1006563977632957</v>
      </c>
      <c r="V747" s="360">
        <v>0.25845999472459175</v>
      </c>
      <c r="W747" s="360">
        <v>1.2671935148038622</v>
      </c>
      <c r="X747" s="360">
        <v>582.55993420375887</v>
      </c>
      <c r="Y747" s="360">
        <v>0.25078748528934613</v>
      </c>
      <c r="Z747" s="360">
        <v>1.3014182733367863</v>
      </c>
      <c r="AA747" s="360">
        <v>0</v>
      </c>
      <c r="AB747" s="360">
        <v>0.25078748528934613</v>
      </c>
      <c r="AC747" s="360">
        <v>1.3014182733367863</v>
      </c>
      <c r="AD747" s="360">
        <v>1</v>
      </c>
      <c r="AE747" s="360">
        <v>0.25078748528934613</v>
      </c>
      <c r="AF747" s="360">
        <v>1.3014182733367863</v>
      </c>
      <c r="AG747" s="360">
        <v>0</v>
      </c>
      <c r="AH747" s="360">
        <v>813.29355565376932</v>
      </c>
      <c r="AI747" s="360">
        <v>0.23810289291144054</v>
      </c>
      <c r="AJ747" s="360">
        <v>1.3644998441750908</v>
      </c>
      <c r="AK747" s="360">
        <v>1.0999518880332948</v>
      </c>
      <c r="AL747" s="360">
        <v>0.2490906109135447</v>
      </c>
      <c r="AM747" s="360">
        <v>1.301418932563724</v>
      </c>
      <c r="AN747" s="360">
        <v>583.77204886306868</v>
      </c>
      <c r="AO747" s="360">
        <f t="shared" si="33"/>
        <v>1</v>
      </c>
      <c r="AP747" s="360">
        <f t="shared" si="34"/>
        <v>0</v>
      </c>
      <c r="AQ747" s="360">
        <f t="shared" si="35"/>
        <v>0</v>
      </c>
    </row>
    <row r="748" spans="1:43">
      <c r="A748" s="360" t="s">
        <v>1082</v>
      </c>
      <c r="B748" t="s">
        <v>1076</v>
      </c>
      <c r="C748">
        <v>1</v>
      </c>
      <c r="D748" t="s">
        <v>1078</v>
      </c>
      <c r="E748" t="s">
        <v>1079</v>
      </c>
      <c r="F748" s="360">
        <v>11</v>
      </c>
      <c r="G748" s="360" t="str">
        <f>CONCATENATE(A748," ",B748," ",C748," ","inf+"," ",FanUpsizes!D748," ",FanUpsizes!F748)</f>
        <v>5ACH 5C 1 inf+ New 11</v>
      </c>
      <c r="H748" s="360">
        <v>2.4003742957029985E-2</v>
      </c>
      <c r="I748" s="360">
        <v>0.26171313321832906</v>
      </c>
      <c r="J748" s="360">
        <v>1.267192711759576</v>
      </c>
      <c r="K748" s="360">
        <v>1661.0290557417022</v>
      </c>
      <c r="L748" s="360">
        <v>0.23563350292567409</v>
      </c>
      <c r="M748" s="360">
        <v>1.3942020956537247</v>
      </c>
      <c r="N748" s="360">
        <v>1.3035915462855217</v>
      </c>
      <c r="O748" s="360">
        <v>0.2590133440976628</v>
      </c>
      <c r="P748" s="360">
        <v>1.2672000111463972</v>
      </c>
      <c r="Q748" s="360">
        <v>1323.6779977266392</v>
      </c>
      <c r="R748" s="360">
        <v>1661.0290557417022</v>
      </c>
      <c r="S748" s="360">
        <v>0.23563350292567409</v>
      </c>
      <c r="T748" s="360">
        <v>1.3942020956537247</v>
      </c>
      <c r="U748" s="360">
        <v>1.3035915462855217</v>
      </c>
      <c r="V748" s="360">
        <v>0.2590133440976628</v>
      </c>
      <c r="W748" s="360">
        <v>1.2672000111463972</v>
      </c>
      <c r="X748" s="360">
        <v>1323.6779977266392</v>
      </c>
      <c r="Y748" s="360">
        <v>0.25078748528934613</v>
      </c>
      <c r="Z748" s="360">
        <v>1.3014182733367863</v>
      </c>
      <c r="AA748" s="360">
        <v>1210.431467458302</v>
      </c>
      <c r="AB748" s="360">
        <v>0.23175277010471906</v>
      </c>
      <c r="AC748" s="360">
        <v>1.4039557612553246</v>
      </c>
      <c r="AD748" s="360">
        <v>1.186337244190202</v>
      </c>
      <c r="AE748" s="360">
        <v>0.25017855309939324</v>
      </c>
      <c r="AF748" s="360">
        <v>1.3014185037051376</v>
      </c>
      <c r="AG748" s="360">
        <v>919.95763929288501</v>
      </c>
      <c r="AH748" s="360">
        <v>1210.431467458302</v>
      </c>
      <c r="AI748" s="360">
        <v>0.23175277010471906</v>
      </c>
      <c r="AJ748" s="360">
        <v>1.4039557612553246</v>
      </c>
      <c r="AK748" s="360">
        <v>1.186337244190202</v>
      </c>
      <c r="AL748" s="360">
        <v>0.25017855309939324</v>
      </c>
      <c r="AM748" s="360">
        <v>1.3014185037051376</v>
      </c>
      <c r="AN748" s="360">
        <v>919.95763929288501</v>
      </c>
      <c r="AO748" s="360">
        <f t="shared" si="33"/>
        <v>1</v>
      </c>
      <c r="AP748" s="360">
        <f t="shared" si="34"/>
        <v>1</v>
      </c>
      <c r="AQ748" s="360">
        <f t="shared" si="35"/>
        <v>1</v>
      </c>
    </row>
    <row r="749" spans="1:43">
      <c r="A749" s="360" t="s">
        <v>1082</v>
      </c>
      <c r="B749" t="s">
        <v>1075</v>
      </c>
      <c r="C749">
        <v>2</v>
      </c>
      <c r="D749" t="s">
        <v>1078</v>
      </c>
      <c r="E749" t="s">
        <v>1079</v>
      </c>
      <c r="F749" s="360">
        <v>11</v>
      </c>
      <c r="G749" s="360" t="str">
        <f>CONCATENATE(A749," ",B749," ",C749," ","inf+"," ",FanUpsizes!D749," ",FanUpsizes!F749)</f>
        <v>5ACH Percentile 2 inf+ New 11</v>
      </c>
      <c r="H749" s="360">
        <v>1.7849618960370933E-2</v>
      </c>
      <c r="I749" s="360">
        <v>0.29338547379245988</v>
      </c>
      <c r="J749" s="360">
        <v>1.1597904926471989</v>
      </c>
      <c r="K749" s="360">
        <v>1025.484425718239</v>
      </c>
      <c r="L749" s="360">
        <v>0.27787986825278632</v>
      </c>
      <c r="M749" s="360">
        <v>1.2104632309418903</v>
      </c>
      <c r="N749" s="360">
        <v>1.2018512059564457</v>
      </c>
      <c r="O749" s="360">
        <v>0.28843110742807943</v>
      </c>
      <c r="P749" s="360">
        <v>1.1597961611735892</v>
      </c>
      <c r="Q749" s="360">
        <v>822.62479652176228</v>
      </c>
      <c r="R749" s="360">
        <v>1512.4461495996743</v>
      </c>
      <c r="S749" s="360">
        <v>0.26293071994392575</v>
      </c>
      <c r="T749" s="360">
        <v>1.2830313707577068</v>
      </c>
      <c r="U749" s="360">
        <v>1.6183972572841054</v>
      </c>
      <c r="V749" s="360">
        <v>0.28673100594195683</v>
      </c>
      <c r="W749" s="360">
        <v>1.1597905136475088</v>
      </c>
      <c r="X749" s="360">
        <v>1192.0952518388533</v>
      </c>
      <c r="Y749" s="360">
        <v>0.26701683187683795</v>
      </c>
      <c r="Z749" s="360">
        <v>1.261219921167865</v>
      </c>
      <c r="AA749" s="360">
        <v>467.09295258466545</v>
      </c>
      <c r="AB749" s="360">
        <v>0.26003436265183927</v>
      </c>
      <c r="AC749" s="360">
        <v>1.2877669136195242</v>
      </c>
      <c r="AD749" s="360">
        <v>1.0753826635053259</v>
      </c>
      <c r="AE749" s="360">
        <v>0.26445785384416665</v>
      </c>
      <c r="AF749" s="360">
        <v>1.2612215724340277</v>
      </c>
      <c r="AG749" s="360">
        <v>389.73252641914712</v>
      </c>
      <c r="AH749" s="360">
        <v>856.26981409453481</v>
      </c>
      <c r="AI749" s="360">
        <v>0.24721500821890557</v>
      </c>
      <c r="AJ749" s="360">
        <v>1.3665955027783183</v>
      </c>
      <c r="AK749" s="360">
        <v>1.425452181171792</v>
      </c>
      <c r="AL749" s="360">
        <v>0.26373957731686853</v>
      </c>
      <c r="AM749" s="360">
        <v>1.261219975143931</v>
      </c>
      <c r="AN749" s="360">
        <v>702.02728018783557</v>
      </c>
      <c r="AO749" s="360">
        <f t="shared" si="33"/>
        <v>1</v>
      </c>
      <c r="AP749" s="360">
        <f t="shared" si="34"/>
        <v>1</v>
      </c>
      <c r="AQ749" s="360">
        <f t="shared" si="35"/>
        <v>1</v>
      </c>
    </row>
    <row r="750" spans="1:43">
      <c r="A750" s="360" t="s">
        <v>1082</v>
      </c>
      <c r="B750" t="s">
        <v>1074</v>
      </c>
      <c r="C750">
        <v>2</v>
      </c>
      <c r="D750" t="s">
        <v>1078</v>
      </c>
      <c r="E750" t="s">
        <v>1079</v>
      </c>
      <c r="F750" s="360">
        <v>11</v>
      </c>
      <c r="G750" s="360" t="str">
        <f>CONCATENATE(A750," ",B750," ",C750," ","inf+"," ",FanUpsizes!D750," ",FanUpsizes!F750)</f>
        <v>5ACH Infiltration 2 inf+ New 11</v>
      </c>
      <c r="H750" s="360">
        <v>1.7849618960370933E-2</v>
      </c>
      <c r="I750" s="360">
        <v>0.29338547379245988</v>
      </c>
      <c r="J750" s="360">
        <v>1.1597904926471989</v>
      </c>
      <c r="K750" s="360">
        <v>34.107673693492224</v>
      </c>
      <c r="L750" s="360">
        <v>0.29302452856166245</v>
      </c>
      <c r="M750" s="360">
        <v>1.1606046234033667</v>
      </c>
      <c r="N750" s="360">
        <v>1.002722592694419</v>
      </c>
      <c r="O750" s="360">
        <v>0.29320661595146591</v>
      </c>
      <c r="P750" s="360">
        <v>1.1597906477203017</v>
      </c>
      <c r="Q750" s="360">
        <v>28.672364165870302</v>
      </c>
      <c r="R750" s="360">
        <v>856.13955181142774</v>
      </c>
      <c r="S750" s="360">
        <v>0.27825585286819976</v>
      </c>
      <c r="T750" s="360">
        <v>1.2108712705235933</v>
      </c>
      <c r="U750" s="360">
        <v>1.1987242646737992</v>
      </c>
      <c r="V750" s="360">
        <v>0.28871679061008992</v>
      </c>
      <c r="W750" s="360">
        <v>1.1597905242297195</v>
      </c>
      <c r="X750" s="360">
        <v>622.76955015961846</v>
      </c>
      <c r="Y750" s="360">
        <v>0.26701683187683795</v>
      </c>
      <c r="Z750" s="360">
        <v>1.261219921167865</v>
      </c>
      <c r="AA750" s="360">
        <v>12.843828455337515</v>
      </c>
      <c r="AB750" s="360">
        <v>0.26688325965967197</v>
      </c>
      <c r="AC750" s="360">
        <v>1.2615639190973964</v>
      </c>
      <c r="AD750" s="360">
        <v>1.0008639054417707</v>
      </c>
      <c r="AE750" s="360">
        <v>0.26694411060374285</v>
      </c>
      <c r="AF750" s="360">
        <v>1.2612200624610321</v>
      </c>
      <c r="AG750" s="360">
        <v>11.245242719488457</v>
      </c>
      <c r="AH750" s="360">
        <v>590.43215298302846</v>
      </c>
      <c r="AI750" s="360">
        <v>0.2563837765845503</v>
      </c>
      <c r="AJ750" s="360">
        <v>1.3068345643211094</v>
      </c>
      <c r="AK750" s="360">
        <v>1.1398891209952096</v>
      </c>
      <c r="AL750" s="360">
        <v>0.26380760274709447</v>
      </c>
      <c r="AM750" s="360">
        <v>1.2612213770381751</v>
      </c>
      <c r="AN750" s="360">
        <v>474.17184180856214</v>
      </c>
      <c r="AO750" s="360">
        <f t="shared" si="33"/>
        <v>1</v>
      </c>
      <c r="AP750" s="360">
        <f t="shared" si="34"/>
        <v>1</v>
      </c>
      <c r="AQ750" s="360">
        <f t="shared" si="35"/>
        <v>1</v>
      </c>
    </row>
    <row r="751" spans="1:43">
      <c r="A751" s="360" t="s">
        <v>1082</v>
      </c>
      <c r="B751" t="s">
        <v>1076</v>
      </c>
      <c r="C751">
        <v>2</v>
      </c>
      <c r="D751" t="s">
        <v>1078</v>
      </c>
      <c r="E751" t="s">
        <v>1079</v>
      </c>
      <c r="F751" s="360">
        <v>11</v>
      </c>
      <c r="G751" s="360" t="str">
        <f>CONCATENATE(A751," ",B751," ",C751," ","inf+"," ",FanUpsizes!D751," ",FanUpsizes!F751)</f>
        <v>5ACH 5C 2 inf+ New 11</v>
      </c>
      <c r="H751" s="360">
        <v>1.7849618960370933E-2</v>
      </c>
      <c r="I751" s="360">
        <v>0.29338547379245988</v>
      </c>
      <c r="J751" s="360">
        <v>1.1597904926471989</v>
      </c>
      <c r="K751" s="360">
        <v>1235.1713555743841</v>
      </c>
      <c r="L751" s="360">
        <v>0.27399218732940606</v>
      </c>
      <c r="M751" s="360">
        <v>1.2252528604149355</v>
      </c>
      <c r="N751" s="360">
        <v>1.2766627913057433</v>
      </c>
      <c r="O751" s="360">
        <v>0.28743181511039434</v>
      </c>
      <c r="P751" s="360">
        <v>1.1597910708160557</v>
      </c>
      <c r="Q751" s="360">
        <v>1015.138963070879</v>
      </c>
      <c r="R751" s="360">
        <v>1456.6713927518845</v>
      </c>
      <c r="S751" s="360">
        <v>0.26873968225207179</v>
      </c>
      <c r="T751" s="360">
        <v>1.2471371255987977</v>
      </c>
      <c r="U751" s="360">
        <v>1.3999468101563546</v>
      </c>
      <c r="V751" s="360">
        <v>0.28620403638249398</v>
      </c>
      <c r="W751" s="360">
        <v>1.1597904926490685</v>
      </c>
      <c r="X751" s="360">
        <v>1227.1783506756599</v>
      </c>
      <c r="Y751" s="360">
        <v>0.26701683187683795</v>
      </c>
      <c r="Z751" s="360">
        <v>1.261219921167865</v>
      </c>
      <c r="AA751" s="360">
        <v>569.87099306608536</v>
      </c>
      <c r="AB751" s="360">
        <v>0.25816419923432377</v>
      </c>
      <c r="AC751" s="360">
        <v>1.2960413856274091</v>
      </c>
      <c r="AD751" s="360">
        <v>1.1031728844157858</v>
      </c>
      <c r="AE751" s="360">
        <v>0.26388766857912815</v>
      </c>
      <c r="AF751" s="360">
        <v>1.2612226213253097</v>
      </c>
      <c r="AG751" s="360">
        <v>483.39840997286802</v>
      </c>
      <c r="AH751" s="360">
        <v>740.31692090063837</v>
      </c>
      <c r="AI751" s="360">
        <v>0.25410991192982968</v>
      </c>
      <c r="AJ751" s="360">
        <v>1.316725802925788</v>
      </c>
      <c r="AK751" s="360">
        <v>1.1821691460789387</v>
      </c>
      <c r="AL751" s="360">
        <v>0.26300044841199288</v>
      </c>
      <c r="AM751" s="360">
        <v>1.2612199228078775</v>
      </c>
      <c r="AN751" s="360">
        <v>643.0782620140568</v>
      </c>
      <c r="AO751" s="360">
        <f t="shared" si="33"/>
        <v>1</v>
      </c>
      <c r="AP751" s="360">
        <f t="shared" si="34"/>
        <v>1</v>
      </c>
      <c r="AQ751" s="360">
        <f t="shared" si="35"/>
        <v>1</v>
      </c>
    </row>
    <row r="752" spans="1:43">
      <c r="A752" s="360" t="s">
        <v>1082</v>
      </c>
      <c r="B752" t="s">
        <v>1075</v>
      </c>
      <c r="C752">
        <v>1</v>
      </c>
      <c r="D752" t="s">
        <v>1080</v>
      </c>
      <c r="E752" t="s">
        <v>1079</v>
      </c>
      <c r="F752" s="360">
        <v>11</v>
      </c>
      <c r="G752" s="360" t="str">
        <f>CONCATENATE(A752," ",B752," ",C752," ","inf+"," ",FanUpsizes!D752," ",FanUpsizes!F752)</f>
        <v>5ACH Percentile 1 inf+ Existing 11</v>
      </c>
      <c r="H752" s="360">
        <v>4.0253742957029985E-2</v>
      </c>
      <c r="I752" s="360">
        <v>0.33611037511889263</v>
      </c>
      <c r="J752" s="360">
        <v>1.3247668995045574</v>
      </c>
      <c r="K752" s="360">
        <v>2312.6312427702569</v>
      </c>
      <c r="L752" s="360">
        <v>0.30114275697684839</v>
      </c>
      <c r="M752" s="360">
        <v>1.5055329789065</v>
      </c>
      <c r="N752" s="360">
        <v>1.2570198743284426</v>
      </c>
      <c r="O752" s="360">
        <v>0.34872008635037588</v>
      </c>
      <c r="P752" s="360">
        <v>1.324767939235113</v>
      </c>
      <c r="Q752" s="360">
        <v>1473.3489276773435</v>
      </c>
      <c r="R752" s="360">
        <v>3497.7959706069882</v>
      </c>
      <c r="S752" s="360">
        <v>0.2617594846064179</v>
      </c>
      <c r="T752" s="360">
        <v>1.7354264178274519</v>
      </c>
      <c r="U752" s="360">
        <v>1.8876985955050416</v>
      </c>
      <c r="V752" s="360">
        <v>0.37126998879257778</v>
      </c>
      <c r="W752" s="360">
        <v>1.3247669849576553</v>
      </c>
      <c r="X752" s="360">
        <v>2387.5933248223751</v>
      </c>
      <c r="Y752" s="360">
        <v>0.34758190021914454</v>
      </c>
      <c r="Z752" s="360">
        <v>1.2728109298214714</v>
      </c>
      <c r="AA752" s="360">
        <v>2350.7158710446402</v>
      </c>
      <c r="AB752" s="360">
        <v>0.31184632853267502</v>
      </c>
      <c r="AC752" s="360">
        <v>1.4545548856842991</v>
      </c>
      <c r="AD752" s="360">
        <v>1.2617155027137392</v>
      </c>
      <c r="AE752" s="360">
        <v>0.36539161416058857</v>
      </c>
      <c r="AF752" s="360">
        <v>1.2728113524259814</v>
      </c>
      <c r="AG752" s="360">
        <v>1336.5387648632088</v>
      </c>
      <c r="AH752" s="360">
        <v>4014.7482419489666</v>
      </c>
      <c r="AI752" s="360">
        <v>0.25857814196717271</v>
      </c>
      <c r="AJ752" s="360">
        <v>1.7622175250758567</v>
      </c>
      <c r="AK752" s="360">
        <v>1.934048663767685</v>
      </c>
      <c r="AL752" s="360">
        <v>0.38930560947794723</v>
      </c>
      <c r="AM752" s="360">
        <v>1.2728109814620561</v>
      </c>
      <c r="AN752" s="360">
        <v>2388.8630111954212</v>
      </c>
      <c r="AO752" s="360">
        <f t="shared" si="33"/>
        <v>1</v>
      </c>
      <c r="AP752" s="360">
        <f t="shared" si="34"/>
        <v>1</v>
      </c>
      <c r="AQ752" s="360">
        <f t="shared" si="35"/>
        <v>1</v>
      </c>
    </row>
    <row r="753" spans="1:43">
      <c r="A753" s="360" t="s">
        <v>1082</v>
      </c>
      <c r="B753" t="s">
        <v>1074</v>
      </c>
      <c r="C753">
        <v>1</v>
      </c>
      <c r="D753" t="s">
        <v>1080</v>
      </c>
      <c r="E753" t="s">
        <v>1079</v>
      </c>
      <c r="F753" s="360">
        <v>11</v>
      </c>
      <c r="G753" s="360" t="str">
        <f>CONCATENATE(A753," ",B753," ",C753," ","inf+"," ",FanUpsizes!D753," ",FanUpsizes!F753)</f>
        <v>5ACH Infiltration 1 inf+ Existing 11</v>
      </c>
      <c r="H753" s="360">
        <v>4.0253742957029985E-2</v>
      </c>
      <c r="I753" s="360">
        <v>0.33611037511889263</v>
      </c>
      <c r="J753" s="360">
        <v>1.3247668995045574</v>
      </c>
      <c r="K753" s="360">
        <v>0</v>
      </c>
      <c r="L753" s="360">
        <v>0.33611037511889263</v>
      </c>
      <c r="M753" s="360">
        <v>1.3247668995045574</v>
      </c>
      <c r="N753" s="360">
        <v>1</v>
      </c>
      <c r="O753" s="360">
        <v>0.33611037511889263</v>
      </c>
      <c r="P753" s="360">
        <v>1.3247668995045574</v>
      </c>
      <c r="Q753" s="360">
        <v>0</v>
      </c>
      <c r="R753" s="360">
        <v>165.17284135512608</v>
      </c>
      <c r="S753" s="360">
        <v>0.33412627651432436</v>
      </c>
      <c r="T753" s="360">
        <v>1.3313429819970812</v>
      </c>
      <c r="U753" s="360">
        <v>1.0076296708581862</v>
      </c>
      <c r="V753" s="360">
        <v>0.33568457268128504</v>
      </c>
      <c r="W753" s="360">
        <v>1.3247670122614796</v>
      </c>
      <c r="X753" s="360">
        <v>127.01953517069632</v>
      </c>
      <c r="Y753" s="360">
        <v>0.34758190021914454</v>
      </c>
      <c r="Z753" s="360">
        <v>1.2728109298214714</v>
      </c>
      <c r="AA753" s="360">
        <v>0</v>
      </c>
      <c r="AB753" s="360">
        <v>0.34758190021914454</v>
      </c>
      <c r="AC753" s="360">
        <v>1.2728109298214714</v>
      </c>
      <c r="AD753" s="360">
        <v>1</v>
      </c>
      <c r="AE753" s="360">
        <v>0.34758190021914454</v>
      </c>
      <c r="AF753" s="360">
        <v>1.2728109298214714</v>
      </c>
      <c r="AG753" s="360">
        <v>0</v>
      </c>
      <c r="AH753" s="360">
        <v>217.06037709752727</v>
      </c>
      <c r="AI753" s="360">
        <v>0.34496193177560602</v>
      </c>
      <c r="AJ753" s="360">
        <v>1.2823478368139194</v>
      </c>
      <c r="AK753" s="360">
        <v>1.010035844804233</v>
      </c>
      <c r="AL753" s="360">
        <v>0.34749878811829993</v>
      </c>
      <c r="AM753" s="360">
        <v>1.272811794607053</v>
      </c>
      <c r="AN753" s="360">
        <v>145.34168942708604</v>
      </c>
      <c r="AO753" s="360">
        <f t="shared" si="33"/>
        <v>1</v>
      </c>
      <c r="AP753" s="360">
        <f t="shared" si="34"/>
        <v>0</v>
      </c>
      <c r="AQ753" s="360">
        <f t="shared" si="35"/>
        <v>0</v>
      </c>
    </row>
    <row r="754" spans="1:43">
      <c r="A754" s="360" t="s">
        <v>1082</v>
      </c>
      <c r="B754" t="s">
        <v>1076</v>
      </c>
      <c r="C754">
        <v>1</v>
      </c>
      <c r="D754" t="s">
        <v>1080</v>
      </c>
      <c r="E754" t="s">
        <v>1079</v>
      </c>
      <c r="F754" s="360">
        <v>11</v>
      </c>
      <c r="G754" s="360" t="str">
        <f>CONCATENATE(A754," ",B754," ",C754," ","inf+"," ",FanUpsizes!D754," ",FanUpsizes!F754)</f>
        <v>5ACH 5C 1 inf+ Existing 11</v>
      </c>
      <c r="H754" s="360">
        <v>4.0253742957029985E-2</v>
      </c>
      <c r="I754" s="360">
        <v>0.33611037511889263</v>
      </c>
      <c r="J754" s="360">
        <v>1.3247668995045574</v>
      </c>
      <c r="K754" s="360">
        <v>2785.5087755970003</v>
      </c>
      <c r="L754" s="360">
        <v>0.2923754152797397</v>
      </c>
      <c r="M754" s="360">
        <v>1.5596792510063033</v>
      </c>
      <c r="N754" s="360">
        <v>1.3657909483744164</v>
      </c>
      <c r="O754" s="360">
        <v>0.35762652628918329</v>
      </c>
      <c r="P754" s="360">
        <v>1.3247682219630692</v>
      </c>
      <c r="Q754" s="360">
        <v>1765.3422710093282</v>
      </c>
      <c r="R754" s="360">
        <v>2785.5087755970003</v>
      </c>
      <c r="S754" s="360">
        <v>0.2923754152797397</v>
      </c>
      <c r="T754" s="360">
        <v>1.5596792510063033</v>
      </c>
      <c r="U754" s="360">
        <v>1.3657909483744164</v>
      </c>
      <c r="V754" s="360">
        <v>0.35762652628918329</v>
      </c>
      <c r="W754" s="360">
        <v>1.3247682219630692</v>
      </c>
      <c r="X754" s="360">
        <v>1765.3422710093282</v>
      </c>
      <c r="Y754" s="360">
        <v>0.34758190021914454</v>
      </c>
      <c r="Z754" s="360">
        <v>1.2728109298214714</v>
      </c>
      <c r="AA754" s="360">
        <v>2853.267633717619</v>
      </c>
      <c r="AB754" s="360">
        <v>0.3025070580859831</v>
      </c>
      <c r="AC754" s="360">
        <v>1.5104956733737074</v>
      </c>
      <c r="AD754" s="360">
        <v>1.3898401401617184</v>
      </c>
      <c r="AE754" s="360">
        <v>0.37703878541367897</v>
      </c>
      <c r="AF754" s="360">
        <v>1.272812152311974</v>
      </c>
      <c r="AG754" s="360">
        <v>1642.1447626706072</v>
      </c>
      <c r="AH754" s="360">
        <v>2853.267633717619</v>
      </c>
      <c r="AI754" s="360">
        <v>0.3025070580859831</v>
      </c>
      <c r="AJ754" s="360">
        <v>1.5104956733737074</v>
      </c>
      <c r="AK754" s="360">
        <v>1.3898401401617184</v>
      </c>
      <c r="AL754" s="360">
        <v>0.37703878541367897</v>
      </c>
      <c r="AM754" s="360">
        <v>1.272812152311974</v>
      </c>
      <c r="AN754" s="360">
        <v>1642.1447626706072</v>
      </c>
      <c r="AO754" s="360">
        <f t="shared" si="33"/>
        <v>1</v>
      </c>
      <c r="AP754" s="360">
        <f t="shared" si="34"/>
        <v>1</v>
      </c>
      <c r="AQ754" s="360">
        <f t="shared" si="35"/>
        <v>1</v>
      </c>
    </row>
    <row r="755" spans="1:43">
      <c r="A755" s="360" t="s">
        <v>1082</v>
      </c>
      <c r="B755" t="s">
        <v>1075</v>
      </c>
      <c r="C755">
        <v>2</v>
      </c>
      <c r="D755" t="s">
        <v>1080</v>
      </c>
      <c r="E755" t="s">
        <v>1079</v>
      </c>
      <c r="F755" s="360">
        <v>11</v>
      </c>
      <c r="G755" s="360" t="str">
        <f>CONCATENATE(A755," ",B755," ",C755," ","inf+"," ",FanUpsizes!D755," ",FanUpsizes!F755)</f>
        <v>5ACH Percentile 2 inf+ Existing 11</v>
      </c>
      <c r="H755" s="360">
        <v>3.4099618960370934E-2</v>
      </c>
      <c r="I755" s="360">
        <v>0.35742609257534852</v>
      </c>
      <c r="J755" s="360">
        <v>1.2767865684980169</v>
      </c>
      <c r="K755" s="360">
        <v>1959.0686078185736</v>
      </c>
      <c r="L755" s="360">
        <v>0.32780443836375978</v>
      </c>
      <c r="M755" s="360">
        <v>1.3864664546222563</v>
      </c>
      <c r="N755" s="360">
        <v>1.2315868916899086</v>
      </c>
      <c r="O755" s="360">
        <v>0.35529013750520289</v>
      </c>
      <c r="P755" s="360">
        <v>1.2767911111724417</v>
      </c>
      <c r="Q755" s="360">
        <v>1495.8314257287218</v>
      </c>
      <c r="R755" s="360">
        <v>2892.9033706065552</v>
      </c>
      <c r="S755" s="360">
        <v>0.29876709673635554</v>
      </c>
      <c r="T755" s="360">
        <v>1.5253440385563031</v>
      </c>
      <c r="U755" s="360">
        <v>1.6986465700076172</v>
      </c>
      <c r="V755" s="360">
        <v>0.36027871841976333</v>
      </c>
      <c r="W755" s="360">
        <v>1.276787241664763</v>
      </c>
      <c r="X755" s="360">
        <v>2198.9076208759247</v>
      </c>
      <c r="Y755" s="360">
        <v>0.34586082392529915</v>
      </c>
      <c r="Z755" s="360">
        <v>1.2977041549266946</v>
      </c>
      <c r="AA755" s="360">
        <v>1503.4336978971353</v>
      </c>
      <c r="AB755" s="360">
        <v>0.32309474049431453</v>
      </c>
      <c r="AC755" s="360">
        <v>1.3899493887998122</v>
      </c>
      <c r="AD755" s="360">
        <v>1.1518335325912235</v>
      </c>
      <c r="AE755" s="360">
        <v>0.34632332990189829</v>
      </c>
      <c r="AF755" s="360">
        <v>1.2977054148829803</v>
      </c>
      <c r="AG755" s="360">
        <v>1074.5282258653406</v>
      </c>
      <c r="AH755" s="360">
        <v>2649.6361079444964</v>
      </c>
      <c r="AI755" s="360">
        <v>0.28588892804084792</v>
      </c>
      <c r="AJ755" s="360">
        <v>1.5884847186435984</v>
      </c>
      <c r="AK755" s="360">
        <v>1.6737994927708579</v>
      </c>
      <c r="AL755" s="360">
        <v>0.35523839984718031</v>
      </c>
      <c r="AM755" s="360">
        <v>1.2977043661514207</v>
      </c>
      <c r="AN755" s="360">
        <v>1875.0718317139861</v>
      </c>
      <c r="AO755" s="360">
        <f t="shared" si="33"/>
        <v>1</v>
      </c>
      <c r="AP755" s="360">
        <f t="shared" si="34"/>
        <v>1</v>
      </c>
      <c r="AQ755" s="360">
        <f t="shared" si="35"/>
        <v>1</v>
      </c>
    </row>
    <row r="756" spans="1:43">
      <c r="A756" s="360" t="s">
        <v>1082</v>
      </c>
      <c r="B756" t="s">
        <v>1074</v>
      </c>
      <c r="C756">
        <v>2</v>
      </c>
      <c r="D756" t="s">
        <v>1080</v>
      </c>
      <c r="E756" t="s">
        <v>1079</v>
      </c>
      <c r="F756" s="360">
        <v>11</v>
      </c>
      <c r="G756" s="360" t="str">
        <f>CONCATENATE(A756," ",B756," ",C756," ","inf+"," ",FanUpsizes!D756," ",FanUpsizes!F756)</f>
        <v>5ACH Infiltration 2 inf+ Existing 11</v>
      </c>
      <c r="H756" s="360">
        <v>3.4099618960370934E-2</v>
      </c>
      <c r="I756" s="360">
        <v>0.35742609257534852</v>
      </c>
      <c r="J756" s="360">
        <v>1.2767865684980169</v>
      </c>
      <c r="K756" s="360">
        <v>0</v>
      </c>
      <c r="L756" s="360">
        <v>0.35742609257534852</v>
      </c>
      <c r="M756" s="360">
        <v>1.2767865684980169</v>
      </c>
      <c r="N756" s="360">
        <v>1</v>
      </c>
      <c r="O756" s="360">
        <v>0.35742609257534852</v>
      </c>
      <c r="P756" s="360">
        <v>1.2767865684980169</v>
      </c>
      <c r="Q756" s="360">
        <v>0</v>
      </c>
      <c r="R756" s="360">
        <v>905.61759473419193</v>
      </c>
      <c r="S756" s="360">
        <v>0.3439440739150304</v>
      </c>
      <c r="T756" s="360">
        <v>1.3185610677514576</v>
      </c>
      <c r="U756" s="360">
        <v>1.0772467876302294</v>
      </c>
      <c r="V756" s="360">
        <v>0.35404979468567876</v>
      </c>
      <c r="W756" s="360">
        <v>1.2767866155030976</v>
      </c>
      <c r="X756" s="360">
        <v>672.31665502308147</v>
      </c>
      <c r="Y756" s="360">
        <v>0.34586082392529915</v>
      </c>
      <c r="Z756" s="360">
        <v>1.2977041549266946</v>
      </c>
      <c r="AA756" s="360">
        <v>0</v>
      </c>
      <c r="AB756" s="360">
        <v>0.34586082392529915</v>
      </c>
      <c r="AC756" s="360">
        <v>1.2977041549266946</v>
      </c>
      <c r="AD756" s="360">
        <v>1</v>
      </c>
      <c r="AE756" s="360">
        <v>0.34586082392529915</v>
      </c>
      <c r="AF756" s="360">
        <v>1.2977041549266946</v>
      </c>
      <c r="AG756" s="360">
        <v>0</v>
      </c>
      <c r="AH756" s="360">
        <v>990.28894555877946</v>
      </c>
      <c r="AI756" s="360">
        <v>0.33101941609190472</v>
      </c>
      <c r="AJ756" s="360">
        <v>1.3527426589291431</v>
      </c>
      <c r="AK756" s="360">
        <v>1.0806135920495428</v>
      </c>
      <c r="AL756" s="360">
        <v>0.34443874996776147</v>
      </c>
      <c r="AM756" s="360">
        <v>1.2977044107502016</v>
      </c>
      <c r="AN756" s="360">
        <v>687.39731290534223</v>
      </c>
      <c r="AO756" s="360">
        <f t="shared" si="33"/>
        <v>1</v>
      </c>
      <c r="AP756" s="360">
        <f t="shared" si="34"/>
        <v>0</v>
      </c>
      <c r="AQ756" s="360">
        <f t="shared" si="35"/>
        <v>0</v>
      </c>
    </row>
    <row r="757" spans="1:43">
      <c r="A757" s="360" t="s">
        <v>1082</v>
      </c>
      <c r="B757" t="s">
        <v>1076</v>
      </c>
      <c r="C757">
        <v>2</v>
      </c>
      <c r="D757" t="s">
        <v>1080</v>
      </c>
      <c r="E757" t="s">
        <v>1079</v>
      </c>
      <c r="F757" s="360">
        <v>11</v>
      </c>
      <c r="G757" s="360" t="str">
        <f>CONCATENATE(A757," ",B757," ",C757," ","inf+"," ",FanUpsizes!D757," ",FanUpsizes!F757)</f>
        <v>5ACH 5C 2 inf+ Existing 11</v>
      </c>
      <c r="H757" s="360">
        <v>3.4099618960370934E-2</v>
      </c>
      <c r="I757" s="360">
        <v>0.35742609257534852</v>
      </c>
      <c r="J757" s="360">
        <v>1.2767865684980169</v>
      </c>
      <c r="K757" s="360">
        <v>2359.6510754297597</v>
      </c>
      <c r="L757" s="360">
        <v>0.32037747656580129</v>
      </c>
      <c r="M757" s="360">
        <v>1.4186835615889606</v>
      </c>
      <c r="N757" s="360">
        <v>1.3191955703150871</v>
      </c>
      <c r="O757" s="360">
        <v>0.35664227322368619</v>
      </c>
      <c r="P757" s="360">
        <v>1.2767883396105582</v>
      </c>
      <c r="Q757" s="360">
        <v>1840.5187618928715</v>
      </c>
      <c r="R757" s="360">
        <v>2359.6510754297597</v>
      </c>
      <c r="S757" s="360">
        <v>0.32037747656580129</v>
      </c>
      <c r="T757" s="360">
        <v>1.4186835615889606</v>
      </c>
      <c r="U757" s="360">
        <v>1.3191955703150871</v>
      </c>
      <c r="V757" s="360">
        <v>0.35664227322368619</v>
      </c>
      <c r="W757" s="360">
        <v>1.2767883396105582</v>
      </c>
      <c r="X757" s="360">
        <v>1840.5187618928715</v>
      </c>
      <c r="Y757" s="360">
        <v>0.34586082392529915</v>
      </c>
      <c r="Z757" s="360">
        <v>1.2977041549266946</v>
      </c>
      <c r="AA757" s="360">
        <v>1828.0479620293165</v>
      </c>
      <c r="AB757" s="360">
        <v>0.31709464886070732</v>
      </c>
      <c r="AC757" s="360">
        <v>1.4180558531417635</v>
      </c>
      <c r="AD757" s="360">
        <v>1.2147969728531764</v>
      </c>
      <c r="AE757" s="360">
        <v>0.34794446380342964</v>
      </c>
      <c r="AF757" s="360">
        <v>1.297704186971675</v>
      </c>
      <c r="AG757" s="360">
        <v>1338.1454869069535</v>
      </c>
      <c r="AH757" s="360">
        <v>1828.0479620293165</v>
      </c>
      <c r="AI757" s="360">
        <v>0.31709464886070732</v>
      </c>
      <c r="AJ757" s="360">
        <v>1.4180558531417635</v>
      </c>
      <c r="AK757" s="360">
        <v>1.2147969728531764</v>
      </c>
      <c r="AL757" s="360">
        <v>0.34794446380342964</v>
      </c>
      <c r="AM757" s="360">
        <v>1.297704186971675</v>
      </c>
      <c r="AN757" s="360">
        <v>1338.1454869069535</v>
      </c>
      <c r="AO757" s="360">
        <f t="shared" si="33"/>
        <v>1</v>
      </c>
      <c r="AP757" s="360">
        <f t="shared" si="34"/>
        <v>1</v>
      </c>
      <c r="AQ757" s="360">
        <f t="shared" si="35"/>
        <v>1</v>
      </c>
    </row>
    <row r="758" spans="1:43">
      <c r="A758" s="360" t="s">
        <v>1083</v>
      </c>
      <c r="B758" t="s">
        <v>1075</v>
      </c>
      <c r="C758">
        <v>1</v>
      </c>
      <c r="D758" t="s">
        <v>1078</v>
      </c>
      <c r="E758" t="s">
        <v>1079</v>
      </c>
      <c r="F758" s="360">
        <v>11</v>
      </c>
      <c r="G758" s="360" t="str">
        <f>CONCATENATE(A758," ",B758," ",C758," ","inf+"," ",FanUpsizes!D758," ",FanUpsizes!F758)</f>
        <v>3ACH Percentile 1 inf+ New 11</v>
      </c>
      <c r="H758" s="360">
        <v>3.1708245774217991E-2</v>
      </c>
      <c r="I758" s="360">
        <v>0.24388061777963657</v>
      </c>
      <c r="J758" s="360">
        <v>1.3145869131895178</v>
      </c>
      <c r="K758" s="360">
        <v>1844.6505856912991</v>
      </c>
      <c r="L758" s="360">
        <v>0.21593253861027498</v>
      </c>
      <c r="M758" s="360">
        <v>1.5524497552840992</v>
      </c>
      <c r="N758" s="360">
        <v>1.2984888065231364</v>
      </c>
      <c r="O758" s="360">
        <v>0.26552162182751754</v>
      </c>
      <c r="P758" s="360">
        <v>1.3145912170405343</v>
      </c>
      <c r="Q758" s="360">
        <v>904.5796500032252</v>
      </c>
      <c r="R758" s="360">
        <v>2960.852350846169</v>
      </c>
      <c r="S758" s="360">
        <v>0.17856687348289912</v>
      </c>
      <c r="T758" s="360">
        <v>1.8737683333664912</v>
      </c>
      <c r="U758" s="360">
        <v>2.0394600785944648</v>
      </c>
      <c r="V758" s="360">
        <v>0.29134856053491798</v>
      </c>
      <c r="W758" s="360">
        <v>1.3145879562927212</v>
      </c>
      <c r="X758" s="360">
        <v>1712.6250895817682</v>
      </c>
      <c r="Y758" s="360">
        <v>0.25815618458299949</v>
      </c>
      <c r="Z758" s="360">
        <v>1.2406082667299019</v>
      </c>
      <c r="AA758" s="360">
        <v>2136.026113212411</v>
      </c>
      <c r="AB758" s="360">
        <v>0.22564691933576614</v>
      </c>
      <c r="AC758" s="360">
        <v>1.4945020610246875</v>
      </c>
      <c r="AD758" s="360">
        <v>1.3606723032578851</v>
      </c>
      <c r="AE758" s="360">
        <v>0.28634643863631409</v>
      </c>
      <c r="AF758" s="360">
        <v>1.240611905030695</v>
      </c>
      <c r="AG758" s="360">
        <v>974.15452757530954</v>
      </c>
      <c r="AH758" s="360">
        <v>3565.8268587243592</v>
      </c>
      <c r="AI758" s="360">
        <v>0.18022527072153857</v>
      </c>
      <c r="AJ758" s="360">
        <v>1.8681188528949852</v>
      </c>
      <c r="AK758" s="360">
        <v>2.1379705665568052</v>
      </c>
      <c r="AL758" s="360">
        <v>0.31242657168513999</v>
      </c>
      <c r="AM758" s="360">
        <v>1.240608624916189</v>
      </c>
      <c r="AN758" s="360">
        <v>1841.7435135084781</v>
      </c>
      <c r="AO758" s="360">
        <f t="shared" si="33"/>
        <v>1</v>
      </c>
      <c r="AP758" s="360">
        <f t="shared" si="34"/>
        <v>1</v>
      </c>
      <c r="AQ758" s="360">
        <f t="shared" si="35"/>
        <v>1</v>
      </c>
    </row>
    <row r="759" spans="1:43">
      <c r="A759" s="360" t="s">
        <v>1083</v>
      </c>
      <c r="B759" t="s">
        <v>1074</v>
      </c>
      <c r="C759">
        <v>1</v>
      </c>
      <c r="D759" t="s">
        <v>1078</v>
      </c>
      <c r="E759" t="s">
        <v>1079</v>
      </c>
      <c r="F759" s="360">
        <v>11</v>
      </c>
      <c r="G759" s="360" t="str">
        <f>CONCATENATE(A759," ",B759," ",C759," ","inf+"," ",FanUpsizes!D759," ",FanUpsizes!F759)</f>
        <v>3ACH Infiltration 1 inf+ New 11</v>
      </c>
      <c r="H759" s="360">
        <v>3.1708245774217991E-2</v>
      </c>
      <c r="I759" s="360">
        <v>0.24388061777963657</v>
      </c>
      <c r="J759" s="360">
        <v>1.3145869131895178</v>
      </c>
      <c r="K759" s="360">
        <v>0</v>
      </c>
      <c r="L759" s="360">
        <v>0.24388061777963657</v>
      </c>
      <c r="M759" s="360">
        <v>1.3145869131895178</v>
      </c>
      <c r="N759" s="360">
        <v>1</v>
      </c>
      <c r="O759" s="360">
        <v>0.24388061777963657</v>
      </c>
      <c r="P759" s="360">
        <v>1.3145869131895178</v>
      </c>
      <c r="Q759" s="360">
        <v>0</v>
      </c>
      <c r="R759" s="360">
        <v>13.738027778081376</v>
      </c>
      <c r="S759" s="360">
        <v>0.24374035816680886</v>
      </c>
      <c r="T759" s="360">
        <v>1.3152514212973945</v>
      </c>
      <c r="U759" s="360">
        <v>1.0006184494161507</v>
      </c>
      <c r="V759" s="360">
        <v>0.24386053092573926</v>
      </c>
      <c r="W759" s="360">
        <v>1.3145881758863518</v>
      </c>
      <c r="X759" s="360">
        <v>10.501502695294356</v>
      </c>
      <c r="Y759" s="360">
        <v>0.25815618458299949</v>
      </c>
      <c r="Z759" s="360">
        <v>1.2406082667299019</v>
      </c>
      <c r="AA759" s="360">
        <v>0</v>
      </c>
      <c r="AB759" s="360">
        <v>0.25815618458299949</v>
      </c>
      <c r="AC759" s="360">
        <v>1.2406082667299019</v>
      </c>
      <c r="AD759" s="360">
        <v>1</v>
      </c>
      <c r="AE759" s="360">
        <v>0.25815618458299949</v>
      </c>
      <c r="AF759" s="360">
        <v>1.2406082667299019</v>
      </c>
      <c r="AG759" s="360">
        <v>0</v>
      </c>
      <c r="AH759" s="360">
        <v>19.711009340465758</v>
      </c>
      <c r="AI759" s="360">
        <v>0.25795426085088335</v>
      </c>
      <c r="AJ759" s="360">
        <v>1.2415672517231295</v>
      </c>
      <c r="AK759" s="360">
        <v>1.00092112686775</v>
      </c>
      <c r="AL759" s="360">
        <v>0.25815035200536424</v>
      </c>
      <c r="AM759" s="360">
        <v>1.2406152439720901</v>
      </c>
      <c r="AN759" s="360">
        <v>13.936600760653308</v>
      </c>
      <c r="AO759" s="360">
        <f t="shared" si="33"/>
        <v>1</v>
      </c>
      <c r="AP759" s="360">
        <f t="shared" si="34"/>
        <v>0</v>
      </c>
      <c r="AQ759" s="360">
        <f t="shared" si="35"/>
        <v>0</v>
      </c>
    </row>
    <row r="760" spans="1:43">
      <c r="A760" s="360" t="s">
        <v>1083</v>
      </c>
      <c r="B760" t="s">
        <v>1076</v>
      </c>
      <c r="C760">
        <v>1</v>
      </c>
      <c r="D760" t="s">
        <v>1078</v>
      </c>
      <c r="E760" t="s">
        <v>1079</v>
      </c>
      <c r="F760" s="360">
        <v>11</v>
      </c>
      <c r="G760" s="360" t="str">
        <f>CONCATENATE(A760," ",B760," ",C760," ","inf+"," ",FanUpsizes!D760," ",FanUpsizes!F760)</f>
        <v>3ACH 5C 1 inf+ New 11</v>
      </c>
      <c r="H760" s="360">
        <v>3.1708245774217991E-2</v>
      </c>
      <c r="I760" s="360">
        <v>0.24388061777963657</v>
      </c>
      <c r="J760" s="360">
        <v>1.3145869131895178</v>
      </c>
      <c r="K760" s="360">
        <v>2240.7988679019923</v>
      </c>
      <c r="L760" s="360">
        <v>0.20857386199040784</v>
      </c>
      <c r="M760" s="360">
        <v>1.6274144836781135</v>
      </c>
      <c r="N760" s="360">
        <v>1.4559641155663785</v>
      </c>
      <c r="O760" s="360">
        <v>0.27974506882862282</v>
      </c>
      <c r="P760" s="360">
        <v>1.3145869907954144</v>
      </c>
      <c r="Q760" s="360">
        <v>1080.538615956026</v>
      </c>
      <c r="R760" s="360">
        <v>2240.7988679019923</v>
      </c>
      <c r="S760" s="360">
        <v>0.20857386199040784</v>
      </c>
      <c r="T760" s="360">
        <v>1.6274144836781135</v>
      </c>
      <c r="U760" s="360">
        <v>1.4559641155663785</v>
      </c>
      <c r="V760" s="360">
        <v>0.27974506882862282</v>
      </c>
      <c r="W760" s="360">
        <v>1.3145869907954144</v>
      </c>
      <c r="X760" s="360">
        <v>1080.538615956026</v>
      </c>
      <c r="Y760" s="360">
        <v>0.25815618458299949</v>
      </c>
      <c r="Z760" s="360">
        <v>1.2406082667299019</v>
      </c>
      <c r="AA760" s="360">
        <v>2588.3071625645475</v>
      </c>
      <c r="AB760" s="360">
        <v>0.21722408746277017</v>
      </c>
      <c r="AC760" s="360">
        <v>1.5746968146875118</v>
      </c>
      <c r="AD760" s="360">
        <v>1.5621946832613824</v>
      </c>
      <c r="AE760" s="360">
        <v>0.30538599167073693</v>
      </c>
      <c r="AF760" s="360">
        <v>1.2406084285713361</v>
      </c>
      <c r="AG760" s="360">
        <v>1142.5476058465933</v>
      </c>
      <c r="AH760" s="360">
        <v>2588.3071625645475</v>
      </c>
      <c r="AI760" s="360">
        <v>0.21722408746277017</v>
      </c>
      <c r="AJ760" s="360">
        <v>1.5746968146875118</v>
      </c>
      <c r="AK760" s="360">
        <v>1.5621946832613824</v>
      </c>
      <c r="AL760" s="360">
        <v>0.30538599167073693</v>
      </c>
      <c r="AM760" s="360">
        <v>1.2406084285713361</v>
      </c>
      <c r="AN760" s="360">
        <v>1142.5476058465933</v>
      </c>
      <c r="AO760" s="360">
        <f t="shared" si="33"/>
        <v>1</v>
      </c>
      <c r="AP760" s="360">
        <f t="shared" si="34"/>
        <v>1</v>
      </c>
      <c r="AQ760" s="360">
        <f t="shared" si="35"/>
        <v>1</v>
      </c>
    </row>
    <row r="761" spans="1:43">
      <c r="A761" s="360" t="s">
        <v>1083</v>
      </c>
      <c r="B761" t="s">
        <v>1075</v>
      </c>
      <c r="C761">
        <v>2</v>
      </c>
      <c r="D761" t="s">
        <v>1078</v>
      </c>
      <c r="E761" t="s">
        <v>1079</v>
      </c>
      <c r="F761" s="360">
        <v>11</v>
      </c>
      <c r="G761" s="360" t="str">
        <f>CONCATENATE(A761," ",B761," ",C761," ","inf+"," ",FanUpsizes!D761," ",FanUpsizes!F761)</f>
        <v>3ACH Percentile 2 inf+ New 11</v>
      </c>
      <c r="H761" s="360">
        <v>2.8015771376222562E-2</v>
      </c>
      <c r="I761" s="360">
        <v>0.24815543602507548</v>
      </c>
      <c r="J761" s="360">
        <v>1.3117771819153992</v>
      </c>
      <c r="K761" s="360">
        <v>1609.5434465342621</v>
      </c>
      <c r="L761" s="360">
        <v>0.22381869803566529</v>
      </c>
      <c r="M761" s="360">
        <v>1.4673940798555019</v>
      </c>
      <c r="N761" s="360">
        <v>1.2470343372554078</v>
      </c>
      <c r="O761" s="360">
        <v>0.25291676071820302</v>
      </c>
      <c r="P761" s="360">
        <v>1.3117822307339915</v>
      </c>
      <c r="Q761" s="360">
        <v>1119.433116015826</v>
      </c>
      <c r="R761" s="360">
        <v>2403.3799905809847</v>
      </c>
      <c r="S761" s="360">
        <v>0.19800336865564674</v>
      </c>
      <c r="T761" s="360">
        <v>1.6611125843776091</v>
      </c>
      <c r="U761" s="360">
        <v>1.8115904327084269</v>
      </c>
      <c r="V761" s="360">
        <v>0.26378386592910857</v>
      </c>
      <c r="W761" s="360">
        <v>1.3117774859677098</v>
      </c>
      <c r="X761" s="360">
        <v>1722.8596753470781</v>
      </c>
      <c r="Y761" s="360">
        <v>0.25188826793735758</v>
      </c>
      <c r="Z761" s="360">
        <v>1.2801441725753815</v>
      </c>
      <c r="AA761" s="360">
        <v>1525.2290584033537</v>
      </c>
      <c r="AB761" s="360">
        <v>0.2287240209818269</v>
      </c>
      <c r="AC761" s="360">
        <v>1.4306167235277183</v>
      </c>
      <c r="AD761" s="360">
        <v>1.2210497072249031</v>
      </c>
      <c r="AE761" s="360">
        <v>0.2592150912937401</v>
      </c>
      <c r="AF761" s="360">
        <v>1.2801445712204873</v>
      </c>
      <c r="AG761" s="360">
        <v>950.87516950384497</v>
      </c>
      <c r="AH761" s="360">
        <v>2622.5975893267428</v>
      </c>
      <c r="AI761" s="360">
        <v>0.19346537831948651</v>
      </c>
      <c r="AJ761" s="360">
        <v>1.7009467371595024</v>
      </c>
      <c r="AK761" s="360">
        <v>1.8398263515315669</v>
      </c>
      <c r="AL761" s="360">
        <v>0.27229918586976481</v>
      </c>
      <c r="AM761" s="360">
        <v>1.2801441839095216</v>
      </c>
      <c r="AN761" s="360">
        <v>1669.072759987504</v>
      </c>
      <c r="AO761" s="360">
        <f t="shared" si="33"/>
        <v>1</v>
      </c>
      <c r="AP761" s="360">
        <f t="shared" si="34"/>
        <v>1</v>
      </c>
      <c r="AQ761" s="360">
        <f t="shared" si="35"/>
        <v>1</v>
      </c>
    </row>
    <row r="762" spans="1:43">
      <c r="A762" s="360" t="s">
        <v>1083</v>
      </c>
      <c r="B762" t="s">
        <v>1074</v>
      </c>
      <c r="C762">
        <v>2</v>
      </c>
      <c r="D762" t="s">
        <v>1078</v>
      </c>
      <c r="E762" t="s">
        <v>1079</v>
      </c>
      <c r="F762" s="360">
        <v>11</v>
      </c>
      <c r="G762" s="360" t="str">
        <f>CONCATENATE(A762," ",B762," ",C762," ","inf+"," ",FanUpsizes!D762," ",FanUpsizes!F762)</f>
        <v>3ACH Infiltration 2 inf+ New 11</v>
      </c>
      <c r="H762" s="360">
        <v>2.8015771376222562E-2</v>
      </c>
      <c r="I762" s="360">
        <v>0.24815543602507548</v>
      </c>
      <c r="J762" s="360">
        <v>1.3117771819153992</v>
      </c>
      <c r="K762" s="360">
        <v>0</v>
      </c>
      <c r="L762" s="360">
        <v>0.24815543602507548</v>
      </c>
      <c r="M762" s="360">
        <v>1.3117771819153992</v>
      </c>
      <c r="N762" s="360">
        <v>1</v>
      </c>
      <c r="O762" s="360">
        <v>0.24815543602507548</v>
      </c>
      <c r="P762" s="360">
        <v>1.3117771819153992</v>
      </c>
      <c r="Q762" s="360">
        <v>0</v>
      </c>
      <c r="R762" s="360">
        <v>216.78122756683297</v>
      </c>
      <c r="S762" s="360">
        <v>0.24538775170959684</v>
      </c>
      <c r="T762" s="360">
        <v>1.3241989712866653</v>
      </c>
      <c r="U762" s="360">
        <v>1.016418695835358</v>
      </c>
      <c r="V762" s="360">
        <v>0.24754713514369953</v>
      </c>
      <c r="W762" s="360">
        <v>1.3117782243252638</v>
      </c>
      <c r="X762" s="360">
        <v>164.25313003063007</v>
      </c>
      <c r="Y762" s="360">
        <v>0.25188826793735758</v>
      </c>
      <c r="Z762" s="360">
        <v>1.2801441725753815</v>
      </c>
      <c r="AA762" s="360">
        <v>0</v>
      </c>
      <c r="AB762" s="360">
        <v>0.25188826793735758</v>
      </c>
      <c r="AC762" s="360">
        <v>1.2801441725753815</v>
      </c>
      <c r="AD762" s="360">
        <v>1</v>
      </c>
      <c r="AE762" s="360">
        <v>0.25188826793735758</v>
      </c>
      <c r="AF762" s="360">
        <v>1.2801441725753815</v>
      </c>
      <c r="AG762" s="360">
        <v>0</v>
      </c>
      <c r="AH762" s="360">
        <v>273.52116727566306</v>
      </c>
      <c r="AI762" s="360">
        <v>0.24837693820476023</v>
      </c>
      <c r="AJ762" s="360">
        <v>1.2977329689805133</v>
      </c>
      <c r="AK762" s="360">
        <v>1.0199275967606172</v>
      </c>
      <c r="AL762" s="360">
        <v>0.25171009197761146</v>
      </c>
      <c r="AM762" s="360">
        <v>1.2801561805698578</v>
      </c>
      <c r="AN762" s="360">
        <v>182.33487866688625</v>
      </c>
      <c r="AO762" s="360">
        <f t="shared" si="33"/>
        <v>1</v>
      </c>
      <c r="AP762" s="360">
        <f t="shared" si="34"/>
        <v>0</v>
      </c>
      <c r="AQ762" s="360">
        <f t="shared" si="35"/>
        <v>0</v>
      </c>
    </row>
    <row r="763" spans="1:43">
      <c r="A763" s="360" t="s">
        <v>1083</v>
      </c>
      <c r="B763" t="s">
        <v>1076</v>
      </c>
      <c r="C763">
        <v>2</v>
      </c>
      <c r="D763" t="s">
        <v>1078</v>
      </c>
      <c r="E763" t="s">
        <v>1079</v>
      </c>
      <c r="F763" s="360">
        <v>11</v>
      </c>
      <c r="G763" s="360" t="str">
        <f>CONCATENATE(A763," ",B763," ",C763," ","inf+"," ",FanUpsizes!D763," ",FanUpsizes!F763)</f>
        <v>3ACH 5C 2 inf+ New 11</v>
      </c>
      <c r="H763" s="360">
        <v>2.8015771376222562E-2</v>
      </c>
      <c r="I763" s="360">
        <v>0.24815543602507548</v>
      </c>
      <c r="J763" s="360">
        <v>1.3117771819153992</v>
      </c>
      <c r="K763" s="360">
        <v>1938.6564153026113</v>
      </c>
      <c r="L763" s="360">
        <v>0.21771680980068611</v>
      </c>
      <c r="M763" s="360">
        <v>1.5137842901708931</v>
      </c>
      <c r="N763" s="360">
        <v>1.3435075681884401</v>
      </c>
      <c r="O763" s="360">
        <v>0.25699007138375568</v>
      </c>
      <c r="P763" s="360">
        <v>1.3117848254920017</v>
      </c>
      <c r="Q763" s="360">
        <v>1348.6688851988199</v>
      </c>
      <c r="R763" s="360">
        <v>1938.6564153026113</v>
      </c>
      <c r="S763" s="360">
        <v>0.21771680980068611</v>
      </c>
      <c r="T763" s="360">
        <v>1.5137842901708931</v>
      </c>
      <c r="U763" s="360">
        <v>1.3435075681884401</v>
      </c>
      <c r="V763" s="360">
        <v>0.25699007138375568</v>
      </c>
      <c r="W763" s="360">
        <v>1.3117848254920017</v>
      </c>
      <c r="X763" s="360">
        <v>1348.6688851988199</v>
      </c>
      <c r="Y763" s="360">
        <v>0.25188826793735758</v>
      </c>
      <c r="Z763" s="360">
        <v>1.2801441725753815</v>
      </c>
      <c r="AA763" s="360">
        <v>1850.8945919214134</v>
      </c>
      <c r="AB763" s="360">
        <v>0.22267926296550197</v>
      </c>
      <c r="AC763" s="360">
        <v>1.4766370037819496</v>
      </c>
      <c r="AD763" s="360">
        <v>1.3220735066229083</v>
      </c>
      <c r="AE763" s="360">
        <v>0.26424280217067886</v>
      </c>
      <c r="AF763" s="360">
        <v>1.2801463123187258</v>
      </c>
      <c r="AG763" s="360">
        <v>1178.8990103395272</v>
      </c>
      <c r="AH763" s="360">
        <v>1850.8945919214134</v>
      </c>
      <c r="AI763" s="360">
        <v>0.22267926296550197</v>
      </c>
      <c r="AJ763" s="360">
        <v>1.4766370037819496</v>
      </c>
      <c r="AK763" s="360">
        <v>1.3220735066229083</v>
      </c>
      <c r="AL763" s="360">
        <v>0.26424280217067886</v>
      </c>
      <c r="AM763" s="360">
        <v>1.2801463123187258</v>
      </c>
      <c r="AN763" s="360">
        <v>1178.8990103395272</v>
      </c>
      <c r="AO763" s="360">
        <f t="shared" si="33"/>
        <v>1</v>
      </c>
      <c r="AP763" s="360">
        <f t="shared" si="34"/>
        <v>1</v>
      </c>
      <c r="AQ763" s="360">
        <f t="shared" si="35"/>
        <v>1</v>
      </c>
    </row>
    <row r="764" spans="1:43">
      <c r="A764" s="360" t="s">
        <v>1083</v>
      </c>
      <c r="B764" t="s">
        <v>1075</v>
      </c>
      <c r="C764">
        <v>1</v>
      </c>
      <c r="D764" t="s">
        <v>1080</v>
      </c>
      <c r="E764" t="s">
        <v>1079</v>
      </c>
      <c r="F764" s="360">
        <v>11</v>
      </c>
      <c r="G764" s="360" t="str">
        <f>CONCATENATE(A764," ",B764," ",C764," ","inf+"," ",FanUpsizes!D764," ",FanUpsizes!F764)</f>
        <v>3ACH Percentile 1 inf+ Existing 11</v>
      </c>
      <c r="H764" s="360">
        <v>4.7958245774217992E-2</v>
      </c>
      <c r="I764" s="360">
        <v>0.35559972373257487</v>
      </c>
      <c r="J764" s="360">
        <v>1.2356597898555317</v>
      </c>
      <c r="K764" s="360">
        <v>3470.287752101453</v>
      </c>
      <c r="L764" s="360">
        <v>0.30268151961094053</v>
      </c>
      <c r="M764" s="360">
        <v>1.6391743931306351</v>
      </c>
      <c r="N764" s="360">
        <v>1.5972810156720745</v>
      </c>
      <c r="O764" s="360">
        <v>0.46317204905557358</v>
      </c>
      <c r="P764" s="360">
        <v>1.2356610580047245</v>
      </c>
      <c r="Q764" s="360">
        <v>358.49113573933988</v>
      </c>
      <c r="R764" s="360">
        <v>5713.636151305408</v>
      </c>
      <c r="S764" s="360">
        <v>0.2308158655982028</v>
      </c>
      <c r="T764" s="360">
        <v>2.1300525448464582</v>
      </c>
      <c r="U764" s="360">
        <v>2.6000399786494954</v>
      </c>
      <c r="V764" s="360">
        <v>0.5257774484063501</v>
      </c>
      <c r="W764" s="360">
        <v>1.2356600768811381</v>
      </c>
      <c r="X764" s="360">
        <v>1773.837805555396</v>
      </c>
      <c r="Y764" s="360">
        <v>0.37059413161177751</v>
      </c>
      <c r="Z764" s="360">
        <v>1.1862720437810428</v>
      </c>
      <c r="AA764" s="360">
        <v>3821.4160464922925</v>
      </c>
      <c r="AB764" s="360">
        <v>0.31238497278993294</v>
      </c>
      <c r="AC764" s="360">
        <v>1.6011100377701002</v>
      </c>
      <c r="AD764" s="360">
        <v>1.6941129532202552</v>
      </c>
      <c r="AE764" s="360">
        <v>0.49590725918511747</v>
      </c>
      <c r="AF764" s="360">
        <v>1.1862720477268462</v>
      </c>
      <c r="AG764" s="360">
        <v>275.26422445894644</v>
      </c>
      <c r="AH764" s="360">
        <v>6177.9728332460199</v>
      </c>
      <c r="AI764" s="360">
        <v>0.23815224227382106</v>
      </c>
      <c r="AJ764" s="360">
        <v>2.0697545504097246</v>
      </c>
      <c r="AK764" s="360">
        <v>2.7487458607829014</v>
      </c>
      <c r="AL764" s="360">
        <v>0.56067670500901912</v>
      </c>
      <c r="AM764" s="360">
        <v>1.1862722281509677</v>
      </c>
      <c r="AN764" s="360">
        <v>1770.8413601849031</v>
      </c>
      <c r="AO764" s="360">
        <f t="shared" si="33"/>
        <v>1</v>
      </c>
      <c r="AP764" s="360">
        <f t="shared" si="34"/>
        <v>1</v>
      </c>
      <c r="AQ764" s="360">
        <f t="shared" si="35"/>
        <v>1</v>
      </c>
    </row>
    <row r="765" spans="1:43">
      <c r="A765" s="360" t="s">
        <v>1083</v>
      </c>
      <c r="B765" t="s">
        <v>1074</v>
      </c>
      <c r="C765">
        <v>1</v>
      </c>
      <c r="D765" t="s">
        <v>1080</v>
      </c>
      <c r="E765" t="s">
        <v>1079</v>
      </c>
      <c r="F765" s="360">
        <v>11</v>
      </c>
      <c r="G765" s="360" t="str">
        <f>CONCATENATE(A765," ",B765," ",C765," ","inf+"," ",FanUpsizes!D765," ",FanUpsizes!F765)</f>
        <v>3ACH Infiltration 1 inf+ Existing 11</v>
      </c>
      <c r="H765" s="360">
        <v>4.7958245774217992E-2</v>
      </c>
      <c r="I765" s="360">
        <v>0.35559972373257487</v>
      </c>
      <c r="J765" s="360">
        <v>1.2356597898555317</v>
      </c>
      <c r="K765" s="360">
        <v>0</v>
      </c>
      <c r="L765" s="360">
        <v>0.35559972373257487</v>
      </c>
      <c r="M765" s="360">
        <v>1.2356597898555317</v>
      </c>
      <c r="N765" s="360">
        <v>1</v>
      </c>
      <c r="O765" s="360">
        <v>0.35559972373257487</v>
      </c>
      <c r="P765" s="360">
        <v>1.2356597898555317</v>
      </c>
      <c r="Q765" s="360">
        <v>0</v>
      </c>
      <c r="R765" s="360">
        <v>0</v>
      </c>
      <c r="S765" s="360">
        <v>0.35559972373257487</v>
      </c>
      <c r="T765" s="360">
        <v>1.2356597898555317</v>
      </c>
      <c r="U765" s="360">
        <v>1</v>
      </c>
      <c r="V765" s="360">
        <v>0.35559972373257487</v>
      </c>
      <c r="W765" s="360">
        <v>1.2356597898555317</v>
      </c>
      <c r="X765" s="360">
        <v>0</v>
      </c>
      <c r="Y765" s="360">
        <v>0.37059413161177751</v>
      </c>
      <c r="Z765" s="360">
        <v>1.1862720437810428</v>
      </c>
      <c r="AA765" s="360">
        <v>0</v>
      </c>
      <c r="AB765" s="360">
        <v>0.37059413161177751</v>
      </c>
      <c r="AC765" s="360">
        <v>1.1862720437810428</v>
      </c>
      <c r="AD765" s="360">
        <v>1</v>
      </c>
      <c r="AE765" s="360">
        <v>0.37059413161177751</v>
      </c>
      <c r="AF765" s="360">
        <v>1.1862720437810428</v>
      </c>
      <c r="AG765" s="360">
        <v>0</v>
      </c>
      <c r="AH765" s="360">
        <v>0</v>
      </c>
      <c r="AI765" s="360">
        <v>0.37059413161177751</v>
      </c>
      <c r="AJ765" s="360">
        <v>1.1862720437810428</v>
      </c>
      <c r="AK765" s="360">
        <v>1</v>
      </c>
      <c r="AL765" s="360">
        <v>0.37059413161177751</v>
      </c>
      <c r="AM765" s="360">
        <v>1.1862720437810428</v>
      </c>
      <c r="AN765" s="360">
        <v>0</v>
      </c>
      <c r="AO765" s="360">
        <f t="shared" si="33"/>
        <v>1</v>
      </c>
      <c r="AP765" s="360">
        <f t="shared" si="34"/>
        <v>0</v>
      </c>
      <c r="AQ765" s="360">
        <f t="shared" si="35"/>
        <v>0</v>
      </c>
    </row>
    <row r="766" spans="1:43">
      <c r="A766" s="360" t="s">
        <v>1083</v>
      </c>
      <c r="B766" t="s">
        <v>1076</v>
      </c>
      <c r="C766">
        <v>1</v>
      </c>
      <c r="D766" t="s">
        <v>1080</v>
      </c>
      <c r="E766" t="s">
        <v>1079</v>
      </c>
      <c r="F766" s="360">
        <v>11</v>
      </c>
      <c r="G766" s="360" t="str">
        <f>CONCATENATE(A766," ",B766," ",C766," ","inf+"," ",FanUpsizes!D766," ",FanUpsizes!F766)</f>
        <v>3ACH 5C 1 inf+ Existing 11</v>
      </c>
      <c r="H766" s="360">
        <v>4.7958245774217992E-2</v>
      </c>
      <c r="I766" s="360">
        <v>0.35559972373257487</v>
      </c>
      <c r="J766" s="360">
        <v>1.2356597898555317</v>
      </c>
      <c r="K766" s="360">
        <v>4210.354681190769</v>
      </c>
      <c r="L766" s="360">
        <v>0.28888448663501609</v>
      </c>
      <c r="M766" s="360">
        <v>1.7698307673062883</v>
      </c>
      <c r="N766" s="360">
        <v>2.0760561139661795</v>
      </c>
      <c r="O766" s="360">
        <v>0.55656162233612005</v>
      </c>
      <c r="P766" s="360">
        <v>1.2356599704616742</v>
      </c>
      <c r="Q766" s="360">
        <v>-227.47597409723983</v>
      </c>
      <c r="R766" s="360">
        <v>4210.354681190769</v>
      </c>
      <c r="S766" s="360">
        <v>0.28888448663501609</v>
      </c>
      <c r="T766" s="360">
        <v>1.7698307673062883</v>
      </c>
      <c r="U766" s="360">
        <v>2.0760561139661795</v>
      </c>
      <c r="V766" s="360">
        <v>0.55656162233612005</v>
      </c>
      <c r="W766" s="360">
        <v>1.2356599704616742</v>
      </c>
      <c r="X766" s="360">
        <v>-227.47597409723983</v>
      </c>
      <c r="Y766" s="360">
        <v>0.37059413161177751</v>
      </c>
      <c r="Z766" s="360">
        <v>1.1862720437810428</v>
      </c>
      <c r="AA766" s="360">
        <v>4620.9287850397659</v>
      </c>
      <c r="AB766" s="360">
        <v>0.29746493303940891</v>
      </c>
      <c r="AC766" s="360">
        <v>1.7352839785455576</v>
      </c>
      <c r="AD766" s="360">
        <v>2.2791193658048234</v>
      </c>
      <c r="AE766" s="360">
        <v>0.611638427535379</v>
      </c>
      <c r="AF766" s="360">
        <v>1.1862721467208945</v>
      </c>
      <c r="AG766" s="360">
        <v>-572.48120582449951</v>
      </c>
      <c r="AH766" s="360">
        <v>4620.9287850397659</v>
      </c>
      <c r="AI766" s="360">
        <v>0.29746493303940891</v>
      </c>
      <c r="AJ766" s="360">
        <v>1.7352839785455576</v>
      </c>
      <c r="AK766" s="360">
        <v>2.2791193658048234</v>
      </c>
      <c r="AL766" s="360">
        <v>0.611638427535379</v>
      </c>
      <c r="AM766" s="360">
        <v>1.1862721467208945</v>
      </c>
      <c r="AN766" s="360">
        <v>-572.48120582449951</v>
      </c>
      <c r="AO766" s="360">
        <f t="shared" si="33"/>
        <v>1</v>
      </c>
      <c r="AP766" s="360">
        <f t="shared" si="34"/>
        <v>1</v>
      </c>
      <c r="AQ766" s="360">
        <f t="shared" si="35"/>
        <v>1</v>
      </c>
    </row>
    <row r="767" spans="1:43">
      <c r="A767" s="360" t="s">
        <v>1083</v>
      </c>
      <c r="B767" t="s">
        <v>1075</v>
      </c>
      <c r="C767">
        <v>2</v>
      </c>
      <c r="D767" t="s">
        <v>1080</v>
      </c>
      <c r="E767" t="s">
        <v>1079</v>
      </c>
      <c r="F767" s="360">
        <v>11</v>
      </c>
      <c r="G767" s="360" t="str">
        <f>CONCATENATE(A767," ",B767," ",C767," ","inf+"," ",FanUpsizes!D767," ",FanUpsizes!F767)</f>
        <v>3ACH Percentile 2 inf+ Existing 11</v>
      </c>
      <c r="H767" s="360">
        <v>4.4265771376222562E-2</v>
      </c>
      <c r="I767" s="360">
        <v>0.33804440136815084</v>
      </c>
      <c r="J767" s="360">
        <v>1.3045135425570518</v>
      </c>
      <c r="K767" s="360">
        <v>2638.7208733111488</v>
      </c>
      <c r="L767" s="360">
        <v>0.29797245721408189</v>
      </c>
      <c r="M767" s="360">
        <v>1.5699093249102065</v>
      </c>
      <c r="N767" s="360">
        <v>1.3461749559780802</v>
      </c>
      <c r="O767" s="360">
        <v>0.37921589984967807</v>
      </c>
      <c r="P767" s="360">
        <v>1.3045139140552597</v>
      </c>
      <c r="Q767" s="360">
        <v>1089.4896467773046</v>
      </c>
      <c r="R767" s="360">
        <v>4271.5291784127712</v>
      </c>
      <c r="S767" s="360">
        <v>0.24371120764055729</v>
      </c>
      <c r="T767" s="360">
        <v>1.9151444111435094</v>
      </c>
      <c r="U767" s="360">
        <v>2.133990450005133</v>
      </c>
      <c r="V767" s="360">
        <v>0.41940284845285358</v>
      </c>
      <c r="W767" s="360">
        <v>1.3045167601297143</v>
      </c>
      <c r="X767" s="360">
        <v>2243.2378391370744</v>
      </c>
      <c r="Y767" s="360">
        <v>0.35770754917319741</v>
      </c>
      <c r="Z767" s="360">
        <v>1.2316618240499675</v>
      </c>
      <c r="AA767" s="360">
        <v>3076.0631161882543</v>
      </c>
      <c r="AB767" s="360">
        <v>0.31089102478369746</v>
      </c>
      <c r="AC767" s="360">
        <v>1.5154134889001818</v>
      </c>
      <c r="AD767" s="360">
        <v>1.4229214184742456</v>
      </c>
      <c r="AE767" s="360">
        <v>0.41087130550323481</v>
      </c>
      <c r="AF767" s="360">
        <v>1.2316677279619743</v>
      </c>
      <c r="AG767" s="360">
        <v>1157.6664553025107</v>
      </c>
      <c r="AH767" s="360">
        <v>5096.9097394443652</v>
      </c>
      <c r="AI767" s="360">
        <v>0.24679084113747476</v>
      </c>
      <c r="AJ767" s="360">
        <v>1.9017293292956015</v>
      </c>
      <c r="AK767" s="360">
        <v>2.2523549643708196</v>
      </c>
      <c r="AL767" s="360">
        <v>0.45159775005233627</v>
      </c>
      <c r="AM767" s="360">
        <v>1.2316620962545737</v>
      </c>
      <c r="AN767" s="360">
        <v>2400.4432288864268</v>
      </c>
      <c r="AO767" s="360">
        <f t="shared" si="33"/>
        <v>1</v>
      </c>
      <c r="AP767" s="360">
        <f t="shared" si="34"/>
        <v>1</v>
      </c>
      <c r="AQ767" s="360">
        <f t="shared" si="35"/>
        <v>1</v>
      </c>
    </row>
    <row r="768" spans="1:43">
      <c r="A768" s="360" t="s">
        <v>1083</v>
      </c>
      <c r="B768" t="s">
        <v>1074</v>
      </c>
      <c r="C768">
        <v>2</v>
      </c>
      <c r="D768" t="s">
        <v>1080</v>
      </c>
      <c r="E768" t="s">
        <v>1079</v>
      </c>
      <c r="F768" s="360">
        <v>11</v>
      </c>
      <c r="G768" s="360" t="str">
        <f>CONCATENATE(A768," ",B768," ",C768," ","inf+"," ",FanUpsizes!D768," ",FanUpsizes!F768)</f>
        <v>3ACH Infiltration 2 inf+ Existing 11</v>
      </c>
      <c r="H768" s="360">
        <v>4.4265771376222562E-2</v>
      </c>
      <c r="I768" s="360">
        <v>0.33804440136815084</v>
      </c>
      <c r="J768" s="360">
        <v>1.3045135425570518</v>
      </c>
      <c r="K768" s="360">
        <v>0</v>
      </c>
      <c r="L768" s="360">
        <v>0.33804440136815084</v>
      </c>
      <c r="M768" s="360">
        <v>1.3045135425570518</v>
      </c>
      <c r="N768" s="360">
        <v>1</v>
      </c>
      <c r="O768" s="360">
        <v>0.33804440136815084</v>
      </c>
      <c r="P768" s="360">
        <v>1.3045135425570518</v>
      </c>
      <c r="Q768" s="360">
        <v>0</v>
      </c>
      <c r="R768" s="360">
        <v>0</v>
      </c>
      <c r="S768" s="360">
        <v>0.33804440136815084</v>
      </c>
      <c r="T768" s="360">
        <v>1.3045135425570518</v>
      </c>
      <c r="U768" s="360">
        <v>1</v>
      </c>
      <c r="V768" s="360">
        <v>0.33804440136815084</v>
      </c>
      <c r="W768" s="360">
        <v>1.3045135425570518</v>
      </c>
      <c r="X768" s="360">
        <v>0</v>
      </c>
      <c r="Y768" s="360">
        <v>0.35770754917319741</v>
      </c>
      <c r="Z768" s="360">
        <v>1.2316618240499675</v>
      </c>
      <c r="AA768" s="360">
        <v>0</v>
      </c>
      <c r="AB768" s="360">
        <v>0.35770754917319741</v>
      </c>
      <c r="AC768" s="360">
        <v>1.2316618240499675</v>
      </c>
      <c r="AD768" s="360">
        <v>1</v>
      </c>
      <c r="AE768" s="360">
        <v>0.35770754917319741</v>
      </c>
      <c r="AF768" s="360">
        <v>1.2316618240499675</v>
      </c>
      <c r="AG768" s="360">
        <v>0</v>
      </c>
      <c r="AH768" s="360">
        <v>0</v>
      </c>
      <c r="AI768" s="360">
        <v>0.35770754917319741</v>
      </c>
      <c r="AJ768" s="360">
        <v>1.2316618240499675</v>
      </c>
      <c r="AK768" s="360">
        <v>1</v>
      </c>
      <c r="AL768" s="360">
        <v>0.35770754917319741</v>
      </c>
      <c r="AM768" s="360">
        <v>1.2316618240499675</v>
      </c>
      <c r="AN768" s="360">
        <v>0</v>
      </c>
      <c r="AO768" s="360">
        <f t="shared" si="33"/>
        <v>1</v>
      </c>
      <c r="AP768" s="360">
        <f t="shared" si="34"/>
        <v>0</v>
      </c>
      <c r="AQ768" s="360">
        <f t="shared" si="35"/>
        <v>0</v>
      </c>
    </row>
    <row r="769" spans="1:43">
      <c r="A769" s="360" t="s">
        <v>1083</v>
      </c>
      <c r="B769" t="s">
        <v>1076</v>
      </c>
      <c r="C769">
        <v>2</v>
      </c>
      <c r="D769" t="s">
        <v>1080</v>
      </c>
      <c r="E769" t="s">
        <v>1079</v>
      </c>
      <c r="F769" s="360">
        <v>11</v>
      </c>
      <c r="G769" s="360" t="str">
        <f>CONCATENATE(A769," ",B769," ",C769," ","inf+"," ",FanUpsizes!D769," ",FanUpsizes!F769)</f>
        <v>3ACH 5C 2 inf+ Existing 11</v>
      </c>
      <c r="H769" s="360">
        <v>4.4265771376222562E-2</v>
      </c>
      <c r="I769" s="360">
        <v>0.33804440136815084</v>
      </c>
      <c r="J769" s="360">
        <v>1.3045135425570518</v>
      </c>
      <c r="K769" s="360">
        <v>3211.4423823923803</v>
      </c>
      <c r="L769" s="360">
        <v>0.28732556766998102</v>
      </c>
      <c r="M769" s="360">
        <v>1.6527043965922972</v>
      </c>
      <c r="N769" s="360">
        <v>1.5415468499630078</v>
      </c>
      <c r="O769" s="360">
        <v>0.40654623898739717</v>
      </c>
      <c r="P769" s="360">
        <v>1.3045145005375169</v>
      </c>
      <c r="Q769" s="360">
        <v>1259.3314831854254</v>
      </c>
      <c r="R769" s="360">
        <v>3211.4423823923803</v>
      </c>
      <c r="S769" s="360">
        <v>0.28732556766998102</v>
      </c>
      <c r="T769" s="360">
        <v>1.6527043965922972</v>
      </c>
      <c r="U769" s="360">
        <v>1.5415468499630078</v>
      </c>
      <c r="V769" s="360">
        <v>0.40654623898739717</v>
      </c>
      <c r="W769" s="360">
        <v>1.3045145005375169</v>
      </c>
      <c r="X769" s="360">
        <v>1259.3314831854254</v>
      </c>
      <c r="Y769" s="360">
        <v>0.35770754917319741</v>
      </c>
      <c r="Z769" s="360">
        <v>1.2316618240499675</v>
      </c>
      <c r="AA769" s="360">
        <v>3723.0706381815812</v>
      </c>
      <c r="AB769" s="360">
        <v>0.29883690994659973</v>
      </c>
      <c r="AC769" s="360">
        <v>1.6032426182721355</v>
      </c>
      <c r="AD769" s="360">
        <v>1.6751463883264333</v>
      </c>
      <c r="AE769" s="360">
        <v>0.44755726585932831</v>
      </c>
      <c r="AF769" s="360">
        <v>1.2316619016516241</v>
      </c>
      <c r="AG769" s="360">
        <v>1279.1156286089044</v>
      </c>
      <c r="AH769" s="360">
        <v>3723.0706381815812</v>
      </c>
      <c r="AI769" s="360">
        <v>0.29883690994659973</v>
      </c>
      <c r="AJ769" s="360">
        <v>1.6032426182721355</v>
      </c>
      <c r="AK769" s="360">
        <v>1.6751463883264333</v>
      </c>
      <c r="AL769" s="360">
        <v>0.44755726585932831</v>
      </c>
      <c r="AM769" s="360">
        <v>1.2316619016516241</v>
      </c>
      <c r="AN769" s="360">
        <v>1279.1156286089044</v>
      </c>
      <c r="AO769" s="360">
        <f t="shared" si="33"/>
        <v>1</v>
      </c>
      <c r="AP769" s="360">
        <f t="shared" si="34"/>
        <v>1</v>
      </c>
      <c r="AQ769" s="360">
        <f t="shared" si="35"/>
        <v>1</v>
      </c>
    </row>
    <row r="770" spans="1:43">
      <c r="A770" s="360" t="s">
        <v>1084</v>
      </c>
      <c r="B770" t="s">
        <v>1075</v>
      </c>
      <c r="C770">
        <v>1</v>
      </c>
      <c r="D770" t="s">
        <v>1078</v>
      </c>
      <c r="E770" t="s">
        <v>1079</v>
      </c>
      <c r="F770" s="360">
        <v>11</v>
      </c>
      <c r="G770" s="360" t="str">
        <f>CONCATENATE(A770," ",B770," ",C770," ","inf+"," ",FanUpsizes!D770," ",FanUpsizes!F770)</f>
        <v>1.5ACH Percentile 1 inf+ New 11</v>
      </c>
      <c r="H770" s="360">
        <v>3.7486622887108995E-2</v>
      </c>
      <c r="I770" s="360">
        <v>0.27675558772824671</v>
      </c>
      <c r="J770" s="360">
        <v>1.1537757403474422</v>
      </c>
      <c r="K770" s="360">
        <v>3264.7019982713559</v>
      </c>
      <c r="L770" s="360">
        <v>0.22699613842487268</v>
      </c>
      <c r="M770" s="360">
        <v>1.7463953872715734</v>
      </c>
      <c r="N770" s="360">
        <v>2.1186566219629088</v>
      </c>
      <c r="O770" s="360">
        <v>0.46358803160846973</v>
      </c>
      <c r="P770" s="360">
        <v>1.1537768485155655</v>
      </c>
      <c r="Q770" s="360">
        <v>-1333.8625411861165</v>
      </c>
      <c r="R770" s="360">
        <v>5234.1233134617387</v>
      </c>
      <c r="S770" s="360">
        <v>0.16531257372767322</v>
      </c>
      <c r="T770" s="360">
        <v>2.3604508451869264</v>
      </c>
      <c r="U770" s="360">
        <v>3.5332635873807994</v>
      </c>
      <c r="V770" s="360">
        <v>0.54099939185833501</v>
      </c>
      <c r="W770" s="360">
        <v>1.1537757473200847</v>
      </c>
      <c r="X770" s="360">
        <v>-38.376283965147486</v>
      </c>
      <c r="Y770" s="360">
        <v>0.2821170287703304</v>
      </c>
      <c r="Z770" s="360">
        <v>1.132032590752448</v>
      </c>
      <c r="AA770" s="360">
        <v>3386.1494480363162</v>
      </c>
      <c r="AB770" s="360">
        <v>0.2305208192590876</v>
      </c>
      <c r="AC770" s="360">
        <v>1.7271232301338142</v>
      </c>
      <c r="AD770" s="360">
        <v>2.1987733185407325</v>
      </c>
      <c r="AE770" s="360">
        <v>0.48219170294929742</v>
      </c>
      <c r="AF770" s="360">
        <v>1.1320327225746989</v>
      </c>
      <c r="AG770" s="360">
        <v>-1495.9566655324991</v>
      </c>
      <c r="AH770" s="360">
        <v>5320.2571149092655</v>
      </c>
      <c r="AI770" s="360">
        <v>0.16991293867737625</v>
      </c>
      <c r="AJ770" s="360">
        <v>2.2939254698949161</v>
      </c>
      <c r="AK770" s="360">
        <v>3.6643649482174285</v>
      </c>
      <c r="AL770" s="360">
        <v>0.56215203733966745</v>
      </c>
      <c r="AM770" s="360">
        <v>1.1320328165362674</v>
      </c>
      <c r="AN770" s="360">
        <v>-153.94892132280808</v>
      </c>
      <c r="AO770" s="360">
        <f t="shared" si="33"/>
        <v>1</v>
      </c>
      <c r="AP770" s="360">
        <f t="shared" si="34"/>
        <v>1</v>
      </c>
      <c r="AQ770" s="360">
        <f t="shared" si="35"/>
        <v>1</v>
      </c>
    </row>
    <row r="771" spans="1:43">
      <c r="A771" s="360" t="s">
        <v>1084</v>
      </c>
      <c r="B771" t="s">
        <v>1074</v>
      </c>
      <c r="C771">
        <v>1</v>
      </c>
      <c r="D771" t="s">
        <v>1078</v>
      </c>
      <c r="E771" t="s">
        <v>1079</v>
      </c>
      <c r="F771" s="360">
        <v>11</v>
      </c>
      <c r="G771" s="360" t="str">
        <f>CONCATENATE(A771," ",B771," ",C771," ","inf+"," ",FanUpsizes!D771," ",FanUpsizes!F771)</f>
        <v>1.5ACH Infiltration 1 inf+ New 11</v>
      </c>
      <c r="H771" s="360">
        <v>3.7486622887108995E-2</v>
      </c>
      <c r="I771" s="360">
        <v>0.27675558772824671</v>
      </c>
      <c r="J771" s="360">
        <v>1.1537757403474422</v>
      </c>
      <c r="K771" s="360">
        <v>0</v>
      </c>
      <c r="L771" s="360">
        <v>0.27675558772824671</v>
      </c>
      <c r="M771" s="360">
        <v>1.1537757403474422</v>
      </c>
      <c r="N771" s="360">
        <v>1</v>
      </c>
      <c r="O771" s="360">
        <v>0.27675558772824671</v>
      </c>
      <c r="P771" s="360">
        <v>1.1537757403474422</v>
      </c>
      <c r="Q771" s="360">
        <v>0</v>
      </c>
      <c r="R771" s="360">
        <v>0</v>
      </c>
      <c r="S771" s="360">
        <v>0.27675558772824671</v>
      </c>
      <c r="T771" s="360">
        <v>1.1537757403474422</v>
      </c>
      <c r="U771" s="360">
        <v>1</v>
      </c>
      <c r="V771" s="360">
        <v>0.27675558772824671</v>
      </c>
      <c r="W771" s="360">
        <v>1.1537757403474422</v>
      </c>
      <c r="X771" s="360">
        <v>0</v>
      </c>
      <c r="Y771" s="360">
        <v>0.2821170287703304</v>
      </c>
      <c r="Z771" s="360">
        <v>1.132032590752448</v>
      </c>
      <c r="AA771" s="360">
        <v>0</v>
      </c>
      <c r="AB771" s="360">
        <v>0.2821170287703304</v>
      </c>
      <c r="AC771" s="360">
        <v>1.132032590752448</v>
      </c>
      <c r="AD771" s="360">
        <v>1</v>
      </c>
      <c r="AE771" s="360">
        <v>0.2821170287703304</v>
      </c>
      <c r="AF771" s="360">
        <v>1.132032590752448</v>
      </c>
      <c r="AG771" s="360">
        <v>0</v>
      </c>
      <c r="AH771" s="360">
        <v>0</v>
      </c>
      <c r="AI771" s="360">
        <v>0.2821170287703304</v>
      </c>
      <c r="AJ771" s="360">
        <v>1.132032590752448</v>
      </c>
      <c r="AK771" s="360">
        <v>1</v>
      </c>
      <c r="AL771" s="360">
        <v>0.2821170287703304</v>
      </c>
      <c r="AM771" s="360">
        <v>1.132032590752448</v>
      </c>
      <c r="AN771" s="360">
        <v>0</v>
      </c>
      <c r="AO771" s="360">
        <f t="shared" si="33"/>
        <v>1</v>
      </c>
      <c r="AP771" s="360">
        <f t="shared" si="34"/>
        <v>0</v>
      </c>
      <c r="AQ771" s="360">
        <f t="shared" si="35"/>
        <v>0</v>
      </c>
    </row>
    <row r="772" spans="1:43">
      <c r="A772" s="360" t="s">
        <v>1084</v>
      </c>
      <c r="B772" t="s">
        <v>1076</v>
      </c>
      <c r="C772">
        <v>1</v>
      </c>
      <c r="D772" t="s">
        <v>1078</v>
      </c>
      <c r="E772" t="s">
        <v>1079</v>
      </c>
      <c r="F772" s="360">
        <v>11</v>
      </c>
      <c r="G772" s="360" t="str">
        <f>CONCATENATE(A772," ",B772," ",C772," ","inf+"," ",FanUpsizes!D772," ",FanUpsizes!F772)</f>
        <v>1.5ACH 5C 1 inf+ New 11</v>
      </c>
      <c r="H772" s="360">
        <v>3.7486622887108995E-2</v>
      </c>
      <c r="I772" s="360">
        <v>0.27675558772824671</v>
      </c>
      <c r="J772" s="360">
        <v>1.1537757403474422</v>
      </c>
      <c r="K772" s="360">
        <v>3944.3750008688639</v>
      </c>
      <c r="L772" s="360">
        <v>0.21429899799398469</v>
      </c>
      <c r="M772" s="360">
        <v>1.9560827106835366</v>
      </c>
      <c r="N772" s="360">
        <v>3.7715890932215959</v>
      </c>
      <c r="O772" s="360">
        <v>0.75532517071614491</v>
      </c>
      <c r="P772" s="360">
        <v>1.1537758733349139</v>
      </c>
      <c r="Q772" s="360">
        <v>-5033.4042497714645</v>
      </c>
      <c r="R772" s="360">
        <v>3944.3750008688639</v>
      </c>
      <c r="S772" s="360">
        <v>0.21429899799398469</v>
      </c>
      <c r="T772" s="360">
        <v>1.9560827106835366</v>
      </c>
      <c r="U772" s="360">
        <v>3.7715890932215959</v>
      </c>
      <c r="V772" s="360">
        <v>0.75532517071614491</v>
      </c>
      <c r="W772" s="360">
        <v>1.1537758733349139</v>
      </c>
      <c r="X772" s="360">
        <v>-5033.4042497714645</v>
      </c>
      <c r="Y772" s="360">
        <v>0.2821170287703304</v>
      </c>
      <c r="Z772" s="360">
        <v>1.132032590752448</v>
      </c>
      <c r="AA772" s="360">
        <v>4088.2446669726223</v>
      </c>
      <c r="AB772" s="360">
        <v>0.21740198878056069</v>
      </c>
      <c r="AC772" s="360">
        <v>1.9384636118396137</v>
      </c>
      <c r="AD772" s="360">
        <v>4.0652011052139141</v>
      </c>
      <c r="AE772" s="360">
        <v>0.81343562362798516</v>
      </c>
      <c r="AF772" s="360">
        <v>1.1320331922990132</v>
      </c>
      <c r="AG772" s="360">
        <v>-5793.1232892843282</v>
      </c>
      <c r="AH772" s="360">
        <v>4088.2446669726223</v>
      </c>
      <c r="AI772" s="360">
        <v>0.21740198878056069</v>
      </c>
      <c r="AJ772" s="360">
        <v>1.9384636118396137</v>
      </c>
      <c r="AK772" s="360">
        <v>4.0652011052139141</v>
      </c>
      <c r="AL772" s="360">
        <v>0.81343562362798516</v>
      </c>
      <c r="AM772" s="360">
        <v>1.1320331922990132</v>
      </c>
      <c r="AN772" s="360">
        <v>-5793.1232892843282</v>
      </c>
      <c r="AO772" s="360">
        <f t="shared" si="33"/>
        <v>1</v>
      </c>
      <c r="AP772" s="360">
        <f t="shared" si="34"/>
        <v>1</v>
      </c>
      <c r="AQ772" s="360">
        <f t="shared" si="35"/>
        <v>1</v>
      </c>
    </row>
    <row r="773" spans="1:43">
      <c r="A773" s="360" t="s">
        <v>1084</v>
      </c>
      <c r="B773" t="s">
        <v>1075</v>
      </c>
      <c r="C773">
        <v>2</v>
      </c>
      <c r="D773" t="s">
        <v>1078</v>
      </c>
      <c r="E773" t="s">
        <v>1079</v>
      </c>
      <c r="F773" s="360">
        <v>11</v>
      </c>
      <c r="G773" s="360" t="str">
        <f>CONCATENATE(A773," ",B773," ",C773," ","inf+"," ",FanUpsizes!D773," ",FanUpsizes!F773)</f>
        <v>1.5ACH Percentile 2 inf+ New 11</v>
      </c>
      <c r="H773" s="360">
        <v>3.564038568811128E-2</v>
      </c>
      <c r="I773" s="360">
        <v>0.26381795675984648</v>
      </c>
      <c r="J773" s="360">
        <v>1.2105342410110569</v>
      </c>
      <c r="K773" s="360">
        <v>2751.8310496278646</v>
      </c>
      <c r="L773" s="360">
        <v>0.22187225145039455</v>
      </c>
      <c r="M773" s="360">
        <v>1.6555167732534675</v>
      </c>
      <c r="N773" s="360">
        <v>1.6694212774377073</v>
      </c>
      <c r="O773" s="360">
        <v>0.35593676307497135</v>
      </c>
      <c r="P773" s="360">
        <v>1.2105367902116595</v>
      </c>
      <c r="Q773" s="360">
        <v>149.18435800978244</v>
      </c>
      <c r="R773" s="360">
        <v>4495.9215366844383</v>
      </c>
      <c r="S773" s="360">
        <v>0.16657650051723111</v>
      </c>
      <c r="T773" s="360">
        <v>2.1868739336995291</v>
      </c>
      <c r="U773" s="360">
        <v>2.7403514830771671</v>
      </c>
      <c r="V773" s="360">
        <v>0.40776469070816801</v>
      </c>
      <c r="W773" s="360">
        <v>1.2105343530953585</v>
      </c>
      <c r="X773" s="360">
        <v>1205.184573079332</v>
      </c>
      <c r="Y773" s="360">
        <v>0.27310662919806533</v>
      </c>
      <c r="Z773" s="360">
        <v>1.1698534941607315</v>
      </c>
      <c r="AA773" s="360">
        <v>2960.3814724847407</v>
      </c>
      <c r="AB773" s="360">
        <v>0.22801313431701825</v>
      </c>
      <c r="AC773" s="360">
        <v>1.6219603011853727</v>
      </c>
      <c r="AD773" s="360">
        <v>1.7541907839892623</v>
      </c>
      <c r="AE773" s="360">
        <v>0.37688683529686251</v>
      </c>
      <c r="AF773" s="360">
        <v>1.1698539151737508</v>
      </c>
      <c r="AG773" s="360">
        <v>79.526066069557558</v>
      </c>
      <c r="AH773" s="360">
        <v>4738.2282657131946</v>
      </c>
      <c r="AI773" s="360">
        <v>0.17210841957187653</v>
      </c>
      <c r="AJ773" s="360">
        <v>2.1192892938387358</v>
      </c>
      <c r="AK773" s="360">
        <v>2.8731827332589566</v>
      </c>
      <c r="AL773" s="360">
        <v>0.43046492169720307</v>
      </c>
      <c r="AM773" s="360">
        <v>1.169853488325427</v>
      </c>
      <c r="AN773" s="360">
        <v>1183.9407207784227</v>
      </c>
      <c r="AO773" s="360">
        <f t="shared" si="33"/>
        <v>1</v>
      </c>
      <c r="AP773" s="360">
        <f t="shared" si="34"/>
        <v>1</v>
      </c>
      <c r="AQ773" s="360">
        <f t="shared" si="35"/>
        <v>1</v>
      </c>
    </row>
    <row r="774" spans="1:43">
      <c r="A774" s="360" t="s">
        <v>1084</v>
      </c>
      <c r="B774" t="s">
        <v>1074</v>
      </c>
      <c r="C774">
        <v>2</v>
      </c>
      <c r="D774" t="s">
        <v>1078</v>
      </c>
      <c r="E774" t="s">
        <v>1079</v>
      </c>
      <c r="F774" s="360">
        <v>11</v>
      </c>
      <c r="G774" s="360" t="str">
        <f>CONCATENATE(A774," ",B774," ",C774," ","inf+"," ",FanUpsizes!D774," ",FanUpsizes!F774)</f>
        <v>1.5ACH Infiltration 2 inf+ New 11</v>
      </c>
      <c r="H774" s="360">
        <v>3.564038568811128E-2</v>
      </c>
      <c r="I774" s="360">
        <v>0.26381795675984648</v>
      </c>
      <c r="J774" s="360">
        <v>1.2105342410110569</v>
      </c>
      <c r="K774" s="360">
        <v>0</v>
      </c>
      <c r="L774" s="360">
        <v>0.26381795675984648</v>
      </c>
      <c r="M774" s="360">
        <v>1.2105342410110569</v>
      </c>
      <c r="N774" s="360">
        <v>1</v>
      </c>
      <c r="O774" s="360">
        <v>0.26381795675984648</v>
      </c>
      <c r="P774" s="360">
        <v>1.2105342410110569</v>
      </c>
      <c r="Q774" s="360">
        <v>0</v>
      </c>
      <c r="R774" s="360">
        <v>0</v>
      </c>
      <c r="S774" s="360">
        <v>0.26381795675984648</v>
      </c>
      <c r="T774" s="360">
        <v>1.2105342410110569</v>
      </c>
      <c r="U774" s="360">
        <v>1</v>
      </c>
      <c r="V774" s="360">
        <v>0.26381795675984648</v>
      </c>
      <c r="W774" s="360">
        <v>1.2105342410110569</v>
      </c>
      <c r="X774" s="360">
        <v>0</v>
      </c>
      <c r="Y774" s="360">
        <v>0.27310662919806533</v>
      </c>
      <c r="Z774" s="360">
        <v>1.1698534941607315</v>
      </c>
      <c r="AA774" s="360">
        <v>0</v>
      </c>
      <c r="AB774" s="360">
        <v>0.27310662919806533</v>
      </c>
      <c r="AC774" s="360">
        <v>1.1698534941607315</v>
      </c>
      <c r="AD774" s="360">
        <v>1</v>
      </c>
      <c r="AE774" s="360">
        <v>0.27310662919806533</v>
      </c>
      <c r="AF774" s="360">
        <v>1.1698534941607315</v>
      </c>
      <c r="AG774" s="360">
        <v>0</v>
      </c>
      <c r="AH774" s="360">
        <v>0</v>
      </c>
      <c r="AI774" s="360">
        <v>0.27310662919806533</v>
      </c>
      <c r="AJ774" s="360">
        <v>1.1698534941607315</v>
      </c>
      <c r="AK774" s="360">
        <v>1</v>
      </c>
      <c r="AL774" s="360">
        <v>0.27310662919806533</v>
      </c>
      <c r="AM774" s="360">
        <v>1.1698534941607315</v>
      </c>
      <c r="AN774" s="360">
        <v>0</v>
      </c>
      <c r="AO774" s="360">
        <f t="shared" si="33"/>
        <v>1</v>
      </c>
      <c r="AP774" s="360">
        <f t="shared" si="34"/>
        <v>0</v>
      </c>
      <c r="AQ774" s="360">
        <f t="shared" si="35"/>
        <v>0</v>
      </c>
    </row>
    <row r="775" spans="1:43">
      <c r="A775" s="360" t="s">
        <v>1084</v>
      </c>
      <c r="B775" t="s">
        <v>1076</v>
      </c>
      <c r="C775">
        <v>2</v>
      </c>
      <c r="D775" t="s">
        <v>1078</v>
      </c>
      <c r="E775" t="s">
        <v>1079</v>
      </c>
      <c r="F775" s="360">
        <v>11</v>
      </c>
      <c r="G775" s="360" t="str">
        <f>CONCATENATE(A775," ",B775," ",C775," ","inf+"," ",FanUpsizes!D775," ",FanUpsizes!F775)</f>
        <v>1.5ACH 5C 2 inf+ New 11</v>
      </c>
      <c r="H775" s="360">
        <v>3.564038568811128E-2</v>
      </c>
      <c r="I775" s="360">
        <v>0.26381795675984648</v>
      </c>
      <c r="J775" s="360">
        <v>1.2105342410110569</v>
      </c>
      <c r="K775" s="360">
        <v>3330.3139891324304</v>
      </c>
      <c r="L775" s="360">
        <v>0.21107950772795792</v>
      </c>
      <c r="M775" s="360">
        <v>1.8038011313727065</v>
      </c>
      <c r="N775" s="360">
        <v>2.243839805087458</v>
      </c>
      <c r="O775" s="360">
        <v>0.44141386371822539</v>
      </c>
      <c r="P775" s="360">
        <v>1.2105342497304201</v>
      </c>
      <c r="Q775" s="360">
        <v>-490.56555332916616</v>
      </c>
      <c r="R775" s="360">
        <v>3330.3139891324304</v>
      </c>
      <c r="S775" s="360">
        <v>0.21107950772795792</v>
      </c>
      <c r="T775" s="360">
        <v>1.8038011313727065</v>
      </c>
      <c r="U775" s="360">
        <v>2.243839805087458</v>
      </c>
      <c r="V775" s="360">
        <v>0.44141386371822539</v>
      </c>
      <c r="W775" s="360">
        <v>1.2105342497304201</v>
      </c>
      <c r="X775" s="360">
        <v>-490.56555332916616</v>
      </c>
      <c r="Y775" s="360">
        <v>0.27310662919806533</v>
      </c>
      <c r="Z775" s="360">
        <v>1.1698534941607315</v>
      </c>
      <c r="AA775" s="360">
        <v>3575.9193716145078</v>
      </c>
      <c r="AB775" s="360">
        <v>0.21652115178667142</v>
      </c>
      <c r="AC775" s="360">
        <v>1.7730753304646152</v>
      </c>
      <c r="AD775" s="360">
        <v>2.4303624857498685</v>
      </c>
      <c r="AE775" s="360">
        <v>0.47856176855098398</v>
      </c>
      <c r="AF775" s="360">
        <v>1.169853935325218</v>
      </c>
      <c r="AG775" s="360">
        <v>-760.19446918677113</v>
      </c>
      <c r="AH775" s="360">
        <v>3575.9193716145078</v>
      </c>
      <c r="AI775" s="360">
        <v>0.21652115178667142</v>
      </c>
      <c r="AJ775" s="360">
        <v>1.7730753304646152</v>
      </c>
      <c r="AK775" s="360">
        <v>2.4303624857498685</v>
      </c>
      <c r="AL775" s="360">
        <v>0.47856176855098398</v>
      </c>
      <c r="AM775" s="360">
        <v>1.169853935325218</v>
      </c>
      <c r="AN775" s="360">
        <v>-760.19446918677113</v>
      </c>
      <c r="AO775" s="360">
        <f t="shared" si="33"/>
        <v>1</v>
      </c>
      <c r="AP775" s="360">
        <f t="shared" si="34"/>
        <v>1</v>
      </c>
      <c r="AQ775" s="360">
        <f t="shared" si="35"/>
        <v>1</v>
      </c>
    </row>
    <row r="776" spans="1:43">
      <c r="A776" s="360" t="s">
        <v>1084</v>
      </c>
      <c r="B776" t="s">
        <v>1075</v>
      </c>
      <c r="C776">
        <v>1</v>
      </c>
      <c r="D776" t="s">
        <v>1080</v>
      </c>
      <c r="E776" t="s">
        <v>1079</v>
      </c>
      <c r="F776" s="360">
        <v>11</v>
      </c>
      <c r="G776" s="360" t="str">
        <f>CONCATENATE(A776," ",B776," ",C776," ","inf+"," ",FanUpsizes!D776," ",FanUpsizes!F776)</f>
        <v>1.5ACH Percentile 1 inf+ Existing 11</v>
      </c>
      <c r="H776" s="360">
        <v>5.3736622887108995E-2</v>
      </c>
      <c r="I776" s="360">
        <v>0.39662362973137977</v>
      </c>
      <c r="J776" s="360">
        <v>1.1074863714668146</v>
      </c>
      <c r="K776" s="360">
        <v>5116.7950621613782</v>
      </c>
      <c r="L776" s="360">
        <v>0.31864014944466418</v>
      </c>
      <c r="M776" s="360">
        <v>1.9396333960989225</v>
      </c>
      <c r="N776" s="360">
        <v>4.1554890872906602</v>
      </c>
      <c r="O776" s="360">
        <v>1.2755743389934826</v>
      </c>
      <c r="P776" s="360">
        <v>1.107486373449672</v>
      </c>
      <c r="Q776" s="360">
        <v>-13482.144988743878</v>
      </c>
      <c r="R776" s="360">
        <v>7993.2837828099864</v>
      </c>
      <c r="S776" s="360">
        <v>0.2288558154772023</v>
      </c>
      <c r="T776" s="360">
        <v>2.5976737873105504</v>
      </c>
      <c r="U776" s="360">
        <v>6.9773335328531276</v>
      </c>
      <c r="V776" s="360">
        <v>1.5033042344392418</v>
      </c>
      <c r="W776" s="360">
        <v>1.1074866397171137</v>
      </c>
      <c r="X776" s="360">
        <v>-9981.9419650634391</v>
      </c>
      <c r="Y776" s="360">
        <v>0.40044437692364226</v>
      </c>
      <c r="Z776" s="360">
        <v>1.0969731615148643</v>
      </c>
      <c r="AA776" s="360">
        <v>5202.5606942133463</v>
      </c>
      <c r="AB776" s="360">
        <v>0.32116307267630489</v>
      </c>
      <c r="AC776" s="360">
        <v>1.9299103711227246</v>
      </c>
      <c r="AD776" s="360">
        <v>4.3273597387693616</v>
      </c>
      <c r="AE776" s="360">
        <v>1.3282843984148043</v>
      </c>
      <c r="AF776" s="360">
        <v>1.0969732273879451</v>
      </c>
      <c r="AG776" s="360">
        <v>-14362.380476620068</v>
      </c>
      <c r="AH776" s="360">
        <v>8030.1243014933552</v>
      </c>
      <c r="AI776" s="360">
        <v>0.23275247354004935</v>
      </c>
      <c r="AJ776" s="360">
        <v>2.5524349276152276</v>
      </c>
      <c r="AK776" s="360">
        <v>7.2641159064683816</v>
      </c>
      <c r="AL776" s="360">
        <v>1.5650437158136121</v>
      </c>
      <c r="AM776" s="360">
        <v>1.0969731809517327</v>
      </c>
      <c r="AN776" s="360">
        <v>-10714.646183646431</v>
      </c>
      <c r="AO776" s="360">
        <f t="shared" si="33"/>
        <v>1</v>
      </c>
      <c r="AP776" s="360">
        <f t="shared" si="34"/>
        <v>1</v>
      </c>
      <c r="AQ776" s="360">
        <f t="shared" si="35"/>
        <v>1</v>
      </c>
    </row>
    <row r="777" spans="1:43">
      <c r="A777" s="360" t="s">
        <v>1084</v>
      </c>
      <c r="B777" t="s">
        <v>1074</v>
      </c>
      <c r="C777">
        <v>1</v>
      </c>
      <c r="D777" t="s">
        <v>1080</v>
      </c>
      <c r="E777" t="s">
        <v>1079</v>
      </c>
      <c r="F777" s="360">
        <v>11</v>
      </c>
      <c r="G777" s="360" t="str">
        <f>CONCATENATE(A777," ",B777," ",C777," ","inf+"," ",FanUpsizes!D777," ",FanUpsizes!F777)</f>
        <v>1.5ACH Infiltration 1 inf+ Existing 11</v>
      </c>
      <c r="H777" s="360">
        <v>5.3736622887108995E-2</v>
      </c>
      <c r="I777" s="360">
        <v>0.39662362973137977</v>
      </c>
      <c r="J777" s="360">
        <v>1.1074863714668146</v>
      </c>
      <c r="K777" s="360">
        <v>0</v>
      </c>
      <c r="L777" s="360">
        <v>0.39662362973137977</v>
      </c>
      <c r="M777" s="360">
        <v>1.1074863714668146</v>
      </c>
      <c r="N777" s="360">
        <v>1</v>
      </c>
      <c r="O777" s="360">
        <v>0.39662362973137977</v>
      </c>
      <c r="P777" s="360">
        <v>1.1074863714668146</v>
      </c>
      <c r="Q777" s="360">
        <v>0</v>
      </c>
      <c r="R777" s="360">
        <v>0</v>
      </c>
      <c r="S777" s="360">
        <v>0.39662362973137977</v>
      </c>
      <c r="T777" s="360">
        <v>1.1074863714668146</v>
      </c>
      <c r="U777" s="360">
        <v>1</v>
      </c>
      <c r="V777" s="360">
        <v>0.39662362973137977</v>
      </c>
      <c r="W777" s="360">
        <v>1.1074863714668146</v>
      </c>
      <c r="X777" s="360">
        <v>0</v>
      </c>
      <c r="Y777" s="360">
        <v>0.40044437692364226</v>
      </c>
      <c r="Z777" s="360">
        <v>1.0969731615148643</v>
      </c>
      <c r="AA777" s="360">
        <v>0</v>
      </c>
      <c r="AB777" s="360">
        <v>0.40044437692364226</v>
      </c>
      <c r="AC777" s="360">
        <v>1.0969731615148643</v>
      </c>
      <c r="AD777" s="360">
        <v>1</v>
      </c>
      <c r="AE777" s="360">
        <v>0.40044437692364226</v>
      </c>
      <c r="AF777" s="360">
        <v>1.0969731615148643</v>
      </c>
      <c r="AG777" s="360">
        <v>0</v>
      </c>
      <c r="AH777" s="360">
        <v>0</v>
      </c>
      <c r="AI777" s="360">
        <v>0.40044437692364226</v>
      </c>
      <c r="AJ777" s="360">
        <v>1.0969731615148643</v>
      </c>
      <c r="AK777" s="360">
        <v>1</v>
      </c>
      <c r="AL777" s="360">
        <v>0.40044437692364226</v>
      </c>
      <c r="AM777" s="360">
        <v>1.0969731615148643</v>
      </c>
      <c r="AN777" s="360">
        <v>0</v>
      </c>
      <c r="AO777" s="360">
        <f t="shared" si="33"/>
        <v>1</v>
      </c>
      <c r="AP777" s="360">
        <f t="shared" si="34"/>
        <v>0</v>
      </c>
      <c r="AQ777" s="360">
        <f t="shared" si="35"/>
        <v>0</v>
      </c>
    </row>
    <row r="778" spans="1:43">
      <c r="A778" s="360" t="s">
        <v>1084</v>
      </c>
      <c r="B778" t="s">
        <v>1076</v>
      </c>
      <c r="C778">
        <v>1</v>
      </c>
      <c r="D778" t="s">
        <v>1080</v>
      </c>
      <c r="E778" t="s">
        <v>1079</v>
      </c>
      <c r="F778" s="360">
        <v>11</v>
      </c>
      <c r="G778" s="360" t="str">
        <f>CONCATENATE(A778," ",B778," ",C778," ","inf+"," ",FanUpsizes!D778," ",FanUpsizes!F778)</f>
        <v>1.5ACH 5C 1 inf+ Existing 11</v>
      </c>
      <c r="H778" s="360">
        <v>5.3736622887108995E-2</v>
      </c>
      <c r="I778" s="360">
        <v>0.39662362973137977</v>
      </c>
      <c r="J778" s="360">
        <v>1.1074863714668146</v>
      </c>
      <c r="K778" s="360">
        <v>6174.20770624946</v>
      </c>
      <c r="L778" s="360">
        <v>0.29887132767058733</v>
      </c>
      <c r="M778" s="360">
        <v>2.2451280848117494</v>
      </c>
      <c r="N778" s="360">
        <v>7.4437130305030186</v>
      </c>
      <c r="O778" s="360">
        <v>2.1021621081897464</v>
      </c>
      <c r="P778" s="360">
        <v>1.3253372024420413</v>
      </c>
      <c r="Q778" s="360">
        <v>-23748.700903862024</v>
      </c>
      <c r="R778" s="360">
        <v>6174.20770624946</v>
      </c>
      <c r="S778" s="360">
        <v>0.29887132767058733</v>
      </c>
      <c r="T778" s="360">
        <v>2.2451280848117494</v>
      </c>
      <c r="U778" s="360">
        <v>7.4437130305030186</v>
      </c>
      <c r="V778" s="360">
        <v>2.1021621081897464</v>
      </c>
      <c r="W778" s="360">
        <v>1.3253372024420413</v>
      </c>
      <c r="X778" s="360">
        <v>-23748.700903862024</v>
      </c>
      <c r="Y778" s="360">
        <v>0.40044437692364226</v>
      </c>
      <c r="Z778" s="360">
        <v>1.0969731615148643</v>
      </c>
      <c r="AA778" s="360">
        <v>6276.0400781673334</v>
      </c>
      <c r="AB778" s="360">
        <v>0.30109240910240598</v>
      </c>
      <c r="AC778" s="360">
        <v>2.2362626726610486</v>
      </c>
      <c r="AD778" s="360">
        <v>7.4437130305030204</v>
      </c>
      <c r="AE778" s="360">
        <v>2.1024633372824937</v>
      </c>
      <c r="AF778" s="360">
        <v>1.3253157163314913</v>
      </c>
      <c r="AG778" s="360">
        <v>-23607.746432700471</v>
      </c>
      <c r="AH778" s="360">
        <v>6276.0400781673334</v>
      </c>
      <c r="AI778" s="360">
        <v>0.30109240910240598</v>
      </c>
      <c r="AJ778" s="360">
        <v>2.2362626726610486</v>
      </c>
      <c r="AK778" s="360">
        <v>7.4437130305030195</v>
      </c>
      <c r="AL778" s="360">
        <v>2.1024633372824937</v>
      </c>
      <c r="AM778" s="360">
        <v>1.3253157163314913</v>
      </c>
      <c r="AN778" s="360">
        <v>-23607.746432700456</v>
      </c>
      <c r="AO778" s="360">
        <f t="shared" si="33"/>
        <v>0</v>
      </c>
      <c r="AP778" s="360">
        <f t="shared" si="34"/>
        <v>1</v>
      </c>
      <c r="AQ778" s="360">
        <f t="shared" si="35"/>
        <v>1</v>
      </c>
    </row>
    <row r="779" spans="1:43">
      <c r="A779" s="360" t="s">
        <v>1084</v>
      </c>
      <c r="B779" t="s">
        <v>1075</v>
      </c>
      <c r="C779">
        <v>2</v>
      </c>
      <c r="D779" t="s">
        <v>1080</v>
      </c>
      <c r="E779" t="s">
        <v>1079</v>
      </c>
      <c r="F779" s="360">
        <v>11</v>
      </c>
      <c r="G779" s="360" t="str">
        <f>CONCATENATE(A779," ",B779," ",C779," ","inf+"," ",FanUpsizes!D779," ",FanUpsizes!F779)</f>
        <v>1.5ACH Percentile 2 inf+ Existing 11</v>
      </c>
      <c r="H779" s="360">
        <v>5.189038568811128E-2</v>
      </c>
      <c r="I779" s="360">
        <v>0.38309355567622089</v>
      </c>
      <c r="J779" s="360">
        <v>1.1465976075347828</v>
      </c>
      <c r="K779" s="360">
        <v>4596.4614822641324</v>
      </c>
      <c r="L779" s="360">
        <v>0.31304717717586628</v>
      </c>
      <c r="M779" s="360">
        <v>1.8019201791963051</v>
      </c>
      <c r="N779" s="360">
        <v>2.5175555503427187</v>
      </c>
      <c r="O779" s="360">
        <v>0.75736173642169347</v>
      </c>
      <c r="P779" s="360">
        <v>1.1465985592419352</v>
      </c>
      <c r="Q779" s="360">
        <v>-4039.4878207147885</v>
      </c>
      <c r="R779" s="360">
        <v>7326.5124865718271</v>
      </c>
      <c r="S779" s="360">
        <v>0.22757139298627516</v>
      </c>
      <c r="T779" s="360">
        <v>2.4134037236569998</v>
      </c>
      <c r="U779" s="360">
        <v>4.1901518741222361</v>
      </c>
      <c r="V779" s="360">
        <v>0.88297280544823864</v>
      </c>
      <c r="W779" s="360">
        <v>1.1465976518523711</v>
      </c>
      <c r="X779" s="360">
        <v>-1884.329063193572</v>
      </c>
      <c r="Y779" s="360">
        <v>0.3900143673179064</v>
      </c>
      <c r="Z779" s="360">
        <v>1.1264337467780221</v>
      </c>
      <c r="AA779" s="360">
        <v>4747.403366217839</v>
      </c>
      <c r="AB779" s="360">
        <v>0.31768193908981779</v>
      </c>
      <c r="AC779" s="360">
        <v>1.7842755029930095</v>
      </c>
      <c r="AD779" s="360">
        <v>2.6326035424494734</v>
      </c>
      <c r="AE779" s="360">
        <v>0.79287306252618628</v>
      </c>
      <c r="AF779" s="360">
        <v>1.126433749036474</v>
      </c>
      <c r="AG779" s="360">
        <v>-4475.2846865679712</v>
      </c>
      <c r="AH779" s="360">
        <v>7431.2781165097722</v>
      </c>
      <c r="AI779" s="360">
        <v>0.23360998126220323</v>
      </c>
      <c r="AJ779" s="360">
        <v>2.3502730102897882</v>
      </c>
      <c r="AK779" s="360">
        <v>4.3796231579405234</v>
      </c>
      <c r="AL779" s="360">
        <v>0.92380026455345443</v>
      </c>
      <c r="AM779" s="360">
        <v>1.1264337627385312</v>
      </c>
      <c r="AN779" s="360">
        <v>-2224.3044049403925</v>
      </c>
      <c r="AO779" s="360">
        <f t="shared" si="33"/>
        <v>1</v>
      </c>
      <c r="AP779" s="360">
        <f t="shared" si="34"/>
        <v>1</v>
      </c>
      <c r="AQ779" s="360">
        <f t="shared" si="35"/>
        <v>1</v>
      </c>
    </row>
    <row r="780" spans="1:43">
      <c r="A780" s="360" t="s">
        <v>1084</v>
      </c>
      <c r="B780" t="s">
        <v>1074</v>
      </c>
      <c r="C780">
        <v>2</v>
      </c>
      <c r="D780" t="s">
        <v>1080</v>
      </c>
      <c r="E780" t="s">
        <v>1079</v>
      </c>
      <c r="F780" s="360">
        <v>11</v>
      </c>
      <c r="G780" s="360" t="str">
        <f>CONCATENATE(A780," ",B780," ",C780," ","inf+"," ",FanUpsizes!D780," ",FanUpsizes!F780)</f>
        <v>1.5ACH Infiltration 2 inf+ Existing 11</v>
      </c>
      <c r="H780" s="360">
        <v>5.189038568811128E-2</v>
      </c>
      <c r="I780" s="360">
        <v>0.38309355567622089</v>
      </c>
      <c r="J780" s="360">
        <v>1.1465976075347828</v>
      </c>
      <c r="K780" s="360">
        <v>0</v>
      </c>
      <c r="L780" s="360">
        <v>0.38309355567622089</v>
      </c>
      <c r="M780" s="360">
        <v>1.1465976075347828</v>
      </c>
      <c r="N780" s="360">
        <v>1</v>
      </c>
      <c r="O780" s="360">
        <v>0.38309355567622089</v>
      </c>
      <c r="P780" s="360">
        <v>1.1465976075347828</v>
      </c>
      <c r="Q780" s="360">
        <v>0</v>
      </c>
      <c r="R780" s="360">
        <v>0</v>
      </c>
      <c r="S780" s="360">
        <v>0.38309355567622089</v>
      </c>
      <c r="T780" s="360">
        <v>1.1465976075347828</v>
      </c>
      <c r="U780" s="360">
        <v>1</v>
      </c>
      <c r="V780" s="360">
        <v>0.38309355567622089</v>
      </c>
      <c r="W780" s="360">
        <v>1.1465976075347828</v>
      </c>
      <c r="X780" s="360">
        <v>0</v>
      </c>
      <c r="Y780" s="360">
        <v>0.3900143673179064</v>
      </c>
      <c r="Z780" s="360">
        <v>1.1264337467780221</v>
      </c>
      <c r="AA780" s="360">
        <v>0</v>
      </c>
      <c r="AB780" s="360">
        <v>0.3900143673179064</v>
      </c>
      <c r="AC780" s="360">
        <v>1.1264337467780221</v>
      </c>
      <c r="AD780" s="360">
        <v>1</v>
      </c>
      <c r="AE780" s="360">
        <v>0.3900143673179064</v>
      </c>
      <c r="AF780" s="360">
        <v>1.1264337467780221</v>
      </c>
      <c r="AG780" s="360">
        <v>0</v>
      </c>
      <c r="AH780" s="360">
        <v>0</v>
      </c>
      <c r="AI780" s="360">
        <v>0.3900143673179064</v>
      </c>
      <c r="AJ780" s="360">
        <v>1.1264337467780221</v>
      </c>
      <c r="AK780" s="360">
        <v>1</v>
      </c>
      <c r="AL780" s="360">
        <v>0.3900143673179064</v>
      </c>
      <c r="AM780" s="360">
        <v>1.1264337467780221</v>
      </c>
      <c r="AN780" s="360">
        <v>0</v>
      </c>
      <c r="AO780" s="360">
        <f t="shared" si="33"/>
        <v>1</v>
      </c>
      <c r="AP780" s="360">
        <f t="shared" si="34"/>
        <v>0</v>
      </c>
      <c r="AQ780" s="360">
        <f t="shared" si="35"/>
        <v>0</v>
      </c>
    </row>
    <row r="781" spans="1:43">
      <c r="A781" s="360" t="s">
        <v>1084</v>
      </c>
      <c r="B781" t="s">
        <v>1076</v>
      </c>
      <c r="C781">
        <v>2</v>
      </c>
      <c r="D781" t="s">
        <v>1080</v>
      </c>
      <c r="E781" t="s">
        <v>1079</v>
      </c>
      <c r="F781" s="360">
        <v>11</v>
      </c>
      <c r="G781" s="360" t="str">
        <f>CONCATENATE(A781," ",B781," ",C781," ","inf+"," ",FanUpsizes!D781," ",FanUpsizes!F781)</f>
        <v>1.5ACH 5C 2 inf+ Existing 11</v>
      </c>
      <c r="H781" s="360">
        <v>5.189038568811128E-2</v>
      </c>
      <c r="I781" s="360">
        <v>0.38309355567622089</v>
      </c>
      <c r="J781" s="360">
        <v>1.1465976075347828</v>
      </c>
      <c r="K781" s="360">
        <v>5548.8614350313565</v>
      </c>
      <c r="L781" s="360">
        <v>0.29525231582641853</v>
      </c>
      <c r="M781" s="360">
        <v>2.0278709454450583</v>
      </c>
      <c r="N781" s="360">
        <v>6.323193864937406</v>
      </c>
      <c r="O781" s="360">
        <v>1.7337025136267681</v>
      </c>
      <c r="P781" s="360">
        <v>1.1465976454971418</v>
      </c>
      <c r="Q781" s="360">
        <v>-18320.425479718113</v>
      </c>
      <c r="R781" s="360">
        <v>5548.8614350313565</v>
      </c>
      <c r="S781" s="360">
        <v>0.29525231582641853</v>
      </c>
      <c r="T781" s="360">
        <v>2.0278709454450583</v>
      </c>
      <c r="U781" s="360">
        <v>6.323193864937406</v>
      </c>
      <c r="V781" s="360">
        <v>1.7337025136267681</v>
      </c>
      <c r="W781" s="360">
        <v>1.1465976454971418</v>
      </c>
      <c r="X781" s="360">
        <v>-18320.425479718113</v>
      </c>
      <c r="Y781" s="360">
        <v>0.3900143673179064</v>
      </c>
      <c r="Z781" s="360">
        <v>1.1264337467780221</v>
      </c>
      <c r="AA781" s="360">
        <v>5728.5399128010404</v>
      </c>
      <c r="AB781" s="360">
        <v>0.29934685575915743</v>
      </c>
      <c r="AC781" s="360">
        <v>2.0118196819542127</v>
      </c>
      <c r="AD781" s="360">
        <v>7.214590295322993</v>
      </c>
      <c r="AE781" s="360">
        <v>1.9751801230763175</v>
      </c>
      <c r="AF781" s="360">
        <v>1.1264337609123884</v>
      </c>
      <c r="AG781" s="360">
        <v>-22066.817377251075</v>
      </c>
      <c r="AH781" s="360">
        <v>5728.5399128010404</v>
      </c>
      <c r="AI781" s="360">
        <v>0.29934685575915743</v>
      </c>
      <c r="AJ781" s="360">
        <v>2.0118196819542127</v>
      </c>
      <c r="AK781" s="360">
        <v>7.214590295322993</v>
      </c>
      <c r="AL781" s="360">
        <v>1.9751801230763175</v>
      </c>
      <c r="AM781" s="360">
        <v>1.1264337609123884</v>
      </c>
      <c r="AN781" s="360">
        <v>-22066.817377251075</v>
      </c>
      <c r="AO781" s="360">
        <f t="shared" si="33"/>
        <v>1</v>
      </c>
      <c r="AP781" s="360">
        <f t="shared" si="34"/>
        <v>1</v>
      </c>
      <c r="AQ781" s="360">
        <f t="shared" si="35"/>
        <v>1</v>
      </c>
    </row>
    <row r="782" spans="1:43">
      <c r="A782" s="360" t="s">
        <v>1085</v>
      </c>
      <c r="B782" t="s">
        <v>1075</v>
      </c>
      <c r="C782">
        <v>1</v>
      </c>
      <c r="D782" t="s">
        <v>1078</v>
      </c>
      <c r="E782" t="s">
        <v>1079</v>
      </c>
      <c r="F782" s="360">
        <v>11</v>
      </c>
      <c r="G782" s="360" t="str">
        <f>CONCATENATE(A782," ",B782," ",C782," ","inf+"," ",FanUpsizes!D782," ",FanUpsizes!F782)</f>
        <v>0.6ACH Percentile 1 inf+ New 11</v>
      </c>
      <c r="H782" s="360">
        <v>4.0953649154843598E-2</v>
      </c>
      <c r="I782" s="360">
        <v>0.30227193635559646</v>
      </c>
      <c r="J782" s="360">
        <v>1.0564135170211488</v>
      </c>
      <c r="K782" s="360">
        <v>4265.1107763464224</v>
      </c>
      <c r="L782" s="360">
        <v>0.2372712591815756</v>
      </c>
      <c r="M782" s="360">
        <v>2.250813749720125</v>
      </c>
      <c r="N782" s="360">
        <v>9.767139394285012</v>
      </c>
      <c r="O782" s="360">
        <v>2.263538750775858</v>
      </c>
      <c r="P782" s="360">
        <v>1.181059265961234</v>
      </c>
      <c r="Q782" s="360">
        <v>-35117.24214187263</v>
      </c>
      <c r="R782" s="360">
        <v>6464.1470942808992</v>
      </c>
      <c r="S782" s="360">
        <v>0.16867347271187302</v>
      </c>
      <c r="T782" s="360">
        <v>3.0260350549644404</v>
      </c>
      <c r="U782" s="360">
        <v>9.767139394285012</v>
      </c>
      <c r="V782" s="360">
        <v>1.5935346081864812</v>
      </c>
      <c r="W782" s="360">
        <v>1.2624797124878289</v>
      </c>
      <c r="X782" s="360">
        <v>-13638.947891510992</v>
      </c>
      <c r="Y782" s="360">
        <v>0.30307953995875159</v>
      </c>
      <c r="Z782" s="360">
        <v>1.0536035443683371</v>
      </c>
      <c r="AA782" s="360">
        <v>4283.2244737748288</v>
      </c>
      <c r="AB782" s="360">
        <v>0.23780476704887202</v>
      </c>
      <c r="AC782" s="360">
        <v>2.2476683099807784</v>
      </c>
      <c r="AD782" s="360">
        <v>9.767139394285012</v>
      </c>
      <c r="AE782" s="360">
        <v>2.2635935039018946</v>
      </c>
      <c r="AF782" s="360">
        <v>1.1810561826970909</v>
      </c>
      <c r="AG782" s="360">
        <v>-35087.503782048007</v>
      </c>
      <c r="AH782" s="360">
        <v>6469.6123298275288</v>
      </c>
      <c r="AI782" s="360">
        <v>0.16955567849882194</v>
      </c>
      <c r="AJ782" s="360">
        <v>3.0089936786525202</v>
      </c>
      <c r="AK782" s="360">
        <v>9.767139394285012</v>
      </c>
      <c r="AL782" s="360">
        <v>1.593625628031961</v>
      </c>
      <c r="AM782" s="360">
        <v>1.262457381698733</v>
      </c>
      <c r="AN782" s="360">
        <v>-13610.526248028502</v>
      </c>
      <c r="AO782" s="360">
        <f t="shared" si="33"/>
        <v>0</v>
      </c>
      <c r="AP782" s="360">
        <f t="shared" si="34"/>
        <v>1</v>
      </c>
      <c r="AQ782" s="360">
        <f t="shared" si="35"/>
        <v>1</v>
      </c>
    </row>
    <row r="783" spans="1:43">
      <c r="A783" s="360" t="s">
        <v>1085</v>
      </c>
      <c r="B783" t="s">
        <v>1074</v>
      </c>
      <c r="C783">
        <v>1</v>
      </c>
      <c r="D783" t="s">
        <v>1078</v>
      </c>
      <c r="E783" t="s">
        <v>1079</v>
      </c>
      <c r="F783" s="360">
        <v>11</v>
      </c>
      <c r="G783" s="360" t="str">
        <f>CONCATENATE(A783," ",B783," ",C783," ","inf+"," ",FanUpsizes!D783," ",FanUpsizes!F783)</f>
        <v>0.6ACH Infiltration 1 inf+ New 11</v>
      </c>
      <c r="H783" s="360">
        <v>4.0953649154843598E-2</v>
      </c>
      <c r="I783" s="360">
        <v>0.30227193635559646</v>
      </c>
      <c r="J783" s="360">
        <v>1.0564135170211488</v>
      </c>
      <c r="K783" s="360">
        <v>0</v>
      </c>
      <c r="L783" s="360">
        <v>0.30227193635559646</v>
      </c>
      <c r="M783" s="360">
        <v>1.0564135170211488</v>
      </c>
      <c r="N783" s="360">
        <v>1</v>
      </c>
      <c r="O783" s="360">
        <v>0.30227193635559646</v>
      </c>
      <c r="P783" s="360">
        <v>1.0564135170211488</v>
      </c>
      <c r="Q783" s="360">
        <v>0</v>
      </c>
      <c r="R783" s="360">
        <v>0</v>
      </c>
      <c r="S783" s="360">
        <v>0.30227193635559646</v>
      </c>
      <c r="T783" s="360">
        <v>1.0564135170211488</v>
      </c>
      <c r="U783" s="360">
        <v>1</v>
      </c>
      <c r="V783" s="360">
        <v>0.30227193635559646</v>
      </c>
      <c r="W783" s="360">
        <v>1.0564135170211488</v>
      </c>
      <c r="X783" s="360">
        <v>0</v>
      </c>
      <c r="Y783" s="360">
        <v>0.30307953995875159</v>
      </c>
      <c r="Z783" s="360">
        <v>1.0536035443683371</v>
      </c>
      <c r="AA783" s="360">
        <v>0</v>
      </c>
      <c r="AB783" s="360">
        <v>0.30307953995875159</v>
      </c>
      <c r="AC783" s="360">
        <v>1.0536035443683371</v>
      </c>
      <c r="AD783" s="360">
        <v>1</v>
      </c>
      <c r="AE783" s="360">
        <v>0.30307953995875159</v>
      </c>
      <c r="AF783" s="360">
        <v>1.0536035443683371</v>
      </c>
      <c r="AG783" s="360">
        <v>0</v>
      </c>
      <c r="AH783" s="360">
        <v>0</v>
      </c>
      <c r="AI783" s="360">
        <v>0.30307953995875159</v>
      </c>
      <c r="AJ783" s="360">
        <v>1.0536035443683371</v>
      </c>
      <c r="AK783" s="360">
        <v>1</v>
      </c>
      <c r="AL783" s="360">
        <v>0.30307953995875159</v>
      </c>
      <c r="AM783" s="360">
        <v>1.0536035443683371</v>
      </c>
      <c r="AN783" s="360">
        <v>0</v>
      </c>
      <c r="AO783" s="360">
        <f t="shared" si="33"/>
        <v>1</v>
      </c>
      <c r="AP783" s="360">
        <f t="shared" si="34"/>
        <v>0</v>
      </c>
      <c r="AQ783" s="360">
        <f t="shared" si="35"/>
        <v>0</v>
      </c>
    </row>
    <row r="784" spans="1:43">
      <c r="A784" s="360" t="s">
        <v>1085</v>
      </c>
      <c r="B784" t="s">
        <v>1076</v>
      </c>
      <c r="C784">
        <v>1</v>
      </c>
      <c r="D784" t="s">
        <v>1078</v>
      </c>
      <c r="E784" t="s">
        <v>1079</v>
      </c>
      <c r="F784" s="360">
        <v>11</v>
      </c>
      <c r="G784" s="360" t="str">
        <f>CONCATENATE(A784," ",B784," ",C784," ","inf+"," ",FanUpsizes!D784," ",FanUpsizes!F784)</f>
        <v>0.6ACH 5C 1 inf+ New 11</v>
      </c>
      <c r="H784" s="360">
        <v>4.0953649154843598E-2</v>
      </c>
      <c r="I784" s="360">
        <v>0.30227193635559646</v>
      </c>
      <c r="J784" s="360">
        <v>1.0564135170211488</v>
      </c>
      <c r="K784" s="360">
        <v>5140.8745381998715</v>
      </c>
      <c r="L784" s="360">
        <v>0.22088731612875678</v>
      </c>
      <c r="M784" s="360">
        <v>2.7618122665788172</v>
      </c>
      <c r="N784" s="360">
        <v>9.767139394285012</v>
      </c>
      <c r="O784" s="360">
        <v>2.0907528529373143</v>
      </c>
      <c r="P784" s="360">
        <v>1.6740127088969956</v>
      </c>
      <c r="Q784" s="360">
        <v>-25886.69537899326</v>
      </c>
      <c r="R784" s="360">
        <v>5140.8745381998715</v>
      </c>
      <c r="S784" s="360">
        <v>0.22088731612875678</v>
      </c>
      <c r="T784" s="360">
        <v>2.7618122665788172</v>
      </c>
      <c r="U784" s="360">
        <v>9.767139394285012</v>
      </c>
      <c r="V784" s="360">
        <v>2.0907528529373143</v>
      </c>
      <c r="W784" s="360">
        <v>1.6740127088969956</v>
      </c>
      <c r="X784" s="360">
        <v>-25886.69537899326</v>
      </c>
      <c r="Y784" s="360">
        <v>0.30307953995875159</v>
      </c>
      <c r="Z784" s="360">
        <v>1.0536035443683371</v>
      </c>
      <c r="AA784" s="360">
        <v>5162.3848546321797</v>
      </c>
      <c r="AB784" s="360">
        <v>0.22135701797590676</v>
      </c>
      <c r="AC784" s="360">
        <v>2.7588158560366622</v>
      </c>
      <c r="AD784" s="360">
        <v>9.767139394285012</v>
      </c>
      <c r="AE784" s="360">
        <v>2.0908010559480652</v>
      </c>
      <c r="AF784" s="360">
        <v>1.6740097259743889</v>
      </c>
      <c r="AG784" s="360">
        <v>-25856.608321563152</v>
      </c>
      <c r="AH784" s="360">
        <v>5162.3848546321797</v>
      </c>
      <c r="AI784" s="360">
        <v>0.22135701797590676</v>
      </c>
      <c r="AJ784" s="360">
        <v>2.7588158560366622</v>
      </c>
      <c r="AK784" s="360">
        <v>9.767139394285012</v>
      </c>
      <c r="AL784" s="360">
        <v>2.0908010559480652</v>
      </c>
      <c r="AM784" s="360">
        <v>1.6740097259743889</v>
      </c>
      <c r="AN784" s="360">
        <v>-25856.608321563152</v>
      </c>
      <c r="AO784" s="360">
        <f t="shared" si="33"/>
        <v>0</v>
      </c>
      <c r="AP784" s="360">
        <f t="shared" si="34"/>
        <v>1</v>
      </c>
      <c r="AQ784" s="360">
        <f t="shared" si="35"/>
        <v>1</v>
      </c>
    </row>
    <row r="785" spans="1:43">
      <c r="A785" s="360" t="s">
        <v>1085</v>
      </c>
      <c r="B785" t="s">
        <v>1075</v>
      </c>
      <c r="C785">
        <v>2</v>
      </c>
      <c r="D785" t="s">
        <v>1078</v>
      </c>
      <c r="E785" t="s">
        <v>1079</v>
      </c>
      <c r="F785" s="360">
        <v>11</v>
      </c>
      <c r="G785" s="360" t="str">
        <f>CONCATENATE(A785," ",B785," ",C785," ","inf+"," ",FanUpsizes!D785," ",FanUpsizes!F785)</f>
        <v>0.6ACH Percentile 2 inf+ New 11</v>
      </c>
      <c r="H785" s="360">
        <v>4.0215154275244511E-2</v>
      </c>
      <c r="I785" s="360">
        <v>0.29682123093974883</v>
      </c>
      <c r="J785" s="360">
        <v>1.0758045108758596</v>
      </c>
      <c r="K785" s="360">
        <v>4056.7436915047065</v>
      </c>
      <c r="L785" s="360">
        <v>0.23499947041439639</v>
      </c>
      <c r="M785" s="360">
        <v>2.0778440979071702</v>
      </c>
      <c r="N785" s="360">
        <v>7.0181026338080921</v>
      </c>
      <c r="O785" s="360">
        <v>1.600826140625724</v>
      </c>
      <c r="P785" s="360">
        <v>1.075804533005047</v>
      </c>
      <c r="Q785" s="360">
        <v>-22489.340759105187</v>
      </c>
      <c r="R785" s="360">
        <v>6215.3799029601187</v>
      </c>
      <c r="S785" s="360">
        <v>0.16765874047188931</v>
      </c>
      <c r="T785" s="360">
        <v>2.8062064019316826</v>
      </c>
      <c r="U785" s="360">
        <v>9.9464992043119054</v>
      </c>
      <c r="V785" s="360">
        <v>1.5954304934917893</v>
      </c>
      <c r="W785" s="360">
        <v>1.1080082940347713</v>
      </c>
      <c r="X785" s="360">
        <v>-13928.317515184403</v>
      </c>
      <c r="Y785" s="360">
        <v>0.2982879775615499</v>
      </c>
      <c r="Z785" s="360">
        <v>1.0705300097320076</v>
      </c>
      <c r="AA785" s="360">
        <v>4088.3813132851901</v>
      </c>
      <c r="AB785" s="360">
        <v>0.23598677427634834</v>
      </c>
      <c r="AC785" s="360">
        <v>2.0722621755712365</v>
      </c>
      <c r="AD785" s="360">
        <v>7.258368945341112</v>
      </c>
      <c r="AE785" s="360">
        <v>1.6554919649874547</v>
      </c>
      <c r="AF785" s="360">
        <v>1.0705301079688085</v>
      </c>
      <c r="AG785" s="360">
        <v>-23497.15439189821</v>
      </c>
      <c r="AH785" s="360">
        <v>6224.9719801969604</v>
      </c>
      <c r="AI785" s="360">
        <v>0.16925658407631225</v>
      </c>
      <c r="AJ785" s="360">
        <v>2.7777772387175408</v>
      </c>
      <c r="AK785" s="360">
        <v>9.9464992043119054</v>
      </c>
      <c r="AL785" s="360">
        <v>1.5955955577771954</v>
      </c>
      <c r="AM785" s="360">
        <v>1.1079703471721736</v>
      </c>
      <c r="AN785" s="360">
        <v>-13877.787975487701</v>
      </c>
      <c r="AO785" s="360">
        <f t="shared" si="33"/>
        <v>1</v>
      </c>
      <c r="AP785" s="360">
        <f t="shared" si="34"/>
        <v>1</v>
      </c>
      <c r="AQ785" s="360">
        <f t="shared" si="35"/>
        <v>1</v>
      </c>
    </row>
    <row r="786" spans="1:43">
      <c r="A786" s="360" t="s">
        <v>1085</v>
      </c>
      <c r="B786" t="s">
        <v>1074</v>
      </c>
      <c r="C786">
        <v>2</v>
      </c>
      <c r="D786" t="s">
        <v>1078</v>
      </c>
      <c r="E786" t="s">
        <v>1079</v>
      </c>
      <c r="F786" s="360">
        <v>11</v>
      </c>
      <c r="G786" s="360" t="str">
        <f>CONCATENATE(A786," ",B786," ",C786," ","inf+"," ",FanUpsizes!D786," ",FanUpsizes!F786)</f>
        <v>0.6ACH Infiltration 2 inf+ New 11</v>
      </c>
      <c r="H786" s="360">
        <v>4.0215154275244511E-2</v>
      </c>
      <c r="I786" s="360">
        <v>0.29682123093974883</v>
      </c>
      <c r="J786" s="360">
        <v>1.0758045108758596</v>
      </c>
      <c r="K786" s="360">
        <v>0</v>
      </c>
      <c r="L786" s="360">
        <v>0.29682123093974883</v>
      </c>
      <c r="M786" s="360">
        <v>1.0758045108758596</v>
      </c>
      <c r="N786" s="360">
        <v>1</v>
      </c>
      <c r="O786" s="360">
        <v>0.29682123093974883</v>
      </c>
      <c r="P786" s="360">
        <v>1.0758045108758596</v>
      </c>
      <c r="Q786" s="360">
        <v>0</v>
      </c>
      <c r="R786" s="360">
        <v>0</v>
      </c>
      <c r="S786" s="360">
        <v>0.29682123093974883</v>
      </c>
      <c r="T786" s="360">
        <v>1.0758045108758596</v>
      </c>
      <c r="U786" s="360">
        <v>1</v>
      </c>
      <c r="V786" s="360">
        <v>0.29682123093974883</v>
      </c>
      <c r="W786" s="360">
        <v>1.0758045108758596</v>
      </c>
      <c r="X786" s="360">
        <v>0</v>
      </c>
      <c r="Y786" s="360">
        <v>0.2982879775615499</v>
      </c>
      <c r="Z786" s="360">
        <v>1.0705300097320076</v>
      </c>
      <c r="AA786" s="360">
        <v>0</v>
      </c>
      <c r="AB786" s="360">
        <v>0.2982879775615499</v>
      </c>
      <c r="AC786" s="360">
        <v>1.0705300097320076</v>
      </c>
      <c r="AD786" s="360">
        <v>1</v>
      </c>
      <c r="AE786" s="360">
        <v>0.2982879775615499</v>
      </c>
      <c r="AF786" s="360">
        <v>1.0705300097320076</v>
      </c>
      <c r="AG786" s="360">
        <v>0</v>
      </c>
      <c r="AH786" s="360">
        <v>0</v>
      </c>
      <c r="AI786" s="360">
        <v>0.2982879775615499</v>
      </c>
      <c r="AJ786" s="360">
        <v>1.0705300097320076</v>
      </c>
      <c r="AK786" s="360">
        <v>1</v>
      </c>
      <c r="AL786" s="360">
        <v>0.2982879775615499</v>
      </c>
      <c r="AM786" s="360">
        <v>1.0705300097320076</v>
      </c>
      <c r="AN786" s="360">
        <v>0</v>
      </c>
      <c r="AO786" s="360">
        <f t="shared" si="33"/>
        <v>1</v>
      </c>
      <c r="AP786" s="360">
        <f t="shared" si="34"/>
        <v>0</v>
      </c>
      <c r="AQ786" s="360">
        <f t="shared" si="35"/>
        <v>0</v>
      </c>
    </row>
    <row r="787" spans="1:43">
      <c r="A787" s="360" t="s">
        <v>1085</v>
      </c>
      <c r="B787" t="s">
        <v>1076</v>
      </c>
      <c r="C787">
        <v>2</v>
      </c>
      <c r="D787" t="s">
        <v>1078</v>
      </c>
      <c r="E787" t="s">
        <v>1079</v>
      </c>
      <c r="F787" s="360">
        <v>11</v>
      </c>
      <c r="G787" s="360" t="str">
        <f>CONCATENATE(A787," ",B787," ",C787," ","inf+"," ",FanUpsizes!D787," ",FanUpsizes!F787)</f>
        <v>0.6ACH 5C 2 inf+ New 11</v>
      </c>
      <c r="H787" s="360">
        <v>4.0215154275244511E-2</v>
      </c>
      <c r="I787" s="360">
        <v>0.29682123093974883</v>
      </c>
      <c r="J787" s="360">
        <v>1.0758045108758596</v>
      </c>
      <c r="K787" s="360">
        <v>4890.2985903887902</v>
      </c>
      <c r="L787" s="360">
        <v>0.21940872675137735</v>
      </c>
      <c r="M787" s="360">
        <v>2.4818117273533526</v>
      </c>
      <c r="N787" s="360">
        <v>9.9464992043119054</v>
      </c>
      <c r="O787" s="360">
        <v>2.0931202464566261</v>
      </c>
      <c r="P787" s="360">
        <v>1.4330486205082964</v>
      </c>
      <c r="Q787" s="360">
        <v>-26201.089553772177</v>
      </c>
      <c r="R787" s="360">
        <v>4890.2985903887902</v>
      </c>
      <c r="S787" s="360">
        <v>0.21940872675137735</v>
      </c>
      <c r="T787" s="360">
        <v>2.4818117273533526</v>
      </c>
      <c r="U787" s="360">
        <v>9.9464992043119054</v>
      </c>
      <c r="V787" s="360">
        <v>2.0931202464566261</v>
      </c>
      <c r="W787" s="360">
        <v>1.4330486205082964</v>
      </c>
      <c r="X787" s="360">
        <v>-26201.089553772177</v>
      </c>
      <c r="Y787" s="360">
        <v>0.2982879775615499</v>
      </c>
      <c r="Z787" s="360">
        <v>1.0705300097320076</v>
      </c>
      <c r="AA787" s="360">
        <v>4928.0573071869421</v>
      </c>
      <c r="AB787" s="360">
        <v>0.22028109192263898</v>
      </c>
      <c r="AC787" s="360">
        <v>2.4765671032304764</v>
      </c>
      <c r="AD787" s="360">
        <v>9.9464992043119054</v>
      </c>
      <c r="AE787" s="360">
        <v>2.0932083584578485</v>
      </c>
      <c r="AF787" s="360">
        <v>1.433043506608545</v>
      </c>
      <c r="AG787" s="360">
        <v>-26147.576091669915</v>
      </c>
      <c r="AH787" s="360">
        <v>4928.0573071869421</v>
      </c>
      <c r="AI787" s="360">
        <v>0.22028109192263898</v>
      </c>
      <c r="AJ787" s="360">
        <v>2.4765671032304764</v>
      </c>
      <c r="AK787" s="360">
        <v>9.9464992043119054</v>
      </c>
      <c r="AL787" s="360">
        <v>2.0932083584578485</v>
      </c>
      <c r="AM787" s="360">
        <v>1.433043506608545</v>
      </c>
      <c r="AN787" s="360">
        <v>-26147.576091669915</v>
      </c>
      <c r="AO787" s="360">
        <f t="shared" si="33"/>
        <v>0</v>
      </c>
      <c r="AP787" s="360">
        <f t="shared" si="34"/>
        <v>1</v>
      </c>
      <c r="AQ787" s="360">
        <f t="shared" si="35"/>
        <v>1</v>
      </c>
    </row>
    <row r="788" spans="1:43">
      <c r="A788" s="360" t="s">
        <v>1085</v>
      </c>
      <c r="B788" t="s">
        <v>1075</v>
      </c>
      <c r="C788">
        <v>1</v>
      </c>
      <c r="D788" t="s">
        <v>1080</v>
      </c>
      <c r="E788" t="s">
        <v>1079</v>
      </c>
      <c r="F788" s="360">
        <v>11</v>
      </c>
      <c r="G788" s="360" t="str">
        <f>CONCATENATE(A788," ",B788," ",C788," ","inf+"," ",FanUpsizes!D788," ",FanUpsizes!F788)</f>
        <v>0.6ACH Percentile 1 inf+ Existing 11</v>
      </c>
      <c r="H788" s="360">
        <v>5.7203649154843599E-2</v>
      </c>
      <c r="I788" s="360">
        <v>0.42221042943596176</v>
      </c>
      <c r="J788" s="360">
        <v>1.0403922610675531</v>
      </c>
      <c r="K788" s="360">
        <v>6117.6665197856664</v>
      </c>
      <c r="L788" s="360">
        <v>0.32897765491819558</v>
      </c>
      <c r="M788" s="360">
        <v>2.6256258988039312</v>
      </c>
      <c r="N788" s="360">
        <v>6.9925608927019098</v>
      </c>
      <c r="O788" s="360">
        <v>2.263538750775858</v>
      </c>
      <c r="P788" s="360">
        <v>1.6242704626645375</v>
      </c>
      <c r="Q788" s="360">
        <v>-31482.289130184708</v>
      </c>
      <c r="R788" s="360">
        <v>9189.2585416410857</v>
      </c>
      <c r="S788" s="360">
        <v>0.23316095015579252</v>
      </c>
      <c r="T788" s="360">
        <v>3.4322925072642341</v>
      </c>
      <c r="U788" s="360">
        <v>6.9925608927019098</v>
      </c>
      <c r="V788" s="360">
        <v>1.5935346081864812</v>
      </c>
      <c r="W788" s="360">
        <v>1.736245570092888</v>
      </c>
      <c r="X788" s="360">
        <v>-10003.994879823073</v>
      </c>
      <c r="Y788" s="360">
        <v>0.42278928203680471</v>
      </c>
      <c r="Z788" s="360">
        <v>1.0389694484338081</v>
      </c>
      <c r="AA788" s="360">
        <v>6130.6492053881284</v>
      </c>
      <c r="AB788" s="360">
        <v>0.32936005457089229</v>
      </c>
      <c r="AC788" s="360">
        <v>2.6239945519078764</v>
      </c>
      <c r="AD788" s="360">
        <v>6.9925608927019098</v>
      </c>
      <c r="AE788" s="360">
        <v>2.2635935039018946</v>
      </c>
      <c r="AF788" s="360">
        <v>1.6242662249122606</v>
      </c>
      <c r="AG788" s="360">
        <v>-31461.350684440011</v>
      </c>
      <c r="AH788" s="360">
        <v>9193.1124416156581</v>
      </c>
      <c r="AI788" s="360">
        <v>0.23379490418680246</v>
      </c>
      <c r="AJ788" s="360">
        <v>3.4228558744498736</v>
      </c>
      <c r="AK788" s="360">
        <v>6.9925608927019098</v>
      </c>
      <c r="AL788" s="360">
        <v>1.593625628031961</v>
      </c>
      <c r="AM788" s="360">
        <v>1.7362148877274706</v>
      </c>
      <c r="AN788" s="360">
        <v>-9984.3731504205025</v>
      </c>
      <c r="AO788" s="360">
        <f t="shared" si="33"/>
        <v>0</v>
      </c>
      <c r="AP788" s="360">
        <f t="shared" si="34"/>
        <v>1</v>
      </c>
      <c r="AQ788" s="360">
        <f t="shared" si="35"/>
        <v>1</v>
      </c>
    </row>
    <row r="789" spans="1:43">
      <c r="A789" s="360" t="s">
        <v>1085</v>
      </c>
      <c r="B789" t="s">
        <v>1074</v>
      </c>
      <c r="C789">
        <v>1</v>
      </c>
      <c r="D789" t="s">
        <v>1080</v>
      </c>
      <c r="E789" t="s">
        <v>1079</v>
      </c>
      <c r="F789" s="360">
        <v>11</v>
      </c>
      <c r="G789" s="360" t="str">
        <f>CONCATENATE(A789," ",B789," ",C789," ","inf+"," ",FanUpsizes!D789," ",FanUpsizes!F789)</f>
        <v>0.6ACH Infiltration 1 inf+ Existing 11</v>
      </c>
      <c r="H789" s="360">
        <v>5.7203649154843599E-2</v>
      </c>
      <c r="I789" s="360">
        <v>0.42221042943596176</v>
      </c>
      <c r="J789" s="360">
        <v>1.0403922610675531</v>
      </c>
      <c r="K789" s="360">
        <v>0</v>
      </c>
      <c r="L789" s="360">
        <v>0.42221042943596176</v>
      </c>
      <c r="M789" s="360">
        <v>1.0403922610675531</v>
      </c>
      <c r="N789" s="360">
        <v>1</v>
      </c>
      <c r="O789" s="360">
        <v>0.42221042943596176</v>
      </c>
      <c r="P789" s="360">
        <v>1.0403922610675531</v>
      </c>
      <c r="Q789" s="360">
        <v>0</v>
      </c>
      <c r="R789" s="360">
        <v>0</v>
      </c>
      <c r="S789" s="360">
        <v>0.42221042943596176</v>
      </c>
      <c r="T789" s="360">
        <v>1.0403922610675531</v>
      </c>
      <c r="U789" s="360">
        <v>1</v>
      </c>
      <c r="V789" s="360">
        <v>0.42221042943596176</v>
      </c>
      <c r="W789" s="360">
        <v>1.0403922610675531</v>
      </c>
      <c r="X789" s="360">
        <v>0</v>
      </c>
      <c r="Y789" s="360">
        <v>0.42278928203680471</v>
      </c>
      <c r="Z789" s="360">
        <v>1.0389694484338081</v>
      </c>
      <c r="AA789" s="360">
        <v>0</v>
      </c>
      <c r="AB789" s="360">
        <v>0.42278928203680471</v>
      </c>
      <c r="AC789" s="360">
        <v>1.0389694484338081</v>
      </c>
      <c r="AD789" s="360">
        <v>1</v>
      </c>
      <c r="AE789" s="360">
        <v>0.42278928203680471</v>
      </c>
      <c r="AF789" s="360">
        <v>1.0389694484338081</v>
      </c>
      <c r="AG789" s="360">
        <v>0</v>
      </c>
      <c r="AH789" s="360">
        <v>0</v>
      </c>
      <c r="AI789" s="360">
        <v>0.42278928203680471</v>
      </c>
      <c r="AJ789" s="360">
        <v>1.0389694484338081</v>
      </c>
      <c r="AK789" s="360">
        <v>1</v>
      </c>
      <c r="AL789" s="360">
        <v>0.42278928203680471</v>
      </c>
      <c r="AM789" s="360">
        <v>1.0389694484338081</v>
      </c>
      <c r="AN789" s="360">
        <v>0</v>
      </c>
      <c r="AO789" s="360">
        <f t="shared" si="33"/>
        <v>1</v>
      </c>
      <c r="AP789" s="360">
        <f t="shared" si="34"/>
        <v>0</v>
      </c>
      <c r="AQ789" s="360">
        <f t="shared" si="35"/>
        <v>0</v>
      </c>
    </row>
    <row r="790" spans="1:43">
      <c r="A790" s="360" t="s">
        <v>1085</v>
      </c>
      <c r="B790" t="s">
        <v>1076</v>
      </c>
      <c r="C790">
        <v>1</v>
      </c>
      <c r="D790" t="s">
        <v>1080</v>
      </c>
      <c r="E790" t="s">
        <v>1079</v>
      </c>
      <c r="F790" s="360">
        <v>11</v>
      </c>
      <c r="G790" s="360" t="str">
        <f>CONCATENATE(A790," ",B790," ",C790," ","inf+"," ",FanUpsizes!D790," ",FanUpsizes!F790)</f>
        <v>0.6ACH 5C 1 inf+ Existing 11</v>
      </c>
      <c r="H790" s="360">
        <v>5.7203649154843599E-2</v>
      </c>
      <c r="I790" s="360">
        <v>0.42221042943596176</v>
      </c>
      <c r="J790" s="360">
        <v>1.0403922610675531</v>
      </c>
      <c r="K790" s="360">
        <v>7371.5575720212337</v>
      </c>
      <c r="L790" s="360">
        <v>0.30551515011623159</v>
      </c>
      <c r="M790" s="360">
        <v>3.3244460132856575</v>
      </c>
      <c r="N790" s="360">
        <v>6.9925608927019098</v>
      </c>
      <c r="O790" s="360">
        <v>2.0907528529373143</v>
      </c>
      <c r="P790" s="360">
        <v>2.3012222254980625</v>
      </c>
      <c r="Q790" s="360">
        <v>-22251.742367305338</v>
      </c>
      <c r="R790" s="360">
        <v>7371.5575720212337</v>
      </c>
      <c r="S790" s="360">
        <v>0.30551515011623159</v>
      </c>
      <c r="T790" s="360">
        <v>3.3244460132856575</v>
      </c>
      <c r="U790" s="360">
        <v>6.9925608927019098</v>
      </c>
      <c r="V790" s="360">
        <v>2.0907528529373143</v>
      </c>
      <c r="W790" s="360">
        <v>2.3012222254980625</v>
      </c>
      <c r="X790" s="360">
        <v>-22251.742367305338</v>
      </c>
      <c r="Y790" s="360">
        <v>0.42278928203680471</v>
      </c>
      <c r="Z790" s="360">
        <v>1.0389694484338081</v>
      </c>
      <c r="AA790" s="360">
        <v>7386.9752042628152</v>
      </c>
      <c r="AB790" s="360">
        <v>0.30585180967675846</v>
      </c>
      <c r="AC790" s="360">
        <v>3.3229036325966148</v>
      </c>
      <c r="AD790" s="360">
        <v>6.9925608927019098</v>
      </c>
      <c r="AE790" s="360">
        <v>2.0908010559480652</v>
      </c>
      <c r="AF790" s="360">
        <v>2.3012181222131289</v>
      </c>
      <c r="AG790" s="360">
        <v>-22230.455223955152</v>
      </c>
      <c r="AH790" s="360">
        <v>7386.9752042628152</v>
      </c>
      <c r="AI790" s="360">
        <v>0.30585180967675846</v>
      </c>
      <c r="AJ790" s="360">
        <v>3.3229036325966148</v>
      </c>
      <c r="AK790" s="360">
        <v>6.9925608927019098</v>
      </c>
      <c r="AL790" s="360">
        <v>2.0908010559480652</v>
      </c>
      <c r="AM790" s="360">
        <v>2.3012181222131289</v>
      </c>
      <c r="AN790" s="360">
        <v>-22230.455223955152</v>
      </c>
      <c r="AO790" s="360">
        <f t="shared" si="33"/>
        <v>0</v>
      </c>
      <c r="AP790" s="360">
        <f t="shared" si="34"/>
        <v>1</v>
      </c>
      <c r="AQ790" s="360">
        <f t="shared" si="35"/>
        <v>1</v>
      </c>
    </row>
    <row r="791" spans="1:43">
      <c r="A791" s="360" t="s">
        <v>1085</v>
      </c>
      <c r="B791" t="s">
        <v>1075</v>
      </c>
      <c r="C791">
        <v>2</v>
      </c>
      <c r="D791" t="s">
        <v>1080</v>
      </c>
      <c r="E791" t="s">
        <v>1079</v>
      </c>
      <c r="F791" s="360">
        <v>11</v>
      </c>
      <c r="G791" s="360" t="str">
        <f>CONCATENATE(A791," ",B791," ",C791," ","inf+"," ",FanUpsizes!D791," ",FanUpsizes!F791)</f>
        <v>0.6ACH Percentile 2 inf+ Existing 11</v>
      </c>
      <c r="H791" s="360">
        <v>5.6465154275244511E-2</v>
      </c>
      <c r="I791" s="360">
        <v>0.41675972402026634</v>
      </c>
      <c r="J791" s="360">
        <v>1.0539947909778069</v>
      </c>
      <c r="K791" s="360">
        <v>5909.2994349437795</v>
      </c>
      <c r="L791" s="360">
        <v>0.32670586615106817</v>
      </c>
      <c r="M791" s="360">
        <v>2.3954998111455468</v>
      </c>
      <c r="N791" s="360">
        <v>7.0840150024236843</v>
      </c>
      <c r="O791" s="360">
        <v>2.2654346360811739</v>
      </c>
      <c r="P791" s="360">
        <v>1.4161239334763989</v>
      </c>
      <c r="Q791" s="360">
        <v>-31771.658753857992</v>
      </c>
      <c r="R791" s="360">
        <v>8941.2374309831666</v>
      </c>
      <c r="S791" s="360">
        <v>0.23212614796016759</v>
      </c>
      <c r="T791" s="360">
        <v>3.1552201745797706</v>
      </c>
      <c r="U791" s="360">
        <v>7.0840150024236843</v>
      </c>
      <c r="V791" s="360">
        <v>1.5954304934917893</v>
      </c>
      <c r="W791" s="360">
        <v>1.5237718908031026</v>
      </c>
      <c r="X791" s="360">
        <v>-10293.364503496634</v>
      </c>
      <c r="Y791" s="360">
        <v>0.4178066967359606</v>
      </c>
      <c r="Z791" s="360">
        <v>1.0513583298514118</v>
      </c>
      <c r="AA791" s="360">
        <v>5931.8790588243946</v>
      </c>
      <c r="AB791" s="360">
        <v>0.32741066163339794</v>
      </c>
      <c r="AC791" s="360">
        <v>2.3926295608136363</v>
      </c>
      <c r="AD791" s="360">
        <v>7.0840150024236852</v>
      </c>
      <c r="AE791" s="360">
        <v>2.2655343632893237</v>
      </c>
      <c r="AF791" s="360">
        <v>1.416116524812568</v>
      </c>
      <c r="AG791" s="360">
        <v>-31734.58759856876</v>
      </c>
      <c r="AH791" s="360">
        <v>8947.3331817177313</v>
      </c>
      <c r="AI791" s="360">
        <v>0.23328666225111558</v>
      </c>
      <c r="AJ791" s="360">
        <v>3.1392794598326246</v>
      </c>
      <c r="AK791" s="360">
        <v>7.0840150024236852</v>
      </c>
      <c r="AL791" s="360">
        <v>1.5955955577771954</v>
      </c>
      <c r="AM791" s="360">
        <v>1.5237197525270918</v>
      </c>
      <c r="AN791" s="360">
        <v>-10258.658656278856</v>
      </c>
      <c r="AO791" s="360">
        <f t="shared" si="33"/>
        <v>0</v>
      </c>
      <c r="AP791" s="360">
        <f t="shared" si="34"/>
        <v>1</v>
      </c>
      <c r="AQ791" s="360">
        <f t="shared" si="35"/>
        <v>1</v>
      </c>
    </row>
    <row r="792" spans="1:43">
      <c r="A792" s="360" t="s">
        <v>1085</v>
      </c>
      <c r="B792" t="s">
        <v>1074</v>
      </c>
      <c r="C792">
        <v>2</v>
      </c>
      <c r="D792" t="s">
        <v>1080</v>
      </c>
      <c r="E792" t="s">
        <v>1079</v>
      </c>
      <c r="F792" s="360">
        <v>11</v>
      </c>
      <c r="G792" s="360" t="str">
        <f>CONCATENATE(A792," ",B792," ",C792," ","inf+"," ",FanUpsizes!D792," ",FanUpsizes!F792)</f>
        <v>0.6ACH Infiltration 2 inf+ Existing 11</v>
      </c>
      <c r="H792" s="360">
        <v>5.6465154275244511E-2</v>
      </c>
      <c r="I792" s="360">
        <v>0.41675972402026634</v>
      </c>
      <c r="J792" s="360">
        <v>1.0539947909778069</v>
      </c>
      <c r="K792" s="360">
        <v>0</v>
      </c>
      <c r="L792" s="360">
        <v>0.41675972402026634</v>
      </c>
      <c r="M792" s="360">
        <v>1.0539947909778069</v>
      </c>
      <c r="N792" s="360">
        <v>1</v>
      </c>
      <c r="O792" s="360">
        <v>0.41675972402026634</v>
      </c>
      <c r="P792" s="360">
        <v>1.0539947909778069</v>
      </c>
      <c r="Q792" s="360">
        <v>0</v>
      </c>
      <c r="R792" s="360">
        <v>0</v>
      </c>
      <c r="S792" s="360">
        <v>0.41675972402026634</v>
      </c>
      <c r="T792" s="360">
        <v>1.0539947909778069</v>
      </c>
      <c r="U792" s="360">
        <v>1</v>
      </c>
      <c r="V792" s="360">
        <v>0.41675972402026634</v>
      </c>
      <c r="W792" s="360">
        <v>1.0539947909778069</v>
      </c>
      <c r="X792" s="360">
        <v>0</v>
      </c>
      <c r="Y792" s="360">
        <v>0.4178066967359606</v>
      </c>
      <c r="Z792" s="360">
        <v>1.0513583298514118</v>
      </c>
      <c r="AA792" s="360">
        <v>0</v>
      </c>
      <c r="AB792" s="360">
        <v>0.4178066967359606</v>
      </c>
      <c r="AC792" s="360">
        <v>1.0513583298514118</v>
      </c>
      <c r="AD792" s="360">
        <v>1</v>
      </c>
      <c r="AE792" s="360">
        <v>0.4178066967359606</v>
      </c>
      <c r="AF792" s="360">
        <v>1.0513583298514118</v>
      </c>
      <c r="AG792" s="360">
        <v>0</v>
      </c>
      <c r="AH792" s="360">
        <v>0</v>
      </c>
      <c r="AI792" s="360">
        <v>0.4178066967359606</v>
      </c>
      <c r="AJ792" s="360">
        <v>1.0513583298514118</v>
      </c>
      <c r="AK792" s="360">
        <v>1</v>
      </c>
      <c r="AL792" s="360">
        <v>0.4178066967359606</v>
      </c>
      <c r="AM792" s="360">
        <v>1.0513583298514118</v>
      </c>
      <c r="AN792" s="360">
        <v>0</v>
      </c>
      <c r="AO792" s="360">
        <f t="shared" si="33"/>
        <v>1</v>
      </c>
      <c r="AP792" s="360">
        <f t="shared" si="34"/>
        <v>0</v>
      </c>
      <c r="AQ792" s="360">
        <f t="shared" si="35"/>
        <v>0</v>
      </c>
    </row>
    <row r="793" spans="1:43">
      <c r="A793" s="360" t="s">
        <v>1085</v>
      </c>
      <c r="B793" t="s">
        <v>1076</v>
      </c>
      <c r="C793">
        <v>2</v>
      </c>
      <c r="D793" t="s">
        <v>1080</v>
      </c>
      <c r="E793" t="s">
        <v>1079</v>
      </c>
      <c r="F793" s="360">
        <v>11</v>
      </c>
      <c r="G793" s="360" t="str">
        <f>CONCATENATE(A793," ",B793," ",C793," ","inf+"," ",FanUpsizes!D793," ",FanUpsizes!F793)</f>
        <v>0.6ACH 5C 2 inf+ Existing 11</v>
      </c>
      <c r="H793" s="360">
        <v>5.6465154275244511E-2</v>
      </c>
      <c r="I793" s="360">
        <v>0.41675972402026634</v>
      </c>
      <c r="J793" s="360">
        <v>1.0539947909778069</v>
      </c>
      <c r="K793" s="360">
        <v>7120.9816242099914</v>
      </c>
      <c r="L793" s="360">
        <v>0.30403656073888802</v>
      </c>
      <c r="M793" s="360">
        <v>2.9545146229184844</v>
      </c>
      <c r="N793" s="360">
        <v>7.0840150024236852</v>
      </c>
      <c r="O793" s="360">
        <v>2.0931202464566261</v>
      </c>
      <c r="P793" s="360">
        <v>1.9701118159802931</v>
      </c>
      <c r="Q793" s="360">
        <v>-22566.136542084409</v>
      </c>
      <c r="R793" s="360">
        <v>7120.9816242099914</v>
      </c>
      <c r="S793" s="360">
        <v>0.30403656073888802</v>
      </c>
      <c r="T793" s="360">
        <v>2.9545146229184844</v>
      </c>
      <c r="U793" s="360">
        <v>7.0840150024236852</v>
      </c>
      <c r="V793" s="360">
        <v>2.0931202464566261</v>
      </c>
      <c r="W793" s="360">
        <v>1.9701118159802931</v>
      </c>
      <c r="X793" s="360">
        <v>-22566.136542084409</v>
      </c>
      <c r="Y793" s="360">
        <v>0.4178066967359606</v>
      </c>
      <c r="Z793" s="360">
        <v>1.0513583298514118</v>
      </c>
      <c r="AA793" s="360">
        <v>7147.9319853595152</v>
      </c>
      <c r="AB793" s="360">
        <v>0.30465928760570565</v>
      </c>
      <c r="AC793" s="360">
        <v>2.9518319174173939</v>
      </c>
      <c r="AD793" s="360">
        <v>7.0840150024236843</v>
      </c>
      <c r="AE793" s="360">
        <v>2.0932083584578485</v>
      </c>
      <c r="AF793" s="360">
        <v>1.9701047813390047</v>
      </c>
      <c r="AG793" s="360">
        <v>-22528.446772461055</v>
      </c>
      <c r="AH793" s="360">
        <v>7147.9319853595152</v>
      </c>
      <c r="AI793" s="360">
        <v>0.30465928760570565</v>
      </c>
      <c r="AJ793" s="360">
        <v>2.9518319174173939</v>
      </c>
      <c r="AK793" s="360">
        <v>7.0840150024236843</v>
      </c>
      <c r="AL793" s="360">
        <v>2.0932083584578485</v>
      </c>
      <c r="AM793" s="360">
        <v>1.9701047813390047</v>
      </c>
      <c r="AN793" s="360">
        <v>-22528.446772461055</v>
      </c>
      <c r="AO793" s="360">
        <f t="shared" si="33"/>
        <v>0</v>
      </c>
      <c r="AP793" s="360">
        <f t="shared" si="34"/>
        <v>1</v>
      </c>
      <c r="AQ793" s="360">
        <f t="shared" si="35"/>
        <v>1</v>
      </c>
    </row>
    <row r="794" spans="1:43">
      <c r="A794" s="360" t="s">
        <v>1077</v>
      </c>
      <c r="B794" t="s">
        <v>1075</v>
      </c>
      <c r="C794">
        <v>1</v>
      </c>
      <c r="D794" t="s">
        <v>1078</v>
      </c>
      <c r="E794" t="s">
        <v>1079</v>
      </c>
      <c r="F794">
        <v>12</v>
      </c>
      <c r="G794" s="360" t="str">
        <f>CONCATENATE(A794," ",B794," ",C794," ","inf+"," ",FanUpsizes!D794," ",FanUpsizes!F794)</f>
        <v>10ACH Percentile 1 inf+ New 12</v>
      </c>
      <c r="H794" s="360">
        <v>1.4421666666666666E-2</v>
      </c>
      <c r="I794" s="360">
        <v>0.45727647642306529</v>
      </c>
      <c r="J794" s="360">
        <v>0.79810472592699722</v>
      </c>
      <c r="K794" s="360">
        <v>1059.4519219819663</v>
      </c>
      <c r="L794" s="360">
        <v>0.44432337474707129</v>
      </c>
      <c r="M794" s="360">
        <v>0.81153601400556907</v>
      </c>
      <c r="N794" s="360">
        <v>1.1274496191291719</v>
      </c>
      <c r="O794" s="360">
        <v>0.44946668808505613</v>
      </c>
      <c r="P794" s="360">
        <v>0.7981047639014609</v>
      </c>
      <c r="Q794" s="360">
        <v>933.36772316813153</v>
      </c>
      <c r="R794" s="360">
        <v>1539.4078997101583</v>
      </c>
      <c r="S794" s="360">
        <v>0.43230894765312805</v>
      </c>
      <c r="T794" s="360">
        <v>0.83720025517222696</v>
      </c>
      <c r="U794" s="360">
        <v>1.4713763755891247</v>
      </c>
      <c r="V794" s="360">
        <v>0.44573195387177267</v>
      </c>
      <c r="W794" s="360">
        <v>0.79810616583261718</v>
      </c>
      <c r="X794" s="360">
        <v>1299.3214827981485</v>
      </c>
      <c r="Y794" s="360">
        <v>0.42091789632110982</v>
      </c>
      <c r="Z794" s="360">
        <v>0.87226236911182142</v>
      </c>
      <c r="AA794" s="360">
        <v>218.26987719678542</v>
      </c>
      <c r="AB794" s="360">
        <v>0.41835212046632808</v>
      </c>
      <c r="AC794" s="360">
        <v>0.87531515081158606</v>
      </c>
      <c r="AD794" s="360">
        <v>1.0282735771809106</v>
      </c>
      <c r="AE794" s="360">
        <v>0.41912583508941748</v>
      </c>
      <c r="AF794" s="360">
        <v>0.8722624626166775</v>
      </c>
      <c r="AG794" s="360">
        <v>203.32475119263466</v>
      </c>
      <c r="AH794" s="360">
        <v>411.05063983966988</v>
      </c>
      <c r="AI794" s="360">
        <v>0.4130861536178555</v>
      </c>
      <c r="AJ794" s="360">
        <v>0.89109611032570213</v>
      </c>
      <c r="AK794" s="360">
        <v>1.2268843874144306</v>
      </c>
      <c r="AL794" s="360">
        <v>0.41725086148533796</v>
      </c>
      <c r="AM794" s="360">
        <v>0.87226444571369199</v>
      </c>
      <c r="AN794" s="360">
        <v>371.82382460008353</v>
      </c>
      <c r="AO794" s="360">
        <f t="shared" si="33"/>
        <v>1</v>
      </c>
      <c r="AP794" s="360">
        <f t="shared" si="34"/>
        <v>1</v>
      </c>
      <c r="AQ794" s="360">
        <f t="shared" si="35"/>
        <v>1</v>
      </c>
    </row>
    <row r="795" spans="1:43">
      <c r="A795" s="360" t="s">
        <v>1077</v>
      </c>
      <c r="B795" t="s">
        <v>1074</v>
      </c>
      <c r="C795">
        <v>1</v>
      </c>
      <c r="D795" t="s">
        <v>1078</v>
      </c>
      <c r="E795" t="s">
        <v>1079</v>
      </c>
      <c r="F795" s="360">
        <v>12</v>
      </c>
      <c r="G795" s="360" t="str">
        <f>CONCATENATE(A795," ",B795," ",C795," ","inf+"," ",FanUpsizes!D795," ",FanUpsizes!F795)</f>
        <v>10ACH Infiltration 1 inf+ New 12</v>
      </c>
      <c r="H795" s="360">
        <v>1.4421666666666666E-2</v>
      </c>
      <c r="I795" s="360">
        <v>0.45727647642306529</v>
      </c>
      <c r="J795" s="360">
        <v>0.79810472592699722</v>
      </c>
      <c r="K795" s="360">
        <v>1503.3008274814208</v>
      </c>
      <c r="L795" s="360">
        <v>0.4369840938724931</v>
      </c>
      <c r="M795" s="360">
        <v>0.82168704437248774</v>
      </c>
      <c r="N795" s="360">
        <v>1.2483922114288128</v>
      </c>
      <c r="O795" s="360">
        <v>0.44519636098403681</v>
      </c>
      <c r="P795" s="360">
        <v>0.79810474115754348</v>
      </c>
      <c r="Q795" s="360">
        <v>1367.8183553992917</v>
      </c>
      <c r="R795" s="360">
        <v>1752.7014590114677</v>
      </c>
      <c r="S795" s="360">
        <v>0.42950203725242153</v>
      </c>
      <c r="T795" s="360">
        <v>0.83932446065888144</v>
      </c>
      <c r="U795" s="360">
        <v>1.5181822197209187</v>
      </c>
      <c r="V795" s="360">
        <v>0.44281129533374536</v>
      </c>
      <c r="W795" s="360">
        <v>0.79810481356697771</v>
      </c>
      <c r="X795" s="360">
        <v>1599.3003229677652</v>
      </c>
      <c r="Y795" s="360">
        <v>0.42091789632110982</v>
      </c>
      <c r="Z795" s="360">
        <v>0.87226236911182142</v>
      </c>
      <c r="AA795" s="360">
        <v>325.34632168060301</v>
      </c>
      <c r="AB795" s="360">
        <v>0.41666788591211723</v>
      </c>
      <c r="AC795" s="360">
        <v>0.87809371182502005</v>
      </c>
      <c r="AD795" s="360">
        <v>1.0565571113305137</v>
      </c>
      <c r="AE795" s="360">
        <v>0.41804033798554657</v>
      </c>
      <c r="AF795" s="360">
        <v>0.87226236956665326</v>
      </c>
      <c r="AG795" s="360">
        <v>306.90951980579428</v>
      </c>
      <c r="AH795" s="360">
        <v>434.91703417212159</v>
      </c>
      <c r="AI795" s="360">
        <v>0.41320224876462885</v>
      </c>
      <c r="AJ795" s="360">
        <v>0.88908932374594918</v>
      </c>
      <c r="AK795" s="360">
        <v>1.1969256984900587</v>
      </c>
      <c r="AL795" s="360">
        <v>0.41681010009950731</v>
      </c>
      <c r="AM795" s="360">
        <v>0.87226293656275411</v>
      </c>
      <c r="AN795" s="360">
        <v>410.95400146025969</v>
      </c>
      <c r="AO795" s="360">
        <f t="shared" si="33"/>
        <v>1</v>
      </c>
      <c r="AP795" s="360">
        <f t="shared" si="34"/>
        <v>1</v>
      </c>
      <c r="AQ795" s="360">
        <f t="shared" si="35"/>
        <v>1</v>
      </c>
    </row>
    <row r="796" spans="1:43">
      <c r="A796" s="360" t="s">
        <v>1077</v>
      </c>
      <c r="B796" t="s">
        <v>1076</v>
      </c>
      <c r="C796">
        <v>1</v>
      </c>
      <c r="D796" t="s">
        <v>1078</v>
      </c>
      <c r="E796" t="s">
        <v>1079</v>
      </c>
      <c r="F796" s="360">
        <v>12</v>
      </c>
      <c r="G796" s="360" t="str">
        <f>CONCATENATE(A796," ",B796," ",C796," ","inf+"," ",FanUpsizes!D796," ",FanUpsizes!F796)</f>
        <v>10ACH 5C 1 inf+ New 12</v>
      </c>
      <c r="H796" s="360">
        <v>1.4421666666666666E-2</v>
      </c>
      <c r="I796" s="360">
        <v>0.45727647642306529</v>
      </c>
      <c r="J796" s="360">
        <v>0.79810472592699722</v>
      </c>
      <c r="K796" s="360">
        <v>1549.0343055467404</v>
      </c>
      <c r="L796" s="360">
        <v>0.43610921270863623</v>
      </c>
      <c r="M796" s="360">
        <v>0.82323801206194325</v>
      </c>
      <c r="N796" s="360">
        <v>1.2691724298896647</v>
      </c>
      <c r="O796" s="360">
        <v>0.44477494058341449</v>
      </c>
      <c r="P796" s="360">
        <v>0.7981054157140488</v>
      </c>
      <c r="Q796" s="360">
        <v>1414.5277106895742</v>
      </c>
      <c r="R796" s="360">
        <v>1775.5681980441234</v>
      </c>
      <c r="S796" s="360">
        <v>0.42906459667049279</v>
      </c>
      <c r="T796" s="360">
        <v>0.84015629314743945</v>
      </c>
      <c r="U796" s="360">
        <v>1.5347478542998401</v>
      </c>
      <c r="V796" s="360">
        <v>0.44256803025884783</v>
      </c>
      <c r="W796" s="360">
        <v>0.79810502016759133</v>
      </c>
      <c r="X796" s="360">
        <v>1629.4909600294895</v>
      </c>
      <c r="Y796" s="360">
        <v>0.42091789632110982</v>
      </c>
      <c r="Z796" s="360">
        <v>0.87226236911182142</v>
      </c>
      <c r="AA796" s="360">
        <v>337.89398127472214</v>
      </c>
      <c r="AB796" s="360">
        <v>0.41643849699800611</v>
      </c>
      <c r="AC796" s="360">
        <v>0.87857750450484873</v>
      </c>
      <c r="AD796" s="360">
        <v>1.0617490798827258</v>
      </c>
      <c r="AE796" s="360">
        <v>0.41791132833474171</v>
      </c>
      <c r="AF796" s="360">
        <v>0.87226272177839115</v>
      </c>
      <c r="AG796" s="360">
        <v>319.23081220692586</v>
      </c>
      <c r="AH796" s="360">
        <v>438.32267610275562</v>
      </c>
      <c r="AI796" s="360">
        <v>0.41314405535627646</v>
      </c>
      <c r="AJ796" s="360">
        <v>0.88921673483767061</v>
      </c>
      <c r="AK796" s="360">
        <v>1.1990123344638979</v>
      </c>
      <c r="AL796" s="360">
        <v>0.41676739840320759</v>
      </c>
      <c r="AM796" s="360">
        <v>0.87226273625257877</v>
      </c>
      <c r="AN796" s="360">
        <v>415.46207894696875</v>
      </c>
      <c r="AO796" s="360">
        <f t="shared" si="33"/>
        <v>1</v>
      </c>
      <c r="AP796" s="360">
        <f t="shared" si="34"/>
        <v>1</v>
      </c>
      <c r="AQ796" s="360">
        <f t="shared" si="35"/>
        <v>1</v>
      </c>
    </row>
    <row r="797" spans="1:43">
      <c r="A797" s="360" t="s">
        <v>1077</v>
      </c>
      <c r="B797" t="s">
        <v>1075</v>
      </c>
      <c r="C797">
        <v>2</v>
      </c>
      <c r="D797" t="s">
        <v>1078</v>
      </c>
      <c r="E797" t="s">
        <v>1079</v>
      </c>
      <c r="F797" s="360">
        <v>12</v>
      </c>
      <c r="G797" s="360" t="str">
        <f>CONCATENATE(A797," ",B797," ",C797," ","inf+"," ",FanUpsizes!D797," ",FanUpsizes!F797)</f>
        <v>10ACH Percentile 2 inf+ New 12</v>
      </c>
      <c r="H797" s="360">
        <v>1.4421666666666666E-2</v>
      </c>
      <c r="I797" s="360">
        <v>0.59409953508935098</v>
      </c>
      <c r="J797" s="360">
        <v>0.62420305687799127</v>
      </c>
      <c r="K797" s="360">
        <v>1059.4519219820158</v>
      </c>
      <c r="L797" s="360">
        <v>0.58114643341335814</v>
      </c>
      <c r="M797" s="360">
        <v>0.63224213301226762</v>
      </c>
      <c r="N797" s="360">
        <v>1.1222402231692934</v>
      </c>
      <c r="O797" s="360">
        <v>0.58607410363511847</v>
      </c>
      <c r="P797" s="360">
        <v>0.62420326073681343</v>
      </c>
      <c r="Q797" s="360">
        <v>938.52130872145835</v>
      </c>
      <c r="R797" s="360">
        <v>1539.4078997101915</v>
      </c>
      <c r="S797" s="360">
        <v>0.56913200631942107</v>
      </c>
      <c r="T797" s="360">
        <v>0.64792131052561674</v>
      </c>
      <c r="U797" s="360">
        <v>1.4625665441447826</v>
      </c>
      <c r="V797" s="360">
        <v>0.58222947594343677</v>
      </c>
      <c r="W797" s="360">
        <v>0.62420308899967669</v>
      </c>
      <c r="X797" s="360">
        <v>1303.8085996215984</v>
      </c>
      <c r="Y797" s="360">
        <v>0.55379902386041591</v>
      </c>
      <c r="Z797" s="360">
        <v>0.67689402474554705</v>
      </c>
      <c r="AA797" s="360">
        <v>170.3768202684916</v>
      </c>
      <c r="AB797" s="360">
        <v>0.55183379121975229</v>
      </c>
      <c r="AC797" s="360">
        <v>0.67828428882279368</v>
      </c>
      <c r="AD797" s="360">
        <v>1.0253019112545299</v>
      </c>
      <c r="AE797" s="360">
        <v>0.55237402097193289</v>
      </c>
      <c r="AF797" s="360">
        <v>0.67689426772956485</v>
      </c>
      <c r="AG797" s="360">
        <v>159.86606345667144</v>
      </c>
      <c r="AH797" s="360">
        <v>320.52209882266578</v>
      </c>
      <c r="AI797" s="360">
        <v>0.54779288389663416</v>
      </c>
      <c r="AJ797" s="360">
        <v>0.68574430321922963</v>
      </c>
      <c r="AK797" s="360">
        <v>1.2059192933348106</v>
      </c>
      <c r="AL797" s="360">
        <v>0.55074617976762097</v>
      </c>
      <c r="AM797" s="360">
        <v>0.67689414158654071</v>
      </c>
      <c r="AN797" s="360">
        <v>292.22732213815794</v>
      </c>
      <c r="AO797" s="360">
        <f t="shared" si="33"/>
        <v>1</v>
      </c>
      <c r="AP797" s="360">
        <f t="shared" si="34"/>
        <v>1</v>
      </c>
      <c r="AQ797" s="360">
        <f t="shared" si="35"/>
        <v>1</v>
      </c>
    </row>
    <row r="798" spans="1:43">
      <c r="A798" s="360" t="s">
        <v>1077</v>
      </c>
      <c r="B798" t="s">
        <v>1074</v>
      </c>
      <c r="C798">
        <v>2</v>
      </c>
      <c r="D798" t="s">
        <v>1078</v>
      </c>
      <c r="E798" t="s">
        <v>1079</v>
      </c>
      <c r="F798" s="360">
        <v>12</v>
      </c>
      <c r="G798" s="360" t="str">
        <f>CONCATENATE(A798," ",B798," ",C798," ","inf+"," ",FanUpsizes!D798," ",FanUpsizes!F798)</f>
        <v>10ACH Infiltration 2 inf+ New 12</v>
      </c>
      <c r="H798" s="360">
        <v>1.4421666666666666E-2</v>
      </c>
      <c r="I798" s="360">
        <v>0.59409953508935098</v>
      </c>
      <c r="J798" s="360">
        <v>0.62420305687799127</v>
      </c>
      <c r="K798" s="360">
        <v>1829.7852497866461</v>
      </c>
      <c r="L798" s="360">
        <v>0.56644964497328976</v>
      </c>
      <c r="M798" s="360">
        <v>0.64720026811078368</v>
      </c>
      <c r="N798" s="360">
        <v>1.45697890662447</v>
      </c>
      <c r="O798" s="360">
        <v>0.5781629474273039</v>
      </c>
      <c r="P798" s="360">
        <v>0.62420306113915791</v>
      </c>
      <c r="Q798" s="360">
        <v>1729.7282284710336</v>
      </c>
      <c r="R798" s="360">
        <v>1925.5305355159485</v>
      </c>
      <c r="S798" s="360">
        <v>0.56086012642642802</v>
      </c>
      <c r="T798" s="360">
        <v>0.65823618904896586</v>
      </c>
      <c r="U798" s="360">
        <v>1.8336665998737758</v>
      </c>
      <c r="V798" s="360">
        <v>0.57761431446957123</v>
      </c>
      <c r="W798" s="360">
        <v>0.62420307520204521</v>
      </c>
      <c r="X798" s="360">
        <v>1822.8161626032743</v>
      </c>
      <c r="Y798" s="360">
        <v>0.55379902386041591</v>
      </c>
      <c r="Z798" s="360">
        <v>0.67689402474554705</v>
      </c>
      <c r="AA798" s="360">
        <v>327.25378650609605</v>
      </c>
      <c r="AB798" s="360">
        <v>0.54898576255299725</v>
      </c>
      <c r="AC798" s="360">
        <v>0.68187987443856557</v>
      </c>
      <c r="AD798" s="360">
        <v>1.1020387057377565</v>
      </c>
      <c r="AE798" s="360">
        <v>0.55063310917487451</v>
      </c>
      <c r="AF798" s="360">
        <v>0.67689427427407667</v>
      </c>
      <c r="AG798" s="360">
        <v>315.04431757017443</v>
      </c>
      <c r="AH798" s="360">
        <v>364.79140618877079</v>
      </c>
      <c r="AI798" s="360">
        <v>0.54659473464223551</v>
      </c>
      <c r="AJ798" s="360">
        <v>0.68842630302223851</v>
      </c>
      <c r="AK798" s="360">
        <v>1.2986311990622472</v>
      </c>
      <c r="AL798" s="360">
        <v>0.55023043933918303</v>
      </c>
      <c r="AM798" s="360">
        <v>0.67689528582427716</v>
      </c>
      <c r="AN798" s="360">
        <v>349.38425504725723</v>
      </c>
      <c r="AO798" s="360">
        <f t="shared" si="33"/>
        <v>1</v>
      </c>
      <c r="AP798" s="360">
        <f t="shared" si="34"/>
        <v>1</v>
      </c>
      <c r="AQ798" s="360">
        <f t="shared" si="35"/>
        <v>1</v>
      </c>
    </row>
    <row r="799" spans="1:43">
      <c r="A799" s="360" t="s">
        <v>1077</v>
      </c>
      <c r="B799" t="s">
        <v>1076</v>
      </c>
      <c r="C799">
        <v>2</v>
      </c>
      <c r="D799" t="s">
        <v>1078</v>
      </c>
      <c r="E799" t="s">
        <v>1079</v>
      </c>
      <c r="F799" s="360">
        <v>12</v>
      </c>
      <c r="G799" s="360" t="str">
        <f>CONCATENATE(A799," ",B799," ",C799," ","inf+"," ",FanUpsizes!D799," ",FanUpsizes!F799)</f>
        <v>10ACH 5C 2 inf+ New 12</v>
      </c>
      <c r="H799" s="360">
        <v>1.4421666666666666E-2</v>
      </c>
      <c r="I799" s="360">
        <v>0.59409953508935098</v>
      </c>
      <c r="J799" s="360">
        <v>0.62420305687799127</v>
      </c>
      <c r="K799" s="360">
        <v>1549.0343055467361</v>
      </c>
      <c r="L799" s="360">
        <v>0.5729322713749242</v>
      </c>
      <c r="M799" s="360">
        <v>0.63921404884520727</v>
      </c>
      <c r="N799" s="360">
        <v>1.2568624529538677</v>
      </c>
      <c r="O799" s="360">
        <v>0.58117688811250501</v>
      </c>
      <c r="P799" s="360">
        <v>0.62420306505826972</v>
      </c>
      <c r="Q799" s="360">
        <v>1420.679057917258</v>
      </c>
      <c r="R799" s="360">
        <v>1785.1550633960182</v>
      </c>
      <c r="S799" s="360">
        <v>0.56410143962724635</v>
      </c>
      <c r="T799" s="360">
        <v>0.65400042481191623</v>
      </c>
      <c r="U799" s="360">
        <v>1.6575488194155896</v>
      </c>
      <c r="V799" s="360">
        <v>0.57942498733239212</v>
      </c>
      <c r="W799" s="360">
        <v>0.62420312119820109</v>
      </c>
      <c r="X799" s="360">
        <v>1611.8360794634505</v>
      </c>
      <c r="Y799" s="360">
        <v>0.55379902386041591</v>
      </c>
      <c r="Z799" s="360">
        <v>0.67689402474554705</v>
      </c>
      <c r="AA799" s="360">
        <v>263.60293922955151</v>
      </c>
      <c r="AB799" s="360">
        <v>0.55037410406356335</v>
      </c>
      <c r="AC799" s="360">
        <v>0.67976620915473118</v>
      </c>
      <c r="AD799" s="360">
        <v>1.0547637398862832</v>
      </c>
      <c r="AE799" s="360">
        <v>0.55139554494519427</v>
      </c>
      <c r="AF799" s="360">
        <v>0.6768953371734856</v>
      </c>
      <c r="AG799" s="360">
        <v>250.47403109475553</v>
      </c>
      <c r="AH799" s="360">
        <v>347.05772920246363</v>
      </c>
      <c r="AI799" s="360">
        <v>0.5469455081862018</v>
      </c>
      <c r="AJ799" s="360">
        <v>0.68787631817488404</v>
      </c>
      <c r="AK799" s="360">
        <v>1.2767069731892238</v>
      </c>
      <c r="AL799" s="360">
        <v>0.55050860455311079</v>
      </c>
      <c r="AM799" s="360">
        <v>0.67689405335777653</v>
      </c>
      <c r="AN799" s="360">
        <v>322.92335595607148</v>
      </c>
      <c r="AO799" s="360">
        <f t="shared" si="33"/>
        <v>1</v>
      </c>
      <c r="AP799" s="360">
        <f t="shared" si="34"/>
        <v>1</v>
      </c>
      <c r="AQ799" s="360">
        <f t="shared" si="35"/>
        <v>1</v>
      </c>
    </row>
    <row r="800" spans="1:43">
      <c r="A800" s="360" t="s">
        <v>1077</v>
      </c>
      <c r="B800" t="s">
        <v>1075</v>
      </c>
      <c r="C800">
        <v>1</v>
      </c>
      <c r="D800" t="s">
        <v>1080</v>
      </c>
      <c r="E800" t="s">
        <v>1079</v>
      </c>
      <c r="F800" s="360">
        <v>12</v>
      </c>
      <c r="G800" s="360" t="str">
        <f>CONCATENATE(A800," ",B800," ",C800," ","inf+"," ",FanUpsizes!D800," ",FanUpsizes!F800)</f>
        <v>10ACH Percentile 1 inf+ Existing 12</v>
      </c>
      <c r="H800" s="360">
        <v>1.7552975727815327E-2</v>
      </c>
      <c r="I800" s="360">
        <v>0.468858100367402</v>
      </c>
      <c r="J800" s="360">
        <v>1.0631642994755441</v>
      </c>
      <c r="K800" s="360">
        <v>1289.4857647986191</v>
      </c>
      <c r="L800" s="360">
        <v>0.45309255228105344</v>
      </c>
      <c r="M800" s="360">
        <v>1.0851579814872476</v>
      </c>
      <c r="N800" s="360">
        <v>1.1332494564711133</v>
      </c>
      <c r="O800" s="360">
        <v>0.45966635586571486</v>
      </c>
      <c r="P800" s="360">
        <v>1.0631644856434164</v>
      </c>
      <c r="Q800" s="360">
        <v>1129.0419917967872</v>
      </c>
      <c r="R800" s="360">
        <v>1873.6523401470497</v>
      </c>
      <c r="S800" s="360">
        <v>0.43846948880040465</v>
      </c>
      <c r="T800" s="360">
        <v>1.1260174407696335</v>
      </c>
      <c r="U800" s="360">
        <v>1.4835754911122339</v>
      </c>
      <c r="V800" s="360">
        <v>0.45535169482837462</v>
      </c>
      <c r="W800" s="360">
        <v>1.0631670035733125</v>
      </c>
      <c r="X800" s="360">
        <v>1573.8746162068317</v>
      </c>
      <c r="Y800" s="360">
        <v>0.42850989138028261</v>
      </c>
      <c r="Z800" s="360">
        <v>1.1647620280709881</v>
      </c>
      <c r="AA800" s="360">
        <v>318.29796461526951</v>
      </c>
      <c r="AB800" s="360">
        <v>0.42472823515766461</v>
      </c>
      <c r="AC800" s="360">
        <v>1.1708728683762821</v>
      </c>
      <c r="AD800" s="360">
        <v>1.0320638949691927</v>
      </c>
      <c r="AE800" s="360">
        <v>0.42597644223493353</v>
      </c>
      <c r="AF800" s="360">
        <v>1.1647660253322116</v>
      </c>
      <c r="AG800" s="360">
        <v>293.95338297479435</v>
      </c>
      <c r="AH800" s="360">
        <v>597.31388376269467</v>
      </c>
      <c r="AI800" s="360">
        <v>0.41705866818671528</v>
      </c>
      <c r="AJ800" s="360">
        <v>1.2009099948295543</v>
      </c>
      <c r="AK800" s="360">
        <v>1.251457658122217</v>
      </c>
      <c r="AL800" s="360">
        <v>0.42359894741683324</v>
      </c>
      <c r="AM800" s="360">
        <v>1.1647621367846523</v>
      </c>
      <c r="AN800" s="360">
        <v>534.71525052232585</v>
      </c>
      <c r="AO800" s="360">
        <f t="shared" si="33"/>
        <v>1</v>
      </c>
      <c r="AP800" s="360">
        <f t="shared" si="34"/>
        <v>1</v>
      </c>
      <c r="AQ800" s="360">
        <f t="shared" si="35"/>
        <v>1</v>
      </c>
    </row>
    <row r="801" spans="1:43">
      <c r="A801" s="360" t="s">
        <v>1077</v>
      </c>
      <c r="B801" t="s">
        <v>1074</v>
      </c>
      <c r="C801">
        <v>1</v>
      </c>
      <c r="D801" t="s">
        <v>1080</v>
      </c>
      <c r="E801" t="s">
        <v>1079</v>
      </c>
      <c r="F801" s="360">
        <v>12</v>
      </c>
      <c r="G801" s="360" t="str">
        <f>CONCATENATE(A801," ",B801," ",C801," ","inf+"," ",FanUpsizes!D801," ",FanUpsizes!F801)</f>
        <v>10ACH Infiltration 1 inf+ Existing 12</v>
      </c>
      <c r="H801" s="360">
        <v>1.7552975727815327E-2</v>
      </c>
      <c r="I801" s="360">
        <v>0.468858100367402</v>
      </c>
      <c r="J801" s="360">
        <v>1.0631642994755441</v>
      </c>
      <c r="K801" s="360">
        <v>768.67566917458191</v>
      </c>
      <c r="L801" s="360">
        <v>0.46033938020066861</v>
      </c>
      <c r="M801" s="360">
        <v>1.0736825500652794</v>
      </c>
      <c r="N801" s="360">
        <v>1.0594085819904582</v>
      </c>
      <c r="O801" s="360">
        <v>0.46369790492158286</v>
      </c>
      <c r="P801" s="360">
        <v>1.0631643131563711</v>
      </c>
      <c r="Q801" s="360">
        <v>666.20205233881961</v>
      </c>
      <c r="R801" s="360">
        <v>1545.9746291368783</v>
      </c>
      <c r="S801" s="360">
        <v>0.44614890797848389</v>
      </c>
      <c r="T801" s="360">
        <v>1.1033385577870918</v>
      </c>
      <c r="U801" s="360">
        <v>1.268193099053724</v>
      </c>
      <c r="V801" s="360">
        <v>0.45753934640595906</v>
      </c>
      <c r="W801" s="360">
        <v>1.0631649540416044</v>
      </c>
      <c r="X801" s="360">
        <v>1291.8356811619369</v>
      </c>
      <c r="Y801" s="360">
        <v>0.42850989138028261</v>
      </c>
      <c r="Z801" s="360">
        <v>1.1647620280709881</v>
      </c>
      <c r="AA801" s="360">
        <v>179.61779324850011</v>
      </c>
      <c r="AB801" s="360">
        <v>0.42658281967427103</v>
      </c>
      <c r="AC801" s="360">
        <v>1.1674652393365375</v>
      </c>
      <c r="AD801" s="360">
        <v>1.0137484964669323</v>
      </c>
      <c r="AE801" s="360">
        <v>0.42716477420719073</v>
      </c>
      <c r="AF801" s="360">
        <v>1.1647622997873317</v>
      </c>
      <c r="AG801" s="360">
        <v>165.58743182905292</v>
      </c>
      <c r="AH801" s="360">
        <v>519.8980573783009</v>
      </c>
      <c r="AI801" s="360">
        <v>0.42019776077170717</v>
      </c>
      <c r="AJ801" s="360">
        <v>1.1853008595937919</v>
      </c>
      <c r="AK801" s="360">
        <v>1.1231967268959246</v>
      </c>
      <c r="AL801" s="360">
        <v>0.42402916092042003</v>
      </c>
      <c r="AM801" s="360">
        <v>1.1647624075259362</v>
      </c>
      <c r="AN801" s="360">
        <v>472.25291861346602</v>
      </c>
      <c r="AO801" s="360">
        <f t="shared" si="33"/>
        <v>1</v>
      </c>
      <c r="AP801" s="360">
        <f t="shared" si="34"/>
        <v>1</v>
      </c>
      <c r="AQ801" s="360">
        <f t="shared" si="35"/>
        <v>1</v>
      </c>
    </row>
    <row r="802" spans="1:43">
      <c r="A802" s="360" t="s">
        <v>1077</v>
      </c>
      <c r="B802" t="s">
        <v>1076</v>
      </c>
      <c r="C802">
        <v>1</v>
      </c>
      <c r="D802" t="s">
        <v>1080</v>
      </c>
      <c r="E802" t="s">
        <v>1079</v>
      </c>
      <c r="F802" s="360">
        <v>12</v>
      </c>
      <c r="G802" s="360" t="str">
        <f>CONCATENATE(A802," ",B802," ",C802," ","inf+"," ",FanUpsizes!D802," ",FanUpsizes!F802)</f>
        <v>10ACH 5C 1 inf+ Existing 12</v>
      </c>
      <c r="H802" s="360">
        <v>1.7552975727815327E-2</v>
      </c>
      <c r="I802" s="360">
        <v>0.468858100367402</v>
      </c>
      <c r="J802" s="360">
        <v>1.0631642994755441</v>
      </c>
      <c r="K802" s="360">
        <v>1885.3688824788144</v>
      </c>
      <c r="L802" s="360">
        <v>0.44309488764092997</v>
      </c>
      <c r="M802" s="360">
        <v>1.1042366496704676</v>
      </c>
      <c r="N802" s="360">
        <v>1.2825731907691722</v>
      </c>
      <c r="O802" s="360">
        <v>0.45423601138807618</v>
      </c>
      <c r="P802" s="360">
        <v>1.0631643209903179</v>
      </c>
      <c r="Q802" s="360">
        <v>1713.5071213373067</v>
      </c>
      <c r="R802" s="360">
        <v>2104.3212357889884</v>
      </c>
      <c r="S802" s="360">
        <v>0.43752666169861287</v>
      </c>
      <c r="T802" s="360">
        <v>1.1197233287081454</v>
      </c>
      <c r="U802" s="360">
        <v>1.4302023016310215</v>
      </c>
      <c r="V802" s="360">
        <v>0.45212833234946903</v>
      </c>
      <c r="W802" s="360">
        <v>1.063164321303228</v>
      </c>
      <c r="X802" s="360">
        <v>1936.8648657489512</v>
      </c>
      <c r="Y802" s="360">
        <v>0.42850989138028261</v>
      </c>
      <c r="Z802" s="360">
        <v>1.1647620280709881</v>
      </c>
      <c r="AA802" s="360">
        <v>492.07240178281876</v>
      </c>
      <c r="AB802" s="360">
        <v>0.42191422161265507</v>
      </c>
      <c r="AC802" s="360">
        <v>1.1773427708799731</v>
      </c>
      <c r="AD802" s="360">
        <v>1.0703337927284371</v>
      </c>
      <c r="AE802" s="360">
        <v>0.4242917294763191</v>
      </c>
      <c r="AF802" s="360">
        <v>1.1647623397670914</v>
      </c>
      <c r="AG802" s="360">
        <v>461.77659792390625</v>
      </c>
      <c r="AH802" s="360">
        <v>603.62142818548216</v>
      </c>
      <c r="AI802" s="360">
        <v>0.41901200772847519</v>
      </c>
      <c r="AJ802" s="360">
        <v>1.1879102942145123</v>
      </c>
      <c r="AK802" s="360">
        <v>1.143409930738797</v>
      </c>
      <c r="AL802" s="360">
        <v>0.42314048472599441</v>
      </c>
      <c r="AM802" s="360">
        <v>1.16476219041976</v>
      </c>
      <c r="AN802" s="360">
        <v>571.8437930709714</v>
      </c>
      <c r="AO802" s="360">
        <f t="shared" si="33"/>
        <v>1</v>
      </c>
      <c r="AP802" s="360">
        <f t="shared" si="34"/>
        <v>1</v>
      </c>
      <c r="AQ802" s="360">
        <f t="shared" si="35"/>
        <v>1</v>
      </c>
    </row>
    <row r="803" spans="1:43">
      <c r="A803" s="360" t="s">
        <v>1077</v>
      </c>
      <c r="B803" t="s">
        <v>1075</v>
      </c>
      <c r="C803">
        <v>2</v>
      </c>
      <c r="D803" t="s">
        <v>1080</v>
      </c>
      <c r="E803" t="s">
        <v>1079</v>
      </c>
      <c r="F803" s="360">
        <v>12</v>
      </c>
      <c r="G803" s="360" t="str">
        <f>CONCATENATE(A803," ",B803," ",C803," ","inf+"," ",FanUpsizes!D803," ",FanUpsizes!F803)</f>
        <v>10ACH Percentile 2 inf+ Existing 12</v>
      </c>
      <c r="H803" s="360">
        <v>4.1457770208081154E-3</v>
      </c>
      <c r="I803" s="360">
        <v>0.55616971882739463</v>
      </c>
      <c r="J803" s="360">
        <v>0.93872831915133392</v>
      </c>
      <c r="K803" s="360">
        <v>304.55921179735503</v>
      </c>
      <c r="L803" s="360">
        <v>0.55244610819918094</v>
      </c>
      <c r="M803" s="360">
        <v>0.94209522888661856</v>
      </c>
      <c r="N803" s="360">
        <v>1.1043083288555202</v>
      </c>
      <c r="O803" s="360">
        <v>0.55365358431251899</v>
      </c>
      <c r="P803" s="360">
        <v>0.93872993464607679</v>
      </c>
      <c r="Q803" s="360">
        <v>274.89508318732982</v>
      </c>
      <c r="R803" s="360">
        <v>442.53150788886109</v>
      </c>
      <c r="S803" s="360">
        <v>0.54899233708413364</v>
      </c>
      <c r="T803" s="360">
        <v>0.94922636658235171</v>
      </c>
      <c r="U803" s="360">
        <v>1.4151372009510392</v>
      </c>
      <c r="V803" s="360">
        <v>0.55236442065352809</v>
      </c>
      <c r="W803" s="360">
        <v>0.93872835664267174</v>
      </c>
      <c r="X803" s="360">
        <v>381.74853789899447</v>
      </c>
      <c r="Y803" s="360">
        <v>0.54197740076551371</v>
      </c>
      <c r="Z803" s="360">
        <v>0.97174932094924704</v>
      </c>
      <c r="AA803" s="360">
        <v>16.900913995564395</v>
      </c>
      <c r="AB803" s="360">
        <v>0.54181403831666541</v>
      </c>
      <c r="AC803" s="360">
        <v>0.97191054982883884</v>
      </c>
      <c r="AD803" s="360">
        <v>1.0197897064193768</v>
      </c>
      <c r="AE803" s="360">
        <v>0.54185157247100024</v>
      </c>
      <c r="AF803" s="360">
        <v>0.97174935384934968</v>
      </c>
      <c r="AG803" s="360">
        <v>16.039260761601081</v>
      </c>
      <c r="AH803" s="360">
        <v>32.02723278475311</v>
      </c>
      <c r="AI803" s="360">
        <v>0.54147286838068898</v>
      </c>
      <c r="AJ803" s="360">
        <v>0.97284267079172326</v>
      </c>
      <c r="AK803" s="360">
        <v>1.1634431644645373</v>
      </c>
      <c r="AL803" s="360">
        <v>0.54168412386434073</v>
      </c>
      <c r="AM803" s="360">
        <v>0.97174932123791624</v>
      </c>
      <c r="AN803" s="360">
        <v>29.20709218118736</v>
      </c>
      <c r="AO803" s="360">
        <f t="shared" si="33"/>
        <v>1</v>
      </c>
      <c r="AP803" s="360">
        <f t="shared" si="34"/>
        <v>1</v>
      </c>
      <c r="AQ803" s="360">
        <f t="shared" si="35"/>
        <v>1</v>
      </c>
    </row>
    <row r="804" spans="1:43">
      <c r="A804" s="360" t="s">
        <v>1077</v>
      </c>
      <c r="B804" t="s">
        <v>1074</v>
      </c>
      <c r="C804">
        <v>2</v>
      </c>
      <c r="D804" t="s">
        <v>1080</v>
      </c>
      <c r="E804" t="s">
        <v>1079</v>
      </c>
      <c r="F804" s="360">
        <v>12</v>
      </c>
      <c r="G804" s="360" t="str">
        <f>CONCATENATE(A804," ",B804," ",C804," ","inf+"," ",FanUpsizes!D804," ",FanUpsizes!F804)</f>
        <v>10ACH Infiltration 2 inf+ Existing 12</v>
      </c>
      <c r="H804" s="360">
        <v>4.1457770208081154E-3</v>
      </c>
      <c r="I804" s="360">
        <v>0.55616971882739463</v>
      </c>
      <c r="J804" s="360">
        <v>0.93872831915133392</v>
      </c>
      <c r="K804" s="360">
        <v>393.26182589514838</v>
      </c>
      <c r="L804" s="360">
        <v>0.55103665520810841</v>
      </c>
      <c r="M804" s="360">
        <v>0.94370515301306002</v>
      </c>
      <c r="N804" s="360">
        <v>1.1624970402958452</v>
      </c>
      <c r="O804" s="360">
        <v>0.55268869352253847</v>
      </c>
      <c r="P804" s="360">
        <v>0.93872928974074243</v>
      </c>
      <c r="Q804" s="360">
        <v>361.46338718331646</v>
      </c>
      <c r="R804" s="360">
        <v>482.73774722976987</v>
      </c>
      <c r="S804" s="360">
        <v>0.54865962234460308</v>
      </c>
      <c r="T804" s="360">
        <v>0.94870211749956357</v>
      </c>
      <c r="U804" s="360">
        <v>1.3877713959714733</v>
      </c>
      <c r="V804" s="360">
        <v>0.55168036876757554</v>
      </c>
      <c r="W804" s="360">
        <v>0.93872834274774086</v>
      </c>
      <c r="X804" s="360">
        <v>441.55241442245904</v>
      </c>
      <c r="Y804" s="360">
        <v>0.54197740076551371</v>
      </c>
      <c r="Z804" s="360">
        <v>0.97174932094924704</v>
      </c>
      <c r="AA804" s="360">
        <v>22.648869589308177</v>
      </c>
      <c r="AB804" s="360">
        <v>0.541744529072409</v>
      </c>
      <c r="AC804" s="360">
        <v>0.97199962727370004</v>
      </c>
      <c r="AD804" s="360">
        <v>1.0312560169618732</v>
      </c>
      <c r="AE804" s="360">
        <v>0.54179973108183277</v>
      </c>
      <c r="AF804" s="360">
        <v>0.97174932595759611</v>
      </c>
      <c r="AG804" s="360">
        <v>21.600092625575453</v>
      </c>
      <c r="AH804" s="360">
        <v>33.001007584450228</v>
      </c>
      <c r="AI804" s="360">
        <v>0.54150711577446531</v>
      </c>
      <c r="AJ804" s="360">
        <v>0.9726287426248108</v>
      </c>
      <c r="AK804" s="360">
        <v>1.1251439792382327</v>
      </c>
      <c r="AL804" s="360">
        <v>0.54167513192794581</v>
      </c>
      <c r="AM804" s="360">
        <v>0.97174933044114276</v>
      </c>
      <c r="AN804" s="360">
        <v>31.072123530558489</v>
      </c>
      <c r="AO804" s="360">
        <f t="shared" si="33"/>
        <v>1</v>
      </c>
      <c r="AP804" s="360">
        <f t="shared" si="34"/>
        <v>1</v>
      </c>
      <c r="AQ804" s="360">
        <f t="shared" si="35"/>
        <v>1</v>
      </c>
    </row>
    <row r="805" spans="1:43">
      <c r="A805" s="360" t="s">
        <v>1077</v>
      </c>
      <c r="B805" t="s">
        <v>1076</v>
      </c>
      <c r="C805">
        <v>2</v>
      </c>
      <c r="D805" t="s">
        <v>1080</v>
      </c>
      <c r="E805" t="s">
        <v>1079</v>
      </c>
      <c r="F805" s="360">
        <v>12</v>
      </c>
      <c r="G805" s="360" t="str">
        <f>CONCATENATE(A805," ",B805," ",C805," ","inf+"," ",FanUpsizes!D805," ",FanUpsizes!F805)</f>
        <v>10ACH 5C 2 inf+ Existing 12</v>
      </c>
      <c r="H805" s="360">
        <v>4.1457770208081154E-3</v>
      </c>
      <c r="I805" s="360">
        <v>0.55616971882739463</v>
      </c>
      <c r="J805" s="360">
        <v>0.93872831915133392</v>
      </c>
      <c r="K805" s="360">
        <v>445.29879776116655</v>
      </c>
      <c r="L805" s="360">
        <v>0.5500847941422673</v>
      </c>
      <c r="M805" s="360">
        <v>0.94505706990907745</v>
      </c>
      <c r="N805" s="360">
        <v>1.2163469860501204</v>
      </c>
      <c r="O805" s="360">
        <v>0.55207836968527779</v>
      </c>
      <c r="P805" s="360">
        <v>0.93872888378824659</v>
      </c>
      <c r="Q805" s="360">
        <v>414.22070637907785</v>
      </c>
      <c r="R805" s="360">
        <v>508.75623316276858</v>
      </c>
      <c r="S805" s="360">
        <v>0.54818369181168281</v>
      </c>
      <c r="T805" s="360">
        <v>0.94938916732840661</v>
      </c>
      <c r="U805" s="360">
        <v>1.426238478461145</v>
      </c>
      <c r="V805" s="360">
        <v>0.5513012864646204</v>
      </c>
      <c r="W805" s="360">
        <v>0.9387286799705431</v>
      </c>
      <c r="X805" s="360">
        <v>474.5753782022573</v>
      </c>
      <c r="Y805" s="360">
        <v>0.54197740076551371</v>
      </c>
      <c r="Z805" s="360">
        <v>0.97174932094924704</v>
      </c>
      <c r="AA805" s="360">
        <v>26.406444339692865</v>
      </c>
      <c r="AB805" s="360">
        <v>0.54169236337443671</v>
      </c>
      <c r="AC805" s="360">
        <v>0.97208463192583749</v>
      </c>
      <c r="AD805" s="360">
        <v>1.0425689618286438</v>
      </c>
      <c r="AE805" s="360">
        <v>0.54176342401441224</v>
      </c>
      <c r="AF805" s="360">
        <v>0.97174933238346106</v>
      </c>
      <c r="AG805" s="360">
        <v>25.255394640466399</v>
      </c>
      <c r="AH805" s="360">
        <v>34.187201178473238</v>
      </c>
      <c r="AI805" s="360">
        <v>0.54149406550843449</v>
      </c>
      <c r="AJ805" s="360">
        <v>0.97265004752395068</v>
      </c>
      <c r="AK805" s="360">
        <v>1.1287970008990413</v>
      </c>
      <c r="AL805" s="360">
        <v>0.54166369772304679</v>
      </c>
      <c r="AM805" s="360">
        <v>0.97174937551374163</v>
      </c>
      <c r="AN805" s="360">
        <v>32.453942511489359</v>
      </c>
      <c r="AO805" s="360">
        <f t="shared" ref="AO805:AO868" si="36">IF(ROUND(P805,3)=ROUND(J805,3),1,0)</f>
        <v>1</v>
      </c>
      <c r="AP805" s="360">
        <f t="shared" ref="AP805:AP868" si="37">IF(O805&gt;L805,1,0)</f>
        <v>1</v>
      </c>
      <c r="AQ805" s="360">
        <f t="shared" ref="AQ805:AQ868" si="38">IF(I805&gt;L805,1,0)</f>
        <v>1</v>
      </c>
    </row>
    <row r="806" spans="1:43">
      <c r="A806" s="360" t="s">
        <v>1081</v>
      </c>
      <c r="B806" t="s">
        <v>1075</v>
      </c>
      <c r="C806">
        <v>1</v>
      </c>
      <c r="D806" t="s">
        <v>1078</v>
      </c>
      <c r="E806" t="s">
        <v>1079</v>
      </c>
      <c r="F806" s="360">
        <v>12</v>
      </c>
      <c r="G806" s="360" t="str">
        <f>CONCATENATE(A806," ",B806," ",C806," ","inf+"," ",FanUpsizes!D806," ",FanUpsizes!F806)</f>
        <v>7ACH Percentile 1 inf+ New 12</v>
      </c>
      <c r="H806" s="360">
        <v>1.4421666666666666E-2</v>
      </c>
      <c r="I806" s="360">
        <v>0.33612164578239706</v>
      </c>
      <c r="J806" s="360">
        <v>1.0641137151669078</v>
      </c>
      <c r="K806" s="360">
        <v>1059.4519219820284</v>
      </c>
      <c r="L806" s="360">
        <v>0.32316854410640483</v>
      </c>
      <c r="M806" s="360">
        <v>1.0902098038396546</v>
      </c>
      <c r="N806" s="360">
        <v>1.1419722573982642</v>
      </c>
      <c r="O806" s="360">
        <v>0.32894931887333057</v>
      </c>
      <c r="P806" s="360">
        <v>1.0641186120726351</v>
      </c>
      <c r="Q806" s="360">
        <v>919.00067191034543</v>
      </c>
      <c r="R806" s="360">
        <v>1539.4078997102163</v>
      </c>
      <c r="S806" s="360">
        <v>0.31115411701246687</v>
      </c>
      <c r="T806" s="360">
        <v>1.1369032448641518</v>
      </c>
      <c r="U806" s="360">
        <v>1.5021198809767959</v>
      </c>
      <c r="V806" s="360">
        <v>0.32569624335145031</v>
      </c>
      <c r="W806" s="360">
        <v>1.064113763605504</v>
      </c>
      <c r="X806" s="360">
        <v>1283.6628744459588</v>
      </c>
      <c r="Y806" s="360">
        <v>0.30591312629078926</v>
      </c>
      <c r="Z806" s="360">
        <v>1.1657014576182851</v>
      </c>
      <c r="AA806" s="360">
        <v>302.97392523859867</v>
      </c>
      <c r="AB806" s="360">
        <v>0.3022874020434862</v>
      </c>
      <c r="AC806" s="360">
        <v>1.1742159987074225</v>
      </c>
      <c r="AD806" s="360">
        <v>1.0373222025195881</v>
      </c>
      <c r="AE806" s="360">
        <v>0.30363351416367707</v>
      </c>
      <c r="AF806" s="360">
        <v>1.1657014771722454</v>
      </c>
      <c r="AG806" s="360">
        <v>276.40507630665178</v>
      </c>
      <c r="AH806" s="360">
        <v>566.40264757373939</v>
      </c>
      <c r="AI806" s="360">
        <v>0.29502737771835341</v>
      </c>
      <c r="AJ806" s="360">
        <v>1.2131293485815167</v>
      </c>
      <c r="AK806" s="360">
        <v>1.279680339610642</v>
      </c>
      <c r="AL806" s="360">
        <v>0.30175185494407147</v>
      </c>
      <c r="AM806" s="360">
        <v>1.1657026716873362</v>
      </c>
      <c r="AN806" s="360">
        <v>500.5307368774105</v>
      </c>
      <c r="AO806" s="360">
        <f t="shared" si="36"/>
        <v>1</v>
      </c>
      <c r="AP806" s="360">
        <f t="shared" si="37"/>
        <v>1</v>
      </c>
      <c r="AQ806" s="360">
        <f t="shared" si="38"/>
        <v>1</v>
      </c>
    </row>
    <row r="807" spans="1:43">
      <c r="A807" s="360" t="s">
        <v>1081</v>
      </c>
      <c r="B807" t="s">
        <v>1074</v>
      </c>
      <c r="C807">
        <v>1</v>
      </c>
      <c r="D807" t="s">
        <v>1078</v>
      </c>
      <c r="E807" t="s">
        <v>1079</v>
      </c>
      <c r="F807" s="360">
        <v>12</v>
      </c>
      <c r="G807" s="360" t="str">
        <f>CONCATENATE(A807," ",B807," ",C807," ","inf+"," ",FanUpsizes!D807," ",FanUpsizes!F807)</f>
        <v>7ACH Infiltration 1 inf+ New 12</v>
      </c>
      <c r="H807" s="360">
        <v>1.4421666666666666E-2</v>
      </c>
      <c r="I807" s="360">
        <v>0.33612164578239706</v>
      </c>
      <c r="J807" s="360">
        <v>1.0641137151669078</v>
      </c>
      <c r="K807" s="360">
        <v>501.29811312216708</v>
      </c>
      <c r="L807" s="360">
        <v>0.3307569230901351</v>
      </c>
      <c r="M807" s="360">
        <v>1.0732607100674312</v>
      </c>
      <c r="N807" s="360">
        <v>1.0453837549307476</v>
      </c>
      <c r="O807" s="360">
        <v>0.33294651003822012</v>
      </c>
      <c r="P807" s="360">
        <v>1.0641137826987281</v>
      </c>
      <c r="Q807" s="360">
        <v>431.06945739410531</v>
      </c>
      <c r="R807" s="360">
        <v>1194.5156604390538</v>
      </c>
      <c r="S807" s="360">
        <v>0.31867262701436211</v>
      </c>
      <c r="T807" s="360">
        <v>1.1073401403069516</v>
      </c>
      <c r="U807" s="360">
        <v>1.2538668123425283</v>
      </c>
      <c r="V807" s="360">
        <v>0.32788072264724005</v>
      </c>
      <c r="W807" s="360">
        <v>1.0641157464279536</v>
      </c>
      <c r="X807" s="360">
        <v>977.65682866788018</v>
      </c>
      <c r="Y807" s="360">
        <v>0.30591312629078926</v>
      </c>
      <c r="Z807" s="360">
        <v>1.1657014576182851</v>
      </c>
      <c r="AA807" s="360">
        <v>133.03288593081442</v>
      </c>
      <c r="AB807" s="360">
        <v>0.30452749410416857</v>
      </c>
      <c r="AC807" s="360">
        <v>1.1684020091919718</v>
      </c>
      <c r="AD807" s="360">
        <v>1.0113001855750026</v>
      </c>
      <c r="AE807" s="360">
        <v>0.30498104111201252</v>
      </c>
      <c r="AF807" s="360">
        <v>1.1657043931367399</v>
      </c>
      <c r="AG807" s="360">
        <v>121.3847944535086</v>
      </c>
      <c r="AH807" s="360">
        <v>476.84137516779538</v>
      </c>
      <c r="AI807" s="360">
        <v>0.29837103128066544</v>
      </c>
      <c r="AJ807" s="360">
        <v>1.1914281770212356</v>
      </c>
      <c r="AK807" s="360">
        <v>1.1284200374752813</v>
      </c>
      <c r="AL807" s="360">
        <v>0.30214893621988542</v>
      </c>
      <c r="AM807" s="360">
        <v>1.1657022480618404</v>
      </c>
      <c r="AN807" s="360">
        <v>425.99863880876967</v>
      </c>
      <c r="AO807" s="360">
        <f t="shared" si="36"/>
        <v>1</v>
      </c>
      <c r="AP807" s="360">
        <f t="shared" si="37"/>
        <v>1</v>
      </c>
      <c r="AQ807" s="360">
        <f t="shared" si="38"/>
        <v>1</v>
      </c>
    </row>
    <row r="808" spans="1:43">
      <c r="A808" s="360" t="s">
        <v>1081</v>
      </c>
      <c r="B808" t="s">
        <v>1076</v>
      </c>
      <c r="C808">
        <v>1</v>
      </c>
      <c r="D808" t="s">
        <v>1078</v>
      </c>
      <c r="E808" t="s">
        <v>1079</v>
      </c>
      <c r="F808" s="360">
        <v>12</v>
      </c>
      <c r="G808" s="360" t="str">
        <f>CONCATENATE(A808," ",B808," ",C808," ","inf+"," ",FanUpsizes!D808," ",FanUpsizes!F808)</f>
        <v>7ACH 5C 1 inf+ New 12</v>
      </c>
      <c r="H808" s="360">
        <v>1.4421666666666666E-2</v>
      </c>
      <c r="I808" s="360">
        <v>0.33612164578239706</v>
      </c>
      <c r="J808" s="360">
        <v>1.0641137151669078</v>
      </c>
      <c r="K808" s="360">
        <v>1549.0343055467381</v>
      </c>
      <c r="L808" s="360">
        <v>0.31495438206797</v>
      </c>
      <c r="M808" s="360">
        <v>1.1126696700220791</v>
      </c>
      <c r="N808" s="360">
        <v>1.3025752221683906</v>
      </c>
      <c r="O808" s="360">
        <v>0.32481338559705641</v>
      </c>
      <c r="P808" s="360">
        <v>1.064116962673525</v>
      </c>
      <c r="Q808" s="360">
        <v>1397.836194957564</v>
      </c>
      <c r="R808" s="360">
        <v>1718.3837566514005</v>
      </c>
      <c r="S808" s="360">
        <v>0.31077135650327931</v>
      </c>
      <c r="T808" s="360">
        <v>1.1286674139459059</v>
      </c>
      <c r="U808" s="360">
        <v>1.440700566974078</v>
      </c>
      <c r="V808" s="360">
        <v>0.32333620918625261</v>
      </c>
      <c r="W808" s="360">
        <v>1.0641140152726321</v>
      </c>
      <c r="X808" s="360">
        <v>1572.796229681639</v>
      </c>
      <c r="Y808" s="360">
        <v>0.30591312629078926</v>
      </c>
      <c r="Z808" s="360">
        <v>1.1657014576182851</v>
      </c>
      <c r="AA808" s="360">
        <v>467.78772911931065</v>
      </c>
      <c r="AB808" s="360">
        <v>0.29959625301653436</v>
      </c>
      <c r="AC808" s="360">
        <v>1.1830923276477161</v>
      </c>
      <c r="AD808" s="360">
        <v>1.08197404119374</v>
      </c>
      <c r="AE808" s="360">
        <v>0.30215512313444526</v>
      </c>
      <c r="AF808" s="360">
        <v>1.1657014698747961</v>
      </c>
      <c r="AG808" s="360">
        <v>434.88456533450494</v>
      </c>
      <c r="AH808" s="360">
        <v>566.25851307274047</v>
      </c>
      <c r="AI808" s="360">
        <v>0.29711216293686432</v>
      </c>
      <c r="AJ808" s="360">
        <v>1.1953741415487158</v>
      </c>
      <c r="AK808" s="360">
        <v>1.1544479502043705</v>
      </c>
      <c r="AL808" s="360">
        <v>0.30127809747593154</v>
      </c>
      <c r="AM808" s="360">
        <v>1.165704794089474</v>
      </c>
      <c r="AN808" s="360">
        <v>532.55080693780542</v>
      </c>
      <c r="AO808" s="360">
        <f t="shared" si="36"/>
        <v>1</v>
      </c>
      <c r="AP808" s="360">
        <f t="shared" si="37"/>
        <v>1</v>
      </c>
      <c r="AQ808" s="360">
        <f t="shared" si="38"/>
        <v>1</v>
      </c>
    </row>
    <row r="809" spans="1:43">
      <c r="A809" s="360" t="s">
        <v>1081</v>
      </c>
      <c r="B809" t="s">
        <v>1075</v>
      </c>
      <c r="C809">
        <v>2</v>
      </c>
      <c r="D809" t="s">
        <v>1078</v>
      </c>
      <c r="E809" t="s">
        <v>1079</v>
      </c>
      <c r="F809" s="360">
        <v>12</v>
      </c>
      <c r="G809" s="360" t="str">
        <f>CONCATENATE(A809," ",B809," ",C809," ","inf+"," ",FanUpsizes!D809," ",FanUpsizes!F809)</f>
        <v>7ACH Percentile 2 inf+ New 12</v>
      </c>
      <c r="H809" s="360">
        <v>1.4421666666666666E-2</v>
      </c>
      <c r="I809" s="360">
        <v>0.43185363506646385</v>
      </c>
      <c r="J809" s="360">
        <v>0.84227963048973009</v>
      </c>
      <c r="K809" s="360">
        <v>1059.4519219819931</v>
      </c>
      <c r="L809" s="360">
        <v>0.41890053339047145</v>
      </c>
      <c r="M809" s="360">
        <v>0.85805518399550817</v>
      </c>
      <c r="N809" s="360">
        <v>1.136120043865158</v>
      </c>
      <c r="O809" s="360">
        <v>0.42439603436894557</v>
      </c>
      <c r="P809" s="360">
        <v>0.84228151835924181</v>
      </c>
      <c r="Q809" s="360">
        <v>924.79018826703009</v>
      </c>
      <c r="R809" s="360">
        <v>1539.4078997101833</v>
      </c>
      <c r="S809" s="360">
        <v>0.4068861062965366</v>
      </c>
      <c r="T809" s="360">
        <v>0.88710409793565426</v>
      </c>
      <c r="U809" s="360">
        <v>1.4928547630051152</v>
      </c>
      <c r="V809" s="360">
        <v>0.42095001868897935</v>
      </c>
      <c r="W809" s="360">
        <v>0.84228247685690705</v>
      </c>
      <c r="X809" s="360">
        <v>1288.3818826340785</v>
      </c>
      <c r="Y809" s="360">
        <v>0.39653736859027106</v>
      </c>
      <c r="Z809" s="360">
        <v>0.92155220790919568</v>
      </c>
      <c r="AA809" s="360">
        <v>236.22161649146173</v>
      </c>
      <c r="AB809" s="360">
        <v>0.39374819341017381</v>
      </c>
      <c r="AC809" s="360">
        <v>0.92548840057073445</v>
      </c>
      <c r="AD809" s="360">
        <v>1.0317747533164543</v>
      </c>
      <c r="AE809" s="360">
        <v>0.39466408059136787</v>
      </c>
      <c r="AF809" s="360">
        <v>0.92155251848068365</v>
      </c>
      <c r="AG809" s="360">
        <v>218.31237599170456</v>
      </c>
      <c r="AH809" s="360">
        <v>442.25734732351214</v>
      </c>
      <c r="AI809" s="360">
        <v>0.38810321802608039</v>
      </c>
      <c r="AJ809" s="360">
        <v>0.94472304746236935</v>
      </c>
      <c r="AK809" s="360">
        <v>1.2471005855416879</v>
      </c>
      <c r="AL809" s="360">
        <v>0.39286329102006623</v>
      </c>
      <c r="AM809" s="360">
        <v>0.92155239314487791</v>
      </c>
      <c r="AN809" s="360">
        <v>396.54865723953418</v>
      </c>
      <c r="AO809" s="360">
        <f t="shared" si="36"/>
        <v>1</v>
      </c>
      <c r="AP809" s="360">
        <f t="shared" si="37"/>
        <v>1</v>
      </c>
      <c r="AQ809" s="360">
        <f t="shared" si="38"/>
        <v>1</v>
      </c>
    </row>
    <row r="810" spans="1:43">
      <c r="A810" s="360" t="s">
        <v>1081</v>
      </c>
      <c r="B810" t="s">
        <v>1074</v>
      </c>
      <c r="C810">
        <v>2</v>
      </c>
      <c r="D810" t="s">
        <v>1078</v>
      </c>
      <c r="E810" t="s">
        <v>1079</v>
      </c>
      <c r="F810" s="360">
        <v>12</v>
      </c>
      <c r="G810" s="360" t="str">
        <f>CONCATENATE(A810," ",B810," ",C810," ","inf+"," ",FanUpsizes!D810," ",FanUpsizes!F810)</f>
        <v>7ACH Infiltration 2 inf+ New 12</v>
      </c>
      <c r="H810" s="360">
        <v>1.4421666666666666E-2</v>
      </c>
      <c r="I810" s="360">
        <v>0.43185363506646385</v>
      </c>
      <c r="J810" s="360">
        <v>0.84227963048973009</v>
      </c>
      <c r="K810" s="360">
        <v>1286.0573543364878</v>
      </c>
      <c r="L810" s="360">
        <v>0.4153645553532182</v>
      </c>
      <c r="M810" s="360">
        <v>0.86327978055191479</v>
      </c>
      <c r="N810" s="360">
        <v>1.189973182545083</v>
      </c>
      <c r="O810" s="360">
        <v>0.42236902449126074</v>
      </c>
      <c r="P810" s="360">
        <v>0.84227972195120382</v>
      </c>
      <c r="Q810" s="360">
        <v>1141.168387985495</v>
      </c>
      <c r="R810" s="360">
        <v>1638.2914166648595</v>
      </c>
      <c r="S810" s="360">
        <v>0.4064122123327788</v>
      </c>
      <c r="T810" s="360">
        <v>0.88481910736280356</v>
      </c>
      <c r="U810" s="360">
        <v>1.4635993168530517</v>
      </c>
      <c r="V810" s="360">
        <v>0.41941383557590772</v>
      </c>
      <c r="W810" s="360">
        <v>0.84227963179481335</v>
      </c>
      <c r="X810" s="360">
        <v>1448.0084247309101</v>
      </c>
      <c r="Y810" s="360">
        <v>0.39653736859027106</v>
      </c>
      <c r="Z810" s="360">
        <v>0.92155220790919568</v>
      </c>
      <c r="AA810" s="360">
        <v>292.79798382115689</v>
      </c>
      <c r="AB810" s="360">
        <v>0.39290690206774243</v>
      </c>
      <c r="AC810" s="360">
        <v>0.92695615291846301</v>
      </c>
      <c r="AD810" s="360">
        <v>1.0445606872777065</v>
      </c>
      <c r="AE810" s="360">
        <v>0.3941224103469726</v>
      </c>
      <c r="AF810" s="360">
        <v>0.92155230307954383</v>
      </c>
      <c r="AG810" s="360">
        <v>272.45100352953727</v>
      </c>
      <c r="AH810" s="360">
        <v>448.93805896663764</v>
      </c>
      <c r="AI810" s="360">
        <v>0.38871537884394181</v>
      </c>
      <c r="AJ810" s="360">
        <v>0.94075820414501576</v>
      </c>
      <c r="AK810" s="360">
        <v>1.1936871465894408</v>
      </c>
      <c r="AL810" s="360">
        <v>0.3926075766206864</v>
      </c>
      <c r="AM810" s="360">
        <v>0.92155230790104326</v>
      </c>
      <c r="AN810" s="360">
        <v>416.73207880000388</v>
      </c>
      <c r="AO810" s="360">
        <f t="shared" si="36"/>
        <v>1</v>
      </c>
      <c r="AP810" s="360">
        <f t="shared" si="37"/>
        <v>1</v>
      </c>
      <c r="AQ810" s="360">
        <f t="shared" si="38"/>
        <v>1</v>
      </c>
    </row>
    <row r="811" spans="1:43">
      <c r="A811" s="360" t="s">
        <v>1081</v>
      </c>
      <c r="B811" t="s">
        <v>1076</v>
      </c>
      <c r="C811">
        <v>2</v>
      </c>
      <c r="D811" t="s">
        <v>1078</v>
      </c>
      <c r="E811" t="s">
        <v>1079</v>
      </c>
      <c r="F811" s="360">
        <v>12</v>
      </c>
      <c r="G811" s="360" t="str">
        <f>CONCATENATE(A811," ",B811," ",C811," ","inf+"," ",FanUpsizes!D811," ",FanUpsizes!F811)</f>
        <v>7ACH 5C 2 inf+ New 12</v>
      </c>
      <c r="H811" s="360">
        <v>1.4421666666666666E-2</v>
      </c>
      <c r="I811" s="360">
        <v>0.43185363506646385</v>
      </c>
      <c r="J811" s="360">
        <v>0.84227963048973009</v>
      </c>
      <c r="K811" s="360">
        <v>1549.0343055467113</v>
      </c>
      <c r="L811" s="360">
        <v>0.41068637135203689</v>
      </c>
      <c r="M811" s="360">
        <v>0.87159080659731403</v>
      </c>
      <c r="N811" s="360">
        <v>1.28705077314975</v>
      </c>
      <c r="O811" s="360">
        <v>0.41993846065060747</v>
      </c>
      <c r="P811" s="360">
        <v>0.84227988053360903</v>
      </c>
      <c r="Q811" s="360">
        <v>1405.5938273992535</v>
      </c>
      <c r="R811" s="360">
        <v>1769.7798922699776</v>
      </c>
      <c r="S811" s="360">
        <v>0.40407312033218867</v>
      </c>
      <c r="T811" s="360">
        <v>0.88928206318357605</v>
      </c>
      <c r="U811" s="360">
        <v>1.5405343317418347</v>
      </c>
      <c r="V811" s="360">
        <v>0.41798974648069703</v>
      </c>
      <c r="W811" s="360">
        <v>0.84228010937748421</v>
      </c>
      <c r="X811" s="360">
        <v>1618.9931824155296</v>
      </c>
      <c r="Y811" s="360">
        <v>0.39653736859027106</v>
      </c>
      <c r="Z811" s="360">
        <v>0.92155220790919568</v>
      </c>
      <c r="AA811" s="360">
        <v>364.63207746413315</v>
      </c>
      <c r="AB811" s="360">
        <v>0.39168265864774127</v>
      </c>
      <c r="AC811" s="360">
        <v>0.92961210160221908</v>
      </c>
      <c r="AD811" s="360">
        <v>1.0691035469289345</v>
      </c>
      <c r="AE811" s="360">
        <v>0.39341415079520536</v>
      </c>
      <c r="AF811" s="360">
        <v>0.92155226674146229</v>
      </c>
      <c r="AG811" s="360">
        <v>342.46890273315489</v>
      </c>
      <c r="AH811" s="360">
        <v>468.36299978804118</v>
      </c>
      <c r="AI811" s="360">
        <v>0.38840457846530124</v>
      </c>
      <c r="AJ811" s="360">
        <v>0.94146035593524535</v>
      </c>
      <c r="AK811" s="360">
        <v>1.2036806993644451</v>
      </c>
      <c r="AL811" s="360">
        <v>0.39237269408947245</v>
      </c>
      <c r="AM811" s="360">
        <v>0.92155235870175822</v>
      </c>
      <c r="AN811" s="360">
        <v>442.44452946851982</v>
      </c>
      <c r="AO811" s="360">
        <f t="shared" si="36"/>
        <v>1</v>
      </c>
      <c r="AP811" s="360">
        <f t="shared" si="37"/>
        <v>1</v>
      </c>
      <c r="AQ811" s="360">
        <f t="shared" si="38"/>
        <v>1</v>
      </c>
    </row>
    <row r="812" spans="1:43">
      <c r="A812" s="360" t="s">
        <v>1081</v>
      </c>
      <c r="B812" t="s">
        <v>1075</v>
      </c>
      <c r="C812">
        <v>1</v>
      </c>
      <c r="D812" t="s">
        <v>1080</v>
      </c>
      <c r="E812" t="s">
        <v>1079</v>
      </c>
      <c r="F812" s="360">
        <v>12</v>
      </c>
      <c r="G812" s="360" t="str">
        <f>CONCATENATE(A812," ",B812," ",C812," ","inf+"," ",FanUpsizes!D812," ",FanUpsizes!F812)</f>
        <v>7ACH Percentile 1 inf+ Existing 12</v>
      </c>
      <c r="H812" s="360">
        <v>3.0141583009470729E-2</v>
      </c>
      <c r="I812" s="360">
        <v>0.39586516981018133</v>
      </c>
      <c r="J812" s="360">
        <v>1.1971329956960928</v>
      </c>
      <c r="K812" s="360">
        <v>2214.2765319054702</v>
      </c>
      <c r="L812" s="360">
        <v>0.36879291814737658</v>
      </c>
      <c r="M812" s="360">
        <v>1.2621743138015551</v>
      </c>
      <c r="N812" s="360">
        <v>1.1745426625369653</v>
      </c>
      <c r="O812" s="360">
        <v>0.38514348853569752</v>
      </c>
      <c r="P812" s="360">
        <v>1.1971382739116729</v>
      </c>
      <c r="Q812" s="360">
        <v>1852.878770220424</v>
      </c>
      <c r="R812" s="360">
        <v>3217.4214714122222</v>
      </c>
      <c r="S812" s="360">
        <v>0.3436740650356972</v>
      </c>
      <c r="T812" s="360">
        <v>1.3606343916617269</v>
      </c>
      <c r="U812" s="360">
        <v>1.5470657826645289</v>
      </c>
      <c r="V812" s="360">
        <v>0.38234013578797738</v>
      </c>
      <c r="W812" s="360">
        <v>1.1971337259797303</v>
      </c>
      <c r="X812" s="360">
        <v>2634.638215068137</v>
      </c>
      <c r="Y812" s="360">
        <v>0.36798460909483255</v>
      </c>
      <c r="Z812" s="360">
        <v>1.2571715934895327</v>
      </c>
      <c r="AA812" s="360">
        <v>1216.6066497149582</v>
      </c>
      <c r="AB812" s="360">
        <v>0.35312186489819469</v>
      </c>
      <c r="AC812" s="360">
        <v>1.2986656068216313</v>
      </c>
      <c r="AD812" s="360">
        <v>1.0818002962837707</v>
      </c>
      <c r="AE812" s="360">
        <v>0.362744614781152</v>
      </c>
      <c r="AF812" s="360">
        <v>1.2571724005163771</v>
      </c>
      <c r="AG812" s="360">
        <v>1010.5068559375413</v>
      </c>
      <c r="AH812" s="360">
        <v>2200.7444301595542</v>
      </c>
      <c r="AI812" s="360">
        <v>0.32635032587645613</v>
      </c>
      <c r="AJ812" s="360">
        <v>1.4288775603722783</v>
      </c>
      <c r="AK812" s="360">
        <v>1.4776777915352892</v>
      </c>
      <c r="AL812" s="360">
        <v>0.36381870730467408</v>
      </c>
      <c r="AM812" s="360">
        <v>1.2571717108553209</v>
      </c>
      <c r="AN812" s="360">
        <v>1753.9249329040683</v>
      </c>
      <c r="AO812" s="360">
        <f t="shared" si="36"/>
        <v>1</v>
      </c>
      <c r="AP812" s="360">
        <f t="shared" si="37"/>
        <v>1</v>
      </c>
      <c r="AQ812" s="360">
        <f t="shared" si="38"/>
        <v>1</v>
      </c>
    </row>
    <row r="813" spans="1:43">
      <c r="A813" s="360" t="s">
        <v>1081</v>
      </c>
      <c r="B813" t="s">
        <v>1074</v>
      </c>
      <c r="C813">
        <v>1</v>
      </c>
      <c r="D813" t="s">
        <v>1080</v>
      </c>
      <c r="E813" t="s">
        <v>1079</v>
      </c>
      <c r="F813" s="360">
        <v>12</v>
      </c>
      <c r="G813" s="360" t="str">
        <f>CONCATENATE(A813," ",B813," ",C813," ","inf+"," ",FanUpsizes!D813," ",FanUpsizes!F813)</f>
        <v>7ACH Infiltration 1 inf+ Existing 12</v>
      </c>
      <c r="H813" s="360">
        <v>3.0141583009470729E-2</v>
      </c>
      <c r="I813" s="360">
        <v>0.39586516981018133</v>
      </c>
      <c r="J813" s="360">
        <v>1.1971329956960928</v>
      </c>
      <c r="K813" s="360">
        <v>22.846183294492718</v>
      </c>
      <c r="L813" s="360">
        <v>0.39567469899641866</v>
      </c>
      <c r="M813" s="360">
        <v>1.1974341909404409</v>
      </c>
      <c r="N813" s="360">
        <v>1.0006852122269105</v>
      </c>
      <c r="O813" s="360">
        <v>0.39575597374865717</v>
      </c>
      <c r="P813" s="360">
        <v>1.1971339303633894</v>
      </c>
      <c r="Q813" s="360">
        <v>19.927559534052467</v>
      </c>
      <c r="R813" s="360">
        <v>1629.8605907701324</v>
      </c>
      <c r="S813" s="360">
        <v>0.37365627292545439</v>
      </c>
      <c r="T813" s="360">
        <v>1.249287765163358</v>
      </c>
      <c r="U813" s="360">
        <v>1.1323193563929379</v>
      </c>
      <c r="V813" s="360">
        <v>0.38662711921921622</v>
      </c>
      <c r="W813" s="360">
        <v>1.1971337633783057</v>
      </c>
      <c r="X813" s="360">
        <v>1278.6629230154913</v>
      </c>
      <c r="Y813" s="360">
        <v>0.36798460909483255</v>
      </c>
      <c r="Z813" s="360">
        <v>1.2571715934895327</v>
      </c>
      <c r="AA813" s="360">
        <v>10.492139349995192</v>
      </c>
      <c r="AB813" s="360">
        <v>0.36789797903677951</v>
      </c>
      <c r="AC813" s="360">
        <v>1.2573300454416718</v>
      </c>
      <c r="AD813" s="360">
        <v>1.0002700184718207</v>
      </c>
      <c r="AE813" s="360">
        <v>0.36793655805508174</v>
      </c>
      <c r="AF813" s="360">
        <v>1.2571720277444658</v>
      </c>
      <c r="AG813" s="360">
        <v>9.2298781036374091</v>
      </c>
      <c r="AH813" s="360">
        <v>1354.639916335487</v>
      </c>
      <c r="AI813" s="360">
        <v>0.34921429577626106</v>
      </c>
      <c r="AJ813" s="360">
        <v>1.3135698617001177</v>
      </c>
      <c r="AK813" s="360">
        <v>1.114484193259103</v>
      </c>
      <c r="AL813" s="360">
        <v>0.36207736714185984</v>
      </c>
      <c r="AM813" s="360">
        <v>1.2571784211999786</v>
      </c>
      <c r="AN813" s="360">
        <v>1083.9638624347022</v>
      </c>
      <c r="AO813" s="360">
        <f t="shared" si="36"/>
        <v>1</v>
      </c>
      <c r="AP813" s="360">
        <f t="shared" si="37"/>
        <v>1</v>
      </c>
      <c r="AQ813" s="360">
        <f t="shared" si="38"/>
        <v>1</v>
      </c>
    </row>
    <row r="814" spans="1:43">
      <c r="A814" s="360" t="s">
        <v>1081</v>
      </c>
      <c r="B814" t="s">
        <v>1076</v>
      </c>
      <c r="C814">
        <v>1</v>
      </c>
      <c r="D814" t="s">
        <v>1080</v>
      </c>
      <c r="E814" t="s">
        <v>1079</v>
      </c>
      <c r="F814" s="360">
        <v>12</v>
      </c>
      <c r="G814" s="360" t="str">
        <f>CONCATENATE(A814," ",B814," ",C814," ","inf+"," ",FanUpsizes!D814," ",FanUpsizes!F814)</f>
        <v>7ACH 5C 1 inf+ Existing 12</v>
      </c>
      <c r="H814" s="360">
        <v>3.0141583009470729E-2</v>
      </c>
      <c r="I814" s="360">
        <v>0.39586516981018133</v>
      </c>
      <c r="J814" s="360">
        <v>1.1971329956960928</v>
      </c>
      <c r="K814" s="360">
        <v>3237.5138868706536</v>
      </c>
      <c r="L814" s="360">
        <v>0.35162514880023443</v>
      </c>
      <c r="M814" s="360">
        <v>1.3167206404749936</v>
      </c>
      <c r="N814" s="360">
        <v>1.3740878931895475</v>
      </c>
      <c r="O814" s="360">
        <v>0.3811815899865838</v>
      </c>
      <c r="P814" s="360">
        <v>1.1971340507664814</v>
      </c>
      <c r="Q814" s="360">
        <v>2843.1686053343706</v>
      </c>
      <c r="R814" s="360">
        <v>3237.5138868706536</v>
      </c>
      <c r="S814" s="360">
        <v>0.35162514880023443</v>
      </c>
      <c r="T814" s="360">
        <v>1.3167206404749936</v>
      </c>
      <c r="U814" s="360">
        <v>1.3740878931895475</v>
      </c>
      <c r="V814" s="360">
        <v>0.3811815899865838</v>
      </c>
      <c r="W814" s="360">
        <v>1.1971340507664814</v>
      </c>
      <c r="X814" s="360">
        <v>2843.1686053343706</v>
      </c>
      <c r="Y814" s="360">
        <v>0.36798460909483255</v>
      </c>
      <c r="Z814" s="360">
        <v>1.2571715934895327</v>
      </c>
      <c r="AA814" s="360">
        <v>1860.986211234173</v>
      </c>
      <c r="AB814" s="360">
        <v>0.34234699143578134</v>
      </c>
      <c r="AC814" s="360">
        <v>1.3384373463196433</v>
      </c>
      <c r="AD814" s="360">
        <v>1.1868523419130821</v>
      </c>
      <c r="AE814" s="360">
        <v>0.36095776602488255</v>
      </c>
      <c r="AF814" s="360">
        <v>1.2571716298770501</v>
      </c>
      <c r="AG814" s="360">
        <v>1604.3855632213656</v>
      </c>
      <c r="AH814" s="360">
        <v>1860.986211234173</v>
      </c>
      <c r="AI814" s="360">
        <v>0.34234699143578134</v>
      </c>
      <c r="AJ814" s="360">
        <v>1.3384373463196433</v>
      </c>
      <c r="AK814" s="360">
        <v>1.1868523419130821</v>
      </c>
      <c r="AL814" s="360">
        <v>0.36095776602488255</v>
      </c>
      <c r="AM814" s="360">
        <v>1.2571716298770501</v>
      </c>
      <c r="AN814" s="360">
        <v>1604.3855632213656</v>
      </c>
      <c r="AO814" s="360">
        <f t="shared" si="36"/>
        <v>1</v>
      </c>
      <c r="AP814" s="360">
        <f t="shared" si="37"/>
        <v>1</v>
      </c>
      <c r="AQ814" s="360">
        <f t="shared" si="38"/>
        <v>1</v>
      </c>
    </row>
    <row r="815" spans="1:43">
      <c r="A815" s="360" t="s">
        <v>1081</v>
      </c>
      <c r="B815" t="s">
        <v>1075</v>
      </c>
      <c r="C815">
        <v>2</v>
      </c>
      <c r="D815" t="s">
        <v>1080</v>
      </c>
      <c r="E815" t="s">
        <v>1079</v>
      </c>
      <c r="F815" s="360">
        <v>12</v>
      </c>
      <c r="G815" s="360" t="str">
        <f>CONCATENATE(A815," ",B815," ",C815," ","inf+"," ",FanUpsizes!D815," ",FanUpsizes!F815)</f>
        <v>7ACH Percentile 2 inf+ Existing 12</v>
      </c>
      <c r="H815" s="360">
        <v>2.0756543914565689E-2</v>
      </c>
      <c r="I815" s="360">
        <v>0.45534227132037058</v>
      </c>
      <c r="J815" s="360">
        <v>1.0833713921795942</v>
      </c>
      <c r="K815" s="360">
        <v>1524.8279448046362</v>
      </c>
      <c r="L815" s="360">
        <v>0.43669937587826257</v>
      </c>
      <c r="M815" s="360">
        <v>1.1131519344279983</v>
      </c>
      <c r="N815" s="360">
        <v>1.1490842492441142</v>
      </c>
      <c r="O815" s="360">
        <v>0.44545743238434282</v>
      </c>
      <c r="P815" s="360">
        <v>1.0833729530221612</v>
      </c>
      <c r="Q815" s="360">
        <v>1312.5555726928023</v>
      </c>
      <c r="R815" s="360">
        <v>2215.6099160591357</v>
      </c>
      <c r="S815" s="360">
        <v>0.41940747825313274</v>
      </c>
      <c r="T815" s="360">
        <v>1.1648911848771428</v>
      </c>
      <c r="U815" s="360">
        <v>1.5165439630381037</v>
      </c>
      <c r="V815" s="360">
        <v>0.44108460292898455</v>
      </c>
      <c r="W815" s="360">
        <v>1.0833715265964095</v>
      </c>
      <c r="X815" s="360">
        <v>1836.9523343850969</v>
      </c>
      <c r="Y815" s="360">
        <v>0.41399042291790694</v>
      </c>
      <c r="Z815" s="360">
        <v>1.1847752903701276</v>
      </c>
      <c r="AA815" s="360">
        <v>474.89732730458417</v>
      </c>
      <c r="AB815" s="360">
        <v>0.40828896560164296</v>
      </c>
      <c r="AC815" s="360">
        <v>1.1954887177373641</v>
      </c>
      <c r="AD815" s="360">
        <v>1.041565698448758</v>
      </c>
      <c r="AE815" s="360">
        <v>0.41055874144826854</v>
      </c>
      <c r="AF815" s="360">
        <v>1.1847777497918963</v>
      </c>
      <c r="AG815" s="360">
        <v>429.41848781129852</v>
      </c>
      <c r="AH815" s="360">
        <v>881.55093776423041</v>
      </c>
      <c r="AI815" s="360">
        <v>0.39707593140258657</v>
      </c>
      <c r="AJ815" s="360">
        <v>1.2421598087487904</v>
      </c>
      <c r="AK815" s="360">
        <v>1.3042534640123331</v>
      </c>
      <c r="AL815" s="360">
        <v>0.4081204110254803</v>
      </c>
      <c r="AM815" s="360">
        <v>1.1847767347106934</v>
      </c>
      <c r="AN815" s="360">
        <v>770.30442259713152</v>
      </c>
      <c r="AO815" s="360">
        <f t="shared" si="36"/>
        <v>1</v>
      </c>
      <c r="AP815" s="360">
        <f t="shared" si="37"/>
        <v>1</v>
      </c>
      <c r="AQ815" s="360">
        <f t="shared" si="38"/>
        <v>1</v>
      </c>
    </row>
    <row r="816" spans="1:43">
      <c r="A816" s="360" t="s">
        <v>1081</v>
      </c>
      <c r="B816" t="s">
        <v>1074</v>
      </c>
      <c r="C816">
        <v>2</v>
      </c>
      <c r="D816" t="s">
        <v>1080</v>
      </c>
      <c r="E816" t="s">
        <v>1079</v>
      </c>
      <c r="F816" s="360">
        <v>12</v>
      </c>
      <c r="G816" s="360" t="str">
        <f>CONCATENATE(A816," ",B816," ",C816," ","inf+"," ",FanUpsizes!D816," ",FanUpsizes!F816)</f>
        <v>7ACH Infiltration 2 inf+ Existing 12</v>
      </c>
      <c r="H816" s="360">
        <v>2.0756543914565689E-2</v>
      </c>
      <c r="I816" s="360">
        <v>0.45534227132037058</v>
      </c>
      <c r="J816" s="360">
        <v>1.0833713921795942</v>
      </c>
      <c r="K816" s="360">
        <v>485.38070853749178</v>
      </c>
      <c r="L816" s="360">
        <v>0.45041047346420388</v>
      </c>
      <c r="M816" s="360">
        <v>1.0897305328318749</v>
      </c>
      <c r="N816" s="360">
        <v>1.0282475748509528</v>
      </c>
      <c r="O816" s="360">
        <v>0.45245614266515721</v>
      </c>
      <c r="P816" s="360">
        <v>1.083371401690715</v>
      </c>
      <c r="Q816" s="360">
        <v>415.79876969862681</v>
      </c>
      <c r="R816" s="360">
        <v>1580.9088897139159</v>
      </c>
      <c r="S816" s="360">
        <v>0.43232284249703384</v>
      </c>
      <c r="T816" s="360">
        <v>1.1270985713298518</v>
      </c>
      <c r="U816" s="360">
        <v>1.2301021023088285</v>
      </c>
      <c r="V816" s="360">
        <v>0.44484746216181736</v>
      </c>
      <c r="W816" s="360">
        <v>1.0833714177176996</v>
      </c>
      <c r="X816" s="360">
        <v>1266.1842626213402</v>
      </c>
      <c r="Y816" s="360">
        <v>0.41399042291790694</v>
      </c>
      <c r="Z816" s="360">
        <v>1.1847752903701276</v>
      </c>
      <c r="AA816" s="360">
        <v>137.10532222492341</v>
      </c>
      <c r="AB816" s="360">
        <v>0.41263271139143221</v>
      </c>
      <c r="AC816" s="360">
        <v>1.1867766232179764</v>
      </c>
      <c r="AD816" s="360">
        <v>1.0073104406080522</v>
      </c>
      <c r="AE816" s="360">
        <v>0.41308927206917995</v>
      </c>
      <c r="AF816" s="360">
        <v>1.1847753468067082</v>
      </c>
      <c r="AG816" s="360">
        <v>124.48724798617921</v>
      </c>
      <c r="AH816" s="360">
        <v>710.63231661794873</v>
      </c>
      <c r="AI816" s="360">
        <v>0.40293803166906295</v>
      </c>
      <c r="AJ816" s="360">
        <v>1.2135277257142041</v>
      </c>
      <c r="AK816" s="360">
        <v>1.1257291229635864</v>
      </c>
      <c r="AL816" s="360">
        <v>0.40867770176164986</v>
      </c>
      <c r="AM816" s="360">
        <v>1.1847757515387354</v>
      </c>
      <c r="AN816" s="360">
        <v>626.02624347753112</v>
      </c>
      <c r="AO816" s="360">
        <f t="shared" si="36"/>
        <v>1</v>
      </c>
      <c r="AP816" s="360">
        <f t="shared" si="37"/>
        <v>1</v>
      </c>
      <c r="AQ816" s="360">
        <f t="shared" si="38"/>
        <v>1</v>
      </c>
    </row>
    <row r="817" spans="1:43">
      <c r="A817" s="360" t="s">
        <v>1081</v>
      </c>
      <c r="B817" t="s">
        <v>1076</v>
      </c>
      <c r="C817">
        <v>2</v>
      </c>
      <c r="D817" t="s">
        <v>1080</v>
      </c>
      <c r="E817" t="s">
        <v>1079</v>
      </c>
      <c r="F817" s="360">
        <v>12</v>
      </c>
      <c r="G817" s="360" t="str">
        <f>CONCATENATE(A817," ",B817," ",C817," ","inf+"," ",FanUpsizes!D817," ",FanUpsizes!F817)</f>
        <v>7ACH 5C 2 inf+ Existing 12</v>
      </c>
      <c r="H817" s="360">
        <v>2.0756543914565689E-2</v>
      </c>
      <c r="I817" s="360">
        <v>0.45534227132037058</v>
      </c>
      <c r="J817" s="360">
        <v>1.0833713921795942</v>
      </c>
      <c r="K817" s="360">
        <v>2229.4648275684708</v>
      </c>
      <c r="L817" s="360">
        <v>0.42487705193936365</v>
      </c>
      <c r="M817" s="360">
        <v>1.1384683272206584</v>
      </c>
      <c r="N817" s="360">
        <v>1.3177153523577352</v>
      </c>
      <c r="O817" s="360">
        <v>0.43983599518681982</v>
      </c>
      <c r="P817" s="360">
        <v>1.0833747486132512</v>
      </c>
      <c r="Q817" s="360">
        <v>2000.9624130323821</v>
      </c>
      <c r="R817" s="360">
        <v>2452.9509492293992</v>
      </c>
      <c r="S817" s="360">
        <v>0.41955613173461548</v>
      </c>
      <c r="T817" s="360">
        <v>1.1536221483973039</v>
      </c>
      <c r="U817" s="360">
        <v>1.4378486736453124</v>
      </c>
      <c r="V817" s="360">
        <v>0.43793250595016753</v>
      </c>
      <c r="W817" s="360">
        <v>1.0833733248965636</v>
      </c>
      <c r="X817" s="360">
        <v>2235.901172273012</v>
      </c>
      <c r="Y817" s="360">
        <v>0.41399042291790694</v>
      </c>
      <c r="Z817" s="360">
        <v>1.1847752903701276</v>
      </c>
      <c r="AA817" s="360">
        <v>730.92444148765389</v>
      </c>
      <c r="AB817" s="360">
        <v>0.40409076149174655</v>
      </c>
      <c r="AC817" s="360">
        <v>1.2064557725144034</v>
      </c>
      <c r="AD817" s="360">
        <v>1.0912069799599626</v>
      </c>
      <c r="AE817" s="360">
        <v>0.40838620357789063</v>
      </c>
      <c r="AF817" s="360">
        <v>1.1847755644879305</v>
      </c>
      <c r="AG817" s="360">
        <v>674.97170743727497</v>
      </c>
      <c r="AH817" s="360">
        <v>869.08436557436767</v>
      </c>
      <c r="AI817" s="360">
        <v>0.40074988972278375</v>
      </c>
      <c r="AJ817" s="360">
        <v>1.2188774331749797</v>
      </c>
      <c r="AK817" s="360">
        <v>1.1569609368776472</v>
      </c>
      <c r="AL817" s="360">
        <v>0.4072515237781914</v>
      </c>
      <c r="AM817" s="360">
        <v>1.1847756204826456</v>
      </c>
      <c r="AN817" s="360">
        <v>812.92539822230924</v>
      </c>
      <c r="AO817" s="360">
        <f t="shared" si="36"/>
        <v>1</v>
      </c>
      <c r="AP817" s="360">
        <f t="shared" si="37"/>
        <v>1</v>
      </c>
      <c r="AQ817" s="360">
        <f t="shared" si="38"/>
        <v>1</v>
      </c>
    </row>
    <row r="818" spans="1:43">
      <c r="A818" s="360" t="s">
        <v>1082</v>
      </c>
      <c r="B818" t="s">
        <v>1075</v>
      </c>
      <c r="C818">
        <v>1</v>
      </c>
      <c r="D818" t="s">
        <v>1078</v>
      </c>
      <c r="E818" t="s">
        <v>1079</v>
      </c>
      <c r="F818" s="360">
        <v>12</v>
      </c>
      <c r="G818" s="360" t="str">
        <f>CONCATENATE(A818," ",B818," ",C818," ","inf+"," ",FanUpsizes!D818," ",FanUpsizes!F818)</f>
        <v>5ACH Percentile 1 inf+ New 12</v>
      </c>
      <c r="H818" s="360">
        <v>2.2283987863907662E-2</v>
      </c>
      <c r="I818" s="360">
        <v>0.28574160371692536</v>
      </c>
      <c r="J818" s="360">
        <v>1.1988496268571305</v>
      </c>
      <c r="K818" s="360">
        <v>1637.0378207678866</v>
      </c>
      <c r="L818" s="360">
        <v>0.26572680464970388</v>
      </c>
      <c r="M818" s="360">
        <v>1.2661052804333146</v>
      </c>
      <c r="N818" s="360">
        <v>1.1773724816701834</v>
      </c>
      <c r="O818" s="360">
        <v>0.27813666381860336</v>
      </c>
      <c r="P818" s="360">
        <v>1.198850015101512</v>
      </c>
      <c r="Q818" s="360">
        <v>1365.3390629587338</v>
      </c>
      <c r="R818" s="360">
        <v>2378.7079619806332</v>
      </c>
      <c r="S818" s="360">
        <v>0.24714743744394782</v>
      </c>
      <c r="T818" s="360">
        <v>1.3664896504180779</v>
      </c>
      <c r="U818" s="360">
        <v>1.5516036981605146</v>
      </c>
      <c r="V818" s="360">
        <v>0.2762757547318328</v>
      </c>
      <c r="W818" s="360">
        <v>1.1988522356899955</v>
      </c>
      <c r="X818" s="360">
        <v>1944.0979730900901</v>
      </c>
      <c r="Y818" s="360">
        <v>0.26645725445915447</v>
      </c>
      <c r="Z818" s="360">
        <v>1.2561220544524305</v>
      </c>
      <c r="AA818" s="360">
        <v>925.53868414610463</v>
      </c>
      <c r="AB818" s="360">
        <v>0.25514397482244311</v>
      </c>
      <c r="AC818" s="360">
        <v>1.3001529746765854</v>
      </c>
      <c r="AD818" s="360">
        <v>1.0854877938452179</v>
      </c>
      <c r="AE818" s="360">
        <v>0.26269870111188931</v>
      </c>
      <c r="AF818" s="360">
        <v>1.2561241107921683</v>
      </c>
      <c r="AG818" s="360">
        <v>763.06498213623865</v>
      </c>
      <c r="AH818" s="360">
        <v>1670.4529043745158</v>
      </c>
      <c r="AI818" s="360">
        <v>0.23490776602554317</v>
      </c>
      <c r="AJ818" s="360">
        <v>1.4338873279445423</v>
      </c>
      <c r="AK818" s="360">
        <v>1.4853117442354036</v>
      </c>
      <c r="AL818" s="360">
        <v>0.26349845894010898</v>
      </c>
      <c r="AM818" s="360">
        <v>1.2561224172763028</v>
      </c>
      <c r="AN818" s="360">
        <v>1325.8134499347918</v>
      </c>
      <c r="AO818" s="360">
        <f t="shared" si="36"/>
        <v>1</v>
      </c>
      <c r="AP818" s="360">
        <f t="shared" si="37"/>
        <v>1</v>
      </c>
      <c r="AQ818" s="360">
        <f t="shared" si="38"/>
        <v>1</v>
      </c>
    </row>
    <row r="819" spans="1:43">
      <c r="A819" s="360" t="s">
        <v>1082</v>
      </c>
      <c r="B819" t="s">
        <v>1074</v>
      </c>
      <c r="C819">
        <v>1</v>
      </c>
      <c r="D819" t="s">
        <v>1078</v>
      </c>
      <c r="E819" t="s">
        <v>1079</v>
      </c>
      <c r="F819" s="360">
        <v>12</v>
      </c>
      <c r="G819" s="360" t="str">
        <f>CONCATENATE(A819," ",B819," ",C819," ","inf+"," ",FanUpsizes!D819," ",FanUpsizes!F819)</f>
        <v>5ACH Infiltration 1 inf+ New 12</v>
      </c>
      <c r="H819" s="360">
        <v>2.2283987863907662E-2</v>
      </c>
      <c r="I819" s="360">
        <v>0.28574160371692536</v>
      </c>
      <c r="J819" s="360">
        <v>1.1988496268571305</v>
      </c>
      <c r="K819" s="360">
        <v>9.184079172561729</v>
      </c>
      <c r="L819" s="360">
        <v>0.28566650128140109</v>
      </c>
      <c r="M819" s="360">
        <v>1.1990122570898829</v>
      </c>
      <c r="N819" s="360">
        <v>1.0003639175987793</v>
      </c>
      <c r="O819" s="360">
        <v>0.28569863581987331</v>
      </c>
      <c r="P819" s="360">
        <v>1.1988499034928743</v>
      </c>
      <c r="Q819" s="360">
        <v>8.0349384946766857</v>
      </c>
      <c r="R819" s="360">
        <v>1166.0228980884631</v>
      </c>
      <c r="S819" s="360">
        <v>0.27002641908346831</v>
      </c>
      <c r="T819" s="360">
        <v>1.2495383159298119</v>
      </c>
      <c r="U819" s="360">
        <v>1.1255191457105425</v>
      </c>
      <c r="V819" s="360">
        <v>0.27928743042966081</v>
      </c>
      <c r="W819" s="360">
        <v>1.1988507876718262</v>
      </c>
      <c r="X819" s="360">
        <v>914.74091960235887</v>
      </c>
      <c r="Y819" s="360">
        <v>0.26645725445915447</v>
      </c>
      <c r="Z819" s="360">
        <v>1.2561220544524305</v>
      </c>
      <c r="AA819" s="360">
        <v>4.2612359514442755</v>
      </c>
      <c r="AB819" s="360">
        <v>0.26642274348800832</v>
      </c>
      <c r="AC819" s="360">
        <v>1.2562088106426073</v>
      </c>
      <c r="AD819" s="360">
        <v>1.0001417149827703</v>
      </c>
      <c r="AE819" s="360">
        <v>0.2664379847075356</v>
      </c>
      <c r="AF819" s="360">
        <v>1.2561242046802368</v>
      </c>
      <c r="AG819" s="360">
        <v>3.7595753996886576</v>
      </c>
      <c r="AH819" s="360">
        <v>991.97930165772152</v>
      </c>
      <c r="AI819" s="360">
        <v>0.25289755325178304</v>
      </c>
      <c r="AJ819" s="360">
        <v>1.3116641659001964</v>
      </c>
      <c r="AK819" s="360">
        <v>1.1097092203973891</v>
      </c>
      <c r="AL819" s="360">
        <v>0.26228011700115333</v>
      </c>
      <c r="AM819" s="360">
        <v>1.2561221939486316</v>
      </c>
      <c r="AN819" s="360">
        <v>789.13068201727572</v>
      </c>
      <c r="AO819" s="360">
        <f t="shared" si="36"/>
        <v>1</v>
      </c>
      <c r="AP819" s="360">
        <f t="shared" si="37"/>
        <v>1</v>
      </c>
      <c r="AQ819" s="360">
        <f t="shared" si="38"/>
        <v>1</v>
      </c>
    </row>
    <row r="820" spans="1:43">
      <c r="A820" s="360" t="s">
        <v>1082</v>
      </c>
      <c r="B820" t="s">
        <v>1076</v>
      </c>
      <c r="C820">
        <v>1</v>
      </c>
      <c r="D820" t="s">
        <v>1078</v>
      </c>
      <c r="E820" t="s">
        <v>1079</v>
      </c>
      <c r="F820" s="360">
        <v>12</v>
      </c>
      <c r="G820" s="360" t="str">
        <f>CONCATENATE(A820," ",B820," ",C820," ","inf+"," ",FanUpsizes!D820," ",FanUpsizes!F820)</f>
        <v>5ACH 5C 1 inf+ New 12</v>
      </c>
      <c r="H820" s="360">
        <v>2.2283987863907662E-2</v>
      </c>
      <c r="I820" s="360">
        <v>0.28574160371692536</v>
      </c>
      <c r="J820" s="360">
        <v>1.1988496268571305</v>
      </c>
      <c r="K820" s="360">
        <v>2393.5279093202203</v>
      </c>
      <c r="L820" s="360">
        <v>0.25303449304609965</v>
      </c>
      <c r="M820" s="360">
        <v>1.322250813219191</v>
      </c>
      <c r="N820" s="360">
        <v>1.3790584150162803</v>
      </c>
      <c r="O820" s="360">
        <v>0.27550076146648811</v>
      </c>
      <c r="P820" s="360">
        <v>1.1988500569016685</v>
      </c>
      <c r="Q820" s="360">
        <v>2097.0340374066418</v>
      </c>
      <c r="R820" s="360">
        <v>2393.5279093202203</v>
      </c>
      <c r="S820" s="360">
        <v>0.25303449304609965</v>
      </c>
      <c r="T820" s="360">
        <v>1.322250813219191</v>
      </c>
      <c r="U820" s="360">
        <v>1.3790584150162803</v>
      </c>
      <c r="V820" s="360">
        <v>0.27550076146648811</v>
      </c>
      <c r="W820" s="360">
        <v>1.1988500569016685</v>
      </c>
      <c r="X820" s="360">
        <v>2097.0340374066418</v>
      </c>
      <c r="Y820" s="360">
        <v>0.26645725445915447</v>
      </c>
      <c r="Z820" s="360">
        <v>1.2561220544524305</v>
      </c>
      <c r="AA820" s="360">
        <v>1414.8849013142794</v>
      </c>
      <c r="AB820" s="360">
        <v>0.24695602441271994</v>
      </c>
      <c r="AC820" s="360">
        <v>1.341899122754237</v>
      </c>
      <c r="AD820" s="360">
        <v>1.1948729829795806</v>
      </c>
      <c r="AE820" s="360">
        <v>0.26151744158961943</v>
      </c>
      <c r="AF820" s="360">
        <v>1.2561221177717652</v>
      </c>
      <c r="AG820" s="360">
        <v>1213.4103716059467</v>
      </c>
      <c r="AH820" s="360">
        <v>1414.8849013142794</v>
      </c>
      <c r="AI820" s="360">
        <v>0.24695602441271994</v>
      </c>
      <c r="AJ820" s="360">
        <v>1.341899122754237</v>
      </c>
      <c r="AK820" s="360">
        <v>1.1948729829795806</v>
      </c>
      <c r="AL820" s="360">
        <v>0.26151744158961943</v>
      </c>
      <c r="AM820" s="360">
        <v>1.2561221177717652</v>
      </c>
      <c r="AN820" s="360">
        <v>1213.4103716059467</v>
      </c>
      <c r="AO820" s="360">
        <f t="shared" si="36"/>
        <v>1</v>
      </c>
      <c r="AP820" s="360">
        <f t="shared" si="37"/>
        <v>1</v>
      </c>
      <c r="AQ820" s="360">
        <f t="shared" si="38"/>
        <v>1</v>
      </c>
    </row>
    <row r="821" spans="1:43">
      <c r="A821" s="360" t="s">
        <v>1082</v>
      </c>
      <c r="B821" t="s">
        <v>1075</v>
      </c>
      <c r="C821">
        <v>2</v>
      </c>
      <c r="D821" t="s">
        <v>1078</v>
      </c>
      <c r="E821" t="s">
        <v>1079</v>
      </c>
      <c r="F821" s="360">
        <v>12</v>
      </c>
      <c r="G821" s="360" t="str">
        <f>CONCATENATE(A821," ",B821," ",C821," ","inf+"," ",FanUpsizes!D821," ",FanUpsizes!F821)</f>
        <v>5ACH Percentile 2 inf+ New 12</v>
      </c>
      <c r="H821" s="360">
        <v>1.5580388510404056E-2</v>
      </c>
      <c r="I821" s="360">
        <v>0.3280559761802162</v>
      </c>
      <c r="J821" s="360">
        <v>1.0840876008121345</v>
      </c>
      <c r="K821" s="360">
        <v>1144.574544267261</v>
      </c>
      <c r="L821" s="360">
        <v>0.31406214584206199</v>
      </c>
      <c r="M821" s="360">
        <v>1.1154582290788833</v>
      </c>
      <c r="N821" s="360">
        <v>1.1541768392923961</v>
      </c>
      <c r="O821" s="360">
        <v>0.32086921169451582</v>
      </c>
      <c r="P821" s="360">
        <v>1.0840886487778307</v>
      </c>
      <c r="Q821" s="360">
        <v>979.79469966299985</v>
      </c>
      <c r="R821" s="360">
        <v>1663.0930188469167</v>
      </c>
      <c r="S821" s="360">
        <v>0.30108240874370246</v>
      </c>
      <c r="T821" s="360">
        <v>1.1688753697539167</v>
      </c>
      <c r="U821" s="360">
        <v>1.5251282711962595</v>
      </c>
      <c r="V821" s="360">
        <v>0.31772060345645614</v>
      </c>
      <c r="W821" s="360">
        <v>1.0840879881866883</v>
      </c>
      <c r="X821" s="360">
        <v>1374.1394871413925</v>
      </c>
      <c r="Y821" s="360">
        <v>0.29811125139385664</v>
      </c>
      <c r="Z821" s="360">
        <v>1.1850163640980009</v>
      </c>
      <c r="AA821" s="360">
        <v>372.95299109492424</v>
      </c>
      <c r="AB821" s="360">
        <v>0.29362558222699503</v>
      </c>
      <c r="AC821" s="360">
        <v>1.1968509846600153</v>
      </c>
      <c r="AD821" s="360">
        <v>1.0443605456632772</v>
      </c>
      <c r="AE821" s="360">
        <v>0.2955083414079821</v>
      </c>
      <c r="AF821" s="360">
        <v>1.1850163825810078</v>
      </c>
      <c r="AG821" s="360">
        <v>335.05628986038681</v>
      </c>
      <c r="AH821" s="360">
        <v>691.23515678013757</v>
      </c>
      <c r="AI821" s="360">
        <v>0.28484924853826038</v>
      </c>
      <c r="AJ821" s="360">
        <v>1.2464055550043365</v>
      </c>
      <c r="AK821" s="360">
        <v>1.3151859480790906</v>
      </c>
      <c r="AL821" s="360">
        <v>0.29373765698956478</v>
      </c>
      <c r="AM821" s="360">
        <v>1.185016489551455</v>
      </c>
      <c r="AN821" s="360">
        <v>600.81574738370773</v>
      </c>
      <c r="AO821" s="360">
        <f t="shared" si="36"/>
        <v>1</v>
      </c>
      <c r="AP821" s="360">
        <f t="shared" si="37"/>
        <v>1</v>
      </c>
      <c r="AQ821" s="360">
        <f t="shared" si="38"/>
        <v>1</v>
      </c>
    </row>
    <row r="822" spans="1:43">
      <c r="A822" s="360" t="s">
        <v>1082</v>
      </c>
      <c r="B822" t="s">
        <v>1074</v>
      </c>
      <c r="C822">
        <v>2</v>
      </c>
      <c r="D822" t="s">
        <v>1078</v>
      </c>
      <c r="E822" t="s">
        <v>1079</v>
      </c>
      <c r="F822" s="360">
        <v>12</v>
      </c>
      <c r="G822" s="360" t="str">
        <f>CONCATENATE(A822," ",B822," ",C822," ","inf+"," ",FanUpsizes!D822," ",FanUpsizes!F822)</f>
        <v>5ACH Infiltration 2 inf+ New 12</v>
      </c>
      <c r="H822" s="360">
        <v>1.5580388510404056E-2</v>
      </c>
      <c r="I822" s="360">
        <v>0.3280559761802162</v>
      </c>
      <c r="J822" s="360">
        <v>1.0840876008121345</v>
      </c>
      <c r="K822" s="360">
        <v>332.79169024571075</v>
      </c>
      <c r="L822" s="360">
        <v>0.32470848393234675</v>
      </c>
      <c r="M822" s="360">
        <v>1.0901219394327166</v>
      </c>
      <c r="N822" s="360">
        <v>1.0261745118473034</v>
      </c>
      <c r="O822" s="360">
        <v>0.3261413118846529</v>
      </c>
      <c r="P822" s="360">
        <v>1.0840879811955124</v>
      </c>
      <c r="Q822" s="360">
        <v>283.56909245700223</v>
      </c>
      <c r="R822" s="360">
        <v>1154.7963449130727</v>
      </c>
      <c r="S822" s="360">
        <v>0.31144650729151968</v>
      </c>
      <c r="T822" s="360">
        <v>1.1274058465339187</v>
      </c>
      <c r="U822" s="360">
        <v>1.2211209062328772</v>
      </c>
      <c r="V822" s="360">
        <v>0.32064050701157082</v>
      </c>
      <c r="W822" s="360">
        <v>1.0840884471726611</v>
      </c>
      <c r="X822" s="360">
        <v>920.7288290453846</v>
      </c>
      <c r="Y822" s="360">
        <v>0.29811125139385664</v>
      </c>
      <c r="Z822" s="360">
        <v>1.1850163640980009</v>
      </c>
      <c r="AA822" s="360">
        <v>98.110237732217584</v>
      </c>
      <c r="AB822" s="360">
        <v>0.29714787315251312</v>
      </c>
      <c r="AC822" s="360">
        <v>1.1870038875401561</v>
      </c>
      <c r="AD822" s="360">
        <v>1.006976992422032</v>
      </c>
      <c r="AE822" s="360">
        <v>0.29748818326032539</v>
      </c>
      <c r="AF822" s="360">
        <v>1.1850164315546186</v>
      </c>
      <c r="AG822" s="360">
        <v>88.57095582084284</v>
      </c>
      <c r="AH822" s="360">
        <v>544.43940794241803</v>
      </c>
      <c r="AI822" s="360">
        <v>0.28979258680141867</v>
      </c>
      <c r="AJ822" s="360">
        <v>1.2143727071861019</v>
      </c>
      <c r="AK822" s="360">
        <v>1.1228032634463567</v>
      </c>
      <c r="AL822" s="360">
        <v>0.2942224306762406</v>
      </c>
      <c r="AM822" s="360">
        <v>1.1850187539951846</v>
      </c>
      <c r="AN822" s="360">
        <v>476.87041489256922</v>
      </c>
      <c r="AO822" s="360">
        <f t="shared" si="36"/>
        <v>1</v>
      </c>
      <c r="AP822" s="360">
        <f t="shared" si="37"/>
        <v>1</v>
      </c>
      <c r="AQ822" s="360">
        <f t="shared" si="38"/>
        <v>1</v>
      </c>
    </row>
    <row r="823" spans="1:43">
      <c r="A823" s="360" t="s">
        <v>1082</v>
      </c>
      <c r="B823" t="s">
        <v>1076</v>
      </c>
      <c r="C823">
        <v>2</v>
      </c>
      <c r="D823" t="s">
        <v>1078</v>
      </c>
      <c r="E823" t="s">
        <v>1079</v>
      </c>
      <c r="F823" s="360">
        <v>12</v>
      </c>
      <c r="G823" s="360" t="str">
        <f>CONCATENATE(A823," ",B823," ",C823," ","inf+"," ",FanUpsizes!D823," ",FanUpsizes!F823)</f>
        <v>5ACH 5C 2 inf+ New 12</v>
      </c>
      <c r="H823" s="360">
        <v>1.5580388510404056E-2</v>
      </c>
      <c r="I823" s="360">
        <v>0.3280559761802162</v>
      </c>
      <c r="J823" s="360">
        <v>1.0840876008121345</v>
      </c>
      <c r="K823" s="360">
        <v>1673.4928669614235</v>
      </c>
      <c r="L823" s="360">
        <v>0.30518800953006264</v>
      </c>
      <c r="M823" s="360">
        <v>1.141978203290464</v>
      </c>
      <c r="N823" s="360">
        <v>1.3277865487682092</v>
      </c>
      <c r="O823" s="360">
        <v>0.31681476701350469</v>
      </c>
      <c r="P823" s="360">
        <v>1.0840876058088664</v>
      </c>
      <c r="Q823" s="360">
        <v>1496.5361873786308</v>
      </c>
      <c r="R823" s="360">
        <v>1825.1469332709496</v>
      </c>
      <c r="S823" s="360">
        <v>0.30168627009037813</v>
      </c>
      <c r="T823" s="360">
        <v>1.1556921658851731</v>
      </c>
      <c r="U823" s="360">
        <v>1.4339977543094784</v>
      </c>
      <c r="V823" s="360">
        <v>0.31563184972370156</v>
      </c>
      <c r="W823" s="360">
        <v>1.0840877134954092</v>
      </c>
      <c r="X823" s="360">
        <v>1656.6692985199095</v>
      </c>
      <c r="Y823" s="360">
        <v>0.29811125139385664</v>
      </c>
      <c r="Z823" s="360">
        <v>1.1850163640980009</v>
      </c>
      <c r="AA823" s="360">
        <v>573.74765424318707</v>
      </c>
      <c r="AB823" s="360">
        <v>0.29032615651274601</v>
      </c>
      <c r="AC823" s="360">
        <v>1.208842187863729</v>
      </c>
      <c r="AD823" s="360">
        <v>1.0971896824706626</v>
      </c>
      <c r="AE823" s="360">
        <v>0.29387999220253658</v>
      </c>
      <c r="AF823" s="360">
        <v>1.1850205516141599</v>
      </c>
      <c r="AG823" s="360">
        <v>527.28167663274985</v>
      </c>
      <c r="AH823" s="360">
        <v>671.36913508016767</v>
      </c>
      <c r="AI823" s="360">
        <v>0.2880412311426887</v>
      </c>
      <c r="AJ823" s="360">
        <v>1.2203434210566626</v>
      </c>
      <c r="AK823" s="360">
        <v>1.156043546029293</v>
      </c>
      <c r="AL823" s="360">
        <v>0.29314447309755215</v>
      </c>
      <c r="AM823" s="360">
        <v>1.1850234529866424</v>
      </c>
      <c r="AN823" s="360">
        <v>624.8553594004735</v>
      </c>
      <c r="AO823" s="360">
        <f t="shared" si="36"/>
        <v>1</v>
      </c>
      <c r="AP823" s="360">
        <f t="shared" si="37"/>
        <v>1</v>
      </c>
      <c r="AQ823" s="360">
        <f t="shared" si="38"/>
        <v>1</v>
      </c>
    </row>
    <row r="824" spans="1:43">
      <c r="A824" s="360" t="s">
        <v>1082</v>
      </c>
      <c r="B824" t="s">
        <v>1075</v>
      </c>
      <c r="C824">
        <v>1</v>
      </c>
      <c r="D824" t="s">
        <v>1080</v>
      </c>
      <c r="E824" t="s">
        <v>1079</v>
      </c>
      <c r="F824" s="360">
        <v>12</v>
      </c>
      <c r="G824" s="360" t="str">
        <f>CONCATENATE(A824," ",B824," ",C824," ","inf+"," ",FanUpsizes!D824," ",FanUpsizes!F824)</f>
        <v>5ACH Percentile 1 inf+ Existing 12</v>
      </c>
      <c r="H824" s="360">
        <v>3.8533987863907659E-2</v>
      </c>
      <c r="I824" s="360">
        <v>0.35582786045997966</v>
      </c>
      <c r="J824" s="360">
        <v>1.2741186426337272</v>
      </c>
      <c r="K824" s="360">
        <v>2830.8037099767989</v>
      </c>
      <c r="L824" s="360">
        <v>0.32121780641288383</v>
      </c>
      <c r="M824" s="360">
        <v>1.4082321170362766</v>
      </c>
      <c r="N824" s="360">
        <v>1.224478776908478</v>
      </c>
      <c r="O824" s="360">
        <v>0.35613249295925264</v>
      </c>
      <c r="P824" s="360">
        <v>1.2741190321179543</v>
      </c>
      <c r="Q824" s="360">
        <v>2133.9410147966041</v>
      </c>
      <c r="R824" s="360">
        <v>4142.6363285611442</v>
      </c>
      <c r="S824" s="360">
        <v>0.28638487915715616</v>
      </c>
      <c r="T824" s="360">
        <v>1.588184621424326</v>
      </c>
      <c r="U824" s="360">
        <v>1.7505368312741336</v>
      </c>
      <c r="V824" s="360">
        <v>0.36871975056232525</v>
      </c>
      <c r="W824" s="360">
        <v>1.2741199402657164</v>
      </c>
      <c r="X824" s="360">
        <v>3098.2412118372586</v>
      </c>
      <c r="Y824" s="360">
        <v>0.35588984257848172</v>
      </c>
      <c r="Z824" s="360">
        <v>1.2546521559904924</v>
      </c>
      <c r="AA824" s="360">
        <v>2419.9868774862189</v>
      </c>
      <c r="AB824" s="360">
        <v>0.32614067791609086</v>
      </c>
      <c r="AC824" s="360">
        <v>1.377531136188491</v>
      </c>
      <c r="AD824" s="360">
        <v>1.1876833830538356</v>
      </c>
      <c r="AE824" s="360">
        <v>0.36100693957120139</v>
      </c>
      <c r="AF824" s="360">
        <v>1.2546527209752898</v>
      </c>
      <c r="AG824" s="360">
        <v>1625.8037579977481</v>
      </c>
      <c r="AH824" s="360">
        <v>4183.9344998951055</v>
      </c>
      <c r="AI824" s="360">
        <v>0.27939160174046657</v>
      </c>
      <c r="AJ824" s="360">
        <v>1.6277755478586218</v>
      </c>
      <c r="AK824" s="360">
        <v>1.7679647615584808</v>
      </c>
      <c r="AL824" s="360">
        <v>0.37606260049356266</v>
      </c>
      <c r="AM824" s="360">
        <v>1.2546522485380995</v>
      </c>
      <c r="AN824" s="360">
        <v>2795.1848730555103</v>
      </c>
      <c r="AO824" s="360">
        <f t="shared" si="36"/>
        <v>1</v>
      </c>
      <c r="AP824" s="360">
        <f t="shared" si="37"/>
        <v>1</v>
      </c>
      <c r="AQ824" s="360">
        <f t="shared" si="38"/>
        <v>1</v>
      </c>
    </row>
    <row r="825" spans="1:43">
      <c r="A825" s="360" t="s">
        <v>1082</v>
      </c>
      <c r="B825" t="s">
        <v>1074</v>
      </c>
      <c r="C825">
        <v>1</v>
      </c>
      <c r="D825" t="s">
        <v>1080</v>
      </c>
      <c r="E825" t="s">
        <v>1079</v>
      </c>
      <c r="F825" s="360">
        <v>12</v>
      </c>
      <c r="G825" s="360" t="str">
        <f>CONCATENATE(A825," ",B825," ",C825," ","inf+"," ",FanUpsizes!D825," ",FanUpsizes!F825)</f>
        <v>5ACH Infiltration 1 inf+ Existing 12</v>
      </c>
      <c r="H825" s="360">
        <v>3.8533987863907659E-2</v>
      </c>
      <c r="I825" s="360">
        <v>0.35582786045997966</v>
      </c>
      <c r="J825" s="360">
        <v>1.2741186426337272</v>
      </c>
      <c r="K825" s="360">
        <v>0</v>
      </c>
      <c r="L825" s="360">
        <v>0.35582786045997966</v>
      </c>
      <c r="M825" s="360">
        <v>1.2741186426337272</v>
      </c>
      <c r="N825" s="360">
        <v>1</v>
      </c>
      <c r="O825" s="360">
        <v>0.35582786045997966</v>
      </c>
      <c r="P825" s="360">
        <v>1.2741186426337272</v>
      </c>
      <c r="Q825" s="360">
        <v>0</v>
      </c>
      <c r="R825" s="360">
        <v>843.73553996078147</v>
      </c>
      <c r="S825" s="360">
        <v>0.34647730176808172</v>
      </c>
      <c r="T825" s="360">
        <v>1.300745273144319</v>
      </c>
      <c r="U825" s="360">
        <v>1.0371054294294255</v>
      </c>
      <c r="V825" s="360">
        <v>0.35292909249352894</v>
      </c>
      <c r="W825" s="360">
        <v>1.2741196583149135</v>
      </c>
      <c r="X825" s="360">
        <v>661.62803021215802</v>
      </c>
      <c r="Y825" s="360">
        <v>0.35588984257848172</v>
      </c>
      <c r="Z825" s="360">
        <v>1.2546521559904924</v>
      </c>
      <c r="AA825" s="360">
        <v>0</v>
      </c>
      <c r="AB825" s="360">
        <v>0.35588984257848172</v>
      </c>
      <c r="AC825" s="360">
        <v>1.2546521559904924</v>
      </c>
      <c r="AD825" s="360">
        <v>1</v>
      </c>
      <c r="AE825" s="360">
        <v>0.35588984257848172</v>
      </c>
      <c r="AF825" s="360">
        <v>1.2546521559904924</v>
      </c>
      <c r="AG825" s="360">
        <v>0</v>
      </c>
      <c r="AH825" s="360">
        <v>990.23833717638979</v>
      </c>
      <c r="AI825" s="360">
        <v>0.34485372777413742</v>
      </c>
      <c r="AJ825" s="360">
        <v>1.2917689488460988</v>
      </c>
      <c r="AK825" s="360">
        <v>1.0457666574638362</v>
      </c>
      <c r="AL825" s="360">
        <v>0.35470473811851155</v>
      </c>
      <c r="AM825" s="360">
        <v>1.2546521952628455</v>
      </c>
      <c r="AN825" s="360">
        <v>687.56823987414123</v>
      </c>
      <c r="AO825" s="360">
        <f t="shared" si="36"/>
        <v>1</v>
      </c>
      <c r="AP825" s="360">
        <f t="shared" si="37"/>
        <v>0</v>
      </c>
      <c r="AQ825" s="360">
        <f t="shared" si="38"/>
        <v>0</v>
      </c>
    </row>
    <row r="826" spans="1:43">
      <c r="A826" s="360" t="s">
        <v>1082</v>
      </c>
      <c r="B826" t="s">
        <v>1076</v>
      </c>
      <c r="C826">
        <v>1</v>
      </c>
      <c r="D826" t="s">
        <v>1080</v>
      </c>
      <c r="E826" t="s">
        <v>1079</v>
      </c>
      <c r="F826" s="360">
        <v>12</v>
      </c>
      <c r="G826" s="360" t="str">
        <f>CONCATENATE(A826," ",B826," ",C826," ","inf+"," ",FanUpsizes!D826," ",FanUpsizes!F826)</f>
        <v>5ACH 5C 1 inf+ Existing 12</v>
      </c>
      <c r="H826" s="360">
        <v>3.8533987863907659E-2</v>
      </c>
      <c r="I826" s="360">
        <v>0.35582786045997966</v>
      </c>
      <c r="J826" s="360">
        <v>1.2741186426337272</v>
      </c>
      <c r="K826" s="360">
        <v>4138.9438897987047</v>
      </c>
      <c r="L826" s="360">
        <v>0.2992699672610617</v>
      </c>
      <c r="M826" s="360">
        <v>1.5172894275152831</v>
      </c>
      <c r="N826" s="360">
        <v>1.5102056833928386</v>
      </c>
      <c r="O826" s="360">
        <v>0.37093890869208135</v>
      </c>
      <c r="P826" s="360">
        <v>1.2741195637858993</v>
      </c>
      <c r="Q826" s="360">
        <v>3161.3003969544734</v>
      </c>
      <c r="R826" s="360">
        <v>4138.9438897987047</v>
      </c>
      <c r="S826" s="360">
        <v>0.2992699672610617</v>
      </c>
      <c r="T826" s="360">
        <v>1.5172894275152831</v>
      </c>
      <c r="U826" s="360">
        <v>1.5102056833928386</v>
      </c>
      <c r="V826" s="360">
        <v>0.37093890869208135</v>
      </c>
      <c r="W826" s="360">
        <v>1.2741195637858993</v>
      </c>
      <c r="X826" s="360">
        <v>3161.3003969544734</v>
      </c>
      <c r="Y826" s="360">
        <v>0.35588984257848172</v>
      </c>
      <c r="Z826" s="360">
        <v>1.2546521559904924</v>
      </c>
      <c r="AA826" s="360">
        <v>3657.4108693770349</v>
      </c>
      <c r="AB826" s="360">
        <v>0.30528891575708533</v>
      </c>
      <c r="AC826" s="360">
        <v>1.4843730095793886</v>
      </c>
      <c r="AD826" s="360">
        <v>1.4784745120177882</v>
      </c>
      <c r="AE826" s="360">
        <v>0.37910957639182963</v>
      </c>
      <c r="AF826" s="360">
        <v>1.2546536514330473</v>
      </c>
      <c r="AG826" s="360">
        <v>2584.5538665888803</v>
      </c>
      <c r="AH826" s="360">
        <v>3657.4108693770349</v>
      </c>
      <c r="AI826" s="360">
        <v>0.30528891575708533</v>
      </c>
      <c r="AJ826" s="360">
        <v>1.4843730095793886</v>
      </c>
      <c r="AK826" s="360">
        <v>1.4784745120177882</v>
      </c>
      <c r="AL826" s="360">
        <v>0.37910957639182963</v>
      </c>
      <c r="AM826" s="360">
        <v>1.2546536514330473</v>
      </c>
      <c r="AN826" s="360">
        <v>2584.5538665888803</v>
      </c>
      <c r="AO826" s="360">
        <f t="shared" si="36"/>
        <v>1</v>
      </c>
      <c r="AP826" s="360">
        <f t="shared" si="37"/>
        <v>1</v>
      </c>
      <c r="AQ826" s="360">
        <f t="shared" si="38"/>
        <v>1</v>
      </c>
    </row>
    <row r="827" spans="1:43">
      <c r="A827" s="360" t="s">
        <v>1082</v>
      </c>
      <c r="B827" t="s">
        <v>1075</v>
      </c>
      <c r="C827">
        <v>2</v>
      </c>
      <c r="D827" t="s">
        <v>1080</v>
      </c>
      <c r="E827" t="s">
        <v>1079</v>
      </c>
      <c r="F827" s="360">
        <v>12</v>
      </c>
      <c r="G827" s="360" t="str">
        <f>CONCATENATE(A827," ",B827," ",C827," ","inf+"," ",FanUpsizes!D827," ",FanUpsizes!F827)</f>
        <v>5ACH Percentile 2 inf+ Existing 12</v>
      </c>
      <c r="H827" s="360">
        <v>3.1830388510404053E-2</v>
      </c>
      <c r="I827" s="360">
        <v>0.39048428542445807</v>
      </c>
      <c r="J827" s="360">
        <v>1.2053993100495071</v>
      </c>
      <c r="K827" s="360">
        <v>2338.3404334761253</v>
      </c>
      <c r="L827" s="360">
        <v>0.36189520010641885</v>
      </c>
      <c r="M827" s="360">
        <v>1.2809924489694087</v>
      </c>
      <c r="N827" s="360">
        <v>1.1880363042430868</v>
      </c>
      <c r="O827" s="360">
        <v>0.38108375807972206</v>
      </c>
      <c r="P827" s="360">
        <v>1.205403779161325</v>
      </c>
      <c r="Q827" s="360">
        <v>1925.4082481219491</v>
      </c>
      <c r="R827" s="360">
        <v>3397.952586942813</v>
      </c>
      <c r="S827" s="360">
        <v>0.33529742948945834</v>
      </c>
      <c r="T827" s="360">
        <v>1.3896925213649347</v>
      </c>
      <c r="U827" s="360">
        <v>1.5845798232339208</v>
      </c>
      <c r="V827" s="360">
        <v>0.38016038698546462</v>
      </c>
      <c r="W827" s="360">
        <v>1.2053996649426459</v>
      </c>
      <c r="X827" s="360">
        <v>2739.2349943282602</v>
      </c>
      <c r="Y827" s="360">
        <v>0.36663850989846919</v>
      </c>
      <c r="Z827" s="360">
        <v>1.2527322485319241</v>
      </c>
      <c r="AA827" s="360">
        <v>1417.1634247117684</v>
      </c>
      <c r="AB827" s="360">
        <v>0.3493016049680483</v>
      </c>
      <c r="AC827" s="360">
        <v>1.3056381340881957</v>
      </c>
      <c r="AD827" s="360">
        <v>1.0989717292695738</v>
      </c>
      <c r="AE827" s="360">
        <v>0.36214872165116763</v>
      </c>
      <c r="AF827" s="360">
        <v>1.2527327825301882</v>
      </c>
      <c r="AG827" s="360">
        <v>1137.3791103129927</v>
      </c>
      <c r="AH827" s="360">
        <v>2533.2677068994008</v>
      </c>
      <c r="AI827" s="360">
        <v>0.31908072411665606</v>
      </c>
      <c r="AJ827" s="360">
        <v>1.4550097538235387</v>
      </c>
      <c r="AK827" s="360">
        <v>1.533460111142666</v>
      </c>
      <c r="AL827" s="360">
        <v>0.36537346436568419</v>
      </c>
      <c r="AM827" s="360">
        <v>1.2527324609092003</v>
      </c>
      <c r="AN827" s="360">
        <v>1957.1263885736887</v>
      </c>
      <c r="AO827" s="360">
        <f t="shared" si="36"/>
        <v>1</v>
      </c>
      <c r="AP827" s="360">
        <f t="shared" si="37"/>
        <v>1</v>
      </c>
      <c r="AQ827" s="360">
        <f t="shared" si="38"/>
        <v>1</v>
      </c>
    </row>
    <row r="828" spans="1:43">
      <c r="A828" s="360" t="s">
        <v>1082</v>
      </c>
      <c r="B828" t="s">
        <v>1074</v>
      </c>
      <c r="C828">
        <v>2</v>
      </c>
      <c r="D828" t="s">
        <v>1080</v>
      </c>
      <c r="E828" t="s">
        <v>1079</v>
      </c>
      <c r="F828" s="360">
        <v>12</v>
      </c>
      <c r="G828" s="360" t="str">
        <f>CONCATENATE(A828," ",B828," ",C828," ","inf+"," ",FanUpsizes!D828," ",FanUpsizes!F828)</f>
        <v>5ACH Infiltration 2 inf+ Existing 12</v>
      </c>
      <c r="H828" s="360">
        <v>3.1830388510404053E-2</v>
      </c>
      <c r="I828" s="360">
        <v>0.39048428542445807</v>
      </c>
      <c r="J828" s="360">
        <v>1.2053993100495071</v>
      </c>
      <c r="K828" s="360">
        <v>0</v>
      </c>
      <c r="L828" s="360">
        <v>0.39048428542445807</v>
      </c>
      <c r="M828" s="360">
        <v>1.2053993100495071</v>
      </c>
      <c r="N828" s="360">
        <v>1</v>
      </c>
      <c r="O828" s="360">
        <v>0.39048428542445807</v>
      </c>
      <c r="P828" s="360">
        <v>1.2053993100495071</v>
      </c>
      <c r="Q828" s="360">
        <v>0</v>
      </c>
      <c r="R828" s="360">
        <v>1509.6900583081469</v>
      </c>
      <c r="S828" s="360">
        <v>0.37077900358821958</v>
      </c>
      <c r="T828" s="360">
        <v>1.2528692753958282</v>
      </c>
      <c r="U828" s="360">
        <v>1.1082585614263996</v>
      </c>
      <c r="V828" s="360">
        <v>0.38266656173583635</v>
      </c>
      <c r="W828" s="360">
        <v>1.2054011798557511</v>
      </c>
      <c r="X828" s="360">
        <v>1182.7229379820515</v>
      </c>
      <c r="Y828" s="360">
        <v>0.36663850989846919</v>
      </c>
      <c r="Z828" s="360">
        <v>1.2527322485319241</v>
      </c>
      <c r="AA828" s="360">
        <v>0</v>
      </c>
      <c r="AB828" s="360">
        <v>0.36663850989846919</v>
      </c>
      <c r="AC828" s="360">
        <v>1.2527322485319241</v>
      </c>
      <c r="AD828" s="360">
        <v>1</v>
      </c>
      <c r="AE828" s="360">
        <v>0.36663850989846919</v>
      </c>
      <c r="AF828" s="360">
        <v>1.2527322485319241</v>
      </c>
      <c r="AG828" s="360">
        <v>0</v>
      </c>
      <c r="AH828" s="360">
        <v>1355.9919187518387</v>
      </c>
      <c r="AI828" s="360">
        <v>0.34876843758789838</v>
      </c>
      <c r="AJ828" s="360">
        <v>1.307258379343367</v>
      </c>
      <c r="AK828" s="360">
        <v>1.1002381483588777</v>
      </c>
      <c r="AL828" s="360">
        <v>0.36180852140277309</v>
      </c>
      <c r="AM828" s="360">
        <v>1.2527334159742469</v>
      </c>
      <c r="AN828" s="360">
        <v>1052.7697542812634</v>
      </c>
      <c r="AO828" s="360">
        <f t="shared" si="36"/>
        <v>1</v>
      </c>
      <c r="AP828" s="360">
        <f t="shared" si="37"/>
        <v>0</v>
      </c>
      <c r="AQ828" s="360">
        <f t="shared" si="38"/>
        <v>0</v>
      </c>
    </row>
    <row r="829" spans="1:43">
      <c r="A829" s="360" t="s">
        <v>1082</v>
      </c>
      <c r="B829" t="s">
        <v>1076</v>
      </c>
      <c r="C829">
        <v>2</v>
      </c>
      <c r="D829" t="s">
        <v>1080</v>
      </c>
      <c r="E829" t="s">
        <v>1079</v>
      </c>
      <c r="F829" s="360">
        <v>12</v>
      </c>
      <c r="G829" s="360" t="str">
        <f>CONCATENATE(A829," ",B829," ",C829," ","inf+"," ",FanUpsizes!D829," ",FanUpsizes!F829)</f>
        <v>5ACH 5C 2 inf+ Existing 12</v>
      </c>
      <c r="H829" s="360">
        <v>3.1830388510404053E-2</v>
      </c>
      <c r="I829" s="360">
        <v>0.39048428542445807</v>
      </c>
      <c r="J829" s="360">
        <v>1.2053993100495071</v>
      </c>
      <c r="K829" s="360">
        <v>3418.9088474398436</v>
      </c>
      <c r="L829" s="360">
        <v>0.34376553624619893</v>
      </c>
      <c r="M829" s="360">
        <v>1.3432689160862474</v>
      </c>
      <c r="N829" s="360">
        <v>1.4025674885979678</v>
      </c>
      <c r="O829" s="360">
        <v>0.37901468878725697</v>
      </c>
      <c r="P829" s="360">
        <v>1.2053993816463804</v>
      </c>
      <c r="Q829" s="360">
        <v>2961.4969879954074</v>
      </c>
      <c r="R829" s="360">
        <v>3418.9088474398436</v>
      </c>
      <c r="S829" s="360">
        <v>0.34376553624619893</v>
      </c>
      <c r="T829" s="360">
        <v>1.3432689160862474</v>
      </c>
      <c r="U829" s="360">
        <v>1.4025674885979678</v>
      </c>
      <c r="V829" s="360">
        <v>0.37901468878725697</v>
      </c>
      <c r="W829" s="360">
        <v>1.2053993816463804</v>
      </c>
      <c r="X829" s="360">
        <v>2961.4969879954074</v>
      </c>
      <c r="Y829" s="360">
        <v>0.36663850989846919</v>
      </c>
      <c r="Z829" s="360">
        <v>1.2527322485319241</v>
      </c>
      <c r="AA829" s="360">
        <v>2158.2766174759431</v>
      </c>
      <c r="AB829" s="360">
        <v>0.33688087311684722</v>
      </c>
      <c r="AC829" s="360">
        <v>1.3546314777303174</v>
      </c>
      <c r="AD829" s="360">
        <v>1.2277646388201644</v>
      </c>
      <c r="AE829" s="360">
        <v>0.36181193045639637</v>
      </c>
      <c r="AF829" s="360">
        <v>1.2527323497206011</v>
      </c>
      <c r="AG829" s="360">
        <v>1809.6684169319892</v>
      </c>
      <c r="AH829" s="360">
        <v>2158.2766174759431</v>
      </c>
      <c r="AI829" s="360">
        <v>0.33688087311684722</v>
      </c>
      <c r="AJ829" s="360">
        <v>1.3546314777303174</v>
      </c>
      <c r="AK829" s="360">
        <v>1.2277646388201644</v>
      </c>
      <c r="AL829" s="360">
        <v>0.36181193045639637</v>
      </c>
      <c r="AM829" s="360">
        <v>1.2527323497206011</v>
      </c>
      <c r="AN829" s="360">
        <v>1809.6684169319892</v>
      </c>
      <c r="AO829" s="360">
        <f t="shared" si="36"/>
        <v>1</v>
      </c>
      <c r="AP829" s="360">
        <f t="shared" si="37"/>
        <v>1</v>
      </c>
      <c r="AQ829" s="360">
        <f t="shared" si="38"/>
        <v>1</v>
      </c>
    </row>
    <row r="830" spans="1:43">
      <c r="A830" s="360" t="s">
        <v>1083</v>
      </c>
      <c r="B830" t="s">
        <v>1075</v>
      </c>
      <c r="C830">
        <v>1</v>
      </c>
      <c r="D830" t="s">
        <v>1078</v>
      </c>
      <c r="E830" t="s">
        <v>1079</v>
      </c>
      <c r="F830" s="360">
        <v>12</v>
      </c>
      <c r="G830" s="360" t="str">
        <f>CONCATENATE(A830," ",B830," ",C830," ","inf+"," ",FanUpsizes!D830," ",FanUpsizes!F830)</f>
        <v>3ACH Percentile 1 inf+ New 12</v>
      </c>
      <c r="H830" s="360">
        <v>3.0676392718344596E-2</v>
      </c>
      <c r="I830" s="360">
        <v>0.25157172110252513</v>
      </c>
      <c r="J830" s="360">
        <v>1.2862109859104331</v>
      </c>
      <c r="K830" s="360">
        <v>2253.5649988390974</v>
      </c>
      <c r="L830" s="360">
        <v>0.22401911965100083</v>
      </c>
      <c r="M830" s="360">
        <v>1.4728602720572435</v>
      </c>
      <c r="N830" s="360">
        <v>1.2667079802178609</v>
      </c>
      <c r="O830" s="360">
        <v>0.26302916883570882</v>
      </c>
      <c r="P830" s="360">
        <v>1.2862111973966139</v>
      </c>
      <c r="Q830" s="360">
        <v>1403.7918046295986</v>
      </c>
      <c r="R830" s="360">
        <v>3403.2547224106725</v>
      </c>
      <c r="S830" s="360">
        <v>0.19217415521209016</v>
      </c>
      <c r="T830" s="360">
        <v>1.7204256451062605</v>
      </c>
      <c r="U830" s="360">
        <v>1.9120291804525109</v>
      </c>
      <c r="V830" s="360">
        <v>0.28126917731047668</v>
      </c>
      <c r="W830" s="360">
        <v>1.2862110563440123</v>
      </c>
      <c r="X830" s="360">
        <v>2296.637117994756</v>
      </c>
      <c r="Y830" s="360">
        <v>0.26084778190642621</v>
      </c>
      <c r="Z830" s="360">
        <v>1.233389873421231</v>
      </c>
      <c r="AA830" s="360">
        <v>2296.9138401385403</v>
      </c>
      <c r="AB830" s="360">
        <v>0.23257860807031852</v>
      </c>
      <c r="AC830" s="360">
        <v>1.4230219901431598</v>
      </c>
      <c r="AD830" s="360">
        <v>1.284770396194951</v>
      </c>
      <c r="AE830" s="360">
        <v>0.27731643945512474</v>
      </c>
      <c r="AF830" s="360">
        <v>1.233396109898695</v>
      </c>
      <c r="AG830" s="360">
        <v>1256.4485690545787</v>
      </c>
      <c r="AH830" s="360">
        <v>3872.7088700548593</v>
      </c>
      <c r="AI830" s="360">
        <v>0.19131773166845134</v>
      </c>
      <c r="AJ830" s="360">
        <v>1.7341315893870377</v>
      </c>
      <c r="AK830" s="360">
        <v>1.968938989050375</v>
      </c>
      <c r="AL830" s="360">
        <v>0.29543788886957167</v>
      </c>
      <c r="AM830" s="360">
        <v>1.2333910618977952</v>
      </c>
      <c r="AN830" s="360">
        <v>2267.5110340934984</v>
      </c>
      <c r="AO830" s="360">
        <f t="shared" si="36"/>
        <v>1</v>
      </c>
      <c r="AP830" s="360">
        <f t="shared" si="37"/>
        <v>1</v>
      </c>
      <c r="AQ830" s="360">
        <f t="shared" si="38"/>
        <v>1</v>
      </c>
    </row>
    <row r="831" spans="1:43">
      <c r="A831" s="360" t="s">
        <v>1083</v>
      </c>
      <c r="B831" t="s">
        <v>1074</v>
      </c>
      <c r="C831">
        <v>1</v>
      </c>
      <c r="D831" t="s">
        <v>1078</v>
      </c>
      <c r="E831" t="s">
        <v>1079</v>
      </c>
      <c r="F831" s="360">
        <v>12</v>
      </c>
      <c r="G831" s="360" t="str">
        <f>CONCATENATE(A831," ",B831," ",C831," ","inf+"," ",FanUpsizes!D831," ",FanUpsizes!F831)</f>
        <v>3ACH Infiltration 1 inf+ New 12</v>
      </c>
      <c r="H831" s="360">
        <v>3.0676392718344596E-2</v>
      </c>
      <c r="I831" s="360">
        <v>0.25157172110252513</v>
      </c>
      <c r="J831" s="360">
        <v>1.2862109859104331</v>
      </c>
      <c r="K831" s="360">
        <v>0</v>
      </c>
      <c r="L831" s="360">
        <v>0.25157172110252513</v>
      </c>
      <c r="M831" s="360">
        <v>1.2862109859104331</v>
      </c>
      <c r="N831" s="360">
        <v>1</v>
      </c>
      <c r="O831" s="360">
        <v>0.25157172110252513</v>
      </c>
      <c r="P831" s="360">
        <v>1.2862109859104331</v>
      </c>
      <c r="Q831" s="360">
        <v>0</v>
      </c>
      <c r="R831" s="360">
        <v>195.35797115887212</v>
      </c>
      <c r="S831" s="360">
        <v>0.24969783404320453</v>
      </c>
      <c r="T831" s="360">
        <v>1.2943654179832975</v>
      </c>
      <c r="U831" s="360">
        <v>1.0090897489376807</v>
      </c>
      <c r="V831" s="360">
        <v>0.25118462201946973</v>
      </c>
      <c r="W831" s="360">
        <v>1.2862113080189046</v>
      </c>
      <c r="X831" s="360">
        <v>150.29449893090438</v>
      </c>
      <c r="Y831" s="360">
        <v>0.26084778190642621</v>
      </c>
      <c r="Z831" s="360">
        <v>1.233389873421231</v>
      </c>
      <c r="AA831" s="360">
        <v>0</v>
      </c>
      <c r="AB831" s="360">
        <v>0.26084778190642621</v>
      </c>
      <c r="AC831" s="360">
        <v>1.233389873421231</v>
      </c>
      <c r="AD831" s="360">
        <v>1</v>
      </c>
      <c r="AE831" s="360">
        <v>0.26084778190642621</v>
      </c>
      <c r="AF831" s="360">
        <v>1.233389873421231</v>
      </c>
      <c r="AG831" s="360">
        <v>0</v>
      </c>
      <c r="AH831" s="360">
        <v>262.03402068585672</v>
      </c>
      <c r="AI831" s="360">
        <v>0.25832598535974299</v>
      </c>
      <c r="AJ831" s="360">
        <v>1.2453896908308761</v>
      </c>
      <c r="AK831" s="360">
        <v>1.012662947419777</v>
      </c>
      <c r="AL831" s="360">
        <v>0.26079266049365013</v>
      </c>
      <c r="AM831" s="360">
        <v>1.2333898878861351</v>
      </c>
      <c r="AN831" s="360">
        <v>176.24760764075441</v>
      </c>
      <c r="AO831" s="360">
        <f t="shared" si="36"/>
        <v>1</v>
      </c>
      <c r="AP831" s="360">
        <f t="shared" si="37"/>
        <v>0</v>
      </c>
      <c r="AQ831" s="360">
        <f t="shared" si="38"/>
        <v>0</v>
      </c>
    </row>
    <row r="832" spans="1:43">
      <c r="A832" s="360" t="s">
        <v>1083</v>
      </c>
      <c r="B832" t="s">
        <v>1076</v>
      </c>
      <c r="C832">
        <v>1</v>
      </c>
      <c r="D832" t="s">
        <v>1078</v>
      </c>
      <c r="E832" t="s">
        <v>1079</v>
      </c>
      <c r="F832" s="360">
        <v>12</v>
      </c>
      <c r="G832" s="360" t="str">
        <f>CONCATENATE(A832," ",B832," ",C832," ","inf+"," ",FanUpsizes!D832," ",FanUpsizes!F832)</f>
        <v>3ACH 5C 1 inf+ New 12</v>
      </c>
      <c r="H832" s="360">
        <v>3.0676392718344596E-2</v>
      </c>
      <c r="I832" s="360">
        <v>0.25157172110252513</v>
      </c>
      <c r="J832" s="360">
        <v>1.2862109859104331</v>
      </c>
      <c r="K832" s="360">
        <v>3311.9814819611602</v>
      </c>
      <c r="L832" s="360">
        <v>0.20622084736711918</v>
      </c>
      <c r="M832" s="360">
        <v>1.6227662090272665</v>
      </c>
      <c r="N832" s="360">
        <v>1.6902261324173806</v>
      </c>
      <c r="O832" s="360">
        <v>0.29394432926077496</v>
      </c>
      <c r="P832" s="360">
        <v>1.2862122914053538</v>
      </c>
      <c r="Q832" s="360">
        <v>2055.2192022120712</v>
      </c>
      <c r="R832" s="360">
        <v>3311.9814819611602</v>
      </c>
      <c r="S832" s="360">
        <v>0.20622084736711918</v>
      </c>
      <c r="T832" s="360">
        <v>1.6227662090272665</v>
      </c>
      <c r="U832" s="360">
        <v>1.6902261324173806</v>
      </c>
      <c r="V832" s="360">
        <v>0.29394432926077496</v>
      </c>
      <c r="W832" s="360">
        <v>1.2862122914053538</v>
      </c>
      <c r="X832" s="360">
        <v>2055.2192022120712</v>
      </c>
      <c r="Y832" s="360">
        <v>0.26084778190642621</v>
      </c>
      <c r="Z832" s="360">
        <v>1.233389873421231</v>
      </c>
      <c r="AA832" s="360">
        <v>3449.5807043112104</v>
      </c>
      <c r="AB832" s="360">
        <v>0.2131201139158907</v>
      </c>
      <c r="AC832" s="360">
        <v>1.5810448930306402</v>
      </c>
      <c r="AD832" s="360">
        <v>1.8109494186494834</v>
      </c>
      <c r="AE832" s="360">
        <v>0.3179392795604572</v>
      </c>
      <c r="AF832" s="360">
        <v>1.2333900049410518</v>
      </c>
      <c r="AG832" s="360">
        <v>1900.2992708940897</v>
      </c>
      <c r="AH832" s="360">
        <v>3449.5807043112104</v>
      </c>
      <c r="AI832" s="360">
        <v>0.2131201139158907</v>
      </c>
      <c r="AJ832" s="360">
        <v>1.5810448930306402</v>
      </c>
      <c r="AK832" s="360">
        <v>1.8109494186494834</v>
      </c>
      <c r="AL832" s="360">
        <v>0.3179392795604572</v>
      </c>
      <c r="AM832" s="360">
        <v>1.2333900049410518</v>
      </c>
      <c r="AN832" s="360">
        <v>1900.2992708940897</v>
      </c>
      <c r="AO832" s="360">
        <f t="shared" si="36"/>
        <v>1</v>
      </c>
      <c r="AP832" s="360">
        <f t="shared" si="37"/>
        <v>1</v>
      </c>
      <c r="AQ832" s="360">
        <f t="shared" si="38"/>
        <v>1</v>
      </c>
    </row>
    <row r="833" spans="1:43">
      <c r="A833" s="360" t="s">
        <v>1083</v>
      </c>
      <c r="B833" t="s">
        <v>1075</v>
      </c>
      <c r="C833">
        <v>2</v>
      </c>
      <c r="D833" t="s">
        <v>1078</v>
      </c>
      <c r="E833" t="s">
        <v>1079</v>
      </c>
      <c r="F833" s="360">
        <v>12</v>
      </c>
      <c r="G833" s="360" t="str">
        <f>CONCATENATE(A833," ",B833," ",C833," ","inf+"," ",FanUpsizes!D833," ",FanUpsizes!F833)</f>
        <v>3ACH Percentile 2 inf+ New 12</v>
      </c>
      <c r="H833" s="360">
        <v>2.6654233106242438E-2</v>
      </c>
      <c r="I833" s="360">
        <v>0.2661376622790797</v>
      </c>
      <c r="J833" s="360">
        <v>1.2506686993109917</v>
      </c>
      <c r="K833" s="360">
        <v>1958.0870329387708</v>
      </c>
      <c r="L833" s="360">
        <v>0.24219764206499525</v>
      </c>
      <c r="M833" s="360">
        <v>1.3635001336969443</v>
      </c>
      <c r="N833" s="360">
        <v>1.2122561290774654</v>
      </c>
      <c r="O833" s="360">
        <v>0.26331368457256532</v>
      </c>
      <c r="P833" s="360">
        <v>1.2506687141188415</v>
      </c>
      <c r="Q833" s="360">
        <v>1537.715809170104</v>
      </c>
      <c r="R833" s="360">
        <v>2852.711334942238</v>
      </c>
      <c r="S833" s="360">
        <v>0.21901235794507412</v>
      </c>
      <c r="T833" s="360">
        <v>1.5147098650736741</v>
      </c>
      <c r="U833" s="360">
        <v>1.6876010097674807</v>
      </c>
      <c r="V833" s="360">
        <v>0.26808404613486458</v>
      </c>
      <c r="W833" s="360">
        <v>1.2506689112958564</v>
      </c>
      <c r="X833" s="360">
        <v>2197.8868329775373</v>
      </c>
      <c r="Y833" s="360">
        <v>0.26070376402356238</v>
      </c>
      <c r="Z833" s="360">
        <v>1.2526449671175826</v>
      </c>
      <c r="AA833" s="360">
        <v>1529.8606516956279</v>
      </c>
      <c r="AB833" s="360">
        <v>0.24192129378288518</v>
      </c>
      <c r="AC833" s="360">
        <v>1.3497198331171385</v>
      </c>
      <c r="AD833" s="360">
        <v>1.1557028200672725</v>
      </c>
      <c r="AE833" s="360">
        <v>0.26107359742859448</v>
      </c>
      <c r="AF833" s="360">
        <v>1.2526493504327765</v>
      </c>
      <c r="AG833" s="360">
        <v>1098.248600530125</v>
      </c>
      <c r="AH833" s="360">
        <v>2666.0365211733542</v>
      </c>
      <c r="AI833" s="360">
        <v>0.21161785737320127</v>
      </c>
      <c r="AJ833" s="360">
        <v>1.5639907093334557</v>
      </c>
      <c r="AK833" s="360">
        <v>1.6855223608116305</v>
      </c>
      <c r="AL833" s="360">
        <v>0.26848227929243984</v>
      </c>
      <c r="AM833" s="360">
        <v>1.2526449691714576</v>
      </c>
      <c r="AN833" s="360">
        <v>1880.3382388606349</v>
      </c>
      <c r="AO833" s="360">
        <f t="shared" si="36"/>
        <v>1</v>
      </c>
      <c r="AP833" s="360">
        <f t="shared" si="37"/>
        <v>1</v>
      </c>
      <c r="AQ833" s="360">
        <f t="shared" si="38"/>
        <v>1</v>
      </c>
    </row>
    <row r="834" spans="1:43">
      <c r="A834" s="360" t="s">
        <v>1083</v>
      </c>
      <c r="B834" t="s">
        <v>1074</v>
      </c>
      <c r="C834">
        <v>2</v>
      </c>
      <c r="D834" t="s">
        <v>1078</v>
      </c>
      <c r="E834" t="s">
        <v>1079</v>
      </c>
      <c r="F834" s="360">
        <v>12</v>
      </c>
      <c r="G834" s="360" t="str">
        <f>CONCATENATE(A834," ",B834," ",C834," ","inf+"," ",FanUpsizes!D834," ",FanUpsizes!F834)</f>
        <v>3ACH Infiltration 2 inf+ New 12</v>
      </c>
      <c r="H834" s="360">
        <v>2.6654233106242438E-2</v>
      </c>
      <c r="I834" s="360">
        <v>0.2661376622790797</v>
      </c>
      <c r="J834" s="360">
        <v>1.2506686993109917</v>
      </c>
      <c r="K834" s="360">
        <v>0</v>
      </c>
      <c r="L834" s="360">
        <v>0.2661376622790797</v>
      </c>
      <c r="M834" s="360">
        <v>1.2506686993109917</v>
      </c>
      <c r="N834" s="360">
        <v>1</v>
      </c>
      <c r="O834" s="360">
        <v>0.2661376622790797</v>
      </c>
      <c r="P834" s="360">
        <v>1.2506686993109917</v>
      </c>
      <c r="Q834" s="360">
        <v>0</v>
      </c>
      <c r="R834" s="360">
        <v>753.89638870196291</v>
      </c>
      <c r="S834" s="360">
        <v>0.25739596165212653</v>
      </c>
      <c r="T834" s="360">
        <v>1.2830623894658031</v>
      </c>
      <c r="U834" s="360">
        <v>1.0524564959075651</v>
      </c>
      <c r="V834" s="360">
        <v>0.26321003244860691</v>
      </c>
      <c r="W834" s="360">
        <v>1.2506687034562631</v>
      </c>
      <c r="X834" s="360">
        <v>590.0562930841071</v>
      </c>
      <c r="Y834" s="360">
        <v>0.26070376402356238</v>
      </c>
      <c r="Z834" s="360">
        <v>1.2526449671175826</v>
      </c>
      <c r="AA834" s="360">
        <v>0</v>
      </c>
      <c r="AB834" s="360">
        <v>0.26070376402356238</v>
      </c>
      <c r="AC834" s="360">
        <v>1.2526449671175826</v>
      </c>
      <c r="AD834" s="360">
        <v>1</v>
      </c>
      <c r="AE834" s="360">
        <v>0.26070376402356238</v>
      </c>
      <c r="AF834" s="360">
        <v>1.2526449671175826</v>
      </c>
      <c r="AG834" s="360">
        <v>0</v>
      </c>
      <c r="AH834" s="360">
        <v>826.74963998955491</v>
      </c>
      <c r="AI834" s="360">
        <v>0.25105677765851248</v>
      </c>
      <c r="AJ834" s="360">
        <v>1.2957540378165748</v>
      </c>
      <c r="AK834" s="360">
        <v>1.0592324755406586</v>
      </c>
      <c r="AL834" s="360">
        <v>0.25923005779234964</v>
      </c>
      <c r="AM834" s="360">
        <v>1.2526531523507347</v>
      </c>
      <c r="AN834" s="360">
        <v>590.0313294495287</v>
      </c>
      <c r="AO834" s="360">
        <f t="shared" si="36"/>
        <v>1</v>
      </c>
      <c r="AP834" s="360">
        <f t="shared" si="37"/>
        <v>0</v>
      </c>
      <c r="AQ834" s="360">
        <f t="shared" si="38"/>
        <v>0</v>
      </c>
    </row>
    <row r="835" spans="1:43">
      <c r="A835" s="360" t="s">
        <v>1083</v>
      </c>
      <c r="B835" t="s">
        <v>1076</v>
      </c>
      <c r="C835">
        <v>2</v>
      </c>
      <c r="D835" t="s">
        <v>1078</v>
      </c>
      <c r="E835" t="s">
        <v>1079</v>
      </c>
      <c r="F835" s="360">
        <v>12</v>
      </c>
      <c r="G835" s="360" t="str">
        <f>CONCATENATE(A835," ",B835," ",C835," ","inf+"," ",FanUpsizes!D835," ",FanUpsizes!F835)</f>
        <v>3ACH 5C 2 inf+ New 12</v>
      </c>
      <c r="H835" s="360">
        <v>2.6654233106242438E-2</v>
      </c>
      <c r="I835" s="360">
        <v>0.2661376622790797</v>
      </c>
      <c r="J835" s="360">
        <v>1.2506686993109917</v>
      </c>
      <c r="K835" s="360">
        <v>2862.9368868328811</v>
      </c>
      <c r="L835" s="360">
        <v>0.22701616583167336</v>
      </c>
      <c r="M835" s="360">
        <v>1.4546333903194788</v>
      </c>
      <c r="N835" s="360">
        <v>1.4624842511695595</v>
      </c>
      <c r="O835" s="360">
        <v>0.26833267547401995</v>
      </c>
      <c r="P835" s="360">
        <v>1.2506694275020231</v>
      </c>
      <c r="Q835" s="360">
        <v>2314.8175426799926</v>
      </c>
      <c r="R835" s="360">
        <v>2862.9368868328811</v>
      </c>
      <c r="S835" s="360">
        <v>0.22701616583167336</v>
      </c>
      <c r="T835" s="360">
        <v>1.4546333903194788</v>
      </c>
      <c r="U835" s="360">
        <v>1.4624842511695595</v>
      </c>
      <c r="V835" s="360">
        <v>0.26833267547401995</v>
      </c>
      <c r="W835" s="360">
        <v>1.2506694275020231</v>
      </c>
      <c r="X835" s="360">
        <v>2314.8175426799926</v>
      </c>
      <c r="Y835" s="360">
        <v>0.26070376402356238</v>
      </c>
      <c r="Z835" s="360">
        <v>1.2526449671175826</v>
      </c>
      <c r="AA835" s="360">
        <v>2314.2058255144652</v>
      </c>
      <c r="AB835" s="360">
        <v>0.22871822023688823</v>
      </c>
      <c r="AC835" s="360">
        <v>1.4343577369470764</v>
      </c>
      <c r="AD835" s="360">
        <v>1.3760924674864505</v>
      </c>
      <c r="AE835" s="360">
        <v>0.26729587576285674</v>
      </c>
      <c r="AF835" s="360">
        <v>1.2526453009725345</v>
      </c>
      <c r="AG835" s="360">
        <v>1758.8807151510578</v>
      </c>
      <c r="AH835" s="360">
        <v>2314.2058255144652</v>
      </c>
      <c r="AI835" s="360">
        <v>0.22871822023688823</v>
      </c>
      <c r="AJ835" s="360">
        <v>1.4343577369470764</v>
      </c>
      <c r="AK835" s="360">
        <v>1.3760924674864505</v>
      </c>
      <c r="AL835" s="360">
        <v>0.26729587576285674</v>
      </c>
      <c r="AM835" s="360">
        <v>1.2526453009725345</v>
      </c>
      <c r="AN835" s="360">
        <v>1758.8807151510578</v>
      </c>
      <c r="AO835" s="360">
        <f t="shared" si="36"/>
        <v>1</v>
      </c>
      <c r="AP835" s="360">
        <f t="shared" si="37"/>
        <v>1</v>
      </c>
      <c r="AQ835" s="360">
        <f t="shared" si="38"/>
        <v>1</v>
      </c>
    </row>
    <row r="836" spans="1:43">
      <c r="A836" s="360" t="s">
        <v>1083</v>
      </c>
      <c r="B836" t="s">
        <v>1075</v>
      </c>
      <c r="C836">
        <v>1</v>
      </c>
      <c r="D836" t="s">
        <v>1080</v>
      </c>
      <c r="E836" t="s">
        <v>1079</v>
      </c>
      <c r="F836" s="360">
        <v>12</v>
      </c>
      <c r="G836" s="360" t="str">
        <f>CONCATENATE(A836," ",B836," ",C836," ","inf+"," ",FanUpsizes!D836," ",FanUpsizes!F836)</f>
        <v>3ACH Percentile 1 inf+ Existing 12</v>
      </c>
      <c r="H836" s="360">
        <v>4.6926392718344596E-2</v>
      </c>
      <c r="I836" s="360">
        <v>0.35149400609201675</v>
      </c>
      <c r="J836" s="360">
        <v>1.2517735736449596</v>
      </c>
      <c r="K836" s="360">
        <v>3776.6054910512757</v>
      </c>
      <c r="L836" s="360">
        <v>0.30493603037291744</v>
      </c>
      <c r="M836" s="360">
        <v>1.579845032407893</v>
      </c>
      <c r="N836" s="360">
        <v>1.4953124732622436</v>
      </c>
      <c r="O836" s="360">
        <v>0.43266859035641997</v>
      </c>
      <c r="P836" s="360">
        <v>1.251776505240267</v>
      </c>
      <c r="Q836" s="360">
        <v>753.71191715718362</v>
      </c>
      <c r="R836" s="360">
        <v>6122.6939619183431</v>
      </c>
      <c r="S836" s="360">
        <v>0.24181448145777892</v>
      </c>
      <c r="T836" s="360">
        <v>1.9705406670014105</v>
      </c>
      <c r="U836" s="360">
        <v>2.3907392723565271</v>
      </c>
      <c r="V836" s="360">
        <v>0.48100064354444605</v>
      </c>
      <c r="W836" s="360">
        <v>1.2517741339187385</v>
      </c>
      <c r="X836" s="360">
        <v>2445.878513072249</v>
      </c>
      <c r="Y836" s="360">
        <v>0.37024326487425274</v>
      </c>
      <c r="Z836" s="360">
        <v>1.1889565985204071</v>
      </c>
      <c r="AA836" s="360">
        <v>4336.5775691072313</v>
      </c>
      <c r="AB836" s="360">
        <v>0.31683991488380198</v>
      </c>
      <c r="AC836" s="360">
        <v>1.5361815069727667</v>
      </c>
      <c r="AD836" s="360">
        <v>1.6125033395848793</v>
      </c>
      <c r="AE836" s="360">
        <v>0.47215534693284283</v>
      </c>
      <c r="AF836" s="360">
        <v>1.1889567224150281</v>
      </c>
      <c r="AG836" s="360">
        <v>651.00542590146301</v>
      </c>
      <c r="AH836" s="360">
        <v>7048.292197352459</v>
      </c>
      <c r="AI836" s="360">
        <v>0.24683005505862576</v>
      </c>
      <c r="AJ836" s="360">
        <v>1.9361731731047449</v>
      </c>
      <c r="AK836" s="360">
        <v>2.5620215643475799</v>
      </c>
      <c r="AL836" s="360">
        <v>0.52137796255438429</v>
      </c>
      <c r="AM836" s="360">
        <v>1.1889567637143772</v>
      </c>
      <c r="AN836" s="360">
        <v>2491.429619231631</v>
      </c>
      <c r="AO836" s="360">
        <f t="shared" si="36"/>
        <v>1</v>
      </c>
      <c r="AP836" s="360">
        <f t="shared" si="37"/>
        <v>1</v>
      </c>
      <c r="AQ836" s="360">
        <f t="shared" si="38"/>
        <v>1</v>
      </c>
    </row>
    <row r="837" spans="1:43">
      <c r="A837" s="360" t="s">
        <v>1083</v>
      </c>
      <c r="B837" t="s">
        <v>1074</v>
      </c>
      <c r="C837">
        <v>1</v>
      </c>
      <c r="D837" t="s">
        <v>1080</v>
      </c>
      <c r="E837" t="s">
        <v>1079</v>
      </c>
      <c r="F837" s="360">
        <v>12</v>
      </c>
      <c r="G837" s="360" t="str">
        <f>CONCATENATE(A837," ",B837," ",C837," ","inf+"," ",FanUpsizes!D837," ",FanUpsizes!F837)</f>
        <v>3ACH Infiltration 1 inf+ Existing 12</v>
      </c>
      <c r="H837" s="360">
        <v>4.6926392718344596E-2</v>
      </c>
      <c r="I837" s="360">
        <v>0.35149400609201675</v>
      </c>
      <c r="J837" s="360">
        <v>1.2517735736449596</v>
      </c>
      <c r="K837" s="360">
        <v>0</v>
      </c>
      <c r="L837" s="360">
        <v>0.35149400609201675</v>
      </c>
      <c r="M837" s="360">
        <v>1.2517735736449596</v>
      </c>
      <c r="N837" s="360">
        <v>1</v>
      </c>
      <c r="O837" s="360">
        <v>0.35149400609201675</v>
      </c>
      <c r="P837" s="360">
        <v>1.2517735736449596</v>
      </c>
      <c r="Q837" s="360">
        <v>0</v>
      </c>
      <c r="R837" s="360">
        <v>0</v>
      </c>
      <c r="S837" s="360">
        <v>0.35149400609201675</v>
      </c>
      <c r="T837" s="360">
        <v>1.2517735736449596</v>
      </c>
      <c r="U837" s="360">
        <v>1</v>
      </c>
      <c r="V837" s="360">
        <v>0.35149400609201675</v>
      </c>
      <c r="W837" s="360">
        <v>1.2517735736449596</v>
      </c>
      <c r="X837" s="360">
        <v>0</v>
      </c>
      <c r="Y837" s="360">
        <v>0.37024326487425274</v>
      </c>
      <c r="Z837" s="360">
        <v>1.1889565985204071</v>
      </c>
      <c r="AA837" s="360">
        <v>0</v>
      </c>
      <c r="AB837" s="360">
        <v>0.37024326487425274</v>
      </c>
      <c r="AC837" s="360">
        <v>1.1889565985204071</v>
      </c>
      <c r="AD837" s="360">
        <v>1</v>
      </c>
      <c r="AE837" s="360">
        <v>0.37024326487425274</v>
      </c>
      <c r="AF837" s="360">
        <v>1.1889565985204071</v>
      </c>
      <c r="AG837" s="360">
        <v>0</v>
      </c>
      <c r="AH837" s="360">
        <v>0</v>
      </c>
      <c r="AI837" s="360">
        <v>0.37024326487425274</v>
      </c>
      <c r="AJ837" s="360">
        <v>1.1889565985204071</v>
      </c>
      <c r="AK837" s="360">
        <v>1</v>
      </c>
      <c r="AL837" s="360">
        <v>0.37024326487425274</v>
      </c>
      <c r="AM837" s="360">
        <v>1.1889565985204071</v>
      </c>
      <c r="AN837" s="360">
        <v>0</v>
      </c>
      <c r="AO837" s="360">
        <f t="shared" si="36"/>
        <v>1</v>
      </c>
      <c r="AP837" s="360">
        <f t="shared" si="37"/>
        <v>0</v>
      </c>
      <c r="AQ837" s="360">
        <f t="shared" si="38"/>
        <v>0</v>
      </c>
    </row>
    <row r="838" spans="1:43">
      <c r="A838" s="360" t="s">
        <v>1083</v>
      </c>
      <c r="B838" t="s">
        <v>1076</v>
      </c>
      <c r="C838">
        <v>1</v>
      </c>
      <c r="D838" t="s">
        <v>1080</v>
      </c>
      <c r="E838" t="s">
        <v>1079</v>
      </c>
      <c r="F838" s="360">
        <v>12</v>
      </c>
      <c r="G838" s="360" t="str">
        <f>CONCATENATE(A838," ",B838," ",C838," ","inf+"," ",FanUpsizes!D838," ",FanUpsizes!F838)</f>
        <v>3ACH 5C 1 inf+ Existing 12</v>
      </c>
      <c r="H838" s="360">
        <v>4.6926392718344596E-2</v>
      </c>
      <c r="I838" s="360">
        <v>0.35149400609201675</v>
      </c>
      <c r="J838" s="360">
        <v>1.2517735736449596</v>
      </c>
      <c r="K838" s="360">
        <v>5694.7116786972165</v>
      </c>
      <c r="L838" s="360">
        <v>0.27251149916421852</v>
      </c>
      <c r="M838" s="360">
        <v>1.8468038892100151</v>
      </c>
      <c r="N838" s="360">
        <v>3.3010951204390326</v>
      </c>
      <c r="O838" s="360">
        <v>0.75150826041487895</v>
      </c>
      <c r="P838" s="360">
        <v>1.2517742620726144</v>
      </c>
      <c r="Q838" s="360">
        <v>-1508.2926645640987</v>
      </c>
      <c r="R838" s="360">
        <v>5694.7116786972165</v>
      </c>
      <c r="S838" s="360">
        <v>0.27251149916421852</v>
      </c>
      <c r="T838" s="360">
        <v>1.8468038892100151</v>
      </c>
      <c r="U838" s="360">
        <v>3.3010951204390326</v>
      </c>
      <c r="V838" s="360">
        <v>0.75150826041487895</v>
      </c>
      <c r="W838" s="360">
        <v>1.2517742620726144</v>
      </c>
      <c r="X838" s="360">
        <v>-1508.2926645640987</v>
      </c>
      <c r="Y838" s="360">
        <v>0.37024326487425274</v>
      </c>
      <c r="Z838" s="360">
        <v>1.1889565985204071</v>
      </c>
      <c r="AA838" s="360">
        <v>6458.1541955097064</v>
      </c>
      <c r="AB838" s="360">
        <v>0.28097375268994595</v>
      </c>
      <c r="AC838" s="360">
        <v>1.813637493261919</v>
      </c>
      <c r="AD838" s="360">
        <v>4.3108834452590834</v>
      </c>
      <c r="AE838" s="360">
        <v>0.96443768098255944</v>
      </c>
      <c r="AF838" s="360">
        <v>1.1889567340769955</v>
      </c>
      <c r="AG838" s="360">
        <v>-3801.938709722981</v>
      </c>
      <c r="AH838" s="360">
        <v>6458.1541955097064</v>
      </c>
      <c r="AI838" s="360">
        <v>0.28097375268994595</v>
      </c>
      <c r="AJ838" s="360">
        <v>1.813637493261919</v>
      </c>
      <c r="AK838" s="360">
        <v>4.3108834452590834</v>
      </c>
      <c r="AL838" s="360">
        <v>0.96443768098255944</v>
      </c>
      <c r="AM838" s="360">
        <v>1.1889567340769955</v>
      </c>
      <c r="AN838" s="360">
        <v>-3801.938709722981</v>
      </c>
      <c r="AO838" s="360">
        <f t="shared" si="36"/>
        <v>1</v>
      </c>
      <c r="AP838" s="360">
        <f t="shared" si="37"/>
        <v>1</v>
      </c>
      <c r="AQ838" s="360">
        <f t="shared" si="38"/>
        <v>1</v>
      </c>
    </row>
    <row r="839" spans="1:43">
      <c r="A839" s="360" t="s">
        <v>1083</v>
      </c>
      <c r="B839" t="s">
        <v>1075</v>
      </c>
      <c r="C839">
        <v>2</v>
      </c>
      <c r="D839" t="s">
        <v>1080</v>
      </c>
      <c r="E839" t="s">
        <v>1079</v>
      </c>
      <c r="F839" s="360">
        <v>12</v>
      </c>
      <c r="G839" s="360" t="str">
        <f>CONCATENATE(A839," ",B839," ",C839," ","inf+"," ",FanUpsizes!D839," ",FanUpsizes!F839)</f>
        <v>3ACH Percentile 2 inf+ Existing 12</v>
      </c>
      <c r="H839" s="360">
        <v>4.2904233106242438E-2</v>
      </c>
      <c r="I839" s="360">
        <v>0.34695191185204427</v>
      </c>
      <c r="J839" s="360">
        <v>1.2814698461033909</v>
      </c>
      <c r="K839" s="360">
        <v>3153.995903750194</v>
      </c>
      <c r="L839" s="360">
        <v>0.30838455385010355</v>
      </c>
      <c r="M839" s="360">
        <v>1.4862898318428397</v>
      </c>
      <c r="N839" s="360">
        <v>1.2956672607309552</v>
      </c>
      <c r="O839" s="360">
        <v>0.37011608334458057</v>
      </c>
      <c r="P839" s="360">
        <v>1.2814732954228734</v>
      </c>
      <c r="Q839" s="360">
        <v>1785.0332904104998</v>
      </c>
      <c r="R839" s="360">
        <v>4826.1513764546153</v>
      </c>
      <c r="S839" s="360">
        <v>0.26212416923759591</v>
      </c>
      <c r="T839" s="360">
        <v>1.7532152373157517</v>
      </c>
      <c r="U839" s="360">
        <v>1.9842855519402578</v>
      </c>
      <c r="V839" s="360">
        <v>0.39943644219904717</v>
      </c>
      <c r="W839" s="360">
        <v>1.2814703889232566</v>
      </c>
      <c r="X839" s="360">
        <v>3068.3431676910627</v>
      </c>
      <c r="Y839" s="360">
        <v>0.36125250024796701</v>
      </c>
      <c r="Z839" s="360">
        <v>1.2246403850881913</v>
      </c>
      <c r="AA839" s="360">
        <v>3326.8408278980919</v>
      </c>
      <c r="AB839" s="360">
        <v>0.32031590066723542</v>
      </c>
      <c r="AC839" s="360">
        <v>1.4369824941071927</v>
      </c>
      <c r="AD839" s="360">
        <v>1.3291094978005824</v>
      </c>
      <c r="AE839" s="360">
        <v>0.39316720268312255</v>
      </c>
      <c r="AF839" s="360">
        <v>1.2246403892358462</v>
      </c>
      <c r="AG839" s="360">
        <v>1625.5218686655467</v>
      </c>
      <c r="AH839" s="360">
        <v>5565.7553595002009</v>
      </c>
      <c r="AI839" s="360">
        <v>0.26180940349585602</v>
      </c>
      <c r="AJ839" s="360">
        <v>1.7603894056016105</v>
      </c>
      <c r="AK839" s="360">
        <v>2.0546733478126669</v>
      </c>
      <c r="AL839" s="360">
        <v>0.42188762269986113</v>
      </c>
      <c r="AM839" s="360">
        <v>1.2246413666028517</v>
      </c>
      <c r="AN839" s="360">
        <v>3065.3214811275193</v>
      </c>
      <c r="AO839" s="360">
        <f t="shared" si="36"/>
        <v>1</v>
      </c>
      <c r="AP839" s="360">
        <f t="shared" si="37"/>
        <v>1</v>
      </c>
      <c r="AQ839" s="360">
        <f t="shared" si="38"/>
        <v>1</v>
      </c>
    </row>
    <row r="840" spans="1:43">
      <c r="A840" s="360" t="s">
        <v>1083</v>
      </c>
      <c r="B840" t="s">
        <v>1074</v>
      </c>
      <c r="C840">
        <v>2</v>
      </c>
      <c r="D840" t="s">
        <v>1080</v>
      </c>
      <c r="E840" t="s">
        <v>1079</v>
      </c>
      <c r="F840" s="360">
        <v>12</v>
      </c>
      <c r="G840" s="360" t="str">
        <f>CONCATENATE(A840," ",B840," ",C840," ","inf+"," ",FanUpsizes!D840," ",FanUpsizes!F840)</f>
        <v>3ACH Infiltration 2 inf+ Existing 12</v>
      </c>
      <c r="H840" s="360">
        <v>4.2904233106242438E-2</v>
      </c>
      <c r="I840" s="360">
        <v>0.34695191185204427</v>
      </c>
      <c r="J840" s="360">
        <v>1.2814698461033909</v>
      </c>
      <c r="K840" s="360">
        <v>0</v>
      </c>
      <c r="L840" s="360">
        <v>0.34695191185204427</v>
      </c>
      <c r="M840" s="360">
        <v>1.2814698461033909</v>
      </c>
      <c r="N840" s="360">
        <v>1</v>
      </c>
      <c r="O840" s="360">
        <v>0.34695191185204427</v>
      </c>
      <c r="P840" s="360">
        <v>1.2814698461033909</v>
      </c>
      <c r="Q840" s="360">
        <v>0</v>
      </c>
      <c r="R840" s="360">
        <v>111.85601351540454</v>
      </c>
      <c r="S840" s="360">
        <v>0.34593972826345964</v>
      </c>
      <c r="T840" s="360">
        <v>1.2847841861499754</v>
      </c>
      <c r="U840" s="360">
        <v>1.003569454330369</v>
      </c>
      <c r="V840" s="360">
        <v>0.34678203142131286</v>
      </c>
      <c r="W840" s="360">
        <v>1.2814705410290432</v>
      </c>
      <c r="X840" s="360">
        <v>85.430264217348167</v>
      </c>
      <c r="Y840" s="360">
        <v>0.36125250024796701</v>
      </c>
      <c r="Z840" s="360">
        <v>1.2246403850881913</v>
      </c>
      <c r="AA840" s="360">
        <v>0</v>
      </c>
      <c r="AB840" s="360">
        <v>0.36125250024796701</v>
      </c>
      <c r="AC840" s="360">
        <v>1.2246403850881913</v>
      </c>
      <c r="AD840" s="360">
        <v>1</v>
      </c>
      <c r="AE840" s="360">
        <v>0.36125250024796701</v>
      </c>
      <c r="AF840" s="360">
        <v>1.2246403850881913</v>
      </c>
      <c r="AG840" s="360">
        <v>0</v>
      </c>
      <c r="AH840" s="360">
        <v>154.82122595931648</v>
      </c>
      <c r="AI840" s="360">
        <v>0.35984665583398379</v>
      </c>
      <c r="AJ840" s="360">
        <v>1.2295750452887317</v>
      </c>
      <c r="AK840" s="360">
        <v>1.0050936418246226</v>
      </c>
      <c r="AL840" s="360">
        <v>0.36126287130639945</v>
      </c>
      <c r="AM840" s="360">
        <v>1.2246506134170352</v>
      </c>
      <c r="AN840" s="360">
        <v>104.17821212565687</v>
      </c>
      <c r="AO840" s="360">
        <f t="shared" si="36"/>
        <v>1</v>
      </c>
      <c r="AP840" s="360">
        <f t="shared" si="37"/>
        <v>0</v>
      </c>
      <c r="AQ840" s="360">
        <f t="shared" si="38"/>
        <v>0</v>
      </c>
    </row>
    <row r="841" spans="1:43">
      <c r="A841" s="360" t="s">
        <v>1083</v>
      </c>
      <c r="B841" t="s">
        <v>1076</v>
      </c>
      <c r="C841">
        <v>2</v>
      </c>
      <c r="D841" t="s">
        <v>1080</v>
      </c>
      <c r="E841" t="s">
        <v>1079</v>
      </c>
      <c r="F841" s="360">
        <v>12</v>
      </c>
      <c r="G841" s="360" t="str">
        <f>CONCATENATE(A841," ",B841," ",C841," ","inf+"," ",FanUpsizes!D841," ",FanUpsizes!F841)</f>
        <v>3ACH 5C 2 inf+ Existing 12</v>
      </c>
      <c r="H841" s="360">
        <v>4.2904233106242438E-2</v>
      </c>
      <c r="I841" s="360">
        <v>0.34695191185204427</v>
      </c>
      <c r="J841" s="360">
        <v>1.2814698461033909</v>
      </c>
      <c r="K841" s="360">
        <v>4664.1810658090753</v>
      </c>
      <c r="L841" s="360">
        <v>0.282956749126621</v>
      </c>
      <c r="M841" s="360">
        <v>1.6506580420461454</v>
      </c>
      <c r="N841" s="360">
        <v>1.8175008385920546</v>
      </c>
      <c r="O841" s="360">
        <v>0.43033649083883652</v>
      </c>
      <c r="P841" s="360">
        <v>1.281470363493161</v>
      </c>
      <c r="Q841" s="360">
        <v>2529.6057086669416</v>
      </c>
      <c r="R841" s="360">
        <v>4664.1810658090753</v>
      </c>
      <c r="S841" s="360">
        <v>0.282956749126621</v>
      </c>
      <c r="T841" s="360">
        <v>1.6506580420461454</v>
      </c>
      <c r="U841" s="360">
        <v>1.8175008385920546</v>
      </c>
      <c r="V841" s="360">
        <v>0.43033649083883652</v>
      </c>
      <c r="W841" s="360">
        <v>1.281470363493161</v>
      </c>
      <c r="X841" s="360">
        <v>2529.6057086669416</v>
      </c>
      <c r="Y841" s="360">
        <v>0.36125250024796701</v>
      </c>
      <c r="Z841" s="360">
        <v>1.2246403850881913</v>
      </c>
      <c r="AA841" s="360">
        <v>4981.575768455853</v>
      </c>
      <c r="AB841" s="360">
        <v>0.29237079031134183</v>
      </c>
      <c r="AC841" s="360">
        <v>1.6105534086708697</v>
      </c>
      <c r="AD841" s="360">
        <v>1.9984873188313457</v>
      </c>
      <c r="AE841" s="360">
        <v>0.47418011236816121</v>
      </c>
      <c r="AF841" s="360">
        <v>1.2246406056450132</v>
      </c>
      <c r="AG841" s="360">
        <v>2285.2552089695496</v>
      </c>
      <c r="AH841" s="360">
        <v>4981.575768455853</v>
      </c>
      <c r="AI841" s="360">
        <v>0.29237079031134183</v>
      </c>
      <c r="AJ841" s="360">
        <v>1.6105534086708697</v>
      </c>
      <c r="AK841" s="360">
        <v>1.9984873188313457</v>
      </c>
      <c r="AL841" s="360">
        <v>0.47418011236816121</v>
      </c>
      <c r="AM841" s="360">
        <v>1.2246406056450132</v>
      </c>
      <c r="AN841" s="360">
        <v>2285.2552089695496</v>
      </c>
      <c r="AO841" s="360">
        <f t="shared" si="36"/>
        <v>1</v>
      </c>
      <c r="AP841" s="360">
        <f t="shared" si="37"/>
        <v>1</v>
      </c>
      <c r="AQ841" s="360">
        <f t="shared" si="38"/>
        <v>1</v>
      </c>
    </row>
    <row r="842" spans="1:43">
      <c r="A842" s="360" t="s">
        <v>1084</v>
      </c>
      <c r="B842" t="s">
        <v>1075</v>
      </c>
      <c r="C842">
        <v>1</v>
      </c>
      <c r="D842" t="s">
        <v>1078</v>
      </c>
      <c r="E842" t="s">
        <v>1079</v>
      </c>
      <c r="F842" s="360">
        <v>12</v>
      </c>
      <c r="G842" s="360" t="str">
        <f>CONCATENATE(A842," ",B842," ",C842," ","inf+"," ",FanUpsizes!D842," ",FanUpsizes!F842)</f>
        <v>1.5ACH Percentile 1 inf+ New 12</v>
      </c>
      <c r="H842" s="360">
        <v>3.69706963591723E-2</v>
      </c>
      <c r="I842" s="360">
        <v>0.27313239155146862</v>
      </c>
      <c r="J842" s="360">
        <v>1.1691667119670313</v>
      </c>
      <c r="K842" s="360">
        <v>3756.8280397963817</v>
      </c>
      <c r="L842" s="360">
        <v>0.22682708827948109</v>
      </c>
      <c r="M842" s="360">
        <v>1.7297652768892531</v>
      </c>
      <c r="N842" s="360">
        <v>2.3081114957980313</v>
      </c>
      <c r="O842" s="360">
        <v>0.49673263538582424</v>
      </c>
      <c r="P842" s="360">
        <v>1.1691670282623485</v>
      </c>
      <c r="Q842" s="360">
        <v>-2730.0476852911352</v>
      </c>
      <c r="R842" s="360">
        <v>6046.1415733510767</v>
      </c>
      <c r="S842" s="360">
        <v>0.16793601393996194</v>
      </c>
      <c r="T842" s="360">
        <v>2.2455947766618976</v>
      </c>
      <c r="U842" s="360">
        <v>3.7648797159047187</v>
      </c>
      <c r="V842" s="360">
        <v>0.56558635080847608</v>
      </c>
      <c r="W842" s="360">
        <v>1.1691667513640498</v>
      </c>
      <c r="X842" s="360">
        <v>-818.83276736382675</v>
      </c>
      <c r="Y842" s="360">
        <v>0.28070238765176142</v>
      </c>
      <c r="Z842" s="360">
        <v>1.138047385473663</v>
      </c>
      <c r="AA842" s="360">
        <v>4007.2374184334499</v>
      </c>
      <c r="AB842" s="360">
        <v>0.23135679261051903</v>
      </c>
      <c r="AC842" s="360">
        <v>1.7078798697134325</v>
      </c>
      <c r="AD842" s="360">
        <v>2.4753755155654891</v>
      </c>
      <c r="AE842" s="360">
        <v>0.53320089002138016</v>
      </c>
      <c r="AF842" s="360">
        <v>1.1380475054478822</v>
      </c>
      <c r="AG842" s="360">
        <v>-3224.3223975487967</v>
      </c>
      <c r="AH842" s="360">
        <v>6297.1850664537587</v>
      </c>
      <c r="AI842" s="360">
        <v>0.17278027154072928</v>
      </c>
      <c r="AJ842" s="360">
        <v>2.1826673991635115</v>
      </c>
      <c r="AK842" s="360">
        <v>4.033871949777355</v>
      </c>
      <c r="AL842" s="360">
        <v>0.60660181113910649</v>
      </c>
      <c r="AM842" s="360">
        <v>1.138048454124077</v>
      </c>
      <c r="AN842" s="360">
        <v>-1179.3346812909579</v>
      </c>
      <c r="AO842" s="360">
        <f t="shared" si="36"/>
        <v>1</v>
      </c>
      <c r="AP842" s="360">
        <f t="shared" si="37"/>
        <v>1</v>
      </c>
      <c r="AQ842" s="360">
        <f t="shared" si="38"/>
        <v>1</v>
      </c>
    </row>
    <row r="843" spans="1:43">
      <c r="A843" s="360" t="s">
        <v>1084</v>
      </c>
      <c r="B843" t="s">
        <v>1074</v>
      </c>
      <c r="C843">
        <v>1</v>
      </c>
      <c r="D843" t="s">
        <v>1078</v>
      </c>
      <c r="E843" t="s">
        <v>1079</v>
      </c>
      <c r="F843" s="360">
        <v>12</v>
      </c>
      <c r="G843" s="360" t="str">
        <f>CONCATENATE(A843," ",B843," ",C843," ","inf+"," ",FanUpsizes!D843," ",FanUpsizes!F843)</f>
        <v>1.5ACH Infiltration 1 inf+ New 12</v>
      </c>
      <c r="H843" s="360">
        <v>3.69706963591723E-2</v>
      </c>
      <c r="I843" s="360">
        <v>0.27313239155146862</v>
      </c>
      <c r="J843" s="360">
        <v>1.1691667119670313</v>
      </c>
      <c r="K843" s="360">
        <v>0</v>
      </c>
      <c r="L843" s="360">
        <v>0.27313239155146862</v>
      </c>
      <c r="M843" s="360">
        <v>1.1691667119670313</v>
      </c>
      <c r="N843" s="360">
        <v>1</v>
      </c>
      <c r="O843" s="360">
        <v>0.27313239155146862</v>
      </c>
      <c r="P843" s="360">
        <v>1.1691667119670313</v>
      </c>
      <c r="Q843" s="360">
        <v>0</v>
      </c>
      <c r="R843" s="360">
        <v>0</v>
      </c>
      <c r="S843" s="360">
        <v>0.27313239155146862</v>
      </c>
      <c r="T843" s="360">
        <v>1.1691667119670313</v>
      </c>
      <c r="U843" s="360">
        <v>1</v>
      </c>
      <c r="V843" s="360">
        <v>0.27313239155146862</v>
      </c>
      <c r="W843" s="360">
        <v>1.1691667119670313</v>
      </c>
      <c r="X843" s="360">
        <v>0</v>
      </c>
      <c r="Y843" s="360">
        <v>0.28070238765176142</v>
      </c>
      <c r="Z843" s="360">
        <v>1.138047385473663</v>
      </c>
      <c r="AA843" s="360">
        <v>0</v>
      </c>
      <c r="AB843" s="360">
        <v>0.28070238765176142</v>
      </c>
      <c r="AC843" s="360">
        <v>1.138047385473663</v>
      </c>
      <c r="AD843" s="360">
        <v>1</v>
      </c>
      <c r="AE843" s="360">
        <v>0.28070238765176142</v>
      </c>
      <c r="AF843" s="360">
        <v>1.138047385473663</v>
      </c>
      <c r="AG843" s="360">
        <v>0</v>
      </c>
      <c r="AH843" s="360">
        <v>0</v>
      </c>
      <c r="AI843" s="360">
        <v>0.28070238765176142</v>
      </c>
      <c r="AJ843" s="360">
        <v>1.138047385473663</v>
      </c>
      <c r="AK843" s="360">
        <v>1</v>
      </c>
      <c r="AL843" s="360">
        <v>0.28070238765176142</v>
      </c>
      <c r="AM843" s="360">
        <v>1.138047385473663</v>
      </c>
      <c r="AN843" s="360">
        <v>0</v>
      </c>
      <c r="AO843" s="360">
        <f t="shared" si="36"/>
        <v>1</v>
      </c>
      <c r="AP843" s="360">
        <f t="shared" si="37"/>
        <v>0</v>
      </c>
      <c r="AQ843" s="360">
        <f t="shared" si="38"/>
        <v>0</v>
      </c>
    </row>
    <row r="844" spans="1:43">
      <c r="A844" s="360" t="s">
        <v>1084</v>
      </c>
      <c r="B844" t="s">
        <v>1076</v>
      </c>
      <c r="C844">
        <v>1</v>
      </c>
      <c r="D844" t="s">
        <v>1078</v>
      </c>
      <c r="E844" t="s">
        <v>1079</v>
      </c>
      <c r="F844" s="360">
        <v>12</v>
      </c>
      <c r="G844" s="360" t="str">
        <f>CONCATENATE(A844," ",B844," ",C844," ","inf+"," ",FanUpsizes!D844," ",FanUpsizes!F844)</f>
        <v>1.5ACH 5C 1 inf+ New 12</v>
      </c>
      <c r="H844" s="360">
        <v>3.69706963591723E-2</v>
      </c>
      <c r="I844" s="360">
        <v>0.27313239155146862</v>
      </c>
      <c r="J844" s="360">
        <v>1.1691667119670313</v>
      </c>
      <c r="K844" s="360">
        <v>5588.8331293672663</v>
      </c>
      <c r="L844" s="360">
        <v>0.19582848671800704</v>
      </c>
      <c r="M844" s="360">
        <v>2.1765728679104819</v>
      </c>
      <c r="N844" s="360">
        <v>10.819379654469543</v>
      </c>
      <c r="O844" s="360">
        <v>1.8095787336481497</v>
      </c>
      <c r="P844" s="360">
        <v>1.3907694992269397</v>
      </c>
      <c r="Q844" s="360">
        <v>-18732.953666196874</v>
      </c>
      <c r="R844" s="360">
        <v>5588.8331293672663</v>
      </c>
      <c r="S844" s="360">
        <v>0.19582848671800704</v>
      </c>
      <c r="T844" s="360">
        <v>2.1765728679104819</v>
      </c>
      <c r="U844" s="360">
        <v>10.819379654469543</v>
      </c>
      <c r="V844" s="360">
        <v>1.8095787336481497</v>
      </c>
      <c r="W844" s="360">
        <v>1.3907694992269397</v>
      </c>
      <c r="X844" s="360">
        <v>-18732.953666196874</v>
      </c>
      <c r="Y844" s="360">
        <v>0.28070238765176142</v>
      </c>
      <c r="Z844" s="360">
        <v>1.138047385473663</v>
      </c>
      <c r="AA844" s="360">
        <v>5927.5647053132207</v>
      </c>
      <c r="AB844" s="360">
        <v>0.19887152926630766</v>
      </c>
      <c r="AC844" s="360">
        <v>2.1600549815911694</v>
      </c>
      <c r="AD844" s="360">
        <v>10.819379654469543</v>
      </c>
      <c r="AE844" s="360">
        <v>1.8098691551645616</v>
      </c>
      <c r="AF844" s="360">
        <v>1.3907552026354328</v>
      </c>
      <c r="AG844" s="360">
        <v>-18336.507904570935</v>
      </c>
      <c r="AH844" s="360">
        <v>5927.5647053132207</v>
      </c>
      <c r="AI844" s="360">
        <v>0.19887152926630766</v>
      </c>
      <c r="AJ844" s="360">
        <v>2.1600549815911694</v>
      </c>
      <c r="AK844" s="360">
        <v>10.819379654469543</v>
      </c>
      <c r="AL844" s="360">
        <v>1.8098691551645616</v>
      </c>
      <c r="AM844" s="360">
        <v>1.3907552026354328</v>
      </c>
      <c r="AN844" s="360">
        <v>-18336.507904570935</v>
      </c>
      <c r="AO844" s="360">
        <f t="shared" si="36"/>
        <v>0</v>
      </c>
      <c r="AP844" s="360">
        <f t="shared" si="37"/>
        <v>1</v>
      </c>
      <c r="AQ844" s="360">
        <f t="shared" si="38"/>
        <v>1</v>
      </c>
    </row>
    <row r="845" spans="1:43">
      <c r="A845" s="360" t="s">
        <v>1084</v>
      </c>
      <c r="B845" t="s">
        <v>1075</v>
      </c>
      <c r="C845">
        <v>2</v>
      </c>
      <c r="D845" t="s">
        <v>1078</v>
      </c>
      <c r="E845" t="s">
        <v>1079</v>
      </c>
      <c r="F845" s="360">
        <v>12</v>
      </c>
      <c r="G845" s="360" t="str">
        <f>CONCATENATE(A845," ",B845," ",C845," ","inf+"," ",FanUpsizes!D845," ",FanUpsizes!F845)</f>
        <v>1.5ACH Percentile 2 inf+ New 12</v>
      </c>
      <c r="H845" s="360">
        <v>3.4959616553121214E-2</v>
      </c>
      <c r="I845" s="360">
        <v>0.26019401643354062</v>
      </c>
      <c r="J845" s="360">
        <v>1.2283107544533922</v>
      </c>
      <c r="K845" s="360">
        <v>3014.5669948007253</v>
      </c>
      <c r="L845" s="360">
        <v>0.22302129037286952</v>
      </c>
      <c r="M845" s="360">
        <v>1.6066211102315513</v>
      </c>
      <c r="N845" s="360">
        <v>1.6096322743841718</v>
      </c>
      <c r="O845" s="360">
        <v>0.34103653670045919</v>
      </c>
      <c r="P845" s="360">
        <v>1.2283107567857638</v>
      </c>
      <c r="Q845" s="360">
        <v>201.50805509549946</v>
      </c>
      <c r="R845" s="360">
        <v>4889.7314598576158</v>
      </c>
      <c r="S845" s="360">
        <v>0.17335977449901105</v>
      </c>
      <c r="T845" s="360">
        <v>2.0309184995553538</v>
      </c>
      <c r="U845" s="360">
        <v>2.5884210828275398</v>
      </c>
      <c r="V845" s="360">
        <v>0.38153465476083559</v>
      </c>
      <c r="W845" s="360">
        <v>1.2283107981129113</v>
      </c>
      <c r="X845" s="360">
        <v>1539.3972570183003</v>
      </c>
      <c r="Y845" s="360">
        <v>0.27259189668210315</v>
      </c>
      <c r="Z845" s="360">
        <v>1.1731573752002349</v>
      </c>
      <c r="AA845" s="360">
        <v>3396.388330935974</v>
      </c>
      <c r="AB845" s="360">
        <v>0.23077676121672139</v>
      </c>
      <c r="AC845" s="360">
        <v>1.5679217147189732</v>
      </c>
      <c r="AD845" s="360">
        <v>1.7350838190637836</v>
      </c>
      <c r="AE845" s="360">
        <v>0.3706579205819463</v>
      </c>
      <c r="AF845" s="360">
        <v>1.1731573811964338</v>
      </c>
      <c r="AG845" s="360">
        <v>65.949519618249994</v>
      </c>
      <c r="AH845" s="360">
        <v>5458.6604271838023</v>
      </c>
      <c r="AI845" s="360">
        <v>0.17768193204677346</v>
      </c>
      <c r="AJ845" s="360">
        <v>1.9867643592909252</v>
      </c>
      <c r="AK845" s="360">
        <v>2.7773006452879465</v>
      </c>
      <c r="AL845" s="360">
        <v>0.41271155553628114</v>
      </c>
      <c r="AM845" s="360">
        <v>1.1731573795135608</v>
      </c>
      <c r="AN845" s="360">
        <v>1510.1543513094637</v>
      </c>
      <c r="AO845" s="360">
        <f t="shared" si="36"/>
        <v>1</v>
      </c>
      <c r="AP845" s="360">
        <f t="shared" si="37"/>
        <v>1</v>
      </c>
      <c r="AQ845" s="360">
        <f t="shared" si="38"/>
        <v>1</v>
      </c>
    </row>
    <row r="846" spans="1:43">
      <c r="A846" s="360" t="s">
        <v>1084</v>
      </c>
      <c r="B846" t="s">
        <v>1074</v>
      </c>
      <c r="C846">
        <v>2</v>
      </c>
      <c r="D846" t="s">
        <v>1078</v>
      </c>
      <c r="E846" t="s">
        <v>1079</v>
      </c>
      <c r="F846" s="360">
        <v>12</v>
      </c>
      <c r="G846" s="360" t="str">
        <f>CONCATENATE(A846," ",B846," ",C846," ","inf+"," ",FanUpsizes!D846," ",FanUpsizes!F846)</f>
        <v>1.5ACH Infiltration 2 inf+ New 12</v>
      </c>
      <c r="H846" s="360">
        <v>3.4959616553121214E-2</v>
      </c>
      <c r="I846" s="360">
        <v>0.26019401643354062</v>
      </c>
      <c r="J846" s="360">
        <v>1.2283107544533922</v>
      </c>
      <c r="K846" s="360">
        <v>0</v>
      </c>
      <c r="L846" s="360">
        <v>0.26019401643354062</v>
      </c>
      <c r="M846" s="360">
        <v>1.2283107544533922</v>
      </c>
      <c r="N846" s="360">
        <v>1</v>
      </c>
      <c r="O846" s="360">
        <v>0.26019401643354062</v>
      </c>
      <c r="P846" s="360">
        <v>1.2283107544533922</v>
      </c>
      <c r="Q846" s="360">
        <v>0</v>
      </c>
      <c r="R846" s="360">
        <v>0</v>
      </c>
      <c r="S846" s="360">
        <v>0.26019401643354062</v>
      </c>
      <c r="T846" s="360">
        <v>1.2283107544533922</v>
      </c>
      <c r="U846" s="360">
        <v>1</v>
      </c>
      <c r="V846" s="360">
        <v>0.26019401643354062</v>
      </c>
      <c r="W846" s="360">
        <v>1.2283107544533922</v>
      </c>
      <c r="X846" s="360">
        <v>0</v>
      </c>
      <c r="Y846" s="360">
        <v>0.27259189668210315</v>
      </c>
      <c r="Z846" s="360">
        <v>1.1731573752002349</v>
      </c>
      <c r="AA846" s="360">
        <v>0</v>
      </c>
      <c r="AB846" s="360">
        <v>0.27259189668210315</v>
      </c>
      <c r="AC846" s="360">
        <v>1.1731573752002349</v>
      </c>
      <c r="AD846" s="360">
        <v>1</v>
      </c>
      <c r="AE846" s="360">
        <v>0.27259189668210315</v>
      </c>
      <c r="AF846" s="360">
        <v>1.1731573752002349</v>
      </c>
      <c r="AG846" s="360">
        <v>0</v>
      </c>
      <c r="AH846" s="360">
        <v>0</v>
      </c>
      <c r="AI846" s="360">
        <v>0.27259189668210315</v>
      </c>
      <c r="AJ846" s="360">
        <v>1.1731573752002349</v>
      </c>
      <c r="AK846" s="360">
        <v>1</v>
      </c>
      <c r="AL846" s="360">
        <v>0.27259189668210315</v>
      </c>
      <c r="AM846" s="360">
        <v>1.1731573752002349</v>
      </c>
      <c r="AN846" s="360">
        <v>0</v>
      </c>
      <c r="AO846" s="360">
        <f t="shared" si="36"/>
        <v>1</v>
      </c>
      <c r="AP846" s="360">
        <f t="shared" si="37"/>
        <v>0</v>
      </c>
      <c r="AQ846" s="360">
        <f t="shared" si="38"/>
        <v>0</v>
      </c>
    </row>
    <row r="847" spans="1:43">
      <c r="A847" s="360" t="s">
        <v>1084</v>
      </c>
      <c r="B847" t="s">
        <v>1076</v>
      </c>
      <c r="C847">
        <v>2</v>
      </c>
      <c r="D847" t="s">
        <v>1078</v>
      </c>
      <c r="E847" t="s">
        <v>1079</v>
      </c>
      <c r="F847" s="360">
        <v>12</v>
      </c>
      <c r="G847" s="360" t="str">
        <f>CONCATENATE(A847," ",B847," ",C847," ","inf+"," ",FanUpsizes!D847," ",FanUpsizes!F847)</f>
        <v>1.5ACH 5C 2 inf+ New 12</v>
      </c>
      <c r="H847" s="360">
        <v>3.4959616553121214E-2</v>
      </c>
      <c r="I847" s="360">
        <v>0.26019401643354062</v>
      </c>
      <c r="J847" s="360">
        <v>1.2283107544533922</v>
      </c>
      <c r="K847" s="360">
        <v>4525.059002057309</v>
      </c>
      <c r="L847" s="360">
        <v>0.1974717526932514</v>
      </c>
      <c r="M847" s="360">
        <v>1.9090357614515887</v>
      </c>
      <c r="N847" s="360">
        <v>4.5643765424736946</v>
      </c>
      <c r="O847" s="360">
        <v>0.75095674699639237</v>
      </c>
      <c r="P847" s="360">
        <v>1.2283114170394633</v>
      </c>
      <c r="Q847" s="360">
        <v>-3809.9861610594407</v>
      </c>
      <c r="R847" s="360">
        <v>4525.059002057309</v>
      </c>
      <c r="S847" s="360">
        <v>0.1974717526932514</v>
      </c>
      <c r="T847" s="360">
        <v>1.9090357614515887</v>
      </c>
      <c r="U847" s="360">
        <v>4.5643765424736946</v>
      </c>
      <c r="V847" s="360">
        <v>0.75095674699639237</v>
      </c>
      <c r="W847" s="360">
        <v>1.2283114170394633</v>
      </c>
      <c r="X847" s="360">
        <v>-3809.9861610594407</v>
      </c>
      <c r="Y847" s="360">
        <v>0.27259189668210315</v>
      </c>
      <c r="Z847" s="360">
        <v>1.1731573752002349</v>
      </c>
      <c r="AA847" s="360">
        <v>5041.4876591062784</v>
      </c>
      <c r="AB847" s="360">
        <v>0.20295665076963562</v>
      </c>
      <c r="AC847" s="360">
        <v>1.8792501252424449</v>
      </c>
      <c r="AD847" s="360">
        <v>6.3356616335888667</v>
      </c>
      <c r="AE847" s="360">
        <v>1.027198681218684</v>
      </c>
      <c r="AF847" s="360">
        <v>1.1731573775272655</v>
      </c>
      <c r="AG847" s="360">
        <v>-7354.1724185652647</v>
      </c>
      <c r="AH847" s="360">
        <v>5041.4876591062784</v>
      </c>
      <c r="AI847" s="360">
        <v>0.20295665076963562</v>
      </c>
      <c r="AJ847" s="360">
        <v>1.8792501252424449</v>
      </c>
      <c r="AK847" s="360">
        <v>6.3356616335888667</v>
      </c>
      <c r="AL847" s="360">
        <v>1.027198681218684</v>
      </c>
      <c r="AM847" s="360">
        <v>1.1731573775272655</v>
      </c>
      <c r="AN847" s="360">
        <v>-7354.1724185652647</v>
      </c>
      <c r="AO847" s="360">
        <f t="shared" si="36"/>
        <v>1</v>
      </c>
      <c r="AP847" s="360">
        <f t="shared" si="37"/>
        <v>1</v>
      </c>
      <c r="AQ847" s="360">
        <f t="shared" si="38"/>
        <v>1</v>
      </c>
    </row>
    <row r="848" spans="1:43">
      <c r="A848" s="360" t="s">
        <v>1084</v>
      </c>
      <c r="B848" t="s">
        <v>1075</v>
      </c>
      <c r="C848">
        <v>1</v>
      </c>
      <c r="D848" t="s">
        <v>1080</v>
      </c>
      <c r="E848" t="s">
        <v>1079</v>
      </c>
      <c r="F848" s="360">
        <v>12</v>
      </c>
      <c r="G848" s="360" t="str">
        <f>CONCATENATE(A848," ",B848," ",C848," ","inf+"," ",FanUpsizes!D848," ",FanUpsizes!F848)</f>
        <v>1.5ACH Percentile 1 inf+ Existing 12</v>
      </c>
      <c r="H848" s="360">
        <v>5.3220696359172301E-2</v>
      </c>
      <c r="I848" s="360">
        <v>0.39284119734939371</v>
      </c>
      <c r="J848" s="360">
        <v>1.1181491231977798</v>
      </c>
      <c r="K848" s="360">
        <v>6122.6815018964298</v>
      </c>
      <c r="L848" s="360">
        <v>0.3174310234104748</v>
      </c>
      <c r="M848" s="360">
        <v>1.9669696365752365</v>
      </c>
      <c r="N848" s="360">
        <v>7.5158730975729178</v>
      </c>
      <c r="O848" s="360">
        <v>2.2539899313050062</v>
      </c>
      <c r="P848" s="360">
        <v>1.1348142372127819</v>
      </c>
      <c r="Q848" s="360">
        <v>-40450.301730348379</v>
      </c>
      <c r="R848" s="360">
        <v>9585.3333209896391</v>
      </c>
      <c r="S848" s="360">
        <v>0.22936832477409724</v>
      </c>
      <c r="T848" s="360">
        <v>2.5219433114551908</v>
      </c>
      <c r="U848" s="360">
        <v>7.5158730975729178</v>
      </c>
      <c r="V848" s="360">
        <v>1.587524542989915</v>
      </c>
      <c r="W848" s="360">
        <v>1.2168601843557219</v>
      </c>
      <c r="X848" s="360">
        <v>-14171.095347955041</v>
      </c>
      <c r="Y848" s="360">
        <v>0.39831943538351045</v>
      </c>
      <c r="Z848" s="360">
        <v>1.1029041898125267</v>
      </c>
      <c r="AA848" s="360">
        <v>6303.7671943154664</v>
      </c>
      <c r="AB848" s="360">
        <v>0.32070672880908802</v>
      </c>
      <c r="AC848" s="360">
        <v>1.9560116207939802</v>
      </c>
      <c r="AD848" s="360">
        <v>7.5158730975729178</v>
      </c>
      <c r="AE848" s="360">
        <v>2.254434370261337</v>
      </c>
      <c r="AF848" s="360">
        <v>1.1347871743723634</v>
      </c>
      <c r="AG848" s="360">
        <v>-40172.365210411779</v>
      </c>
      <c r="AH848" s="360">
        <v>9696.2740565585391</v>
      </c>
      <c r="AI848" s="360">
        <v>0.23428043542306634</v>
      </c>
      <c r="AJ848" s="360">
        <v>2.470640927869201</v>
      </c>
      <c r="AK848" s="360">
        <v>7.5158730975729178</v>
      </c>
      <c r="AL848" s="360">
        <v>1.5882919206869168</v>
      </c>
      <c r="AM848" s="360">
        <v>1.2166804908113174</v>
      </c>
      <c r="AN848" s="360">
        <v>-13908.214297523813</v>
      </c>
      <c r="AO848" s="360">
        <f t="shared" si="36"/>
        <v>0</v>
      </c>
      <c r="AP848" s="360">
        <f t="shared" si="37"/>
        <v>1</v>
      </c>
      <c r="AQ848" s="360">
        <f t="shared" si="38"/>
        <v>1</v>
      </c>
    </row>
    <row r="849" spans="1:43">
      <c r="A849" s="360" t="s">
        <v>1084</v>
      </c>
      <c r="B849" t="s">
        <v>1074</v>
      </c>
      <c r="C849">
        <v>1</v>
      </c>
      <c r="D849" t="s">
        <v>1080</v>
      </c>
      <c r="E849" t="s">
        <v>1079</v>
      </c>
      <c r="F849" s="360">
        <v>12</v>
      </c>
      <c r="G849" s="360" t="str">
        <f>CONCATENATE(A849," ",B849," ",C849," ","inf+"," ",FanUpsizes!D849," ",FanUpsizes!F849)</f>
        <v>1.5ACH Infiltration 1 inf+ Existing 12</v>
      </c>
      <c r="H849" s="360">
        <v>5.3220696359172301E-2</v>
      </c>
      <c r="I849" s="360">
        <v>0.39284119734939371</v>
      </c>
      <c r="J849" s="360">
        <v>1.1181491231977798</v>
      </c>
      <c r="K849" s="360">
        <v>0</v>
      </c>
      <c r="L849" s="360">
        <v>0.39284119734939371</v>
      </c>
      <c r="M849" s="360">
        <v>1.1181491231977798</v>
      </c>
      <c r="N849" s="360">
        <v>1</v>
      </c>
      <c r="O849" s="360">
        <v>0.39284119734939371</v>
      </c>
      <c r="P849" s="360">
        <v>1.1181491231977798</v>
      </c>
      <c r="Q849" s="360">
        <v>0</v>
      </c>
      <c r="R849" s="360">
        <v>0</v>
      </c>
      <c r="S849" s="360">
        <v>0.39284119734939371</v>
      </c>
      <c r="T849" s="360">
        <v>1.1181491231977798</v>
      </c>
      <c r="U849" s="360">
        <v>1</v>
      </c>
      <c r="V849" s="360">
        <v>0.39284119734939371</v>
      </c>
      <c r="W849" s="360">
        <v>1.1181491231977798</v>
      </c>
      <c r="X849" s="360">
        <v>0</v>
      </c>
      <c r="Y849" s="360">
        <v>0.39831943538351045</v>
      </c>
      <c r="Z849" s="360">
        <v>1.1029041898125267</v>
      </c>
      <c r="AA849" s="360">
        <v>0</v>
      </c>
      <c r="AB849" s="360">
        <v>0.39831943538351045</v>
      </c>
      <c r="AC849" s="360">
        <v>1.1029041898125267</v>
      </c>
      <c r="AD849" s="360">
        <v>1</v>
      </c>
      <c r="AE849" s="360">
        <v>0.39831943538351045</v>
      </c>
      <c r="AF849" s="360">
        <v>1.1029041898125267</v>
      </c>
      <c r="AG849" s="360">
        <v>0</v>
      </c>
      <c r="AH849" s="360">
        <v>0</v>
      </c>
      <c r="AI849" s="360">
        <v>0.39831943538351045</v>
      </c>
      <c r="AJ849" s="360">
        <v>1.1029041898125267</v>
      </c>
      <c r="AK849" s="360">
        <v>1</v>
      </c>
      <c r="AL849" s="360">
        <v>0.39831943538351045</v>
      </c>
      <c r="AM849" s="360">
        <v>1.1029041898125267</v>
      </c>
      <c r="AN849" s="360">
        <v>0</v>
      </c>
      <c r="AO849" s="360">
        <f t="shared" si="36"/>
        <v>1</v>
      </c>
      <c r="AP849" s="360">
        <f t="shared" si="37"/>
        <v>0</v>
      </c>
      <c r="AQ849" s="360">
        <f t="shared" si="38"/>
        <v>0</v>
      </c>
    </row>
    <row r="850" spans="1:43">
      <c r="A850" s="360" t="s">
        <v>1084</v>
      </c>
      <c r="B850" t="s">
        <v>1076</v>
      </c>
      <c r="C850">
        <v>1</v>
      </c>
      <c r="D850" t="s">
        <v>1080</v>
      </c>
      <c r="E850" t="s">
        <v>1079</v>
      </c>
      <c r="F850" s="360">
        <v>12</v>
      </c>
      <c r="G850" s="360" t="str">
        <f>CONCATENATE(A850," ",B850," ",C850," ","inf+"," ",FanUpsizes!D850," ",FanUpsizes!F850)</f>
        <v>1.5ACH 5C 1 inf+ Existing 12</v>
      </c>
      <c r="H850" s="360">
        <v>5.3220696359172301E-2</v>
      </c>
      <c r="I850" s="360">
        <v>0.39284119734939371</v>
      </c>
      <c r="J850" s="360">
        <v>1.1181491231977798</v>
      </c>
      <c r="K850" s="360">
        <v>9041.4233973250866</v>
      </c>
      <c r="L850" s="360">
        <v>0.26803775684423309</v>
      </c>
      <c r="M850" s="360">
        <v>2.6367709025106341</v>
      </c>
      <c r="N850" s="360">
        <v>7.5158730975729178</v>
      </c>
      <c r="O850" s="360">
        <v>1.8095787336481497</v>
      </c>
      <c r="P850" s="360">
        <v>1.9125286328603301</v>
      </c>
      <c r="Q850" s="360">
        <v>-14192.100468050565</v>
      </c>
      <c r="R850" s="360">
        <v>9041.4233973250866</v>
      </c>
      <c r="S850" s="360">
        <v>0.26803775684423309</v>
      </c>
      <c r="T850" s="360">
        <v>2.6367709025106341</v>
      </c>
      <c r="U850" s="360">
        <v>7.5158730975729178</v>
      </c>
      <c r="V850" s="360">
        <v>1.8095787336481497</v>
      </c>
      <c r="W850" s="360">
        <v>1.9125286328603301</v>
      </c>
      <c r="X850" s="360">
        <v>-14192.100468050565</v>
      </c>
      <c r="Y850" s="360">
        <v>0.39831943538351045</v>
      </c>
      <c r="Z850" s="360">
        <v>1.1029041898125267</v>
      </c>
      <c r="AA850" s="360">
        <v>9289.51266853569</v>
      </c>
      <c r="AB850" s="360">
        <v>0.27018646191865947</v>
      </c>
      <c r="AC850" s="360">
        <v>2.6286097189732383</v>
      </c>
      <c r="AD850" s="360">
        <v>7.5158730975729178</v>
      </c>
      <c r="AE850" s="360">
        <v>1.8098691551645616</v>
      </c>
      <c r="AF850" s="360">
        <v>1.9125089665791759</v>
      </c>
      <c r="AG850" s="360">
        <v>-13905.0018424026</v>
      </c>
      <c r="AH850" s="360">
        <v>9289.51266853569</v>
      </c>
      <c r="AI850" s="360">
        <v>0.27018646191865947</v>
      </c>
      <c r="AJ850" s="360">
        <v>2.6286097189732383</v>
      </c>
      <c r="AK850" s="360">
        <v>7.5158730975729178</v>
      </c>
      <c r="AL850" s="360">
        <v>1.8098691551645616</v>
      </c>
      <c r="AM850" s="360">
        <v>1.9125089665791759</v>
      </c>
      <c r="AN850" s="360">
        <v>-13905.0018424026</v>
      </c>
      <c r="AO850" s="360">
        <f t="shared" si="36"/>
        <v>0</v>
      </c>
      <c r="AP850" s="360">
        <f t="shared" si="37"/>
        <v>1</v>
      </c>
      <c r="AQ850" s="360">
        <f t="shared" si="38"/>
        <v>1</v>
      </c>
    </row>
    <row r="851" spans="1:43">
      <c r="A851" s="360" t="s">
        <v>1084</v>
      </c>
      <c r="B851" t="s">
        <v>1075</v>
      </c>
      <c r="C851">
        <v>2</v>
      </c>
      <c r="D851" t="s">
        <v>1080</v>
      </c>
      <c r="E851" t="s">
        <v>1079</v>
      </c>
      <c r="F851" s="360">
        <v>12</v>
      </c>
      <c r="G851" s="360" t="str">
        <f>CONCATENATE(A851," ",B851," ",C851," ","inf+"," ",FanUpsizes!D851," ",FanUpsizes!F851)</f>
        <v>1.5ACH Percentile 2 inf+ Existing 12</v>
      </c>
      <c r="H851" s="360">
        <v>5.1209616553121215E-2</v>
      </c>
      <c r="I851" s="360">
        <v>0.3783128991089873</v>
      </c>
      <c r="J851" s="360">
        <v>1.1611774522386824</v>
      </c>
      <c r="K851" s="360">
        <v>5314.5271662386785</v>
      </c>
      <c r="L851" s="360">
        <v>0.31283673875168361</v>
      </c>
      <c r="M851" s="360">
        <v>1.7752997462464479</v>
      </c>
      <c r="N851" s="360">
        <v>2.7352279358623162</v>
      </c>
      <c r="O851" s="360">
        <v>0.80884446630745344</v>
      </c>
      <c r="P851" s="360">
        <v>1.1611789056630439</v>
      </c>
      <c r="Q851" s="360">
        <v>-6608.554276605315</v>
      </c>
      <c r="R851" s="360">
        <v>8500.8591939545313</v>
      </c>
      <c r="S851" s="360">
        <v>0.23098070016490607</v>
      </c>
      <c r="T851" s="360">
        <v>2.2914039961827228</v>
      </c>
      <c r="U851" s="360">
        <v>4.4570289541231611</v>
      </c>
      <c r="V851" s="360">
        <v>0.92095480808283026</v>
      </c>
      <c r="W851" s="360">
        <v>1.1611775000315405</v>
      </c>
      <c r="X851" s="360">
        <v>-3455.4160732656442</v>
      </c>
      <c r="Y851" s="360">
        <v>0.38815571572991253</v>
      </c>
      <c r="Z851" s="360">
        <v>1.1321175198411109</v>
      </c>
      <c r="AA851" s="360">
        <v>5630.8607549895423</v>
      </c>
      <c r="AB851" s="360">
        <v>0.31883196924225177</v>
      </c>
      <c r="AC851" s="360">
        <v>1.7550092059252915</v>
      </c>
      <c r="AD851" s="360">
        <v>2.968973438020353</v>
      </c>
      <c r="AE851" s="360">
        <v>0.87783046084536742</v>
      </c>
      <c r="AF851" s="360">
        <v>1.1321175770185459</v>
      </c>
      <c r="AG851" s="360">
        <v>-7773.5206496936025</v>
      </c>
      <c r="AH851" s="360">
        <v>8813.038864790884</v>
      </c>
      <c r="AI851" s="360">
        <v>0.23747377947326528</v>
      </c>
      <c r="AJ851" s="360">
        <v>2.2302952930204132</v>
      </c>
      <c r="AK851" s="360">
        <v>4.8349847813621514</v>
      </c>
      <c r="AL851" s="360">
        <v>0.99905030432406006</v>
      </c>
      <c r="AM851" s="360">
        <v>1.1321175554215859</v>
      </c>
      <c r="AN851" s="360">
        <v>-4356.5452843327639</v>
      </c>
      <c r="AO851" s="360">
        <f t="shared" si="36"/>
        <v>1</v>
      </c>
      <c r="AP851" s="360">
        <f t="shared" si="37"/>
        <v>1</v>
      </c>
      <c r="AQ851" s="360">
        <f t="shared" si="38"/>
        <v>1</v>
      </c>
    </row>
    <row r="852" spans="1:43">
      <c r="A852" s="360" t="s">
        <v>1084</v>
      </c>
      <c r="B852" t="s">
        <v>1074</v>
      </c>
      <c r="C852">
        <v>2</v>
      </c>
      <c r="D852" t="s">
        <v>1080</v>
      </c>
      <c r="E852" t="s">
        <v>1079</v>
      </c>
      <c r="F852" s="360">
        <v>12</v>
      </c>
      <c r="G852" s="360" t="str">
        <f>CONCATENATE(A852," ",B852," ",C852," ","inf+"," ",FanUpsizes!D852," ",FanUpsizes!F852)</f>
        <v>1.5ACH Infiltration 2 inf+ Existing 12</v>
      </c>
      <c r="H852" s="360">
        <v>5.1209616553121215E-2</v>
      </c>
      <c r="I852" s="360">
        <v>0.3783128991089873</v>
      </c>
      <c r="J852" s="360">
        <v>1.1611774522386824</v>
      </c>
      <c r="K852" s="360">
        <v>0</v>
      </c>
      <c r="L852" s="360">
        <v>0.3783128991089873</v>
      </c>
      <c r="M852" s="360">
        <v>1.1611774522386824</v>
      </c>
      <c r="N852" s="360">
        <v>1</v>
      </c>
      <c r="O852" s="360">
        <v>0.3783128991089873</v>
      </c>
      <c r="P852" s="360">
        <v>1.1611774522386824</v>
      </c>
      <c r="Q852" s="360">
        <v>0</v>
      </c>
      <c r="R852" s="360">
        <v>0</v>
      </c>
      <c r="S852" s="360">
        <v>0.3783128991089873</v>
      </c>
      <c r="T852" s="360">
        <v>1.1611774522386824</v>
      </c>
      <c r="U852" s="360">
        <v>1</v>
      </c>
      <c r="V852" s="360">
        <v>0.3783128991089873</v>
      </c>
      <c r="W852" s="360">
        <v>1.1611774522386824</v>
      </c>
      <c r="X852" s="360">
        <v>0</v>
      </c>
      <c r="Y852" s="360">
        <v>0.38815571572991253</v>
      </c>
      <c r="Z852" s="360">
        <v>1.1321175198411109</v>
      </c>
      <c r="AA852" s="360">
        <v>0</v>
      </c>
      <c r="AB852" s="360">
        <v>0.38815571572991253</v>
      </c>
      <c r="AC852" s="360">
        <v>1.1321175198411109</v>
      </c>
      <c r="AD852" s="360">
        <v>1</v>
      </c>
      <c r="AE852" s="360">
        <v>0.38815571572991253</v>
      </c>
      <c r="AF852" s="360">
        <v>1.1321175198411109</v>
      </c>
      <c r="AG852" s="360">
        <v>0</v>
      </c>
      <c r="AH852" s="360">
        <v>0</v>
      </c>
      <c r="AI852" s="360">
        <v>0.38815571572991253</v>
      </c>
      <c r="AJ852" s="360">
        <v>1.1321175198411109</v>
      </c>
      <c r="AK852" s="360">
        <v>1</v>
      </c>
      <c r="AL852" s="360">
        <v>0.38815571572991253</v>
      </c>
      <c r="AM852" s="360">
        <v>1.1321175198411109</v>
      </c>
      <c r="AN852" s="360">
        <v>0</v>
      </c>
      <c r="AO852" s="360">
        <f t="shared" si="36"/>
        <v>1</v>
      </c>
      <c r="AP852" s="360">
        <f t="shared" si="37"/>
        <v>0</v>
      </c>
      <c r="AQ852" s="360">
        <f t="shared" si="38"/>
        <v>0</v>
      </c>
    </row>
    <row r="853" spans="1:43">
      <c r="A853" s="360" t="s">
        <v>1084</v>
      </c>
      <c r="B853" t="s">
        <v>1076</v>
      </c>
      <c r="C853">
        <v>2</v>
      </c>
      <c r="D853" t="s">
        <v>1080</v>
      </c>
      <c r="E853" t="s">
        <v>1079</v>
      </c>
      <c r="F853" s="360">
        <v>12</v>
      </c>
      <c r="G853" s="360" t="str">
        <f>CONCATENATE(A853," ",B853," ",C853," ","inf+"," ",FanUpsizes!D853," ",FanUpsizes!F853)</f>
        <v>1.5ACH 5C 2 inf+ Existing 12</v>
      </c>
      <c r="H853" s="360">
        <v>5.1209616553121215E-2</v>
      </c>
      <c r="I853" s="360">
        <v>0.3783128991089873</v>
      </c>
      <c r="J853" s="360">
        <v>1.1611774522386824</v>
      </c>
      <c r="K853" s="360">
        <v>7886.0721360130819</v>
      </c>
      <c r="L853" s="360">
        <v>0.26931988964092468</v>
      </c>
      <c r="M853" s="360">
        <v>2.254233012676079</v>
      </c>
      <c r="N853" s="360">
        <v>7.8110329059985926</v>
      </c>
      <c r="O853" s="360">
        <v>1.8197572028716105</v>
      </c>
      <c r="P853" s="360">
        <v>1.5276723019845759</v>
      </c>
      <c r="Q853" s="360">
        <v>-15481.533565618773</v>
      </c>
      <c r="R853" s="360">
        <v>7886.0721360130819</v>
      </c>
      <c r="S853" s="360">
        <v>0.26931988964092468</v>
      </c>
      <c r="T853" s="360">
        <v>2.254233012676079</v>
      </c>
      <c r="U853" s="360">
        <v>7.8110329059985926</v>
      </c>
      <c r="V853" s="360">
        <v>1.8197572028716105</v>
      </c>
      <c r="W853" s="360">
        <v>1.5276723019845759</v>
      </c>
      <c r="X853" s="360">
        <v>-15481.533565618773</v>
      </c>
      <c r="Y853" s="360">
        <v>0.38815571572991253</v>
      </c>
      <c r="Z853" s="360">
        <v>1.1321175198411109</v>
      </c>
      <c r="AA853" s="360">
        <v>8316.9678530781221</v>
      </c>
      <c r="AB853" s="360">
        <v>0.27338757027345867</v>
      </c>
      <c r="AC853" s="360">
        <v>2.238990559473109</v>
      </c>
      <c r="AD853" s="360">
        <v>7.8110329059985926</v>
      </c>
      <c r="AE853" s="360">
        <v>1.8202950381006429</v>
      </c>
      <c r="AF853" s="360">
        <v>1.5276379338856114</v>
      </c>
      <c r="AG853" s="360">
        <v>-14977.569345256916</v>
      </c>
      <c r="AH853" s="360">
        <v>8316.9678530781221</v>
      </c>
      <c r="AI853" s="360">
        <v>0.27338757027345867</v>
      </c>
      <c r="AJ853" s="360">
        <v>2.238990559473109</v>
      </c>
      <c r="AK853" s="360">
        <v>7.8110329059985926</v>
      </c>
      <c r="AL853" s="360">
        <v>1.8202950381006429</v>
      </c>
      <c r="AM853" s="360">
        <v>1.5276379338856114</v>
      </c>
      <c r="AN853" s="360">
        <v>-14977.569345256916</v>
      </c>
      <c r="AO853" s="360">
        <f t="shared" si="36"/>
        <v>0</v>
      </c>
      <c r="AP853" s="360">
        <f t="shared" si="37"/>
        <v>1</v>
      </c>
      <c r="AQ853" s="360">
        <f t="shared" si="38"/>
        <v>1</v>
      </c>
    </row>
    <row r="854" spans="1:43">
      <c r="A854" s="360" t="s">
        <v>1085</v>
      </c>
      <c r="B854" t="s">
        <v>1075</v>
      </c>
      <c r="C854">
        <v>1</v>
      </c>
      <c r="D854" t="s">
        <v>1078</v>
      </c>
      <c r="E854" t="s">
        <v>1079</v>
      </c>
      <c r="F854" s="360">
        <v>12</v>
      </c>
      <c r="G854" s="360" t="str">
        <f>CONCATENATE(A854," ",B854," ",C854," ","inf+"," ",FanUpsizes!D854," ",FanUpsizes!F854)</f>
        <v>0.6ACH Percentile 1 inf+ New 12</v>
      </c>
      <c r="H854" s="360">
        <v>4.074727854366892E-2</v>
      </c>
      <c r="I854" s="360">
        <v>0.30074874988667044</v>
      </c>
      <c r="J854" s="360">
        <v>1.0617615457129581</v>
      </c>
      <c r="K854" s="360">
        <v>5289.9586773928577</v>
      </c>
      <c r="L854" s="360">
        <v>0.23563019074859112</v>
      </c>
      <c r="M854" s="360">
        <v>2.4912818572474666</v>
      </c>
      <c r="N854" s="360">
        <v>9.8166065145018067</v>
      </c>
      <c r="O854" s="360">
        <v>2.2418738770740383</v>
      </c>
      <c r="P854" s="360">
        <v>1.5734303797997562</v>
      </c>
      <c r="Q854" s="360">
        <v>-42959.125028045833</v>
      </c>
      <c r="R854" s="360">
        <v>7966.4458926267416</v>
      </c>
      <c r="S854" s="360">
        <v>0.16774725213212949</v>
      </c>
      <c r="T854" s="360">
        <v>3.1090464910606657</v>
      </c>
      <c r="U854" s="360">
        <v>9.8166065145018067</v>
      </c>
      <c r="V854" s="360">
        <v>1.5754084887589539</v>
      </c>
      <c r="W854" s="360">
        <v>1.6453401388482027</v>
      </c>
      <c r="X854" s="360">
        <v>-16679.918645652251</v>
      </c>
      <c r="Y854" s="360">
        <v>0.30190996032543965</v>
      </c>
      <c r="Z854" s="360">
        <v>1.0576894020504801</v>
      </c>
      <c r="AA854" s="360">
        <v>5328.2123587354799</v>
      </c>
      <c r="AB854" s="360">
        <v>0.23632613087477156</v>
      </c>
      <c r="AC854" s="360">
        <v>2.4878061908899087</v>
      </c>
      <c r="AD854" s="360">
        <v>9.8166065145018067</v>
      </c>
      <c r="AE854" s="360">
        <v>2.2419450001184651</v>
      </c>
      <c r="AF854" s="360">
        <v>1.5734265767785034</v>
      </c>
      <c r="AG854" s="360">
        <v>-42899.471091770582</v>
      </c>
      <c r="AH854" s="360">
        <v>7982.1468171734477</v>
      </c>
      <c r="AI854" s="360">
        <v>0.16893076276918439</v>
      </c>
      <c r="AJ854" s="360">
        <v>3.0891193201318212</v>
      </c>
      <c r="AK854" s="360">
        <v>9.8166065145018067</v>
      </c>
      <c r="AL854" s="360">
        <v>1.5755313508521525</v>
      </c>
      <c r="AM854" s="360">
        <v>1.6453128976094722</v>
      </c>
      <c r="AN854" s="360">
        <v>-16622.677153726883</v>
      </c>
      <c r="AO854" s="360">
        <f t="shared" si="36"/>
        <v>0</v>
      </c>
      <c r="AP854" s="360">
        <f t="shared" si="37"/>
        <v>1</v>
      </c>
      <c r="AQ854" s="360">
        <f t="shared" si="38"/>
        <v>1</v>
      </c>
    </row>
    <row r="855" spans="1:43">
      <c r="A855" s="360" t="s">
        <v>1085</v>
      </c>
      <c r="B855" t="s">
        <v>1074</v>
      </c>
      <c r="C855">
        <v>1</v>
      </c>
      <c r="D855" t="s">
        <v>1078</v>
      </c>
      <c r="E855" t="s">
        <v>1079</v>
      </c>
      <c r="F855" s="360">
        <v>12</v>
      </c>
      <c r="G855" s="360" t="str">
        <f>CONCATENATE(A855," ",B855," ",C855," ","inf+"," ",FanUpsizes!D855," ",FanUpsizes!F855)</f>
        <v>0.6ACH Infiltration 1 inf+ New 12</v>
      </c>
      <c r="H855" s="360">
        <v>4.074727854366892E-2</v>
      </c>
      <c r="I855" s="360">
        <v>0.30074874988667044</v>
      </c>
      <c r="J855" s="360">
        <v>1.0617615457129581</v>
      </c>
      <c r="K855" s="360">
        <v>0</v>
      </c>
      <c r="L855" s="360">
        <v>0.30074874988667044</v>
      </c>
      <c r="M855" s="360">
        <v>1.0617615457129581</v>
      </c>
      <c r="N855" s="360">
        <v>1</v>
      </c>
      <c r="O855" s="360">
        <v>0.30074874988667044</v>
      </c>
      <c r="P855" s="360">
        <v>1.0617615457129581</v>
      </c>
      <c r="Q855" s="360">
        <v>0</v>
      </c>
      <c r="R855" s="360">
        <v>0</v>
      </c>
      <c r="S855" s="360">
        <v>0.30074874988667044</v>
      </c>
      <c r="T855" s="360">
        <v>1.0617615457129581</v>
      </c>
      <c r="U855" s="360">
        <v>1</v>
      </c>
      <c r="V855" s="360">
        <v>0.30074874988667044</v>
      </c>
      <c r="W855" s="360">
        <v>1.0617615457129581</v>
      </c>
      <c r="X855" s="360">
        <v>0</v>
      </c>
      <c r="Y855" s="360">
        <v>0.30190996032543965</v>
      </c>
      <c r="Z855" s="360">
        <v>1.0576894020504801</v>
      </c>
      <c r="AA855" s="360">
        <v>0</v>
      </c>
      <c r="AB855" s="360">
        <v>0.30190996032543965</v>
      </c>
      <c r="AC855" s="360">
        <v>1.0576894020504801</v>
      </c>
      <c r="AD855" s="360">
        <v>1</v>
      </c>
      <c r="AE855" s="360">
        <v>0.30190996032543965</v>
      </c>
      <c r="AF855" s="360">
        <v>1.0576894020504801</v>
      </c>
      <c r="AG855" s="360">
        <v>0</v>
      </c>
      <c r="AH855" s="360">
        <v>0</v>
      </c>
      <c r="AI855" s="360">
        <v>0.30190996032543965</v>
      </c>
      <c r="AJ855" s="360">
        <v>1.0576894020504801</v>
      </c>
      <c r="AK855" s="360">
        <v>1</v>
      </c>
      <c r="AL855" s="360">
        <v>0.30190996032543965</v>
      </c>
      <c r="AM855" s="360">
        <v>1.0576894020504801</v>
      </c>
      <c r="AN855" s="360">
        <v>0</v>
      </c>
      <c r="AO855" s="360">
        <f t="shared" si="36"/>
        <v>1</v>
      </c>
      <c r="AP855" s="360">
        <f t="shared" si="37"/>
        <v>0</v>
      </c>
      <c r="AQ855" s="360">
        <f t="shared" si="38"/>
        <v>0</v>
      </c>
    </row>
    <row r="856" spans="1:43">
      <c r="A856" s="360" t="s">
        <v>1085</v>
      </c>
      <c r="B856" t="s">
        <v>1076</v>
      </c>
      <c r="C856">
        <v>1</v>
      </c>
      <c r="D856" t="s">
        <v>1078</v>
      </c>
      <c r="E856" t="s">
        <v>1079</v>
      </c>
      <c r="F856" s="360">
        <v>12</v>
      </c>
      <c r="G856" s="360" t="str">
        <f>CONCATENATE(A856," ",B856," ",C856," ","inf+"," ",FanUpsizes!D856," ",FanUpsizes!F856)</f>
        <v>0.6ACH 5C 1 inf+ New 12</v>
      </c>
      <c r="H856" s="360">
        <v>4.074727854366892E-2</v>
      </c>
      <c r="I856" s="360">
        <v>0.30074874988667044</v>
      </c>
      <c r="J856" s="360">
        <v>1.0617615457129581</v>
      </c>
      <c r="K856" s="360">
        <v>7766.8407162622198</v>
      </c>
      <c r="L856" s="360">
        <v>0.1937114776722893</v>
      </c>
      <c r="M856" s="360">
        <v>3.707364899388657</v>
      </c>
      <c r="N856" s="360">
        <v>9.8166065145018067</v>
      </c>
      <c r="O856" s="360">
        <v>1.7907153535099294</v>
      </c>
      <c r="P856" s="360">
        <v>2.8683925140777582</v>
      </c>
      <c r="Q856" s="360">
        <v>-16302.455247584181</v>
      </c>
      <c r="R856" s="360">
        <v>7766.8407162622198</v>
      </c>
      <c r="S856" s="360">
        <v>0.1937114776722893</v>
      </c>
      <c r="T856" s="360">
        <v>3.707364899388657</v>
      </c>
      <c r="U856" s="360">
        <v>9.8166065145018067</v>
      </c>
      <c r="V856" s="360">
        <v>1.7907153535099294</v>
      </c>
      <c r="W856" s="360">
        <v>2.8683925140777582</v>
      </c>
      <c r="X856" s="360">
        <v>-16302.455247584181</v>
      </c>
      <c r="Y856" s="360">
        <v>0.30190996032543965</v>
      </c>
      <c r="Z856" s="360">
        <v>1.0576894020504801</v>
      </c>
      <c r="AA856" s="360">
        <v>7819.4247360819218</v>
      </c>
      <c r="AB856" s="360">
        <v>0.19416651097726684</v>
      </c>
      <c r="AC856" s="360">
        <v>3.7045763865745789</v>
      </c>
      <c r="AD856" s="360">
        <v>9.8166065145018049</v>
      </c>
      <c r="AE856" s="360">
        <v>1.7907618277171389</v>
      </c>
      <c r="AF856" s="360">
        <v>2.8683897112409347</v>
      </c>
      <c r="AG856" s="360">
        <v>-16241.335011042838</v>
      </c>
      <c r="AH856" s="360">
        <v>7819.4247360819218</v>
      </c>
      <c r="AI856" s="360">
        <v>0.19416651097726684</v>
      </c>
      <c r="AJ856" s="360">
        <v>3.7045763865745789</v>
      </c>
      <c r="AK856" s="360">
        <v>9.8166065145018049</v>
      </c>
      <c r="AL856" s="360">
        <v>1.7907618277171389</v>
      </c>
      <c r="AM856" s="360">
        <v>2.8683897112409347</v>
      </c>
      <c r="AN856" s="360">
        <v>-16241.335011042838</v>
      </c>
      <c r="AO856" s="360">
        <f t="shared" si="36"/>
        <v>0</v>
      </c>
      <c r="AP856" s="360">
        <f t="shared" si="37"/>
        <v>1</v>
      </c>
      <c r="AQ856" s="360">
        <f t="shared" si="38"/>
        <v>1</v>
      </c>
    </row>
    <row r="857" spans="1:43">
      <c r="A857" s="360" t="s">
        <v>1085</v>
      </c>
      <c r="B857" t="s">
        <v>1075</v>
      </c>
      <c r="C857">
        <v>2</v>
      </c>
      <c r="D857" t="s">
        <v>1078</v>
      </c>
      <c r="E857" t="s">
        <v>1079</v>
      </c>
      <c r="F857" s="360">
        <v>12</v>
      </c>
      <c r="G857" s="360" t="str">
        <f>CONCATENATE(A857," ",B857," ",C857," ","inf+"," ",FanUpsizes!D857," ",FanUpsizes!F857)</f>
        <v>0.6ACH Percentile 2 inf+ New 12</v>
      </c>
      <c r="H857" s="360">
        <v>3.9942846621248487E-2</v>
      </c>
      <c r="I857" s="360">
        <v>0.29481484452833306</v>
      </c>
      <c r="J857" s="360">
        <v>1.0831229211622593</v>
      </c>
      <c r="K857" s="360">
        <v>4963.3356898402872</v>
      </c>
      <c r="L857" s="360">
        <v>0.23371391667141167</v>
      </c>
      <c r="M857" s="360">
        <v>2.2050553897338325</v>
      </c>
      <c r="N857" s="360">
        <v>10.014308789579637</v>
      </c>
      <c r="O857" s="360">
        <v>2.2444464758602445</v>
      </c>
      <c r="P857" s="360">
        <v>1.3052411737753729</v>
      </c>
      <c r="Q857" s="360">
        <v>-43393.768075036933</v>
      </c>
      <c r="R857" s="360">
        <v>7582.6161781827386</v>
      </c>
      <c r="S857" s="360">
        <v>0.16724581038789868</v>
      </c>
      <c r="T857" s="360">
        <v>2.7961032805322112</v>
      </c>
      <c r="U857" s="360">
        <v>10.014308789579637</v>
      </c>
      <c r="V857" s="360">
        <v>1.5779810875451623</v>
      </c>
      <c r="W857" s="360">
        <v>1.3724664718240474</v>
      </c>
      <c r="X857" s="360">
        <v>-17114.5616926435</v>
      </c>
      <c r="Y857" s="360">
        <v>0.29693793419241116</v>
      </c>
      <c r="Z857" s="360">
        <v>1.0754170141358617</v>
      </c>
      <c r="AA857" s="360">
        <v>5031.2906433568569</v>
      </c>
      <c r="AB857" s="360">
        <v>0.23500884631833388</v>
      </c>
      <c r="AC857" s="360">
        <v>2.1988151326974026</v>
      </c>
      <c r="AD857" s="360">
        <v>10.014308789579637</v>
      </c>
      <c r="AE857" s="360">
        <v>2.2445769485397928</v>
      </c>
      <c r="AF857" s="360">
        <v>1.3052346990803152</v>
      </c>
      <c r="AG857" s="360">
        <v>-43286.340359966001</v>
      </c>
      <c r="AH857" s="360">
        <v>7613.773740899278</v>
      </c>
      <c r="AI857" s="360">
        <v>0.16935645599838267</v>
      </c>
      <c r="AJ857" s="360">
        <v>2.7632020945999791</v>
      </c>
      <c r="AK857" s="360">
        <v>10.014308789579637</v>
      </c>
      <c r="AL857" s="360">
        <v>1.5782053665168234</v>
      </c>
      <c r="AM857" s="360">
        <v>1.3724215802982882</v>
      </c>
      <c r="AN857" s="360">
        <v>-17011.503989833778</v>
      </c>
      <c r="AO857" s="360">
        <f t="shared" si="36"/>
        <v>0</v>
      </c>
      <c r="AP857" s="360">
        <f t="shared" si="37"/>
        <v>1</v>
      </c>
      <c r="AQ857" s="360">
        <f t="shared" si="38"/>
        <v>1</v>
      </c>
    </row>
    <row r="858" spans="1:43">
      <c r="A858" s="360" t="s">
        <v>1085</v>
      </c>
      <c r="B858" t="s">
        <v>1074</v>
      </c>
      <c r="C858">
        <v>2</v>
      </c>
      <c r="D858" t="s">
        <v>1078</v>
      </c>
      <c r="E858" t="s">
        <v>1079</v>
      </c>
      <c r="F858" s="360">
        <v>12</v>
      </c>
      <c r="G858" s="360" t="str">
        <f>CONCATENATE(A858," ",B858," ",C858," ","inf+"," ",FanUpsizes!D858," ",FanUpsizes!F858)</f>
        <v>0.6ACH Infiltration 2 inf+ New 12</v>
      </c>
      <c r="H858" s="360">
        <v>3.9942846621248487E-2</v>
      </c>
      <c r="I858" s="360">
        <v>0.29481484452833306</v>
      </c>
      <c r="J858" s="360">
        <v>1.0831229211622593</v>
      </c>
      <c r="K858" s="360">
        <v>0</v>
      </c>
      <c r="L858" s="360">
        <v>0.29481484452833306</v>
      </c>
      <c r="M858" s="360">
        <v>1.0831229211622593</v>
      </c>
      <c r="N858" s="360">
        <v>1</v>
      </c>
      <c r="O858" s="360">
        <v>0.29481484452833306</v>
      </c>
      <c r="P858" s="360">
        <v>1.0831229211622593</v>
      </c>
      <c r="Q858" s="360">
        <v>0</v>
      </c>
      <c r="R858" s="360">
        <v>0</v>
      </c>
      <c r="S858" s="360">
        <v>0.29481484452833306</v>
      </c>
      <c r="T858" s="360">
        <v>1.0831229211622593</v>
      </c>
      <c r="U858" s="360">
        <v>1</v>
      </c>
      <c r="V858" s="360">
        <v>0.29481484452833306</v>
      </c>
      <c r="W858" s="360">
        <v>1.0831229211622593</v>
      </c>
      <c r="X858" s="360">
        <v>0</v>
      </c>
      <c r="Y858" s="360">
        <v>0.29693793419241116</v>
      </c>
      <c r="Z858" s="360">
        <v>1.0754170141358617</v>
      </c>
      <c r="AA858" s="360">
        <v>0</v>
      </c>
      <c r="AB858" s="360">
        <v>0.29693793419241116</v>
      </c>
      <c r="AC858" s="360">
        <v>1.0754170141358617</v>
      </c>
      <c r="AD858" s="360">
        <v>1</v>
      </c>
      <c r="AE858" s="360">
        <v>0.29693793419241116</v>
      </c>
      <c r="AF858" s="360">
        <v>1.0754170141358617</v>
      </c>
      <c r="AG858" s="360">
        <v>0</v>
      </c>
      <c r="AH858" s="360">
        <v>0</v>
      </c>
      <c r="AI858" s="360">
        <v>0.29693793419241116</v>
      </c>
      <c r="AJ858" s="360">
        <v>1.0754170141358617</v>
      </c>
      <c r="AK858" s="360">
        <v>1</v>
      </c>
      <c r="AL858" s="360">
        <v>0.29693793419241116</v>
      </c>
      <c r="AM858" s="360">
        <v>1.0754170141358617</v>
      </c>
      <c r="AN858" s="360">
        <v>0</v>
      </c>
      <c r="AO858" s="360">
        <f t="shared" si="36"/>
        <v>1</v>
      </c>
      <c r="AP858" s="360">
        <f t="shared" si="37"/>
        <v>0</v>
      </c>
      <c r="AQ858" s="360">
        <f t="shared" si="38"/>
        <v>0</v>
      </c>
    </row>
    <row r="859" spans="1:43">
      <c r="A859" s="360" t="s">
        <v>1085</v>
      </c>
      <c r="B859" t="s">
        <v>1076</v>
      </c>
      <c r="C859">
        <v>2</v>
      </c>
      <c r="D859" t="s">
        <v>1078</v>
      </c>
      <c r="E859" t="s">
        <v>1079</v>
      </c>
      <c r="F859" s="360">
        <v>12</v>
      </c>
      <c r="G859" s="360" t="str">
        <f>CONCATENATE(A859," ",B859," ",C859," ","inf+"," ",FanUpsizes!D859," ",FanUpsizes!F859)</f>
        <v>0.6ACH 5C 2 inf+ New 12</v>
      </c>
      <c r="H859" s="360">
        <v>3.9942846621248487E-2</v>
      </c>
      <c r="I859" s="360">
        <v>0.29481484452833306</v>
      </c>
      <c r="J859" s="360">
        <v>1.0831229211622593</v>
      </c>
      <c r="K859" s="360">
        <v>7297.4612749777789</v>
      </c>
      <c r="L859" s="360">
        <v>0.19421035456829075</v>
      </c>
      <c r="M859" s="360">
        <v>3.1221399610130529</v>
      </c>
      <c r="N859" s="360">
        <v>10.014308789579637</v>
      </c>
      <c r="O859" s="360">
        <v>1.7947867411993106</v>
      </c>
      <c r="P859" s="360">
        <v>2.313693550495973</v>
      </c>
      <c r="Q859" s="360">
        <v>-16825.711823354934</v>
      </c>
      <c r="R859" s="360">
        <v>7297.4612749777789</v>
      </c>
      <c r="S859" s="360">
        <v>0.19421035456829075</v>
      </c>
      <c r="T859" s="360">
        <v>3.1221399610130529</v>
      </c>
      <c r="U859" s="360">
        <v>10.014308789579637</v>
      </c>
      <c r="V859" s="360">
        <v>1.7947867411993106</v>
      </c>
      <c r="W859" s="360">
        <v>2.313693550495973</v>
      </c>
      <c r="X859" s="360">
        <v>-16825.711823354934</v>
      </c>
      <c r="Y859" s="360">
        <v>0.29693793419241116</v>
      </c>
      <c r="Z859" s="360">
        <v>1.0754170141358617</v>
      </c>
      <c r="AA859" s="360">
        <v>7391.6458835115482</v>
      </c>
      <c r="AB859" s="360">
        <v>0.19506449965627065</v>
      </c>
      <c r="AC859" s="360">
        <v>3.1172473017508469</v>
      </c>
      <c r="AD859" s="360">
        <v>10.014308789579639</v>
      </c>
      <c r="AE859" s="360">
        <v>1.7948728187422121</v>
      </c>
      <c r="AF859" s="360">
        <v>2.3136887311133552</v>
      </c>
      <c r="AG859" s="360">
        <v>-16715.642078692181</v>
      </c>
      <c r="AH859" s="360">
        <v>7391.6458835115482</v>
      </c>
      <c r="AI859" s="360">
        <v>0.19506449965627065</v>
      </c>
      <c r="AJ859" s="360">
        <v>3.1172473017508469</v>
      </c>
      <c r="AK859" s="360">
        <v>10.014308789579637</v>
      </c>
      <c r="AL859" s="360">
        <v>1.7948728187422118</v>
      </c>
      <c r="AM859" s="360">
        <v>2.3136887311133552</v>
      </c>
      <c r="AN859" s="360">
        <v>-16715.642078692174</v>
      </c>
      <c r="AO859" s="360">
        <f t="shared" si="36"/>
        <v>0</v>
      </c>
      <c r="AP859" s="360">
        <f t="shared" si="37"/>
        <v>1</v>
      </c>
      <c r="AQ859" s="360">
        <f t="shared" si="38"/>
        <v>1</v>
      </c>
    </row>
    <row r="860" spans="1:43">
      <c r="A860" s="360" t="s">
        <v>1085</v>
      </c>
      <c r="B860" t="s">
        <v>1075</v>
      </c>
      <c r="C860">
        <v>1</v>
      </c>
      <c r="D860" t="s">
        <v>1080</v>
      </c>
      <c r="E860" t="s">
        <v>1079</v>
      </c>
      <c r="F860" s="360">
        <v>12</v>
      </c>
      <c r="G860" s="360" t="str">
        <f>CONCATENATE(A860," ",B860," ",C860," ","inf+"," ",FanUpsizes!D860," ",FanUpsizes!F860)</f>
        <v>0.6ACH Percentile 1 inf+ Existing 12</v>
      </c>
      <c r="H860" s="360">
        <v>5.6997278543668921E-2</v>
      </c>
      <c r="I860" s="360">
        <v>0.42068724296713789</v>
      </c>
      <c r="J860" s="360">
        <v>1.044157976916164</v>
      </c>
      <c r="K860" s="360">
        <v>7662.3817712987729</v>
      </c>
      <c r="L860" s="360">
        <v>0.32637817386927104</v>
      </c>
      <c r="M860" s="360">
        <v>3.0325156350636115</v>
      </c>
      <c r="N860" s="360">
        <v>7.0178789272111795</v>
      </c>
      <c r="O860" s="360">
        <v>2.2418738770740383</v>
      </c>
      <c r="P860" s="360">
        <v>2.1639585260276366</v>
      </c>
      <c r="Q860" s="360">
        <v>-38404.261653562491</v>
      </c>
      <c r="R860" s="360">
        <v>11406.989886508332</v>
      </c>
      <c r="S860" s="360">
        <v>0.23141139042549838</v>
      </c>
      <c r="T860" s="360">
        <v>3.6654665071203265</v>
      </c>
      <c r="U860" s="360">
        <v>7.0178789272111795</v>
      </c>
      <c r="V860" s="360">
        <v>1.5754084887589539</v>
      </c>
      <c r="W860" s="360">
        <v>2.2628689681710843</v>
      </c>
      <c r="X860" s="360">
        <v>-12125.055271168914</v>
      </c>
      <c r="Y860" s="360">
        <v>0.42151882034195909</v>
      </c>
      <c r="Z860" s="360">
        <v>1.0421014656156622</v>
      </c>
      <c r="AA860" s="360">
        <v>7689.7823770983341</v>
      </c>
      <c r="AB860" s="360">
        <v>0.32687648750675785</v>
      </c>
      <c r="AC860" s="360">
        <v>3.030714268878135</v>
      </c>
      <c r="AD860" s="360">
        <v>7.0178789272111795</v>
      </c>
      <c r="AE860" s="360">
        <v>2.2419450001184651</v>
      </c>
      <c r="AF860" s="360">
        <v>2.1639532948484272</v>
      </c>
      <c r="AG860" s="360">
        <v>-38362.225038074794</v>
      </c>
      <c r="AH860" s="360">
        <v>11417.684020792884</v>
      </c>
      <c r="AI860" s="360">
        <v>0.23226847701091111</v>
      </c>
      <c r="AJ860" s="360">
        <v>3.654670361503451</v>
      </c>
      <c r="AK860" s="360">
        <v>7.0178789272111795</v>
      </c>
      <c r="AL860" s="360">
        <v>1.5755313508521525</v>
      </c>
      <c r="AM860" s="360">
        <v>2.2628314992129903</v>
      </c>
      <c r="AN860" s="360">
        <v>-12085.431100031088</v>
      </c>
      <c r="AO860" s="360">
        <f t="shared" si="36"/>
        <v>0</v>
      </c>
      <c r="AP860" s="360">
        <f t="shared" si="37"/>
        <v>1</v>
      </c>
      <c r="AQ860" s="360">
        <f t="shared" si="38"/>
        <v>1</v>
      </c>
    </row>
    <row r="861" spans="1:43">
      <c r="A861" s="360" t="s">
        <v>1085</v>
      </c>
      <c r="B861" t="s">
        <v>1074</v>
      </c>
      <c r="C861">
        <v>1</v>
      </c>
      <c r="D861" t="s">
        <v>1080</v>
      </c>
      <c r="E861" t="s">
        <v>1079</v>
      </c>
      <c r="F861" s="360">
        <v>12</v>
      </c>
      <c r="G861" s="360" t="str">
        <f>CONCATENATE(A861," ",B861," ",C861," ","inf+"," ",FanUpsizes!D861," ",FanUpsizes!F861)</f>
        <v>0.6ACH Infiltration 1 inf+ Existing 12</v>
      </c>
      <c r="H861" s="360">
        <v>5.6997278543668921E-2</v>
      </c>
      <c r="I861" s="360">
        <v>0.42068724296713789</v>
      </c>
      <c r="J861" s="360">
        <v>1.044157976916164</v>
      </c>
      <c r="K861" s="360">
        <v>0</v>
      </c>
      <c r="L861" s="360">
        <v>0.42068724296713789</v>
      </c>
      <c r="M861" s="360">
        <v>1.044157976916164</v>
      </c>
      <c r="N861" s="360">
        <v>1</v>
      </c>
      <c r="O861" s="360">
        <v>0.42068724296713789</v>
      </c>
      <c r="P861" s="360">
        <v>1.044157976916164</v>
      </c>
      <c r="Q861" s="360">
        <v>0</v>
      </c>
      <c r="R861" s="360">
        <v>0</v>
      </c>
      <c r="S861" s="360">
        <v>0.42068724296713789</v>
      </c>
      <c r="T861" s="360">
        <v>1.044157976916164</v>
      </c>
      <c r="U861" s="360">
        <v>1</v>
      </c>
      <c r="V861" s="360">
        <v>0.42068724296713789</v>
      </c>
      <c r="W861" s="360">
        <v>1.044157976916164</v>
      </c>
      <c r="X861" s="360">
        <v>0</v>
      </c>
      <c r="Y861" s="360">
        <v>0.42151882034195909</v>
      </c>
      <c r="Z861" s="360">
        <v>1.0421014656156622</v>
      </c>
      <c r="AA861" s="360">
        <v>0</v>
      </c>
      <c r="AB861" s="360">
        <v>0.42151882034195909</v>
      </c>
      <c r="AC861" s="360">
        <v>1.0421014656156622</v>
      </c>
      <c r="AD861" s="360">
        <v>1</v>
      </c>
      <c r="AE861" s="360">
        <v>0.42151882034195909</v>
      </c>
      <c r="AF861" s="360">
        <v>1.0421014656156622</v>
      </c>
      <c r="AG861" s="360">
        <v>0</v>
      </c>
      <c r="AH861" s="360">
        <v>0</v>
      </c>
      <c r="AI861" s="360">
        <v>0.42151882034195909</v>
      </c>
      <c r="AJ861" s="360">
        <v>1.0421014656156622</v>
      </c>
      <c r="AK861" s="360">
        <v>1</v>
      </c>
      <c r="AL861" s="360">
        <v>0.42151882034195909</v>
      </c>
      <c r="AM861" s="360">
        <v>1.0421014656156622</v>
      </c>
      <c r="AN861" s="360">
        <v>0</v>
      </c>
      <c r="AO861" s="360">
        <f t="shared" si="36"/>
        <v>1</v>
      </c>
      <c r="AP861" s="360">
        <f t="shared" si="37"/>
        <v>0</v>
      </c>
      <c r="AQ861" s="360">
        <f t="shared" si="38"/>
        <v>0</v>
      </c>
    </row>
    <row r="862" spans="1:43">
      <c r="A862" s="360" t="s">
        <v>1085</v>
      </c>
      <c r="B862" t="s">
        <v>1076</v>
      </c>
      <c r="C862">
        <v>1</v>
      </c>
      <c r="D862" t="s">
        <v>1080</v>
      </c>
      <c r="E862" t="s">
        <v>1079</v>
      </c>
      <c r="F862" s="360">
        <v>12</v>
      </c>
      <c r="G862" s="360" t="str">
        <f>CONCATENATE(A862," ",B862," ",C862," ","inf+"," ",FanUpsizes!D862," ",FanUpsizes!F862)</f>
        <v>0.6ACH 5C 1 inf+ Existing 12</v>
      </c>
      <c r="H862" s="360">
        <v>5.6997278543668921E-2</v>
      </c>
      <c r="I862" s="360">
        <v>0.42068724296713789</v>
      </c>
      <c r="J862" s="360">
        <v>1.044157976916164</v>
      </c>
      <c r="K862" s="360">
        <v>11232.982875699618</v>
      </c>
      <c r="L862" s="360">
        <v>0.26594840569651867</v>
      </c>
      <c r="M862" s="360">
        <v>4.7352324616633581</v>
      </c>
      <c r="N862" s="360">
        <v>7.0178789272111795</v>
      </c>
      <c r="O862" s="360">
        <v>1.7907153535099294</v>
      </c>
      <c r="P862" s="360">
        <v>3.9443520054606065</v>
      </c>
      <c r="Q862" s="360">
        <v>-11747.591873100844</v>
      </c>
      <c r="R862" s="360">
        <v>11232.982875699618</v>
      </c>
      <c r="S862" s="360">
        <v>0.26594840569651867</v>
      </c>
      <c r="T862" s="360">
        <v>4.7352324616633581</v>
      </c>
      <c r="U862" s="360">
        <v>7.0178789272111795</v>
      </c>
      <c r="V862" s="360">
        <v>1.7907153535099294</v>
      </c>
      <c r="W862" s="360">
        <v>3.9443520054606065</v>
      </c>
      <c r="X862" s="360">
        <v>-11747.591873100844</v>
      </c>
      <c r="Y862" s="360">
        <v>0.42151882034195909</v>
      </c>
      <c r="Z862" s="360">
        <v>1.0421014656156622</v>
      </c>
      <c r="AA862" s="360">
        <v>11270.650545669825</v>
      </c>
      <c r="AB862" s="360">
        <v>0.26627412378792337</v>
      </c>
      <c r="AC862" s="360">
        <v>4.7337829400071811</v>
      </c>
      <c r="AD862" s="360">
        <v>7.0178789272111795</v>
      </c>
      <c r="AE862" s="360">
        <v>1.7907618277171389</v>
      </c>
      <c r="AF862" s="360">
        <v>3.9443481499011499</v>
      </c>
      <c r="AG862" s="360">
        <v>-11704.088957347054</v>
      </c>
      <c r="AH862" s="360">
        <v>11270.650545669825</v>
      </c>
      <c r="AI862" s="360">
        <v>0.26627412378792337</v>
      </c>
      <c r="AJ862" s="360">
        <v>4.7337829400071811</v>
      </c>
      <c r="AK862" s="360">
        <v>7.0178789272111795</v>
      </c>
      <c r="AL862" s="360">
        <v>1.7907618277171389</v>
      </c>
      <c r="AM862" s="360">
        <v>3.9443481499011499</v>
      </c>
      <c r="AN862" s="360">
        <v>-11704.088957347054</v>
      </c>
      <c r="AO862" s="360">
        <f t="shared" si="36"/>
        <v>0</v>
      </c>
      <c r="AP862" s="360">
        <f t="shared" si="37"/>
        <v>1</v>
      </c>
      <c r="AQ862" s="360">
        <f t="shared" si="38"/>
        <v>1</v>
      </c>
    </row>
    <row r="863" spans="1:43">
      <c r="A863" s="360" t="s">
        <v>1085</v>
      </c>
      <c r="B863" t="s">
        <v>1075</v>
      </c>
      <c r="C863">
        <v>2</v>
      </c>
      <c r="D863" t="s">
        <v>1080</v>
      </c>
      <c r="E863" t="s">
        <v>1079</v>
      </c>
      <c r="F863" s="360">
        <v>12</v>
      </c>
      <c r="G863" s="360" t="str">
        <f>CONCATENATE(A863," ",B863," ",C863," ","inf+"," ",FanUpsizes!D863," ",FanUpsizes!F863)</f>
        <v>0.6ACH Percentile 2 inf+ Existing 12</v>
      </c>
      <c r="H863" s="360">
        <v>5.6192846621248488E-2</v>
      </c>
      <c r="I863" s="360">
        <v>0.41474986742481562</v>
      </c>
      <c r="J863" s="360">
        <v>1.0591006952349964</v>
      </c>
      <c r="K863" s="360">
        <v>7335.7587837460678</v>
      </c>
      <c r="L863" s="360">
        <v>0.3244584296082082</v>
      </c>
      <c r="M863" s="360">
        <v>2.6410180455022436</v>
      </c>
      <c r="N863" s="360">
        <v>7.1183437759628641</v>
      </c>
      <c r="O863" s="360">
        <v>2.2444464758602445</v>
      </c>
      <c r="P863" s="360">
        <v>1.7950592915619903</v>
      </c>
      <c r="Q863" s="360">
        <v>-38838.923079913402</v>
      </c>
      <c r="R863" s="360">
        <v>11026.77789724284</v>
      </c>
      <c r="S863" s="360">
        <v>0.23084413423599259</v>
      </c>
      <c r="T863" s="360">
        <v>3.2450048056180023</v>
      </c>
      <c r="U863" s="360">
        <v>7.1183437759628641</v>
      </c>
      <c r="V863" s="360">
        <v>1.5779810875451623</v>
      </c>
      <c r="W863" s="360">
        <v>1.8875266779727846</v>
      </c>
      <c r="X863" s="360">
        <v>-12559.716697519974</v>
      </c>
      <c r="Y863" s="360">
        <v>0.4162664761847476</v>
      </c>
      <c r="Z863" s="360">
        <v>1.0552529255529461</v>
      </c>
      <c r="AA863" s="360">
        <v>7384.2389828314208</v>
      </c>
      <c r="AB863" s="360">
        <v>0.32538421904286791</v>
      </c>
      <c r="AC863" s="360">
        <v>2.6378253522542674</v>
      </c>
      <c r="AD863" s="360">
        <v>7.1183437759628641</v>
      </c>
      <c r="AE863" s="360">
        <v>2.2445769485397928</v>
      </c>
      <c r="AF863" s="360">
        <v>1.7950503853806425</v>
      </c>
      <c r="AG863" s="360">
        <v>-38763.534340835758</v>
      </c>
      <c r="AH863" s="360">
        <v>11045.670173320714</v>
      </c>
      <c r="AI863" s="360">
        <v>0.23241037086027228</v>
      </c>
      <c r="AJ863" s="360">
        <v>3.2266956679826073</v>
      </c>
      <c r="AK863" s="360">
        <v>7.1183437759628641</v>
      </c>
      <c r="AL863" s="360">
        <v>1.5782053665168234</v>
      </c>
      <c r="AM863" s="360">
        <v>1.8874649314339034</v>
      </c>
      <c r="AN863" s="360">
        <v>-12488.697970703533</v>
      </c>
      <c r="AO863" s="360">
        <f t="shared" si="36"/>
        <v>0</v>
      </c>
      <c r="AP863" s="360">
        <f t="shared" si="37"/>
        <v>1</v>
      </c>
      <c r="AQ863" s="360">
        <f t="shared" si="38"/>
        <v>1</v>
      </c>
    </row>
    <row r="864" spans="1:43">
      <c r="A864" s="360" t="s">
        <v>1085</v>
      </c>
      <c r="B864" t="s">
        <v>1074</v>
      </c>
      <c r="C864">
        <v>2</v>
      </c>
      <c r="D864" t="s">
        <v>1080</v>
      </c>
      <c r="E864" t="s">
        <v>1079</v>
      </c>
      <c r="F864" s="360">
        <v>12</v>
      </c>
      <c r="G864" s="360" t="str">
        <f>CONCATENATE(A864," ",B864," ",C864," ","inf+"," ",FanUpsizes!D864," ",FanUpsizes!F864)</f>
        <v>0.6ACH Infiltration 2 inf+ Existing 12</v>
      </c>
      <c r="H864" s="360">
        <v>5.6192846621248488E-2</v>
      </c>
      <c r="I864" s="360">
        <v>0.41474986742481562</v>
      </c>
      <c r="J864" s="360">
        <v>1.0591006952349964</v>
      </c>
      <c r="K864" s="360">
        <v>0</v>
      </c>
      <c r="L864" s="360">
        <v>0.41474986742481562</v>
      </c>
      <c r="M864" s="360">
        <v>1.0591006952349964</v>
      </c>
      <c r="N864" s="360">
        <v>1</v>
      </c>
      <c r="O864" s="360">
        <v>0.41474986742481562</v>
      </c>
      <c r="P864" s="360">
        <v>1.0591006952349964</v>
      </c>
      <c r="Q864" s="360">
        <v>0</v>
      </c>
      <c r="R864" s="360">
        <v>0</v>
      </c>
      <c r="S864" s="360">
        <v>0.41474986742481562</v>
      </c>
      <c r="T864" s="360">
        <v>1.0591006952349964</v>
      </c>
      <c r="U864" s="360">
        <v>1</v>
      </c>
      <c r="V864" s="360">
        <v>0.41474986742481562</v>
      </c>
      <c r="W864" s="360">
        <v>1.0591006952349964</v>
      </c>
      <c r="X864" s="360">
        <v>0</v>
      </c>
      <c r="Y864" s="360">
        <v>0.4162664761847476</v>
      </c>
      <c r="Z864" s="360">
        <v>1.0552529255529461</v>
      </c>
      <c r="AA864" s="360">
        <v>0</v>
      </c>
      <c r="AB864" s="360">
        <v>0.4162664761847476</v>
      </c>
      <c r="AC864" s="360">
        <v>1.0552529255529461</v>
      </c>
      <c r="AD864" s="360">
        <v>1</v>
      </c>
      <c r="AE864" s="360">
        <v>0.4162664761847476</v>
      </c>
      <c r="AF864" s="360">
        <v>1.0552529255529461</v>
      </c>
      <c r="AG864" s="360">
        <v>0</v>
      </c>
      <c r="AH864" s="360">
        <v>0</v>
      </c>
      <c r="AI864" s="360">
        <v>0.4162664761847476</v>
      </c>
      <c r="AJ864" s="360">
        <v>1.0552529255529461</v>
      </c>
      <c r="AK864" s="360">
        <v>1</v>
      </c>
      <c r="AL864" s="360">
        <v>0.4162664761847476</v>
      </c>
      <c r="AM864" s="360">
        <v>1.0552529255529461</v>
      </c>
      <c r="AN864" s="360">
        <v>0</v>
      </c>
      <c r="AO864" s="360">
        <f t="shared" si="36"/>
        <v>1</v>
      </c>
      <c r="AP864" s="360">
        <f t="shared" si="37"/>
        <v>0</v>
      </c>
      <c r="AQ864" s="360">
        <f t="shared" si="38"/>
        <v>0</v>
      </c>
    </row>
    <row r="865" spans="1:43">
      <c r="A865" s="360" t="s">
        <v>1085</v>
      </c>
      <c r="B865" t="s">
        <v>1076</v>
      </c>
      <c r="C865">
        <v>2</v>
      </c>
      <c r="D865" t="s">
        <v>1080</v>
      </c>
      <c r="E865" t="s">
        <v>1079</v>
      </c>
      <c r="F865" s="360">
        <v>12</v>
      </c>
      <c r="G865" s="360" t="str">
        <f>CONCATENATE(A865," ",B865," ",C865," ","inf+"," ",FanUpsizes!D865," ",FanUpsizes!F865)</f>
        <v>0.6ACH 5C 2 inf+ Existing 12</v>
      </c>
      <c r="H865" s="360">
        <v>5.6192846621248488E-2</v>
      </c>
      <c r="I865" s="360">
        <v>0.41474986742481562</v>
      </c>
      <c r="J865" s="360">
        <v>1.0591006952349964</v>
      </c>
      <c r="K865" s="360">
        <v>10763.603434415072</v>
      </c>
      <c r="L865" s="360">
        <v>0.26644381240866966</v>
      </c>
      <c r="M865" s="360">
        <v>3.9405462114492984</v>
      </c>
      <c r="N865" s="360">
        <v>7.1183437759628641</v>
      </c>
      <c r="O865" s="360">
        <v>1.7947867411993106</v>
      </c>
      <c r="P865" s="360">
        <v>3.1816193897743239</v>
      </c>
      <c r="Q865" s="360">
        <v>-12270.866828231407</v>
      </c>
      <c r="R865" s="360">
        <v>10763.603434415072</v>
      </c>
      <c r="S865" s="360">
        <v>0.26644381240866966</v>
      </c>
      <c r="T865" s="360">
        <v>3.9405462114492984</v>
      </c>
      <c r="U865" s="360">
        <v>7.1183437759628641</v>
      </c>
      <c r="V865" s="360">
        <v>1.7947867411993106</v>
      </c>
      <c r="W865" s="360">
        <v>3.1816193897743239</v>
      </c>
      <c r="X865" s="360">
        <v>-12270.866828231407</v>
      </c>
      <c r="Y865" s="360">
        <v>0.4162664761847476</v>
      </c>
      <c r="Z865" s="360">
        <v>1.0552529255529461</v>
      </c>
      <c r="AA865" s="360">
        <v>10830.807913018927</v>
      </c>
      <c r="AB865" s="360">
        <v>0.26705495652421263</v>
      </c>
      <c r="AC865" s="360">
        <v>3.9380281306910221</v>
      </c>
      <c r="AD865" s="360">
        <v>7.1183437759628641</v>
      </c>
      <c r="AE865" s="360">
        <v>1.7948728187422118</v>
      </c>
      <c r="AF865" s="360">
        <v>3.1816127602700481</v>
      </c>
      <c r="AG865" s="360">
        <v>-12192.836059561925</v>
      </c>
      <c r="AH865" s="360">
        <v>10830.807913018927</v>
      </c>
      <c r="AI865" s="360">
        <v>0.26705495652421263</v>
      </c>
      <c r="AJ865" s="360">
        <v>3.9380281306910221</v>
      </c>
      <c r="AK865" s="360">
        <v>7.1183437759628641</v>
      </c>
      <c r="AL865" s="360">
        <v>1.7948728187422118</v>
      </c>
      <c r="AM865" s="360">
        <v>3.1816127602700481</v>
      </c>
      <c r="AN865" s="360">
        <v>-12192.836059561925</v>
      </c>
      <c r="AO865" s="360">
        <f t="shared" si="36"/>
        <v>0</v>
      </c>
      <c r="AP865" s="360">
        <f t="shared" si="37"/>
        <v>1</v>
      </c>
      <c r="AQ865" s="360">
        <f t="shared" si="38"/>
        <v>1</v>
      </c>
    </row>
    <row r="866" spans="1:43">
      <c r="A866" s="360" t="s">
        <v>1077</v>
      </c>
      <c r="B866" t="s">
        <v>1075</v>
      </c>
      <c r="C866">
        <v>1</v>
      </c>
      <c r="D866" t="s">
        <v>1078</v>
      </c>
      <c r="E866" t="s">
        <v>1079</v>
      </c>
      <c r="F866">
        <v>13</v>
      </c>
      <c r="G866" s="360" t="str">
        <f>CONCATENATE(A866," ",B866," ",C866," ","inf+"," ",FanUpsizes!D866," ",FanUpsizes!F866)</f>
        <v>10ACH Percentile 1 inf+ New 13</v>
      </c>
      <c r="H866" s="360">
        <v>1.4421666666666666E-2</v>
      </c>
      <c r="I866" s="360">
        <v>0.43577055397063219</v>
      </c>
      <c r="J866" s="360">
        <v>0.81366885462713945</v>
      </c>
      <c r="K866" s="360">
        <v>1027.8913192233451</v>
      </c>
      <c r="L866" s="360">
        <v>0.42300579476741529</v>
      </c>
      <c r="M866" s="360">
        <v>0.83012792698190829</v>
      </c>
      <c r="N866" s="360">
        <v>1.1588461154576397</v>
      </c>
      <c r="O866" s="360">
        <v>0.4294617702579549</v>
      </c>
      <c r="P866" s="360">
        <v>0.81366935422176867</v>
      </c>
      <c r="Q866" s="360">
        <v>842.48243126027091</v>
      </c>
      <c r="R866" s="360">
        <v>1577.2580624830068</v>
      </c>
      <c r="S866" s="360">
        <v>0.4110885766916812</v>
      </c>
      <c r="T866" s="360">
        <v>0.85498610117938967</v>
      </c>
      <c r="U866" s="360">
        <v>1.5081862128203716</v>
      </c>
      <c r="V866" s="360">
        <v>0.4257294774685515</v>
      </c>
      <c r="W866" s="360">
        <v>0.81366901922239765</v>
      </c>
      <c r="X866" s="360">
        <v>1263.2718760110313</v>
      </c>
      <c r="Y866" s="360">
        <v>0.39981827478196896</v>
      </c>
      <c r="Z866" s="360">
        <v>0.89060497509003422</v>
      </c>
      <c r="AA866" s="360">
        <v>236.01749943075052</v>
      </c>
      <c r="AB866" s="360">
        <v>0.39697713646395094</v>
      </c>
      <c r="AC866" s="360">
        <v>0.89474021530805414</v>
      </c>
      <c r="AD866" s="360">
        <v>1.039921144198132</v>
      </c>
      <c r="AE866" s="360">
        <v>0.3980865468261276</v>
      </c>
      <c r="AF866" s="360">
        <v>0.89060520686791544</v>
      </c>
      <c r="AG866" s="360">
        <v>209.4265824795788</v>
      </c>
      <c r="AH866" s="360">
        <v>468.11098283552644</v>
      </c>
      <c r="AI866" s="360">
        <v>0.39177863469012142</v>
      </c>
      <c r="AJ866" s="360">
        <v>0.90903845132379923</v>
      </c>
      <c r="AK866" s="360">
        <v>1.2286916895703439</v>
      </c>
      <c r="AL866" s="360">
        <v>0.39607341126281304</v>
      </c>
      <c r="AM866" s="360">
        <v>0.89060499123438552</v>
      </c>
      <c r="AN866" s="360">
        <v>414.28955241175862</v>
      </c>
      <c r="AO866" s="360">
        <f t="shared" si="36"/>
        <v>1</v>
      </c>
      <c r="AP866" s="360">
        <f t="shared" si="37"/>
        <v>1</v>
      </c>
      <c r="AQ866" s="360">
        <f t="shared" si="38"/>
        <v>1</v>
      </c>
    </row>
    <row r="867" spans="1:43">
      <c r="A867" s="360" t="s">
        <v>1077</v>
      </c>
      <c r="B867" t="s">
        <v>1074</v>
      </c>
      <c r="C867">
        <v>1</v>
      </c>
      <c r="D867" t="s">
        <v>1078</v>
      </c>
      <c r="E867" t="s">
        <v>1079</v>
      </c>
      <c r="F867">
        <v>13</v>
      </c>
      <c r="G867" s="360" t="str">
        <f>CONCATENATE(A867," ",B867," ",C867," ","inf+"," ",FanUpsizes!D867," ",FanUpsizes!F867)</f>
        <v>10ACH Infiltration 1 inf+ New 13</v>
      </c>
      <c r="H867" s="360">
        <v>1.4421666666666666E-2</v>
      </c>
      <c r="I867" s="360">
        <v>0.43577055397063219</v>
      </c>
      <c r="J867" s="360">
        <v>0.81366885462713945</v>
      </c>
      <c r="K867" s="360">
        <v>1587.0680038080332</v>
      </c>
      <c r="L867" s="360">
        <v>0.41382561811055552</v>
      </c>
      <c r="M867" s="360">
        <v>0.84557463163328705</v>
      </c>
      <c r="N867" s="360">
        <v>1.3637770854185027</v>
      </c>
      <c r="O867" s="360">
        <v>0.42528492863199596</v>
      </c>
      <c r="P867" s="360">
        <v>0.81367035325149806</v>
      </c>
      <c r="Q867" s="360">
        <v>1365.874576223697</v>
      </c>
      <c r="R867" s="360">
        <v>1871.8138791243423</v>
      </c>
      <c r="S867" s="360">
        <v>0.40553854930846439</v>
      </c>
      <c r="T867" s="360">
        <v>0.86671591475930476</v>
      </c>
      <c r="U867" s="360">
        <v>1.761564133006295</v>
      </c>
      <c r="V867" s="360">
        <v>0.42331061815928772</v>
      </c>
      <c r="W867" s="360">
        <v>0.81366919782133906</v>
      </c>
      <c r="X867" s="360">
        <v>1625.5996270407834</v>
      </c>
      <c r="Y867" s="360">
        <v>0.39981827478196896</v>
      </c>
      <c r="Z867" s="360">
        <v>0.89060497509003422</v>
      </c>
      <c r="AA867" s="360">
        <v>385.19089204702397</v>
      </c>
      <c r="AB867" s="360">
        <v>0.39463307673497711</v>
      </c>
      <c r="AC867" s="360">
        <v>0.89931999128089923</v>
      </c>
      <c r="AD867" s="360">
        <v>1.0910833470395811</v>
      </c>
      <c r="AE867" s="360">
        <v>0.39677813956720742</v>
      </c>
      <c r="AF867" s="360">
        <v>0.8906051540268124</v>
      </c>
      <c r="AG867" s="360">
        <v>350.15852800348097</v>
      </c>
      <c r="AH867" s="360">
        <v>516.97461863266722</v>
      </c>
      <c r="AI867" s="360">
        <v>0.39059829799897022</v>
      </c>
      <c r="AJ867" s="360">
        <v>0.91298396419410888</v>
      </c>
      <c r="AK867" s="360">
        <v>1.3016684941730083</v>
      </c>
      <c r="AL867" s="360">
        <v>0.39562297747809627</v>
      </c>
      <c r="AM867" s="360">
        <v>0.89060655753514451</v>
      </c>
      <c r="AN867" s="360">
        <v>475.12114666582949</v>
      </c>
      <c r="AO867" s="360">
        <f t="shared" si="36"/>
        <v>1</v>
      </c>
      <c r="AP867" s="360">
        <f t="shared" si="37"/>
        <v>1</v>
      </c>
      <c r="AQ867" s="360">
        <f t="shared" si="38"/>
        <v>1</v>
      </c>
    </row>
    <row r="868" spans="1:43">
      <c r="A868" s="360" t="s">
        <v>1077</v>
      </c>
      <c r="B868" t="s">
        <v>1076</v>
      </c>
      <c r="C868">
        <v>1</v>
      </c>
      <c r="D868" t="s">
        <v>1078</v>
      </c>
      <c r="E868" t="s">
        <v>1079</v>
      </c>
      <c r="F868" s="360">
        <v>13</v>
      </c>
      <c r="G868" s="360" t="str">
        <f>CONCATENATE(A868," ",B868," ",C868," ","inf+"," ",FanUpsizes!D868," ",FanUpsizes!F868)</f>
        <v>10ACH 5C 1 inf+ New 13</v>
      </c>
      <c r="H868" s="360">
        <v>1.4421666666666666E-2</v>
      </c>
      <c r="I868" s="360">
        <v>0.43577055397063219</v>
      </c>
      <c r="J868" s="360">
        <v>0.81366885462713945</v>
      </c>
      <c r="K868" s="360">
        <v>1651.6443458130236</v>
      </c>
      <c r="L868" s="360">
        <v>0.41262265651025287</v>
      </c>
      <c r="M868" s="360">
        <v>0.84793384528720084</v>
      </c>
      <c r="N868" s="360">
        <v>1.4015825739271173</v>
      </c>
      <c r="O868" s="360">
        <v>0.42479579138880902</v>
      </c>
      <c r="P868" s="360">
        <v>0.81366886278558881</v>
      </c>
      <c r="Q868" s="360">
        <v>1433.3961523230475</v>
      </c>
      <c r="R868" s="360">
        <v>1904.1020501268322</v>
      </c>
      <c r="S868" s="360">
        <v>0.40493706850831257</v>
      </c>
      <c r="T868" s="360">
        <v>0.86798016114149268</v>
      </c>
      <c r="U868" s="360">
        <v>1.7953935388157445</v>
      </c>
      <c r="V868" s="360">
        <v>0.42302877931526622</v>
      </c>
      <c r="W868" s="360">
        <v>0.8136688926544865</v>
      </c>
      <c r="X868" s="360">
        <v>1672.6325285147382</v>
      </c>
      <c r="Y868" s="360">
        <v>0.39981827478196896</v>
      </c>
      <c r="Z868" s="360">
        <v>0.89060497509003422</v>
      </c>
      <c r="AA868" s="360">
        <v>403.73707948759898</v>
      </c>
      <c r="AB868" s="360">
        <v>0.39430213734262626</v>
      </c>
      <c r="AC868" s="360">
        <v>0.90007426403257529</v>
      </c>
      <c r="AD868" s="360">
        <v>1.1003406732013092</v>
      </c>
      <c r="AE868" s="360">
        <v>0.39660528785350679</v>
      </c>
      <c r="AF868" s="360">
        <v>0.89060499926590841</v>
      </c>
      <c r="AG868" s="360">
        <v>368.68997210946759</v>
      </c>
      <c r="AH868" s="360">
        <v>521.99019024355698</v>
      </c>
      <c r="AI868" s="360">
        <v>0.39051425532524958</v>
      </c>
      <c r="AJ868" s="360">
        <v>0.91318287888443306</v>
      </c>
      <c r="AK868" s="360">
        <v>1.3060511935949464</v>
      </c>
      <c r="AL868" s="360">
        <v>0.39556010347828541</v>
      </c>
      <c r="AM868" s="360">
        <v>0.89060574178982566</v>
      </c>
      <c r="AN868" s="360">
        <v>482.72995956424791</v>
      </c>
      <c r="AO868" s="360">
        <f t="shared" si="36"/>
        <v>1</v>
      </c>
      <c r="AP868" s="360">
        <f t="shared" si="37"/>
        <v>1</v>
      </c>
      <c r="AQ868" s="360">
        <f t="shared" si="38"/>
        <v>1</v>
      </c>
    </row>
    <row r="869" spans="1:43">
      <c r="A869" s="360" t="s">
        <v>1077</v>
      </c>
      <c r="B869" t="s">
        <v>1075</v>
      </c>
      <c r="C869">
        <v>2</v>
      </c>
      <c r="D869" t="s">
        <v>1078</v>
      </c>
      <c r="E869" t="s">
        <v>1079</v>
      </c>
      <c r="F869" s="360">
        <v>13</v>
      </c>
      <c r="G869" s="360" t="str">
        <f>CONCATENATE(A869," ",B869," ",C869," ","inf+"," ",FanUpsizes!D869," ",FanUpsizes!F869)</f>
        <v>10ACH Percentile 2 inf+ New 13</v>
      </c>
      <c r="H869" s="360">
        <v>1.4421666666666666E-2</v>
      </c>
      <c r="I869" s="360">
        <v>0.5611256770541746</v>
      </c>
      <c r="J869" s="360">
        <v>0.64145649382699821</v>
      </c>
      <c r="K869" s="360">
        <v>1027.8913192234568</v>
      </c>
      <c r="L869" s="360">
        <v>0.54836091785095409</v>
      </c>
      <c r="M869" s="360">
        <v>0.65150773086681257</v>
      </c>
      <c r="N869" s="360">
        <v>1.1541248228682914</v>
      </c>
      <c r="O869" s="360">
        <v>0.55460672862097882</v>
      </c>
      <c r="P869" s="360">
        <v>0.64145682185036512</v>
      </c>
      <c r="Q869" s="360">
        <v>847.99323400318053</v>
      </c>
      <c r="R869" s="360">
        <v>1577.2580624832219</v>
      </c>
      <c r="S869" s="360">
        <v>0.53644369977522799</v>
      </c>
      <c r="T869" s="360">
        <v>0.66681926666116731</v>
      </c>
      <c r="U869" s="360">
        <v>1.4962569297705977</v>
      </c>
      <c r="V869" s="360">
        <v>0.55066500802558693</v>
      </c>
      <c r="W869" s="360">
        <v>0.64145663458435342</v>
      </c>
      <c r="X869" s="360">
        <v>1270.6424618272877</v>
      </c>
      <c r="Y869" s="360">
        <v>0.5212464540641617</v>
      </c>
      <c r="Z869" s="360">
        <v>0.69621522262672253</v>
      </c>
      <c r="AA869" s="360">
        <v>185.83834024382807</v>
      </c>
      <c r="AB869" s="360">
        <v>0.51904533777963824</v>
      </c>
      <c r="AC869" s="360">
        <v>0.69814502031899006</v>
      </c>
      <c r="AD869" s="360">
        <v>1.0363276412550333</v>
      </c>
      <c r="AE869" s="360">
        <v>0.51983806504531516</v>
      </c>
      <c r="AF869" s="360">
        <v>0.69621669598839919</v>
      </c>
      <c r="AG869" s="360">
        <v>166.74931075685646</v>
      </c>
      <c r="AH869" s="360">
        <v>367.42505392600901</v>
      </c>
      <c r="AI869" s="360">
        <v>0.51503519638339013</v>
      </c>
      <c r="AJ869" s="360">
        <v>0.70494203526516952</v>
      </c>
      <c r="AK869" s="360">
        <v>1.2073123218783195</v>
      </c>
      <c r="AL869" s="360">
        <v>0.51810020157598902</v>
      </c>
      <c r="AM869" s="360">
        <v>0.69621524949098756</v>
      </c>
      <c r="AN869" s="360">
        <v>328.76584162568355</v>
      </c>
      <c r="AO869" s="360">
        <f t="shared" ref="AO869:AO932" si="39">IF(ROUND(P869,3)=ROUND(J869,3),1,0)</f>
        <v>1</v>
      </c>
      <c r="AP869" s="360">
        <f t="shared" ref="AP869:AP932" si="40">IF(O869&gt;L869,1,0)</f>
        <v>1</v>
      </c>
      <c r="AQ869" s="360">
        <f t="shared" ref="AQ869:AQ932" si="41">IF(I869&gt;L869,1,0)</f>
        <v>1</v>
      </c>
    </row>
    <row r="870" spans="1:43">
      <c r="A870" s="360" t="s">
        <v>1077</v>
      </c>
      <c r="B870" t="s">
        <v>1074</v>
      </c>
      <c r="C870">
        <v>2</v>
      </c>
      <c r="D870" t="s">
        <v>1078</v>
      </c>
      <c r="E870" t="s">
        <v>1079</v>
      </c>
      <c r="F870" s="360">
        <v>13</v>
      </c>
      <c r="G870" s="360" t="str">
        <f>CONCATENATE(A870," ",B870," ",C870," ","inf+"," ",FanUpsizes!D870," ",FanUpsizes!F870)</f>
        <v>10ACH Infiltration 2 inf+ New 13</v>
      </c>
      <c r="H870" s="360">
        <v>1.4421666666666666E-2</v>
      </c>
      <c r="I870" s="360">
        <v>0.5611256770541746</v>
      </c>
      <c r="J870" s="360">
        <v>0.64145649382699821</v>
      </c>
      <c r="K870" s="360">
        <v>1959.860176242586</v>
      </c>
      <c r="L870" s="360">
        <v>0.53092405021019662</v>
      </c>
      <c r="M870" s="360">
        <v>0.67166880599183443</v>
      </c>
      <c r="N870" s="360">
        <v>1.675117250111724</v>
      </c>
      <c r="O870" s="360">
        <v>0.54656213398008802</v>
      </c>
      <c r="P870" s="360">
        <v>0.64145745440992519</v>
      </c>
      <c r="Q870" s="360">
        <v>1801.0358398532435</v>
      </c>
      <c r="R870" s="360">
        <v>2070.3752751337893</v>
      </c>
      <c r="S870" s="360">
        <v>0.52511581137237207</v>
      </c>
      <c r="T870" s="360">
        <v>0.68368241933174378</v>
      </c>
      <c r="U870" s="360">
        <v>2.2123626440021833</v>
      </c>
      <c r="V870" s="360">
        <v>0.54629402501541369</v>
      </c>
      <c r="W870" s="360">
        <v>0.64145664138088021</v>
      </c>
      <c r="X870" s="360">
        <v>1919.1459473565969</v>
      </c>
      <c r="Y870" s="360">
        <v>0.5212464540641617</v>
      </c>
      <c r="Z870" s="360">
        <v>0.69621522262672253</v>
      </c>
      <c r="AA870" s="360">
        <v>390.09523684622548</v>
      </c>
      <c r="AB870" s="360">
        <v>0.51540269238183112</v>
      </c>
      <c r="AC870" s="360">
        <v>0.70319920221115406</v>
      </c>
      <c r="AD870" s="360">
        <v>1.1567306962886421</v>
      </c>
      <c r="AE870" s="360">
        <v>0.51778545025239964</v>
      </c>
      <c r="AF870" s="360">
        <v>0.69621526467489636</v>
      </c>
      <c r="AG870" s="360">
        <v>368.32243035034571</v>
      </c>
      <c r="AH870" s="360">
        <v>436.70943834588081</v>
      </c>
      <c r="AI870" s="360">
        <v>0.51282979622244296</v>
      </c>
      <c r="AJ870" s="360">
        <v>0.7103717362410128</v>
      </c>
      <c r="AK870" s="360">
        <v>1.4250450275964102</v>
      </c>
      <c r="AL870" s="360">
        <v>0.51745247242960235</v>
      </c>
      <c r="AM870" s="360">
        <v>0.69621621151395752</v>
      </c>
      <c r="AN870" s="360">
        <v>414.44613167140403</v>
      </c>
      <c r="AO870" s="360">
        <f t="shared" si="39"/>
        <v>1</v>
      </c>
      <c r="AP870" s="360">
        <f t="shared" si="40"/>
        <v>1</v>
      </c>
      <c r="AQ870" s="360">
        <f t="shared" si="41"/>
        <v>1</v>
      </c>
    </row>
    <row r="871" spans="1:43">
      <c r="A871" s="360" t="s">
        <v>1077</v>
      </c>
      <c r="B871" t="s">
        <v>1076</v>
      </c>
      <c r="C871">
        <v>2</v>
      </c>
      <c r="D871" t="s">
        <v>1078</v>
      </c>
      <c r="E871" t="s">
        <v>1079</v>
      </c>
      <c r="F871" s="360">
        <v>13</v>
      </c>
      <c r="G871" s="360" t="str">
        <f>CONCATENATE(A871," ",B871," ",C871," ","inf+"," ",FanUpsizes!D871," ",FanUpsizes!F871)</f>
        <v>10ACH 5C 2 inf+ New 13</v>
      </c>
      <c r="H871" s="360">
        <v>1.4421666666666666E-2</v>
      </c>
      <c r="I871" s="360">
        <v>0.5611256770541746</v>
      </c>
      <c r="J871" s="360">
        <v>0.64145649382699821</v>
      </c>
      <c r="K871" s="360">
        <v>1651.6443458132117</v>
      </c>
      <c r="L871" s="360">
        <v>0.53797777959379256</v>
      </c>
      <c r="M871" s="360">
        <v>0.66229593593844049</v>
      </c>
      <c r="N871" s="360">
        <v>1.384987278463742</v>
      </c>
      <c r="O871" s="360">
        <v>0.54959301337439459</v>
      </c>
      <c r="P871" s="360">
        <v>0.64145664530648039</v>
      </c>
      <c r="Q871" s="360">
        <v>1442.4152021786515</v>
      </c>
      <c r="R871" s="360">
        <v>1916.2673599191248</v>
      </c>
      <c r="S871" s="360">
        <v>0.52864267606417226</v>
      </c>
      <c r="T871" s="360">
        <v>0.67870442696857269</v>
      </c>
      <c r="U871" s="360">
        <v>1.9300973567772481</v>
      </c>
      <c r="V871" s="360">
        <v>0.54811152182269329</v>
      </c>
      <c r="W871" s="360">
        <v>0.64145661339547677</v>
      </c>
      <c r="X871" s="360">
        <v>1656.9122559052178</v>
      </c>
      <c r="Y871" s="360">
        <v>0.5212464540641617</v>
      </c>
      <c r="Z871" s="360">
        <v>0.69621522262672253</v>
      </c>
      <c r="AA871" s="360">
        <v>317.42728517038245</v>
      </c>
      <c r="AB871" s="360">
        <v>0.5169855700884235</v>
      </c>
      <c r="AC871" s="360">
        <v>0.70062090236822883</v>
      </c>
      <c r="AD871" s="360">
        <v>1.0900647768376359</v>
      </c>
      <c r="AE871" s="360">
        <v>0.51861292949055005</v>
      </c>
      <c r="AF871" s="360">
        <v>0.69621537065426897</v>
      </c>
      <c r="AG871" s="360">
        <v>292.44980291188921</v>
      </c>
      <c r="AH871" s="360">
        <v>416.53611675488202</v>
      </c>
      <c r="AI871" s="360">
        <v>0.5132301132639685</v>
      </c>
      <c r="AJ871" s="360">
        <v>0.70969931263592845</v>
      </c>
      <c r="AK871" s="360">
        <v>1.3890390750380053</v>
      </c>
      <c r="AL871" s="360">
        <v>0.5177824461953191</v>
      </c>
      <c r="AM871" s="360">
        <v>0.69621528468836646</v>
      </c>
      <c r="AN871" s="360">
        <v>379.68296420332319</v>
      </c>
      <c r="AO871" s="360">
        <f t="shared" si="39"/>
        <v>1</v>
      </c>
      <c r="AP871" s="360">
        <f t="shared" si="40"/>
        <v>1</v>
      </c>
      <c r="AQ871" s="360">
        <f t="shared" si="41"/>
        <v>1</v>
      </c>
    </row>
    <row r="872" spans="1:43">
      <c r="A872" s="360" t="s">
        <v>1077</v>
      </c>
      <c r="B872" t="s">
        <v>1075</v>
      </c>
      <c r="C872">
        <v>1</v>
      </c>
      <c r="D872" t="s">
        <v>1080</v>
      </c>
      <c r="E872" t="s">
        <v>1079</v>
      </c>
      <c r="F872" s="360">
        <v>13</v>
      </c>
      <c r="G872" s="360" t="str">
        <f>CONCATENATE(A872," ",B872," ",C872," ","inf+"," ",FanUpsizes!D872," ",FanUpsizes!F872)</f>
        <v>10ACH Percentile 1 inf+ Existing 13</v>
      </c>
      <c r="H872" s="360">
        <v>1.6177171653317474E-2</v>
      </c>
      <c r="I872" s="360">
        <v>0.44227115856449833</v>
      </c>
      <c r="J872" s="360">
        <v>1.0993365184384565</v>
      </c>
      <c r="K872" s="360">
        <v>1153.0133580514537</v>
      </c>
      <c r="L872" s="360">
        <v>0.42795258460792462</v>
      </c>
      <c r="M872" s="360">
        <v>1.1243681789743956</v>
      </c>
      <c r="N872" s="360">
        <v>1.1630336247118918</v>
      </c>
      <c r="O872" s="360">
        <v>0.43539347384018057</v>
      </c>
      <c r="P872" s="360">
        <v>1.0993369673342135</v>
      </c>
      <c r="Q872" s="360">
        <v>939.55248807564624</v>
      </c>
      <c r="R872" s="360">
        <v>1769.2528199492092</v>
      </c>
      <c r="S872" s="360">
        <v>0.41458472034527682</v>
      </c>
      <c r="T872" s="360">
        <v>1.1617075656133451</v>
      </c>
      <c r="U872" s="360">
        <v>1.5169600633564089</v>
      </c>
      <c r="V872" s="360">
        <v>0.43134257071694032</v>
      </c>
      <c r="W872" s="360">
        <v>1.0993365208648425</v>
      </c>
      <c r="X872" s="360">
        <v>1410.9652033348887</v>
      </c>
      <c r="Y872" s="360">
        <v>0.40403164533352537</v>
      </c>
      <c r="Z872" s="360">
        <v>1.2060238472697571</v>
      </c>
      <c r="AA872" s="360">
        <v>294.27136893521521</v>
      </c>
      <c r="AB872" s="360">
        <v>0.40046846100571881</v>
      </c>
      <c r="AC872" s="360">
        <v>1.2130979819340388</v>
      </c>
      <c r="AD872" s="360">
        <v>1.0424828092791059</v>
      </c>
      <c r="AE872" s="360">
        <v>0.40192148319465243</v>
      </c>
      <c r="AF872" s="360">
        <v>1.2060238473266047</v>
      </c>
      <c r="AG872" s="360">
        <v>259.27206358740693</v>
      </c>
      <c r="AH872" s="360">
        <v>582.65608892762191</v>
      </c>
      <c r="AI872" s="360">
        <v>0.39398150361520839</v>
      </c>
      <c r="AJ872" s="360">
        <v>1.2370632686174012</v>
      </c>
      <c r="AK872" s="360">
        <v>1.2421564769258782</v>
      </c>
      <c r="AL872" s="360">
        <v>0.39956108663445827</v>
      </c>
      <c r="AM872" s="360">
        <v>1.2060261658764679</v>
      </c>
      <c r="AN872" s="360">
        <v>512.07686998309111</v>
      </c>
      <c r="AO872" s="360">
        <f t="shared" si="39"/>
        <v>1</v>
      </c>
      <c r="AP872" s="360">
        <f t="shared" si="40"/>
        <v>1</v>
      </c>
      <c r="AQ872" s="360">
        <f t="shared" si="41"/>
        <v>1</v>
      </c>
    </row>
    <row r="873" spans="1:43">
      <c r="A873" s="360" t="s">
        <v>1077</v>
      </c>
      <c r="B873" t="s">
        <v>1074</v>
      </c>
      <c r="C873">
        <v>1</v>
      </c>
      <c r="D873" t="s">
        <v>1080</v>
      </c>
      <c r="E873" t="s">
        <v>1079</v>
      </c>
      <c r="F873" s="360">
        <v>13</v>
      </c>
      <c r="G873" s="360" t="str">
        <f>CONCATENATE(A873," ",B873," ",C873," ","inf+"," ",FanUpsizes!D873," ",FanUpsizes!F873)</f>
        <v>10ACH Infiltration 1 inf+ Existing 13</v>
      </c>
      <c r="H873" s="360">
        <v>1.6177171653317474E-2</v>
      </c>
      <c r="I873" s="360">
        <v>0.44227115856449833</v>
      </c>
      <c r="J873" s="360">
        <v>1.0993365184384565</v>
      </c>
      <c r="K873" s="360">
        <v>680.68131371199945</v>
      </c>
      <c r="L873" s="360">
        <v>0.43458369953403042</v>
      </c>
      <c r="M873" s="360">
        <v>1.1111351937816396</v>
      </c>
      <c r="N873" s="360">
        <v>1.0705243775154001</v>
      </c>
      <c r="O873" s="360">
        <v>0.43826884984928338</v>
      </c>
      <c r="P873" s="360">
        <v>1.0993373521225813</v>
      </c>
      <c r="Q873" s="360">
        <v>555.03241397863064</v>
      </c>
      <c r="R873" s="360">
        <v>1486.2480683576705</v>
      </c>
      <c r="S873" s="360">
        <v>0.41998570552404252</v>
      </c>
      <c r="T873" s="360">
        <v>1.1461345478430263</v>
      </c>
      <c r="U873" s="360">
        <v>1.3462685390847429</v>
      </c>
      <c r="V873" s="360">
        <v>0.43305736199519612</v>
      </c>
      <c r="W873" s="360">
        <v>1.0993366254225303</v>
      </c>
      <c r="X873" s="360">
        <v>1148.265359052011</v>
      </c>
      <c r="Y873" s="360">
        <v>0.40403164533352537</v>
      </c>
      <c r="Z873" s="360">
        <v>1.2060238472697571</v>
      </c>
      <c r="AA873" s="360">
        <v>162.72602649763903</v>
      </c>
      <c r="AB873" s="360">
        <v>0.40224718936211851</v>
      </c>
      <c r="AC873" s="360">
        <v>1.209103945993008</v>
      </c>
      <c r="AD873" s="360">
        <v>1.0177555898744515</v>
      </c>
      <c r="AE873" s="360">
        <v>0.40291123053597894</v>
      </c>
      <c r="AF873" s="360">
        <v>1.2060242526041736</v>
      </c>
      <c r="AG873" s="360">
        <v>143.74098742100236</v>
      </c>
      <c r="AH873" s="360">
        <v>519.96132303332388</v>
      </c>
      <c r="AI873" s="360">
        <v>0.39568762461537482</v>
      </c>
      <c r="AJ873" s="360">
        <v>1.2292890954355216</v>
      </c>
      <c r="AK873" s="360">
        <v>1.1659080777938924</v>
      </c>
      <c r="AL873" s="360">
        <v>0.39999257776703862</v>
      </c>
      <c r="AM873" s="360">
        <v>1.2060246426473866</v>
      </c>
      <c r="AN873" s="360">
        <v>452.26130649147404</v>
      </c>
      <c r="AO873" s="360">
        <f t="shared" si="39"/>
        <v>1</v>
      </c>
      <c r="AP873" s="360">
        <f t="shared" si="40"/>
        <v>1</v>
      </c>
      <c r="AQ873" s="360">
        <f t="shared" si="41"/>
        <v>1</v>
      </c>
    </row>
    <row r="874" spans="1:43">
      <c r="A874" s="360" t="s">
        <v>1077</v>
      </c>
      <c r="B874" t="s">
        <v>1076</v>
      </c>
      <c r="C874">
        <v>1</v>
      </c>
      <c r="D874" t="s">
        <v>1080</v>
      </c>
      <c r="E874" t="s">
        <v>1079</v>
      </c>
      <c r="F874" s="360">
        <v>13</v>
      </c>
      <c r="G874" s="360" t="str">
        <f>CONCATENATE(A874," ",B874," ",C874," ","inf+"," ",FanUpsizes!D874," ",FanUpsizes!F874)</f>
        <v>10ACH 5C 1 inf+ Existing 13</v>
      </c>
      <c r="H874" s="360">
        <v>1.6177171653317474E-2</v>
      </c>
      <c r="I874" s="360">
        <v>0.44227115856449833</v>
      </c>
      <c r="J874" s="360">
        <v>1.0993365184384565</v>
      </c>
      <c r="K874" s="360">
        <v>1852.6939160371846</v>
      </c>
      <c r="L874" s="360">
        <v>0.41630553896690281</v>
      </c>
      <c r="M874" s="360">
        <v>1.1514082526341554</v>
      </c>
      <c r="N874" s="360">
        <v>1.4136222312274918</v>
      </c>
      <c r="O874" s="360">
        <v>0.43040712641140122</v>
      </c>
      <c r="P874" s="360">
        <v>1.099336532768177</v>
      </c>
      <c r="Q874" s="360">
        <v>1600.539364375782</v>
      </c>
      <c r="R874" s="360">
        <v>2072.2543695202467</v>
      </c>
      <c r="S874" s="360">
        <v>0.41084662524047949</v>
      </c>
      <c r="T874" s="360">
        <v>1.1677399032519951</v>
      </c>
      <c r="U874" s="360">
        <v>1.6143471566315573</v>
      </c>
      <c r="V874" s="360">
        <v>0.42848947348996574</v>
      </c>
      <c r="W874" s="360">
        <v>1.0993369713356274</v>
      </c>
      <c r="X874" s="360">
        <v>1832.6191774968338</v>
      </c>
      <c r="Y874" s="360">
        <v>0.40403164533352537</v>
      </c>
      <c r="Z874" s="360">
        <v>1.2060238472697571</v>
      </c>
      <c r="AA874" s="360">
        <v>502.94419931536038</v>
      </c>
      <c r="AB874" s="360">
        <v>0.39711802367521171</v>
      </c>
      <c r="AC874" s="360">
        <v>1.2221818688048665</v>
      </c>
      <c r="AD874" s="360">
        <v>1.1072564834754988</v>
      </c>
      <c r="AE874" s="360">
        <v>0.40013954117670941</v>
      </c>
      <c r="AF874" s="360">
        <v>1.2060260133064491</v>
      </c>
      <c r="AG874" s="360">
        <v>456.81266938544309</v>
      </c>
      <c r="AH874" s="360">
        <v>611.02329949586385</v>
      </c>
      <c r="AI874" s="360">
        <v>0.39438460486009119</v>
      </c>
      <c r="AJ874" s="360">
        <v>1.2327384020337251</v>
      </c>
      <c r="AK874" s="360">
        <v>1.2003971049793387</v>
      </c>
      <c r="AL874" s="360">
        <v>0.39907486226925792</v>
      </c>
      <c r="AM874" s="360">
        <v>1.2060241587345908</v>
      </c>
      <c r="AN874" s="360">
        <v>565.78195326681214</v>
      </c>
      <c r="AO874" s="360">
        <f t="shared" si="39"/>
        <v>1</v>
      </c>
      <c r="AP874" s="360">
        <f t="shared" si="40"/>
        <v>1</v>
      </c>
      <c r="AQ874" s="360">
        <f t="shared" si="41"/>
        <v>1</v>
      </c>
    </row>
    <row r="875" spans="1:43">
      <c r="A875" s="360" t="s">
        <v>1077</v>
      </c>
      <c r="B875" t="s">
        <v>1075</v>
      </c>
      <c r="C875">
        <v>2</v>
      </c>
      <c r="D875" t="s">
        <v>1080</v>
      </c>
      <c r="E875" t="s">
        <v>1079</v>
      </c>
      <c r="F875" s="360">
        <v>13</v>
      </c>
      <c r="G875" s="360" t="str">
        <f>CONCATENATE(A875," ",B875," ",C875," ","inf+"," ",FanUpsizes!D875," ",FanUpsizes!F875)</f>
        <v>10ACH Percentile 2 inf+ Existing 13</v>
      </c>
      <c r="H875" s="360">
        <v>2.3303926608346098E-3</v>
      </c>
      <c r="I875" s="360">
        <v>0.51648861773645416</v>
      </c>
      <c r="J875" s="360">
        <v>0.97966449862694915</v>
      </c>
      <c r="K875" s="360">
        <v>166.09664068793703</v>
      </c>
      <c r="L875" s="360">
        <v>0.51442596424070675</v>
      </c>
      <c r="M875" s="360">
        <v>0.9820830167940261</v>
      </c>
      <c r="N875" s="360">
        <v>1.1302691369741111</v>
      </c>
      <c r="O875" s="360">
        <v>0.51527784967840473</v>
      </c>
      <c r="P875" s="360">
        <v>0.97966454756124621</v>
      </c>
      <c r="Q875" s="360">
        <v>141.52641549512455</v>
      </c>
      <c r="R875" s="360">
        <v>254.86864299459737</v>
      </c>
      <c r="S875" s="360">
        <v>0.51250026465389198</v>
      </c>
      <c r="T875" s="360">
        <v>0.98606573911772399</v>
      </c>
      <c r="U875" s="360">
        <v>1.4376010196361622</v>
      </c>
      <c r="V875" s="360">
        <v>0.51451923622598694</v>
      </c>
      <c r="W875" s="360">
        <v>0.97966457473641466</v>
      </c>
      <c r="X875" s="360">
        <v>211.17888495395283</v>
      </c>
      <c r="Y875" s="360">
        <v>0.50825217693163038</v>
      </c>
      <c r="Z875" s="360">
        <v>0.99984742959134598</v>
      </c>
      <c r="AA875" s="360">
        <v>6.6763894155057324</v>
      </c>
      <c r="AB875" s="360">
        <v>0.50819426203986018</v>
      </c>
      <c r="AC875" s="360">
        <v>0.99991859646698833</v>
      </c>
      <c r="AD875" s="360">
        <v>1.028614109048436</v>
      </c>
      <c r="AE875" s="360">
        <v>0.50821197844351695</v>
      </c>
      <c r="AF875" s="360">
        <v>0.99984743643610774</v>
      </c>
      <c r="AG875" s="360">
        <v>6.1118272994013889</v>
      </c>
      <c r="AH875" s="360">
        <v>13.165261046371096</v>
      </c>
      <c r="AI875" s="360">
        <v>0.508087418901912</v>
      </c>
      <c r="AJ875" s="360">
        <v>1.0001842863763779</v>
      </c>
      <c r="AK875" s="360">
        <v>1.1625275908821391</v>
      </c>
      <c r="AL875" s="360">
        <v>0.50815707465641624</v>
      </c>
      <c r="AM875" s="360">
        <v>0.99984743096577566</v>
      </c>
      <c r="AN875" s="360">
        <v>11.722747141874898</v>
      </c>
      <c r="AO875" s="360">
        <f t="shared" si="39"/>
        <v>1</v>
      </c>
      <c r="AP875" s="360">
        <f t="shared" si="40"/>
        <v>1</v>
      </c>
      <c r="AQ875" s="360">
        <f t="shared" si="41"/>
        <v>1</v>
      </c>
    </row>
    <row r="876" spans="1:43">
      <c r="A876" s="360" t="s">
        <v>1077</v>
      </c>
      <c r="B876" t="s">
        <v>1074</v>
      </c>
      <c r="C876">
        <v>2</v>
      </c>
      <c r="D876" t="s">
        <v>1080</v>
      </c>
      <c r="E876" t="s">
        <v>1079</v>
      </c>
      <c r="F876" s="360">
        <v>13</v>
      </c>
      <c r="G876" s="360" t="str">
        <f>CONCATENATE(A876," ",B876," ",C876," ","inf+"," ",FanUpsizes!D876," ",FanUpsizes!F876)</f>
        <v>10ACH Infiltration 2 inf+ Existing 13</v>
      </c>
      <c r="H876" s="360">
        <v>2.3303926608346098E-3</v>
      </c>
      <c r="I876" s="360">
        <v>0.51648861773645416</v>
      </c>
      <c r="J876" s="360">
        <v>0.97966449862694915</v>
      </c>
      <c r="K876" s="360">
        <v>228.80857277621263</v>
      </c>
      <c r="L876" s="360">
        <v>0.51342850781439664</v>
      </c>
      <c r="M876" s="360">
        <v>0.98357768186702121</v>
      </c>
      <c r="N876" s="360">
        <v>1.229374317695092</v>
      </c>
      <c r="O876" s="360">
        <v>0.51469969340330735</v>
      </c>
      <c r="P876" s="360">
        <v>0.97966468833684572</v>
      </c>
      <c r="Q876" s="360">
        <v>199.93050187173515</v>
      </c>
      <c r="R876" s="360">
        <v>287.42887975784799</v>
      </c>
      <c r="S876" s="360">
        <v>0.51192545093577801</v>
      </c>
      <c r="T876" s="360">
        <v>0.98710134213505085</v>
      </c>
      <c r="U876" s="360">
        <v>1.5473929606759236</v>
      </c>
      <c r="V876" s="360">
        <v>0.51413632355071626</v>
      </c>
      <c r="W876" s="360">
        <v>0.97966453704454592</v>
      </c>
      <c r="X876" s="360">
        <v>250.6008209593532</v>
      </c>
      <c r="Y876" s="360">
        <v>0.50825217693163038</v>
      </c>
      <c r="Z876" s="360">
        <v>0.99984742959134598</v>
      </c>
      <c r="AA876" s="360">
        <v>9.663094381084127</v>
      </c>
      <c r="AB876" s="360">
        <v>0.50816253786350674</v>
      </c>
      <c r="AC876" s="360">
        <v>0.99996953255325904</v>
      </c>
      <c r="AD876" s="360">
        <v>1.0506749367141923</v>
      </c>
      <c r="AE876" s="360">
        <v>0.50819095423414351</v>
      </c>
      <c r="AF876" s="360">
        <v>0.99984747204096214</v>
      </c>
      <c r="AG876" s="360">
        <v>8.9114710616293529</v>
      </c>
      <c r="AH876" s="360">
        <v>14.332076867264222</v>
      </c>
      <c r="AI876" s="360">
        <v>0.50807352669979577</v>
      </c>
      <c r="AJ876" s="360">
        <v>1.0002223784863624</v>
      </c>
      <c r="AK876" s="360">
        <v>1.1863941406609408</v>
      </c>
      <c r="AL876" s="360">
        <v>0.50814861744899753</v>
      </c>
      <c r="AM876" s="360">
        <v>0.99984743852386282</v>
      </c>
      <c r="AN876" s="360">
        <v>13.013175205700522</v>
      </c>
      <c r="AO876" s="360">
        <f t="shared" si="39"/>
        <v>1</v>
      </c>
      <c r="AP876" s="360">
        <f t="shared" si="40"/>
        <v>1</v>
      </c>
      <c r="AQ876" s="360">
        <f t="shared" si="41"/>
        <v>1</v>
      </c>
    </row>
    <row r="877" spans="1:43">
      <c r="A877" s="360" t="s">
        <v>1077</v>
      </c>
      <c r="B877" t="s">
        <v>1076</v>
      </c>
      <c r="C877">
        <v>2</v>
      </c>
      <c r="D877" t="s">
        <v>1080</v>
      </c>
      <c r="E877" t="s">
        <v>1079</v>
      </c>
      <c r="F877" s="360">
        <v>13</v>
      </c>
      <c r="G877" s="360" t="str">
        <f>CONCATENATE(A877," ",B877," ",C877," ","inf+"," ",FanUpsizes!D877," ",FanUpsizes!F877)</f>
        <v>10ACH 5C 2 inf+ Existing 13</v>
      </c>
      <c r="H877" s="360">
        <v>2.3303926608346098E-3</v>
      </c>
      <c r="I877" s="360">
        <v>0.51648861773645416</v>
      </c>
      <c r="J877" s="360">
        <v>0.97966449862694915</v>
      </c>
      <c r="K877" s="360">
        <v>266.88869953492247</v>
      </c>
      <c r="L877" s="360">
        <v>0.51274815613779012</v>
      </c>
      <c r="M877" s="360">
        <v>0.98470988520703051</v>
      </c>
      <c r="N877" s="360">
        <v>1.3169398590876922</v>
      </c>
      <c r="O877" s="360">
        <v>0.51428899676618378</v>
      </c>
      <c r="P877" s="360">
        <v>0.97966452207033272</v>
      </c>
      <c r="Q877" s="360">
        <v>239.05529641525223</v>
      </c>
      <c r="R877" s="360">
        <v>306.46894313717189</v>
      </c>
      <c r="S877" s="360">
        <v>0.5115852750974742</v>
      </c>
      <c r="T877" s="360">
        <v>0.98767268921224805</v>
      </c>
      <c r="U877" s="360">
        <v>1.615829100356065</v>
      </c>
      <c r="V877" s="360">
        <v>0.51386306515491553</v>
      </c>
      <c r="W877" s="360">
        <v>0.97966489874274887</v>
      </c>
      <c r="X877" s="360">
        <v>276.76199342386076</v>
      </c>
      <c r="Y877" s="360">
        <v>0.50825217693163038</v>
      </c>
      <c r="Z877" s="360">
        <v>0.99984742959134598</v>
      </c>
      <c r="AA877" s="360">
        <v>11.602315379991383</v>
      </c>
      <c r="AB877" s="360">
        <v>0.50813989628310086</v>
      </c>
      <c r="AC877" s="360">
        <v>1.000011045196616</v>
      </c>
      <c r="AD877" s="360">
        <v>1.0697672889469245</v>
      </c>
      <c r="AE877" s="360">
        <v>0.50817610944828329</v>
      </c>
      <c r="AF877" s="360">
        <v>0.99984747328529111</v>
      </c>
      <c r="AG877" s="360">
        <v>10.789011372216999</v>
      </c>
      <c r="AH877" s="360">
        <v>14.993026422257037</v>
      </c>
      <c r="AI877" s="360">
        <v>0.50806786495263079</v>
      </c>
      <c r="AJ877" s="360">
        <v>1.0002327653265346</v>
      </c>
      <c r="AK877" s="360">
        <v>1.1930599187152957</v>
      </c>
      <c r="AL877" s="360">
        <v>0.50814347624256384</v>
      </c>
      <c r="AM877" s="360">
        <v>0.99984768071730723</v>
      </c>
      <c r="AN877" s="360">
        <v>13.823972326636346</v>
      </c>
      <c r="AO877" s="360">
        <f t="shared" si="39"/>
        <v>1</v>
      </c>
      <c r="AP877" s="360">
        <f t="shared" si="40"/>
        <v>1</v>
      </c>
      <c r="AQ877" s="360">
        <f t="shared" si="41"/>
        <v>1</v>
      </c>
    </row>
    <row r="878" spans="1:43">
      <c r="A878" s="360" t="s">
        <v>1081</v>
      </c>
      <c r="B878" t="s">
        <v>1075</v>
      </c>
      <c r="C878">
        <v>1</v>
      </c>
      <c r="D878" t="s">
        <v>1078</v>
      </c>
      <c r="E878" t="s">
        <v>1079</v>
      </c>
      <c r="F878" s="360">
        <v>13</v>
      </c>
      <c r="G878" s="360" t="str">
        <f>CONCATENATE(A878," ",B878," ",C878," ","inf+"," ",FanUpsizes!D878," ",FanUpsizes!F878)</f>
        <v>7ACH Percentile 1 inf+ New 13</v>
      </c>
      <c r="H878" s="360">
        <v>1.4421666666666666E-2</v>
      </c>
      <c r="I878" s="360">
        <v>0.32108038435302172</v>
      </c>
      <c r="J878" s="360">
        <v>1.0848415431841616</v>
      </c>
      <c r="K878" s="360">
        <v>1027.8913192233595</v>
      </c>
      <c r="L878" s="360">
        <v>0.30831562514980304</v>
      </c>
      <c r="M878" s="360">
        <v>1.1166843309530281</v>
      </c>
      <c r="N878" s="360">
        <v>1.1770483136627339</v>
      </c>
      <c r="O878" s="360">
        <v>0.31555745329222129</v>
      </c>
      <c r="P878" s="360">
        <v>1.0848419282533901</v>
      </c>
      <c r="Q878" s="360">
        <v>821.23640130249055</v>
      </c>
      <c r="R878" s="360">
        <v>1577.2580624830937</v>
      </c>
      <c r="S878" s="360">
        <v>0.29639840707407245</v>
      </c>
      <c r="T878" s="360">
        <v>1.1621981302802074</v>
      </c>
      <c r="U878" s="360">
        <v>1.546235325199399</v>
      </c>
      <c r="V878" s="360">
        <v>0.31237746586477916</v>
      </c>
      <c r="W878" s="360">
        <v>1.0848416348974617</v>
      </c>
      <c r="X878" s="360">
        <v>1239.7629822372473</v>
      </c>
      <c r="Y878" s="360">
        <v>0.29143934787016573</v>
      </c>
      <c r="Z878" s="360">
        <v>1.1915639047790627</v>
      </c>
      <c r="AA878" s="360">
        <v>327.47542449321321</v>
      </c>
      <c r="AB878" s="360">
        <v>0.28743320446987564</v>
      </c>
      <c r="AC878" s="360">
        <v>1.2030585640945595</v>
      </c>
      <c r="AD878" s="360">
        <v>1.0515919969654959</v>
      </c>
      <c r="AE878" s="360">
        <v>0.28932585950925849</v>
      </c>
      <c r="AF878" s="360">
        <v>1.1915639055100908</v>
      </c>
      <c r="AG878" s="360">
        <v>281.184042123442</v>
      </c>
      <c r="AH878" s="360">
        <v>645.11712048475545</v>
      </c>
      <c r="AI878" s="360">
        <v>0.28024275968253565</v>
      </c>
      <c r="AJ878" s="360">
        <v>1.2390255938839636</v>
      </c>
      <c r="AK878" s="360">
        <v>1.2843240256965234</v>
      </c>
      <c r="AL878" s="360">
        <v>0.28723322549349239</v>
      </c>
      <c r="AM878" s="360">
        <v>1.1915655994683674</v>
      </c>
      <c r="AN878" s="360">
        <v>553.79778636747949</v>
      </c>
      <c r="AO878" s="360">
        <f t="shared" si="39"/>
        <v>1</v>
      </c>
      <c r="AP878" s="360">
        <f t="shared" si="40"/>
        <v>1</v>
      </c>
      <c r="AQ878" s="360">
        <f t="shared" si="41"/>
        <v>1</v>
      </c>
    </row>
    <row r="879" spans="1:43">
      <c r="A879" s="360" t="s">
        <v>1081</v>
      </c>
      <c r="B879" t="s">
        <v>1074</v>
      </c>
      <c r="C879">
        <v>1</v>
      </c>
      <c r="D879" t="s">
        <v>1078</v>
      </c>
      <c r="E879" t="s">
        <v>1079</v>
      </c>
      <c r="F879" s="360">
        <v>13</v>
      </c>
      <c r="G879" s="360" t="str">
        <f>CONCATENATE(A879," ",B879," ",C879," ","inf+"," ",FanUpsizes!D879," ",FanUpsizes!F879)</f>
        <v>7ACH Infiltration 1 inf+ New 13</v>
      </c>
      <c r="H879" s="360">
        <v>1.4421666666666666E-2</v>
      </c>
      <c r="I879" s="360">
        <v>0.32108038435302172</v>
      </c>
      <c r="J879" s="360">
        <v>1.0848415431841616</v>
      </c>
      <c r="K879" s="360">
        <v>480.87970087801341</v>
      </c>
      <c r="L879" s="360">
        <v>0.315825021806242</v>
      </c>
      <c r="M879" s="360">
        <v>1.0957984373255953</v>
      </c>
      <c r="N879" s="360">
        <v>1.0544321114323458</v>
      </c>
      <c r="O879" s="360">
        <v>0.31845710892582296</v>
      </c>
      <c r="P879" s="360">
        <v>1.08484155042967</v>
      </c>
      <c r="Q879" s="360">
        <v>387.57027447760754</v>
      </c>
      <c r="R879" s="360">
        <v>1248.9947848115514</v>
      </c>
      <c r="S879" s="360">
        <v>0.30245878180287367</v>
      </c>
      <c r="T879" s="360">
        <v>1.1386459584466493</v>
      </c>
      <c r="U879" s="360">
        <v>1.3304194057419747</v>
      </c>
      <c r="V879" s="360">
        <v>0.31406695808156032</v>
      </c>
      <c r="W879" s="360">
        <v>1.0848416512100636</v>
      </c>
      <c r="X879" s="360">
        <v>936.37842952065648</v>
      </c>
      <c r="Y879" s="360">
        <v>0.29143934787016573</v>
      </c>
      <c r="Z879" s="360">
        <v>1.1915639047790627</v>
      </c>
      <c r="AA879" s="360">
        <v>139.93519892868798</v>
      </c>
      <c r="AB879" s="360">
        <v>0.28994179935491182</v>
      </c>
      <c r="AC879" s="360">
        <v>1.1951324263847989</v>
      </c>
      <c r="AD879" s="360">
        <v>1.0150715372402406</v>
      </c>
      <c r="AE879" s="360">
        <v>0.29056164336224088</v>
      </c>
      <c r="AF879" s="360">
        <v>1.1915639070307136</v>
      </c>
      <c r="AG879" s="360">
        <v>121.18141077794407</v>
      </c>
      <c r="AH879" s="360">
        <v>556.87769176466679</v>
      </c>
      <c r="AI879" s="360">
        <v>0.28256422420382876</v>
      </c>
      <c r="AJ879" s="360">
        <v>1.2253544488772321</v>
      </c>
      <c r="AK879" s="360">
        <v>1.1803496080742755</v>
      </c>
      <c r="AL879" s="360">
        <v>0.2877012004681414</v>
      </c>
      <c r="AM879" s="360">
        <v>1.1915639751393539</v>
      </c>
      <c r="AN879" s="360">
        <v>469.42451479964296</v>
      </c>
      <c r="AO879" s="360">
        <f t="shared" si="39"/>
        <v>1</v>
      </c>
      <c r="AP879" s="360">
        <f t="shared" si="40"/>
        <v>1</v>
      </c>
      <c r="AQ879" s="360">
        <f t="shared" si="41"/>
        <v>1</v>
      </c>
    </row>
    <row r="880" spans="1:43">
      <c r="A880" s="360" t="s">
        <v>1081</v>
      </c>
      <c r="B880" t="s">
        <v>1076</v>
      </c>
      <c r="C880">
        <v>1</v>
      </c>
      <c r="D880" t="s">
        <v>1078</v>
      </c>
      <c r="E880" t="s">
        <v>1079</v>
      </c>
      <c r="F880" s="360">
        <v>13</v>
      </c>
      <c r="G880" s="360" t="str">
        <f>CONCATENATE(A880," ",B880," ",C880," ","inf+"," ",FanUpsizes!D880," ",FanUpsizes!F880)</f>
        <v>7ACH 5C 1 inf+ New 13</v>
      </c>
      <c r="H880" s="360">
        <v>1.4421666666666666E-2</v>
      </c>
      <c r="I880" s="360">
        <v>0.32108038435302172</v>
      </c>
      <c r="J880" s="360">
        <v>1.0848415431841616</v>
      </c>
      <c r="K880" s="360">
        <v>1651.6443458130318</v>
      </c>
      <c r="L880" s="360">
        <v>0.29793248689263852</v>
      </c>
      <c r="M880" s="360">
        <v>1.1507270621262984</v>
      </c>
      <c r="N880" s="360">
        <v>1.4525321954302133</v>
      </c>
      <c r="O880" s="360">
        <v>0.31182616511197903</v>
      </c>
      <c r="P880" s="360">
        <v>1.0848430360160826</v>
      </c>
      <c r="Q880" s="360">
        <v>1405.7065473103246</v>
      </c>
      <c r="R880" s="360">
        <v>1834.3771072790357</v>
      </c>
      <c r="S880" s="360">
        <v>0.2935125143460709</v>
      </c>
      <c r="T880" s="360">
        <v>1.1685589745586435</v>
      </c>
      <c r="U880" s="360">
        <v>1.6419414741516918</v>
      </c>
      <c r="V880" s="360">
        <v>0.31049491311543481</v>
      </c>
      <c r="W880" s="360">
        <v>1.0848418609748631</v>
      </c>
      <c r="X880" s="360">
        <v>1602.8047334973853</v>
      </c>
      <c r="Y880" s="360">
        <v>0.29143934787016573</v>
      </c>
      <c r="Z880" s="360">
        <v>1.1915639047790627</v>
      </c>
      <c r="AA880" s="360">
        <v>558.48295623201238</v>
      </c>
      <c r="AB880" s="360">
        <v>0.28368040340702577</v>
      </c>
      <c r="AC880" s="360">
        <v>1.2174866412210648</v>
      </c>
      <c r="AD880" s="360">
        <v>1.131422458676989</v>
      </c>
      <c r="AE880" s="360">
        <v>0.28762696535440141</v>
      </c>
      <c r="AF880" s="360">
        <v>1.1915652363464528</v>
      </c>
      <c r="AG880" s="360">
        <v>497.46894677046504</v>
      </c>
      <c r="AH880" s="360">
        <v>668.6138856838844</v>
      </c>
      <c r="AI880" s="360">
        <v>0.28095948392000597</v>
      </c>
      <c r="AJ880" s="360">
        <v>1.2314149700300638</v>
      </c>
      <c r="AK880" s="360">
        <v>1.2282463941098445</v>
      </c>
      <c r="AL880" s="360">
        <v>0.28674931899944905</v>
      </c>
      <c r="AM880" s="360">
        <v>1.1915641398507846</v>
      </c>
      <c r="AN880" s="360">
        <v>609.56202778954355</v>
      </c>
      <c r="AO880" s="360">
        <f t="shared" si="39"/>
        <v>1</v>
      </c>
      <c r="AP880" s="360">
        <f t="shared" si="40"/>
        <v>1</v>
      </c>
      <c r="AQ880" s="360">
        <f t="shared" si="41"/>
        <v>1</v>
      </c>
    </row>
    <row r="881" spans="1:43">
      <c r="A881" s="360" t="s">
        <v>1081</v>
      </c>
      <c r="B881" t="s">
        <v>1075</v>
      </c>
      <c r="C881">
        <v>2</v>
      </c>
      <c r="D881" t="s">
        <v>1078</v>
      </c>
      <c r="E881" t="s">
        <v>1079</v>
      </c>
      <c r="F881" s="360">
        <v>13</v>
      </c>
      <c r="G881" s="360" t="str">
        <f>CONCATENATE(A881," ",B881," ",C881," ","inf+"," ",FanUpsizes!D881," ",FanUpsizes!F881)</f>
        <v>7ACH Percentile 2 inf+ New 13</v>
      </c>
      <c r="H881" s="360">
        <v>1.4421666666666666E-2</v>
      </c>
      <c r="I881" s="360">
        <v>0.40878612327818609</v>
      </c>
      <c r="J881" s="360">
        <v>0.86497403827820807</v>
      </c>
      <c r="K881" s="360">
        <v>1027.8913192233035</v>
      </c>
      <c r="L881" s="360">
        <v>0.39602136407496707</v>
      </c>
      <c r="M881" s="360">
        <v>0.88464646390097235</v>
      </c>
      <c r="N881" s="360">
        <v>1.1704686713909929</v>
      </c>
      <c r="O881" s="360">
        <v>0.40295363632860548</v>
      </c>
      <c r="P881" s="360">
        <v>0.86497413597011219</v>
      </c>
      <c r="Q881" s="360">
        <v>828.91631310441255</v>
      </c>
      <c r="R881" s="360">
        <v>1577.2580624830421</v>
      </c>
      <c r="S881" s="360">
        <v>0.38410414599923554</v>
      </c>
      <c r="T881" s="360">
        <v>0.91318259897914833</v>
      </c>
      <c r="U881" s="360">
        <v>1.534271772500851</v>
      </c>
      <c r="V881" s="360">
        <v>0.39953071696979853</v>
      </c>
      <c r="W881" s="360">
        <v>0.86497442597099583</v>
      </c>
      <c r="X881" s="360">
        <v>1247.1547417807164</v>
      </c>
      <c r="Y881" s="360">
        <v>0.37404618308708487</v>
      </c>
      <c r="Z881" s="360">
        <v>0.94821469484113718</v>
      </c>
      <c r="AA881" s="360">
        <v>257.9099591754715</v>
      </c>
      <c r="AB881" s="360">
        <v>0.37092668753737212</v>
      </c>
      <c r="AC881" s="360">
        <v>0.95367782448033767</v>
      </c>
      <c r="AD881" s="360">
        <v>1.0450121398002037</v>
      </c>
      <c r="AE881" s="360">
        <v>0.37225397866436621</v>
      </c>
      <c r="AF881" s="360">
        <v>0.9482147036177031</v>
      </c>
      <c r="AG881" s="360">
        <v>225.7138428336113</v>
      </c>
      <c r="AH881" s="360">
        <v>507.89133090888646</v>
      </c>
      <c r="AI881" s="360">
        <v>0.36531238211846173</v>
      </c>
      <c r="AJ881" s="360">
        <v>0.97149531626352414</v>
      </c>
      <c r="AK881" s="360">
        <v>1.2504784284521702</v>
      </c>
      <c r="AL881" s="360">
        <v>0.37028268520454144</v>
      </c>
      <c r="AM881" s="360">
        <v>0.94821470135527564</v>
      </c>
      <c r="AN881" s="360">
        <v>444.42153467510065</v>
      </c>
      <c r="AO881" s="360">
        <f t="shared" si="39"/>
        <v>1</v>
      </c>
      <c r="AP881" s="360">
        <f t="shared" si="40"/>
        <v>1</v>
      </c>
      <c r="AQ881" s="360">
        <f t="shared" si="41"/>
        <v>1</v>
      </c>
    </row>
    <row r="882" spans="1:43">
      <c r="A882" s="360" t="s">
        <v>1081</v>
      </c>
      <c r="B882" t="s">
        <v>1074</v>
      </c>
      <c r="C882">
        <v>2</v>
      </c>
      <c r="D882" t="s">
        <v>1078</v>
      </c>
      <c r="E882" t="s">
        <v>1079</v>
      </c>
      <c r="F882" s="360">
        <v>13</v>
      </c>
      <c r="G882" s="360" t="str">
        <f>CONCATENATE(A882," ",B882," ",C882," ","inf+"," ",FanUpsizes!D882," ",FanUpsizes!F882)</f>
        <v>7ACH Infiltration 2 inf+ New 13</v>
      </c>
      <c r="H882" s="360">
        <v>1.4421666666666666E-2</v>
      </c>
      <c r="I882" s="360">
        <v>0.40878612327818609</v>
      </c>
      <c r="J882" s="360">
        <v>0.86497403827820807</v>
      </c>
      <c r="K882" s="360">
        <v>1297.4306730178184</v>
      </c>
      <c r="L882" s="360">
        <v>0.39182314960118197</v>
      </c>
      <c r="M882" s="360">
        <v>0.89252353826923558</v>
      </c>
      <c r="N882" s="360">
        <v>1.2566751741021751</v>
      </c>
      <c r="O882" s="360">
        <v>0.40118912660419598</v>
      </c>
      <c r="P882" s="360">
        <v>0.86497404782863618</v>
      </c>
      <c r="Q882" s="360">
        <v>1067.0174884044948</v>
      </c>
      <c r="R882" s="360">
        <v>1718.1601726684403</v>
      </c>
      <c r="S882" s="360">
        <v>0.38162531603497346</v>
      </c>
      <c r="T882" s="360">
        <v>0.91884206015794856</v>
      </c>
      <c r="U882" s="360">
        <v>1.6372962321944533</v>
      </c>
      <c r="V882" s="360">
        <v>0.39846924343887452</v>
      </c>
      <c r="W882" s="360">
        <v>0.86497518491967118</v>
      </c>
      <c r="X882" s="360">
        <v>1414.1988973942198</v>
      </c>
      <c r="Y882" s="360">
        <v>0.37404618308708487</v>
      </c>
      <c r="Z882" s="360">
        <v>0.94821469484113718</v>
      </c>
      <c r="AA882" s="360">
        <v>334.1598716207252</v>
      </c>
      <c r="AB882" s="360">
        <v>0.36978564380434031</v>
      </c>
      <c r="AC882" s="360">
        <v>0.95615106161529051</v>
      </c>
      <c r="AD882" s="360">
        <v>1.06777187252005</v>
      </c>
      <c r="AE882" s="360">
        <v>0.37164524628842144</v>
      </c>
      <c r="AF882" s="360">
        <v>0.94821502846463424</v>
      </c>
      <c r="AG882" s="360">
        <v>295.3826379851568</v>
      </c>
      <c r="AH882" s="360">
        <v>532.25228754056718</v>
      </c>
      <c r="AI882" s="360">
        <v>0.36478111466808683</v>
      </c>
      <c r="AJ882" s="360">
        <v>0.97330031997093636</v>
      </c>
      <c r="AK882" s="360">
        <v>1.2790119522100454</v>
      </c>
      <c r="AL882" s="360">
        <v>0.37004703049996218</v>
      </c>
      <c r="AM882" s="360">
        <v>0.94821476509317826</v>
      </c>
      <c r="AN882" s="360">
        <v>475.09166314852581</v>
      </c>
      <c r="AO882" s="360">
        <f t="shared" si="39"/>
        <v>1</v>
      </c>
      <c r="AP882" s="360">
        <f t="shared" si="40"/>
        <v>1</v>
      </c>
      <c r="AQ882" s="360">
        <f t="shared" si="41"/>
        <v>1</v>
      </c>
    </row>
    <row r="883" spans="1:43">
      <c r="A883" s="360" t="s">
        <v>1081</v>
      </c>
      <c r="B883" t="s">
        <v>1076</v>
      </c>
      <c r="C883">
        <v>2</v>
      </c>
      <c r="D883" t="s">
        <v>1078</v>
      </c>
      <c r="E883" t="s">
        <v>1079</v>
      </c>
      <c r="F883" s="360">
        <v>13</v>
      </c>
      <c r="G883" s="360" t="str">
        <f>CONCATENATE(A883," ",B883," ",C883," ","inf+"," ",FanUpsizes!D883," ",FanUpsizes!F883)</f>
        <v>7ACH 5C 2 inf+ New 13</v>
      </c>
      <c r="H883" s="360">
        <v>1.4421666666666666E-2</v>
      </c>
      <c r="I883" s="360">
        <v>0.40878612327818609</v>
      </c>
      <c r="J883" s="360">
        <v>0.86497403827820807</v>
      </c>
      <c r="K883" s="360">
        <v>1651.6443458130566</v>
      </c>
      <c r="L883" s="360">
        <v>0.38563822581780111</v>
      </c>
      <c r="M883" s="360">
        <v>0.90553559261898242</v>
      </c>
      <c r="N883" s="360">
        <v>1.4308869775363415</v>
      </c>
      <c r="O883" s="360">
        <v>0.39872299100054281</v>
      </c>
      <c r="P883" s="360">
        <v>0.86497403873295653</v>
      </c>
      <c r="Q883" s="360">
        <v>1417.4700799179486</v>
      </c>
      <c r="R883" s="360">
        <v>1895.2670090660449</v>
      </c>
      <c r="S883" s="360">
        <v>0.37853285414328264</v>
      </c>
      <c r="T883" s="360">
        <v>0.92583592550125204</v>
      </c>
      <c r="U883" s="360">
        <v>1.7913117995005361</v>
      </c>
      <c r="V883" s="360">
        <v>0.39704548297793918</v>
      </c>
      <c r="W883" s="360">
        <v>0.86497421493670212</v>
      </c>
      <c r="X883" s="360">
        <v>1657.9940526806536</v>
      </c>
      <c r="Y883" s="360">
        <v>0.37404618308708487</v>
      </c>
      <c r="Z883" s="360">
        <v>0.94821469484113718</v>
      </c>
      <c r="AA883" s="360">
        <v>439.40170177843925</v>
      </c>
      <c r="AB883" s="360">
        <v>0.36801666007620959</v>
      </c>
      <c r="AC883" s="360">
        <v>0.96054667878755395</v>
      </c>
      <c r="AD883" s="360">
        <v>1.1126583836981201</v>
      </c>
      <c r="AE883" s="360">
        <v>0.37075017093576473</v>
      </c>
      <c r="AF883" s="360">
        <v>0.94821482708095273</v>
      </c>
      <c r="AG883" s="360">
        <v>397.40686146124665</v>
      </c>
      <c r="AH883" s="360">
        <v>560.59277273018427</v>
      </c>
      <c r="AI883" s="360">
        <v>0.36433111189885925</v>
      </c>
      <c r="AJ883" s="360">
        <v>0.9744661663646329</v>
      </c>
      <c r="AK883" s="360">
        <v>1.3000479235878337</v>
      </c>
      <c r="AL883" s="360">
        <v>0.36972362894010219</v>
      </c>
      <c r="AM883" s="360">
        <v>0.94821471358708875</v>
      </c>
      <c r="AN883" s="360">
        <v>516.80962610110691</v>
      </c>
      <c r="AO883" s="360">
        <f t="shared" si="39"/>
        <v>1</v>
      </c>
      <c r="AP883" s="360">
        <f t="shared" si="40"/>
        <v>1</v>
      </c>
      <c r="AQ883" s="360">
        <f t="shared" si="41"/>
        <v>1</v>
      </c>
    </row>
    <row r="884" spans="1:43">
      <c r="A884" s="360" t="s">
        <v>1081</v>
      </c>
      <c r="B884" t="s">
        <v>1075</v>
      </c>
      <c r="C884">
        <v>1</v>
      </c>
      <c r="D884" t="s">
        <v>1080</v>
      </c>
      <c r="E884" t="s">
        <v>1079</v>
      </c>
      <c r="F884" s="360">
        <v>13</v>
      </c>
      <c r="G884" s="360" t="str">
        <f>CONCATENATE(A884," ",B884," ",C884," ","inf+"," ",FanUpsizes!D884," ",FanUpsizes!F884)</f>
        <v>7ACH Percentile 1 inf+ Existing 13</v>
      </c>
      <c r="H884" s="360">
        <v>2.9178520157322231E-2</v>
      </c>
      <c r="I884" s="360">
        <v>0.37687834233948753</v>
      </c>
      <c r="J884" s="360">
        <v>1.2383254199465401</v>
      </c>
      <c r="K884" s="360">
        <v>2079.6727778224199</v>
      </c>
      <c r="L884" s="360">
        <v>0.35105214677394053</v>
      </c>
      <c r="M884" s="360">
        <v>1.3141736687570842</v>
      </c>
      <c r="N884" s="360">
        <v>1.208952861425024</v>
      </c>
      <c r="O884" s="360">
        <v>0.36989007360859777</v>
      </c>
      <c r="P884" s="360">
        <v>1.2383258506695949</v>
      </c>
      <c r="Q884" s="360">
        <v>1584.386088931506</v>
      </c>
      <c r="R884" s="360">
        <v>3191.1745870422428</v>
      </c>
      <c r="S884" s="360">
        <v>0.32694073192299566</v>
      </c>
      <c r="T884" s="360">
        <v>1.4101918307411589</v>
      </c>
      <c r="U884" s="360">
        <v>1.5768478641548251</v>
      </c>
      <c r="V884" s="360">
        <v>0.36703729164401611</v>
      </c>
      <c r="W884" s="360">
        <v>1.2383257404875792</v>
      </c>
      <c r="X884" s="360">
        <v>2457.8109507862714</v>
      </c>
      <c r="Y884" s="360">
        <v>0.35049254446180017</v>
      </c>
      <c r="Z884" s="360">
        <v>1.3052772859098194</v>
      </c>
      <c r="AA884" s="360">
        <v>1228.5077108686583</v>
      </c>
      <c r="AB884" s="360">
        <v>0.3351955356124306</v>
      </c>
      <c r="AC884" s="360">
        <v>1.3564993947358253</v>
      </c>
      <c r="AD884" s="360">
        <v>1.1011895509793972</v>
      </c>
      <c r="AE884" s="360">
        <v>0.3467347480863941</v>
      </c>
      <c r="AF884" s="360">
        <v>1.305277491797034</v>
      </c>
      <c r="AG884" s="360">
        <v>927.35355208643762</v>
      </c>
      <c r="AH884" s="360">
        <v>2346.2580473328076</v>
      </c>
      <c r="AI884" s="360">
        <v>0.30986989300360279</v>
      </c>
      <c r="AJ884" s="360">
        <v>1.4795815547956261</v>
      </c>
      <c r="AK884" s="360">
        <v>1.490553874242547</v>
      </c>
      <c r="AL884" s="360">
        <v>0.3472734883222135</v>
      </c>
      <c r="AM884" s="360">
        <v>1.30527728598403</v>
      </c>
      <c r="AN884" s="360">
        <v>1767.7988362601386</v>
      </c>
      <c r="AO884" s="360">
        <f t="shared" si="39"/>
        <v>1</v>
      </c>
      <c r="AP884" s="360">
        <f t="shared" si="40"/>
        <v>1</v>
      </c>
      <c r="AQ884" s="360">
        <f t="shared" si="41"/>
        <v>1</v>
      </c>
    </row>
    <row r="885" spans="1:43">
      <c r="A885" s="360" t="s">
        <v>1081</v>
      </c>
      <c r="B885" t="s">
        <v>1074</v>
      </c>
      <c r="C885">
        <v>1</v>
      </c>
      <c r="D885" t="s">
        <v>1080</v>
      </c>
      <c r="E885" t="s">
        <v>1079</v>
      </c>
      <c r="F885" s="360">
        <v>13</v>
      </c>
      <c r="G885" s="360" t="str">
        <f>CONCATENATE(A885," ",B885," ",C885," ","inf+"," ",FanUpsizes!D885," ",FanUpsizes!F885)</f>
        <v>7ACH Infiltration 1 inf+ Existing 13</v>
      </c>
      <c r="H885" s="360">
        <v>2.9178520157322231E-2</v>
      </c>
      <c r="I885" s="360">
        <v>0.37687834233948753</v>
      </c>
      <c r="J885" s="360">
        <v>1.2383254199465401</v>
      </c>
      <c r="K885" s="360">
        <v>17.288170476952551</v>
      </c>
      <c r="L885" s="360">
        <v>0.37673083432102644</v>
      </c>
      <c r="M885" s="360">
        <v>1.2385768207228187</v>
      </c>
      <c r="N885" s="360">
        <v>1.0005777885686717</v>
      </c>
      <c r="O885" s="360">
        <v>0.37679643181561739</v>
      </c>
      <c r="P885" s="360">
        <v>1.2383261687629101</v>
      </c>
      <c r="Q885" s="360">
        <v>14.729946559973511</v>
      </c>
      <c r="R885" s="360">
        <v>1676.1746985917525</v>
      </c>
      <c r="S885" s="360">
        <v>0.35344915207392713</v>
      </c>
      <c r="T885" s="360">
        <v>1.3057285931577891</v>
      </c>
      <c r="U885" s="360">
        <v>1.1764670452037449</v>
      </c>
      <c r="V885" s="360">
        <v>0.36971666615665294</v>
      </c>
      <c r="W885" s="360">
        <v>1.2383281098088967</v>
      </c>
      <c r="X885" s="360">
        <v>1186.9166207135697</v>
      </c>
      <c r="Y885" s="360">
        <v>0.35049254446180017</v>
      </c>
      <c r="Z885" s="360">
        <v>1.3052772859098194</v>
      </c>
      <c r="AA885" s="360">
        <v>8.0201497240637014</v>
      </c>
      <c r="AB885" s="360">
        <v>0.35042481669750891</v>
      </c>
      <c r="AC885" s="360">
        <v>1.3054116636086186</v>
      </c>
      <c r="AD885" s="360">
        <v>1.0002226005835715</v>
      </c>
      <c r="AE885" s="360">
        <v>0.35045585103407961</v>
      </c>
      <c r="AF885" s="360">
        <v>1.3052786422115519</v>
      </c>
      <c r="AG885" s="360">
        <v>6.8812227528809586</v>
      </c>
      <c r="AH885" s="360">
        <v>1501.1237952866052</v>
      </c>
      <c r="AI885" s="360">
        <v>0.32916453719395977</v>
      </c>
      <c r="AJ885" s="360">
        <v>1.3819619753445653</v>
      </c>
      <c r="AK885" s="360">
        <v>1.1599078616828682</v>
      </c>
      <c r="AL885" s="360">
        <v>0.34607076797529812</v>
      </c>
      <c r="AM885" s="360">
        <v>1.3052776062142308</v>
      </c>
      <c r="AN885" s="360">
        <v>1082.645097426338</v>
      </c>
      <c r="AO885" s="360">
        <f t="shared" si="39"/>
        <v>1</v>
      </c>
      <c r="AP885" s="360">
        <f t="shared" si="40"/>
        <v>1</v>
      </c>
      <c r="AQ885" s="360">
        <f t="shared" si="41"/>
        <v>1</v>
      </c>
    </row>
    <row r="886" spans="1:43">
      <c r="A886" s="360" t="s">
        <v>1081</v>
      </c>
      <c r="B886" t="s">
        <v>1076</v>
      </c>
      <c r="C886">
        <v>1</v>
      </c>
      <c r="D886" t="s">
        <v>1080</v>
      </c>
      <c r="E886" t="s">
        <v>1079</v>
      </c>
      <c r="F886" s="360">
        <v>13</v>
      </c>
      <c r="G886" s="360" t="str">
        <f>CONCATENATE(A886," ",B886," ",C886," ","inf+"," ",FanUpsizes!D886," ",FanUpsizes!F886)</f>
        <v>7ACH 5C 1 inf+ Existing 13</v>
      </c>
      <c r="H886" s="360">
        <v>2.9178520157322231E-2</v>
      </c>
      <c r="I886" s="360">
        <v>0.37687834233948753</v>
      </c>
      <c r="J886" s="360">
        <v>1.2383254199465401</v>
      </c>
      <c r="K886" s="360">
        <v>3341.6760316907821</v>
      </c>
      <c r="L886" s="360">
        <v>0.33004454647811687</v>
      </c>
      <c r="M886" s="360">
        <v>1.3942111804453907</v>
      </c>
      <c r="N886" s="360">
        <v>1.5384378820391746</v>
      </c>
      <c r="O886" s="360">
        <v>0.3694238790669207</v>
      </c>
      <c r="P886" s="360">
        <v>1.2383255242789377</v>
      </c>
      <c r="Q886" s="360">
        <v>2730.7886689460011</v>
      </c>
      <c r="R886" s="360">
        <v>3341.6760316907821</v>
      </c>
      <c r="S886" s="360">
        <v>0.33004454647811687</v>
      </c>
      <c r="T886" s="360">
        <v>1.3942111804453907</v>
      </c>
      <c r="U886" s="360">
        <v>1.5384378820391746</v>
      </c>
      <c r="V886" s="360">
        <v>0.3694238790669207</v>
      </c>
      <c r="W886" s="360">
        <v>1.2383255242789377</v>
      </c>
      <c r="X886" s="360">
        <v>2730.7886689460011</v>
      </c>
      <c r="Y886" s="360">
        <v>0.35049254446180017</v>
      </c>
      <c r="Z886" s="360">
        <v>1.3052772859098194</v>
      </c>
      <c r="AA886" s="360">
        <v>2073.1950706648149</v>
      </c>
      <c r="AB886" s="360">
        <v>0.32118589686789401</v>
      </c>
      <c r="AC886" s="360">
        <v>1.4167724176453829</v>
      </c>
      <c r="AD886" s="360">
        <v>1.2791397674090135</v>
      </c>
      <c r="AE886" s="360">
        <v>0.3465875008512444</v>
      </c>
      <c r="AF886" s="360">
        <v>1.3052779316167391</v>
      </c>
      <c r="AG886" s="360">
        <v>1656.9661800374884</v>
      </c>
      <c r="AH886" s="360">
        <v>2073.1950706648149</v>
      </c>
      <c r="AI886" s="360">
        <v>0.32118589686789401</v>
      </c>
      <c r="AJ886" s="360">
        <v>1.4167724176453829</v>
      </c>
      <c r="AK886" s="360">
        <v>1.2791397674090135</v>
      </c>
      <c r="AL886" s="360">
        <v>0.3465875008512444</v>
      </c>
      <c r="AM886" s="360">
        <v>1.3052779316167391</v>
      </c>
      <c r="AN886" s="360">
        <v>1656.9661800374884</v>
      </c>
      <c r="AO886" s="360">
        <f t="shared" si="39"/>
        <v>1</v>
      </c>
      <c r="AP886" s="360">
        <f t="shared" si="40"/>
        <v>1</v>
      </c>
      <c r="AQ886" s="360">
        <f t="shared" si="41"/>
        <v>1</v>
      </c>
    </row>
    <row r="887" spans="1:43">
      <c r="A887" s="360" t="s">
        <v>1081</v>
      </c>
      <c r="B887" t="s">
        <v>1075</v>
      </c>
      <c r="C887">
        <v>2</v>
      </c>
      <c r="D887" t="s">
        <v>1080</v>
      </c>
      <c r="E887" t="s">
        <v>1079</v>
      </c>
      <c r="F887" s="360">
        <v>13</v>
      </c>
      <c r="G887" s="360" t="str">
        <f>CONCATENATE(A887," ",B887," ",C887," ","inf+"," ",FanUpsizes!D887," ",FanUpsizes!F887)</f>
        <v>7ACH Percentile 2 inf+ Existing 13</v>
      </c>
      <c r="H887" s="360">
        <v>1.9485774862584238E-2</v>
      </c>
      <c r="I887" s="360">
        <v>0.42756897818939105</v>
      </c>
      <c r="J887" s="360">
        <v>1.1275699447863825</v>
      </c>
      <c r="K887" s="360">
        <v>1388.8310756679346</v>
      </c>
      <c r="L887" s="360">
        <v>0.41032192694642283</v>
      </c>
      <c r="M887" s="360">
        <v>1.1625454783697853</v>
      </c>
      <c r="N887" s="360">
        <v>1.1830015602383017</v>
      </c>
      <c r="O887" s="360">
        <v>0.42044461815543421</v>
      </c>
      <c r="P887" s="360">
        <v>1.1275703983308796</v>
      </c>
      <c r="Q887" s="360">
        <v>1100.2213447167958</v>
      </c>
      <c r="R887" s="360">
        <v>2131.1056631739716</v>
      </c>
      <c r="S887" s="360">
        <v>0.3942200273685606</v>
      </c>
      <c r="T887" s="360">
        <v>1.2114620786990709</v>
      </c>
      <c r="U887" s="360">
        <v>1.558325266199232</v>
      </c>
      <c r="V887" s="360">
        <v>0.4163193986646519</v>
      </c>
      <c r="W887" s="360">
        <v>1.1275702303329498</v>
      </c>
      <c r="X887" s="360">
        <v>1665.0077349915452</v>
      </c>
      <c r="Y887" s="360">
        <v>0.38807062009260551</v>
      </c>
      <c r="Z887" s="360">
        <v>1.2378294015435014</v>
      </c>
      <c r="AA887" s="360">
        <v>459.15546449350643</v>
      </c>
      <c r="AB887" s="360">
        <v>0.38244635618060341</v>
      </c>
      <c r="AC887" s="360">
        <v>1.2509643351435247</v>
      </c>
      <c r="AD887" s="360">
        <v>1.0545418791369432</v>
      </c>
      <c r="AE887" s="360">
        <v>0.38518196752140677</v>
      </c>
      <c r="AF887" s="360">
        <v>1.2378315867769545</v>
      </c>
      <c r="AG887" s="360">
        <v>391.61062701962669</v>
      </c>
      <c r="AH887" s="360">
        <v>898.46096872488113</v>
      </c>
      <c r="AI887" s="360">
        <v>0.37250184980925699</v>
      </c>
      <c r="AJ887" s="360">
        <v>1.2910034260228009</v>
      </c>
      <c r="AK887" s="360">
        <v>1.2975831836078855</v>
      </c>
      <c r="AL887" s="360">
        <v>0.38247793751746267</v>
      </c>
      <c r="AM887" s="360">
        <v>1.2378294259551403</v>
      </c>
      <c r="AN887" s="360">
        <v>766.10609642408997</v>
      </c>
      <c r="AO887" s="360">
        <f t="shared" si="39"/>
        <v>1</v>
      </c>
      <c r="AP887" s="360">
        <f t="shared" si="40"/>
        <v>1</v>
      </c>
      <c r="AQ887" s="360">
        <f t="shared" si="41"/>
        <v>1</v>
      </c>
    </row>
    <row r="888" spans="1:43">
      <c r="A888" s="360" t="s">
        <v>1081</v>
      </c>
      <c r="B888" t="s">
        <v>1074</v>
      </c>
      <c r="C888">
        <v>2</v>
      </c>
      <c r="D888" t="s">
        <v>1080</v>
      </c>
      <c r="E888" t="s">
        <v>1079</v>
      </c>
      <c r="F888" s="360">
        <v>13</v>
      </c>
      <c r="G888" s="360" t="str">
        <f>CONCATENATE(A888," ",B888," ",C888," ","inf+"," ",FanUpsizes!D888," ",FanUpsizes!F888)</f>
        <v>7ACH Infiltration 2 inf+ Existing 13</v>
      </c>
      <c r="H888" s="360">
        <v>1.9485774862584238E-2</v>
      </c>
      <c r="I888" s="360">
        <v>0.42756897818939105</v>
      </c>
      <c r="J888" s="360">
        <v>1.1275699447863825</v>
      </c>
      <c r="K888" s="360">
        <v>416.31483948556757</v>
      </c>
      <c r="L888" s="360">
        <v>0.42325926762177624</v>
      </c>
      <c r="M888" s="360">
        <v>1.1342136916877115</v>
      </c>
      <c r="N888" s="360">
        <v>1.030176455293105</v>
      </c>
      <c r="O888" s="360">
        <v>0.42531532948983169</v>
      </c>
      <c r="P888" s="360">
        <v>1.1275701448849238</v>
      </c>
      <c r="Q888" s="360">
        <v>339.37679381190713</v>
      </c>
      <c r="R888" s="360">
        <v>1549.855957612406</v>
      </c>
      <c r="S888" s="360">
        <v>0.40448945197824965</v>
      </c>
      <c r="T888" s="360">
        <v>1.1805001950951468</v>
      </c>
      <c r="U888" s="360">
        <v>1.296630209319994</v>
      </c>
      <c r="V888" s="360">
        <v>0.41918828126706992</v>
      </c>
      <c r="W888" s="360">
        <v>1.1275705292139846</v>
      </c>
      <c r="X888" s="360">
        <v>1129.8085889057363</v>
      </c>
      <c r="Y888" s="360">
        <v>0.38807062009260551</v>
      </c>
      <c r="Z888" s="360">
        <v>1.2378294015435014</v>
      </c>
      <c r="AA888" s="360">
        <v>120.32794702439963</v>
      </c>
      <c r="AB888" s="360">
        <v>0.38685240478287447</v>
      </c>
      <c r="AC888" s="360">
        <v>1.2399640306319542</v>
      </c>
      <c r="AD888" s="360">
        <v>1.0082004845210732</v>
      </c>
      <c r="AE888" s="360">
        <v>0.38732752115178914</v>
      </c>
      <c r="AF888" s="360">
        <v>1.2378295865403572</v>
      </c>
      <c r="AG888" s="360">
        <v>105.03945885811351</v>
      </c>
      <c r="AH888" s="360">
        <v>742.35209527902714</v>
      </c>
      <c r="AI888" s="360">
        <v>0.37640343467013349</v>
      </c>
      <c r="AJ888" s="360">
        <v>1.273063678354549</v>
      </c>
      <c r="AK888" s="360">
        <v>1.1712619584352286</v>
      </c>
      <c r="AL888" s="360">
        <v>0.38326633513626995</v>
      </c>
      <c r="AM888" s="360">
        <v>1.2378294078989069</v>
      </c>
      <c r="AN888" s="360">
        <v>616.45106836667139</v>
      </c>
      <c r="AO888" s="360">
        <f t="shared" si="39"/>
        <v>1</v>
      </c>
      <c r="AP888" s="360">
        <f t="shared" si="40"/>
        <v>1</v>
      </c>
      <c r="AQ888" s="360">
        <f t="shared" si="41"/>
        <v>1</v>
      </c>
    </row>
    <row r="889" spans="1:43">
      <c r="A889" s="360" t="s">
        <v>1081</v>
      </c>
      <c r="B889" t="s">
        <v>1076</v>
      </c>
      <c r="C889">
        <v>2</v>
      </c>
      <c r="D889" t="s">
        <v>1080</v>
      </c>
      <c r="E889" t="s">
        <v>1079</v>
      </c>
      <c r="F889" s="360">
        <v>13</v>
      </c>
      <c r="G889" s="360" t="str">
        <f>CONCATENATE(A889," ",B889," ",C889," ","inf+"," ",FanUpsizes!D889," ",FanUpsizes!F889)</f>
        <v>7ACH 5C 2 inf+ Existing 13</v>
      </c>
      <c r="H889" s="360">
        <v>1.9485774862584238E-2</v>
      </c>
      <c r="I889" s="360">
        <v>0.42756897818939105</v>
      </c>
      <c r="J889" s="360">
        <v>1.1275699447863825</v>
      </c>
      <c r="K889" s="360">
        <v>2231.6123801391823</v>
      </c>
      <c r="L889" s="360">
        <v>0.39629279292727038</v>
      </c>
      <c r="M889" s="360">
        <v>1.199520539896392</v>
      </c>
      <c r="N889" s="360">
        <v>1.4681258439770883</v>
      </c>
      <c r="O889" s="360">
        <v>0.41573810359983027</v>
      </c>
      <c r="P889" s="360">
        <v>1.1275716239893654</v>
      </c>
      <c r="Q889" s="360">
        <v>1887.8640131080858</v>
      </c>
      <c r="R889" s="360">
        <v>2457.5047279392661</v>
      </c>
      <c r="S889" s="360">
        <v>0.39100621463099511</v>
      </c>
      <c r="T889" s="360">
        <v>1.2161459599617905</v>
      </c>
      <c r="U889" s="360">
        <v>1.6348465424645167</v>
      </c>
      <c r="V889" s="360">
        <v>0.41415887870909907</v>
      </c>
      <c r="W889" s="360">
        <v>1.1275712640551641</v>
      </c>
      <c r="X889" s="360">
        <v>2134.7390601741026</v>
      </c>
      <c r="Y889" s="360">
        <v>0.38807062009260551</v>
      </c>
      <c r="Z889" s="360">
        <v>1.2378294015435014</v>
      </c>
      <c r="AA889" s="360">
        <v>780.13678596410386</v>
      </c>
      <c r="AB889" s="360">
        <v>0.37722422846782755</v>
      </c>
      <c r="AC889" s="360">
        <v>1.267217790748532</v>
      </c>
      <c r="AD889" s="360">
        <v>1.1387708445104463</v>
      </c>
      <c r="AE889" s="360">
        <v>0.38290420665178831</v>
      </c>
      <c r="AF889" s="360">
        <v>1.2378300242192137</v>
      </c>
      <c r="AG889" s="360">
        <v>691.64154129453004</v>
      </c>
      <c r="AH889" s="360">
        <v>918.35304457706843</v>
      </c>
      <c r="AI889" s="360">
        <v>0.3739328591217867</v>
      </c>
      <c r="AJ889" s="360">
        <v>1.2804837981996677</v>
      </c>
      <c r="AK889" s="360">
        <v>1.2245367279020913</v>
      </c>
      <c r="AL889" s="360">
        <v>0.38185913276614242</v>
      </c>
      <c r="AM889" s="360">
        <v>1.2378298002745858</v>
      </c>
      <c r="AN889" s="360">
        <v>833.05652974142481</v>
      </c>
      <c r="AO889" s="360">
        <f t="shared" si="39"/>
        <v>1</v>
      </c>
      <c r="AP889" s="360">
        <f t="shared" si="40"/>
        <v>1</v>
      </c>
      <c r="AQ889" s="360">
        <f t="shared" si="41"/>
        <v>1</v>
      </c>
    </row>
    <row r="890" spans="1:43">
      <c r="A890" s="360" t="s">
        <v>1082</v>
      </c>
      <c r="B890" t="s">
        <v>1075</v>
      </c>
      <c r="C890">
        <v>1</v>
      </c>
      <c r="D890" t="s">
        <v>1078</v>
      </c>
      <c r="E890" t="s">
        <v>1079</v>
      </c>
      <c r="F890" s="360">
        <v>13</v>
      </c>
      <c r="G890" s="360" t="str">
        <f>CONCATENATE(A890," ",B890," ",C890," ","inf+"," ",FanUpsizes!D890," ",FanUpsizes!F890)</f>
        <v>5ACH Percentile 1 inf+ New 13</v>
      </c>
      <c r="H890" s="360">
        <v>2.1596085826658735E-2</v>
      </c>
      <c r="I890" s="360">
        <v>0.27214795421532356</v>
      </c>
      <c r="J890" s="360">
        <v>1.2392963704876929</v>
      </c>
      <c r="K890" s="360">
        <v>1539.2415913850882</v>
      </c>
      <c r="L890" s="360">
        <v>0.25303304595395881</v>
      </c>
      <c r="M890" s="360">
        <v>1.3177391919986803</v>
      </c>
      <c r="N890" s="360">
        <v>1.2120156699748217</v>
      </c>
      <c r="O890" s="360">
        <v>0.26732555233755406</v>
      </c>
      <c r="P890" s="360">
        <v>1.2393013687596863</v>
      </c>
      <c r="Q890" s="360">
        <v>1166.7612998492316</v>
      </c>
      <c r="R890" s="360">
        <v>2361.9045756273886</v>
      </c>
      <c r="S890" s="360">
        <v>0.23518730937391694</v>
      </c>
      <c r="T890" s="360">
        <v>1.4158752614757739</v>
      </c>
      <c r="U890" s="360">
        <v>1.5818505785182131</v>
      </c>
      <c r="V890" s="360">
        <v>0.26550823351762753</v>
      </c>
      <c r="W890" s="360">
        <v>1.2392964806055844</v>
      </c>
      <c r="X890" s="360">
        <v>1812.9750802865171</v>
      </c>
      <c r="Y890" s="360">
        <v>0.25399228157573178</v>
      </c>
      <c r="Z890" s="360">
        <v>1.3030674612778448</v>
      </c>
      <c r="AA890" s="360">
        <v>935.98927669193563</v>
      </c>
      <c r="AB890" s="360">
        <v>0.24233161420313085</v>
      </c>
      <c r="AC890" s="360">
        <v>1.3575042761665947</v>
      </c>
      <c r="AD890" s="360">
        <v>1.105827206473895</v>
      </c>
      <c r="AE890" s="360">
        <v>0.25141528744200348</v>
      </c>
      <c r="AF890" s="360">
        <v>1.3030675752742373</v>
      </c>
      <c r="AG890" s="360">
        <v>698.12200710592992</v>
      </c>
      <c r="AH890" s="360">
        <v>1783.4758861786113</v>
      </c>
      <c r="AI890" s="360">
        <v>0.22313897287731499</v>
      </c>
      <c r="AJ890" s="360">
        <v>1.4845236986850534</v>
      </c>
      <c r="AK890" s="360">
        <v>1.5013469246306326</v>
      </c>
      <c r="AL890" s="360">
        <v>0.25191187878235249</v>
      </c>
      <c r="AM890" s="360">
        <v>1.3030729209796015</v>
      </c>
      <c r="AN890" s="360">
        <v>1334.1206756277368</v>
      </c>
      <c r="AO890" s="360">
        <f t="shared" si="39"/>
        <v>1</v>
      </c>
      <c r="AP890" s="360">
        <f t="shared" si="40"/>
        <v>1</v>
      </c>
      <c r="AQ890" s="360">
        <f t="shared" si="41"/>
        <v>1</v>
      </c>
    </row>
    <row r="891" spans="1:43">
      <c r="A891" s="360" t="s">
        <v>1082</v>
      </c>
      <c r="B891" t="s">
        <v>1074</v>
      </c>
      <c r="C891">
        <v>1</v>
      </c>
      <c r="D891" t="s">
        <v>1078</v>
      </c>
      <c r="E891" t="s">
        <v>1079</v>
      </c>
      <c r="F891" s="360">
        <v>13</v>
      </c>
      <c r="G891" s="360" t="str">
        <f>CONCATENATE(A891," ",B891," ",C891," ","inf+"," ",FanUpsizes!D891," ",FanUpsizes!F891)</f>
        <v>5ACH Infiltration 1 inf+ New 13</v>
      </c>
      <c r="H891" s="360">
        <v>2.1596085826658735E-2</v>
      </c>
      <c r="I891" s="360">
        <v>0.27214795421532356</v>
      </c>
      <c r="J891" s="360">
        <v>1.2392963704876929</v>
      </c>
      <c r="K891" s="360">
        <v>0</v>
      </c>
      <c r="L891" s="360">
        <v>0.27214795421532356</v>
      </c>
      <c r="M891" s="360">
        <v>1.2392963704876929</v>
      </c>
      <c r="N891" s="360">
        <v>1</v>
      </c>
      <c r="O891" s="360">
        <v>0.27214795421532356</v>
      </c>
      <c r="P891" s="360">
        <v>1.2392963704876929</v>
      </c>
      <c r="Q891" s="360">
        <v>0</v>
      </c>
      <c r="R891" s="360">
        <v>1188.2973589385504</v>
      </c>
      <c r="S891" s="360">
        <v>0.25571695739474848</v>
      </c>
      <c r="T891" s="360">
        <v>1.3043578263957203</v>
      </c>
      <c r="U891" s="360">
        <v>1.1657010075299734</v>
      </c>
      <c r="V891" s="360">
        <v>0.26726564851731405</v>
      </c>
      <c r="W891" s="360">
        <v>1.2393015545763433</v>
      </c>
      <c r="X891" s="360">
        <v>839.31932307005206</v>
      </c>
      <c r="Y891" s="360">
        <v>0.25399228157573178</v>
      </c>
      <c r="Z891" s="360">
        <v>1.3030674612778448</v>
      </c>
      <c r="AA891" s="360">
        <v>0</v>
      </c>
      <c r="AB891" s="360">
        <v>0.25399228157573178</v>
      </c>
      <c r="AC891" s="360">
        <v>1.3030674612778448</v>
      </c>
      <c r="AD891" s="360">
        <v>1</v>
      </c>
      <c r="AE891" s="360">
        <v>0.25399228157573178</v>
      </c>
      <c r="AF891" s="360">
        <v>1.3030674612778448</v>
      </c>
      <c r="AG891" s="360">
        <v>0</v>
      </c>
      <c r="AH891" s="360">
        <v>1091.9847805326629</v>
      </c>
      <c r="AI891" s="360">
        <v>0.23868146906863463</v>
      </c>
      <c r="AJ891" s="360">
        <v>1.3782759341672406</v>
      </c>
      <c r="AK891" s="360">
        <v>1.15168549815636</v>
      </c>
      <c r="AL891" s="360">
        <v>0.25096994191884703</v>
      </c>
      <c r="AM891" s="360">
        <v>1.3030692139224196</v>
      </c>
      <c r="AN891" s="360">
        <v>779.10822374928728</v>
      </c>
      <c r="AO891" s="360">
        <f t="shared" si="39"/>
        <v>1</v>
      </c>
      <c r="AP891" s="360">
        <f t="shared" si="40"/>
        <v>0</v>
      </c>
      <c r="AQ891" s="360">
        <f t="shared" si="41"/>
        <v>0</v>
      </c>
    </row>
    <row r="892" spans="1:43">
      <c r="A892" s="360" t="s">
        <v>1082</v>
      </c>
      <c r="B892" t="s">
        <v>1076</v>
      </c>
      <c r="C892">
        <v>1</v>
      </c>
      <c r="D892" t="s">
        <v>1078</v>
      </c>
      <c r="E892" t="s">
        <v>1079</v>
      </c>
      <c r="F892" s="360">
        <v>13</v>
      </c>
      <c r="G892" s="360" t="str">
        <f>CONCATENATE(A892," ",B892," ",C892," ","inf+"," ",FanUpsizes!D892," ",FanUpsizes!F892)</f>
        <v>5ACH 5C 1 inf+ New 13</v>
      </c>
      <c r="H892" s="360">
        <v>2.1596085826658735E-2</v>
      </c>
      <c r="I892" s="360">
        <v>0.27214795421532356</v>
      </c>
      <c r="J892" s="360">
        <v>1.2392963704876929</v>
      </c>
      <c r="K892" s="360">
        <v>2473.2961780164828</v>
      </c>
      <c r="L892" s="360">
        <v>0.23748455560713611</v>
      </c>
      <c r="M892" s="360">
        <v>1.4000752334617836</v>
      </c>
      <c r="N892" s="360">
        <v>1.5432319982781841</v>
      </c>
      <c r="O892" s="360">
        <v>0.26740010491804883</v>
      </c>
      <c r="P892" s="360">
        <v>1.2392964417905228</v>
      </c>
      <c r="Q892" s="360">
        <v>2012.9973934398802</v>
      </c>
      <c r="R892" s="360">
        <v>2473.2961780164828</v>
      </c>
      <c r="S892" s="360">
        <v>0.23748455560713611</v>
      </c>
      <c r="T892" s="360">
        <v>1.4000752334617836</v>
      </c>
      <c r="U892" s="360">
        <v>1.5432319982781841</v>
      </c>
      <c r="V892" s="360">
        <v>0.26740010491804883</v>
      </c>
      <c r="W892" s="360">
        <v>1.2392964417905228</v>
      </c>
      <c r="X892" s="360">
        <v>2012.9973934398802</v>
      </c>
      <c r="Y892" s="360">
        <v>0.25399228157573178</v>
      </c>
      <c r="Z892" s="360">
        <v>1.3030674612778448</v>
      </c>
      <c r="AA892" s="360">
        <v>1578.3846975923823</v>
      </c>
      <c r="AB892" s="360">
        <v>0.23167022661945402</v>
      </c>
      <c r="AC892" s="360">
        <v>1.4207810375600862</v>
      </c>
      <c r="AD892" s="360">
        <v>1.2911805897557098</v>
      </c>
      <c r="AE892" s="360">
        <v>0.25158084596865632</v>
      </c>
      <c r="AF892" s="360">
        <v>1.3030677099207726</v>
      </c>
      <c r="AG892" s="360">
        <v>1251.1588991663373</v>
      </c>
      <c r="AH892" s="360">
        <v>1578.3846975923823</v>
      </c>
      <c r="AI892" s="360">
        <v>0.23167022661945402</v>
      </c>
      <c r="AJ892" s="360">
        <v>1.4207810375600862</v>
      </c>
      <c r="AK892" s="360">
        <v>1.2911805897557098</v>
      </c>
      <c r="AL892" s="360">
        <v>0.25158084596865632</v>
      </c>
      <c r="AM892" s="360">
        <v>1.3030677099207726</v>
      </c>
      <c r="AN892" s="360">
        <v>1251.1588991663373</v>
      </c>
      <c r="AO892" s="360">
        <f t="shared" si="39"/>
        <v>1</v>
      </c>
      <c r="AP892" s="360">
        <f t="shared" si="40"/>
        <v>1</v>
      </c>
      <c r="AQ892" s="360">
        <f t="shared" si="41"/>
        <v>1</v>
      </c>
    </row>
    <row r="893" spans="1:43">
      <c r="A893" s="360" t="s">
        <v>1082</v>
      </c>
      <c r="B893" t="s">
        <v>1075</v>
      </c>
      <c r="C893">
        <v>2</v>
      </c>
      <c r="D893" t="s">
        <v>1078</v>
      </c>
      <c r="E893" t="s">
        <v>1079</v>
      </c>
      <c r="F893" s="360">
        <v>13</v>
      </c>
      <c r="G893" s="360" t="str">
        <f>CONCATENATE(A893," ",B893," ",C893," ","inf+"," ",FanUpsizes!D893," ",FanUpsizes!F893)</f>
        <v>5ACH Percentile 2 inf+ New 13</v>
      </c>
      <c r="H893" s="360">
        <v>1.4672696330417304E-2</v>
      </c>
      <c r="I893" s="360">
        <v>0.30821101691108499</v>
      </c>
      <c r="J893" s="360">
        <v>1.127196433909089</v>
      </c>
      <c r="K893" s="360">
        <v>1045.7832327033443</v>
      </c>
      <c r="L893" s="360">
        <v>0.2952240688801317</v>
      </c>
      <c r="M893" s="360">
        <v>1.1641878776157339</v>
      </c>
      <c r="N893" s="360">
        <v>1.1894632389263533</v>
      </c>
      <c r="O893" s="360">
        <v>0.30312682964190107</v>
      </c>
      <c r="P893" s="360">
        <v>1.1271964578976084</v>
      </c>
      <c r="Q893" s="360">
        <v>820.78796494602568</v>
      </c>
      <c r="R893" s="360">
        <v>1604.7124871501283</v>
      </c>
      <c r="S893" s="360">
        <v>0.28309941463800448</v>
      </c>
      <c r="T893" s="360">
        <v>1.2149207896381176</v>
      </c>
      <c r="U893" s="360">
        <v>1.5710616578767356</v>
      </c>
      <c r="V893" s="360">
        <v>0.30020023031944759</v>
      </c>
      <c r="W893" s="360">
        <v>1.1271968192325061</v>
      </c>
      <c r="X893" s="360">
        <v>1245.736712315552</v>
      </c>
      <c r="Y893" s="360">
        <v>0.27956844078941839</v>
      </c>
      <c r="Z893" s="360">
        <v>1.2370629478252417</v>
      </c>
      <c r="AA893" s="360">
        <v>362.72495120930643</v>
      </c>
      <c r="AB893" s="360">
        <v>0.27511725947571941</v>
      </c>
      <c r="AC893" s="360">
        <v>1.2517097357461724</v>
      </c>
      <c r="AD893" s="360">
        <v>1.0584711216302585</v>
      </c>
      <c r="AE893" s="360">
        <v>0.27741178909750641</v>
      </c>
      <c r="AF893" s="360">
        <v>1.2370631791656967</v>
      </c>
      <c r="AG893" s="360">
        <v>305.84203657759213</v>
      </c>
      <c r="AH893" s="360">
        <v>708.7121469084143</v>
      </c>
      <c r="AI893" s="360">
        <v>0.26727860027918354</v>
      </c>
      <c r="AJ893" s="360">
        <v>1.2946788869345893</v>
      </c>
      <c r="AK893" s="360">
        <v>1.3116573367151325</v>
      </c>
      <c r="AL893" s="360">
        <v>0.27544861306872437</v>
      </c>
      <c r="AM893" s="360">
        <v>1.2370629862670925</v>
      </c>
      <c r="AN893" s="360">
        <v>599.28982655435527</v>
      </c>
      <c r="AO893" s="360">
        <f t="shared" si="39"/>
        <v>1</v>
      </c>
      <c r="AP893" s="360">
        <f t="shared" si="40"/>
        <v>1</v>
      </c>
      <c r="AQ893" s="360">
        <f t="shared" si="41"/>
        <v>1</v>
      </c>
    </row>
    <row r="894" spans="1:43">
      <c r="A894" s="360" t="s">
        <v>1082</v>
      </c>
      <c r="B894" t="s">
        <v>1074</v>
      </c>
      <c r="C894">
        <v>2</v>
      </c>
      <c r="D894" t="s">
        <v>1078</v>
      </c>
      <c r="E894" t="s">
        <v>1079</v>
      </c>
      <c r="F894" s="360">
        <v>13</v>
      </c>
      <c r="G894" s="360" t="str">
        <f>CONCATENATE(A894," ",B894," ",C894," ","inf+"," ",FanUpsizes!D894," ",FanUpsizes!F894)</f>
        <v>5ACH Infiltration 2 inf+ New 13</v>
      </c>
      <c r="H894" s="360">
        <v>1.4672696330417304E-2</v>
      </c>
      <c r="I894" s="360">
        <v>0.30821101691108499</v>
      </c>
      <c r="J894" s="360">
        <v>1.127196433909089</v>
      </c>
      <c r="K894" s="360">
        <v>277.76699495611297</v>
      </c>
      <c r="L894" s="360">
        <v>0.30537379218657001</v>
      </c>
      <c r="M894" s="360">
        <v>1.1332471057784053</v>
      </c>
      <c r="N894" s="360">
        <v>1.0266646018984227</v>
      </c>
      <c r="O894" s="360">
        <v>0.30675439039253904</v>
      </c>
      <c r="P894" s="360">
        <v>1.127197828705151</v>
      </c>
      <c r="Q894" s="360">
        <v>225.62285329766954</v>
      </c>
      <c r="R894" s="360">
        <v>1135.8706654920707</v>
      </c>
      <c r="S894" s="360">
        <v>0.2914287399458152</v>
      </c>
      <c r="T894" s="360">
        <v>1.1802382166992069</v>
      </c>
      <c r="U894" s="360">
        <v>1.287220427406051</v>
      </c>
      <c r="V894" s="360">
        <v>0.3023373068413005</v>
      </c>
      <c r="W894" s="360">
        <v>1.1272018728493189</v>
      </c>
      <c r="X894" s="360">
        <v>820.65972909044376</v>
      </c>
      <c r="Y894" s="360">
        <v>0.27956844078941839</v>
      </c>
      <c r="Z894" s="360">
        <v>1.2370629478252417</v>
      </c>
      <c r="AA894" s="360">
        <v>83.454075857303465</v>
      </c>
      <c r="AB894" s="360">
        <v>0.27873370384430562</v>
      </c>
      <c r="AC894" s="360">
        <v>1.2390964021794006</v>
      </c>
      <c r="AD894" s="360">
        <v>1.0074553078473487</v>
      </c>
      <c r="AE894" s="360">
        <v>0.27907360555150701</v>
      </c>
      <c r="AF894" s="360">
        <v>1.2370632688058203</v>
      </c>
      <c r="AG894" s="360">
        <v>72.367246585915368</v>
      </c>
      <c r="AH894" s="360">
        <v>573.51875573697191</v>
      </c>
      <c r="AI894" s="360">
        <v>0.27066371164888947</v>
      </c>
      <c r="AJ894" s="360">
        <v>1.2737845845346287</v>
      </c>
      <c r="AK894" s="360">
        <v>1.1700438065923069</v>
      </c>
      <c r="AL894" s="360">
        <v>0.27608213466937931</v>
      </c>
      <c r="AM894" s="360">
        <v>1.2370630763370232</v>
      </c>
      <c r="AN894" s="360">
        <v>471.28116798326027</v>
      </c>
      <c r="AO894" s="360">
        <f t="shared" si="39"/>
        <v>1</v>
      </c>
      <c r="AP894" s="360">
        <f t="shared" si="40"/>
        <v>1</v>
      </c>
      <c r="AQ894" s="360">
        <f t="shared" si="41"/>
        <v>1</v>
      </c>
    </row>
    <row r="895" spans="1:43">
      <c r="A895" s="360" t="s">
        <v>1082</v>
      </c>
      <c r="B895" t="s">
        <v>1076</v>
      </c>
      <c r="C895">
        <v>2</v>
      </c>
      <c r="D895" t="s">
        <v>1078</v>
      </c>
      <c r="E895" t="s">
        <v>1079</v>
      </c>
      <c r="F895" s="360">
        <v>13</v>
      </c>
      <c r="G895" s="360" t="str">
        <f>CONCATENATE(A895," ",B895," ",C895," ","inf+"," ",FanUpsizes!D895," ",FanUpsizes!F895)</f>
        <v>5ACH 5C 2 inf+ New 13</v>
      </c>
      <c r="H895" s="360">
        <v>1.4672696330417304E-2</v>
      </c>
      <c r="I895" s="360">
        <v>0.30821101691108499</v>
      </c>
      <c r="J895" s="360">
        <v>1.127196433909089</v>
      </c>
      <c r="K895" s="360">
        <v>1680.3935697654222</v>
      </c>
      <c r="L895" s="360">
        <v>0.28466019730236025</v>
      </c>
      <c r="M895" s="360">
        <v>1.2029912044006688</v>
      </c>
      <c r="N895" s="360">
        <v>1.4837441801722973</v>
      </c>
      <c r="O895" s="360">
        <v>0.29985447012507571</v>
      </c>
      <c r="P895" s="360">
        <v>1.127196548170766</v>
      </c>
      <c r="Q895" s="360">
        <v>1412.9168258166969</v>
      </c>
      <c r="R895" s="360">
        <v>1837.1839528967275</v>
      </c>
      <c r="S895" s="360">
        <v>0.28107194250370793</v>
      </c>
      <c r="T895" s="360">
        <v>1.2183954731643212</v>
      </c>
      <c r="U895" s="360">
        <v>1.6353630168740623</v>
      </c>
      <c r="V895" s="360">
        <v>0.29885819536846153</v>
      </c>
      <c r="W895" s="360">
        <v>1.1271966149172847</v>
      </c>
      <c r="X895" s="360">
        <v>1585.4913930926925</v>
      </c>
      <c r="Y895" s="360">
        <v>0.27956844078941839</v>
      </c>
      <c r="Z895" s="360">
        <v>1.2370629478252417</v>
      </c>
      <c r="AA895" s="360">
        <v>615.94700804433364</v>
      </c>
      <c r="AB895" s="360">
        <v>0.27098881028443084</v>
      </c>
      <c r="AC895" s="360">
        <v>1.2695801124814796</v>
      </c>
      <c r="AD895" s="360">
        <v>1.1485886840668855</v>
      </c>
      <c r="AE895" s="360">
        <v>0.27574176542609424</v>
      </c>
      <c r="AF895" s="360">
        <v>1.237063582863801</v>
      </c>
      <c r="AG895" s="360">
        <v>541.63441860049386</v>
      </c>
      <c r="AH895" s="360">
        <v>715.61331288264694</v>
      </c>
      <c r="AI895" s="360">
        <v>0.26867136258454422</v>
      </c>
      <c r="AJ895" s="360">
        <v>1.2821358431149759</v>
      </c>
      <c r="AK895" s="360">
        <v>1.2273251303520998</v>
      </c>
      <c r="AL895" s="360">
        <v>0.27504473308014288</v>
      </c>
      <c r="AM895" s="360">
        <v>1.2370630363120645</v>
      </c>
      <c r="AN895" s="360">
        <v>644.07454000734845</v>
      </c>
      <c r="AO895" s="360">
        <f t="shared" si="39"/>
        <v>1</v>
      </c>
      <c r="AP895" s="360">
        <f t="shared" si="40"/>
        <v>1</v>
      </c>
      <c r="AQ895" s="360">
        <f t="shared" si="41"/>
        <v>1</v>
      </c>
    </row>
    <row r="896" spans="1:43">
      <c r="A896" s="360" t="s">
        <v>1082</v>
      </c>
      <c r="B896" t="s">
        <v>1075</v>
      </c>
      <c r="C896">
        <v>1</v>
      </c>
      <c r="D896" t="s">
        <v>1080</v>
      </c>
      <c r="E896" t="s">
        <v>1079</v>
      </c>
      <c r="F896" s="360">
        <v>13</v>
      </c>
      <c r="G896" s="360" t="str">
        <f>CONCATENATE(A896," ",B896," ",C896," ","inf+"," ",FanUpsizes!D896," ",FanUpsizes!F896)</f>
        <v>5ACH Percentile 1 inf+ Existing 13</v>
      </c>
      <c r="H896" s="360">
        <v>3.7846085826658736E-2</v>
      </c>
      <c r="I896" s="360">
        <v>0.34147065328011772</v>
      </c>
      <c r="J896" s="360">
        <v>1.3177869515654836</v>
      </c>
      <c r="K896" s="360">
        <v>2697.4457243364523</v>
      </c>
      <c r="L896" s="360">
        <v>0.3079727099752545</v>
      </c>
      <c r="M896" s="360">
        <v>1.4718893712915615</v>
      </c>
      <c r="N896" s="360">
        <v>1.2532119844764391</v>
      </c>
      <c r="O896" s="360">
        <v>0.34699386614177496</v>
      </c>
      <c r="P896" s="360">
        <v>1.3177870876573194</v>
      </c>
      <c r="Q896" s="360">
        <v>1759.3801375680855</v>
      </c>
      <c r="R896" s="360">
        <v>4169.4279660554457</v>
      </c>
      <c r="S896" s="360">
        <v>0.27520177569153509</v>
      </c>
      <c r="T896" s="360">
        <v>1.6455063560812568</v>
      </c>
      <c r="U896" s="360">
        <v>1.782031050498488</v>
      </c>
      <c r="V896" s="360">
        <v>0.36035411959347935</v>
      </c>
      <c r="W896" s="360">
        <v>1.317787358862792</v>
      </c>
      <c r="X896" s="360">
        <v>2815.123762873096</v>
      </c>
      <c r="Y896" s="360">
        <v>0.34442609459337731</v>
      </c>
      <c r="Z896" s="360">
        <v>1.2909878921848841</v>
      </c>
      <c r="AA896" s="360">
        <v>2471.4764810660645</v>
      </c>
      <c r="AB896" s="360">
        <v>0.31348821705344326</v>
      </c>
      <c r="AC896" s="360">
        <v>1.4376101335435567</v>
      </c>
      <c r="AD896" s="360">
        <v>1.2195408211220446</v>
      </c>
      <c r="AE896" s="360">
        <v>0.35384307961519401</v>
      </c>
      <c r="AF896" s="360">
        <v>1.2909885980073494</v>
      </c>
      <c r="AG896" s="360">
        <v>1367.3338828660153</v>
      </c>
      <c r="AH896" s="360">
        <v>4506.382064079191</v>
      </c>
      <c r="AI896" s="360">
        <v>0.26789781346611719</v>
      </c>
      <c r="AJ896" s="360">
        <v>1.6900513899939671</v>
      </c>
      <c r="AK896" s="360">
        <v>1.8186662593883398</v>
      </c>
      <c r="AL896" s="360">
        <v>0.37047603225221981</v>
      </c>
      <c r="AM896" s="360">
        <v>1.2909880781338003</v>
      </c>
      <c r="AN896" s="360">
        <v>2643.6049858836718</v>
      </c>
      <c r="AO896" s="360">
        <f t="shared" si="39"/>
        <v>1</v>
      </c>
      <c r="AP896" s="360">
        <f t="shared" si="40"/>
        <v>1</v>
      </c>
      <c r="AQ896" s="360">
        <f t="shared" si="41"/>
        <v>1</v>
      </c>
    </row>
    <row r="897" spans="1:43">
      <c r="A897" s="360" t="s">
        <v>1082</v>
      </c>
      <c r="B897" t="s">
        <v>1074</v>
      </c>
      <c r="C897">
        <v>1</v>
      </c>
      <c r="D897" t="s">
        <v>1080</v>
      </c>
      <c r="E897" t="s">
        <v>1079</v>
      </c>
      <c r="F897" s="360">
        <v>13</v>
      </c>
      <c r="G897" s="360" t="str">
        <f>CONCATENATE(A897," ",B897," ",C897," ","inf+"," ",FanUpsizes!D897," ",FanUpsizes!F897)</f>
        <v>5ACH Infiltration 1 inf+ Existing 13</v>
      </c>
      <c r="H897" s="360">
        <v>3.7846085826658736E-2</v>
      </c>
      <c r="I897" s="360">
        <v>0.34147065328011772</v>
      </c>
      <c r="J897" s="360">
        <v>1.3177869515654836</v>
      </c>
      <c r="K897" s="360">
        <v>0</v>
      </c>
      <c r="L897" s="360">
        <v>0.34147065328011772</v>
      </c>
      <c r="M897" s="360">
        <v>1.3177869515654836</v>
      </c>
      <c r="N897" s="360">
        <v>1</v>
      </c>
      <c r="O897" s="360">
        <v>0.34147065328011772</v>
      </c>
      <c r="P897" s="360">
        <v>1.3177869515654836</v>
      </c>
      <c r="Q897" s="360">
        <v>0</v>
      </c>
      <c r="R897" s="360">
        <v>796.21839872311364</v>
      </c>
      <c r="S897" s="360">
        <v>0.33247834484416317</v>
      </c>
      <c r="T897" s="360">
        <v>1.3481209954195423</v>
      </c>
      <c r="U897" s="360">
        <v>1.0413582292272443</v>
      </c>
      <c r="V897" s="360">
        <v>0.33950242475315179</v>
      </c>
      <c r="W897" s="360">
        <v>1.3177909125034426</v>
      </c>
      <c r="X897" s="360">
        <v>575.45163109056466</v>
      </c>
      <c r="Y897" s="360">
        <v>0.34442609459337731</v>
      </c>
      <c r="Z897" s="360">
        <v>1.2909878921848841</v>
      </c>
      <c r="AA897" s="360">
        <v>0</v>
      </c>
      <c r="AB897" s="360">
        <v>0.34442609459337731</v>
      </c>
      <c r="AC897" s="360">
        <v>1.2909878921848841</v>
      </c>
      <c r="AD897" s="360">
        <v>1</v>
      </c>
      <c r="AE897" s="360">
        <v>0.34442609459337731</v>
      </c>
      <c r="AF897" s="360">
        <v>1.2909878921848841</v>
      </c>
      <c r="AG897" s="360">
        <v>0</v>
      </c>
      <c r="AH897" s="360">
        <v>988.79631923783631</v>
      </c>
      <c r="AI897" s="360">
        <v>0.33317035262994243</v>
      </c>
      <c r="AJ897" s="360">
        <v>1.3343167814991654</v>
      </c>
      <c r="AK897" s="360">
        <v>1.0514143728560374</v>
      </c>
      <c r="AL897" s="360">
        <v>0.34416843369025124</v>
      </c>
      <c r="AM897" s="360">
        <v>1.2909882390077954</v>
      </c>
      <c r="AN897" s="360">
        <v>606.62789670624909</v>
      </c>
      <c r="AO897" s="360">
        <f t="shared" si="39"/>
        <v>1</v>
      </c>
      <c r="AP897" s="360">
        <f t="shared" si="40"/>
        <v>0</v>
      </c>
      <c r="AQ897" s="360">
        <f t="shared" si="41"/>
        <v>0</v>
      </c>
    </row>
    <row r="898" spans="1:43">
      <c r="A898" s="360" t="s">
        <v>1082</v>
      </c>
      <c r="B898" t="s">
        <v>1076</v>
      </c>
      <c r="C898">
        <v>1</v>
      </c>
      <c r="D898" t="s">
        <v>1080</v>
      </c>
      <c r="E898" t="s">
        <v>1079</v>
      </c>
      <c r="F898" s="360">
        <v>13</v>
      </c>
      <c r="G898" s="360" t="str">
        <f>CONCATENATE(A898," ",B898," ",C898," ","inf+"," ",FanUpsizes!D898," ",FanUpsizes!F898)</f>
        <v>5ACH 5C 1 inf+ Existing 13</v>
      </c>
      <c r="H898" s="360">
        <v>3.7846085826658736E-2</v>
      </c>
      <c r="I898" s="360">
        <v>0.34147065328011772</v>
      </c>
      <c r="J898" s="360">
        <v>1.3177869515654836</v>
      </c>
      <c r="K898" s="360">
        <v>4334.3307754599355</v>
      </c>
      <c r="L898" s="360">
        <v>0.28072473990956576</v>
      </c>
      <c r="M898" s="360">
        <v>1.6317343769705368</v>
      </c>
      <c r="N898" s="360">
        <v>1.7249064722004301</v>
      </c>
      <c r="O898" s="360">
        <v>0.37863071991428277</v>
      </c>
      <c r="P898" s="360">
        <v>1.3177874424913871</v>
      </c>
      <c r="Q898" s="360">
        <v>2714.9724441763396</v>
      </c>
      <c r="R898" s="360">
        <v>4334.3307754599355</v>
      </c>
      <c r="S898" s="360">
        <v>0.28072473990956576</v>
      </c>
      <c r="T898" s="360">
        <v>1.6317343769705368</v>
      </c>
      <c r="U898" s="360">
        <v>1.7249064722004301</v>
      </c>
      <c r="V898" s="360">
        <v>0.37863071991428277</v>
      </c>
      <c r="W898" s="360">
        <v>1.3177874424913871</v>
      </c>
      <c r="X898" s="360">
        <v>2714.9724441763396</v>
      </c>
      <c r="Y898" s="360">
        <v>0.34442609459337731</v>
      </c>
      <c r="Z898" s="360">
        <v>1.2909878921848841</v>
      </c>
      <c r="AA898" s="360">
        <v>4111.9470894308715</v>
      </c>
      <c r="AB898" s="360">
        <v>0.28607522712733841</v>
      </c>
      <c r="AC898" s="360">
        <v>1.5983525351288261</v>
      </c>
      <c r="AD898" s="360">
        <v>1.7367047954032317</v>
      </c>
      <c r="AE898" s="360">
        <v>0.39184892612076805</v>
      </c>
      <c r="AF898" s="360">
        <v>1.2909892756091847</v>
      </c>
      <c r="AG898" s="360">
        <v>2302.5368186426304</v>
      </c>
      <c r="AH898" s="360">
        <v>4111.9470894308715</v>
      </c>
      <c r="AI898" s="360">
        <v>0.28607522712733841</v>
      </c>
      <c r="AJ898" s="360">
        <v>1.5983525351288261</v>
      </c>
      <c r="AK898" s="360">
        <v>1.7367047954032317</v>
      </c>
      <c r="AL898" s="360">
        <v>0.39184892612076805</v>
      </c>
      <c r="AM898" s="360">
        <v>1.2909892756091847</v>
      </c>
      <c r="AN898" s="360">
        <v>2302.5368186426304</v>
      </c>
      <c r="AO898" s="360">
        <f t="shared" si="39"/>
        <v>1</v>
      </c>
      <c r="AP898" s="360">
        <f t="shared" si="40"/>
        <v>1</v>
      </c>
      <c r="AQ898" s="360">
        <f t="shared" si="41"/>
        <v>1</v>
      </c>
    </row>
    <row r="899" spans="1:43">
      <c r="A899" s="360" t="s">
        <v>1082</v>
      </c>
      <c r="B899" t="s">
        <v>1075</v>
      </c>
      <c r="C899">
        <v>2</v>
      </c>
      <c r="D899" t="s">
        <v>1080</v>
      </c>
      <c r="E899" t="s">
        <v>1079</v>
      </c>
      <c r="F899" s="360">
        <v>13</v>
      </c>
      <c r="G899" s="360" t="str">
        <f>CONCATENATE(A899," ",B899," ",C899," ","inf+"," ",FanUpsizes!D899," ",FanUpsizes!F899)</f>
        <v>5ACH Percentile 2 inf+ Existing 13</v>
      </c>
      <c r="H899" s="360">
        <v>3.0922696330417304E-2</v>
      </c>
      <c r="I899" s="360">
        <v>0.37021251805134309</v>
      </c>
      <c r="J899" s="360">
        <v>1.2537005387800437</v>
      </c>
      <c r="K899" s="360">
        <v>2203.9873656547293</v>
      </c>
      <c r="L899" s="360">
        <v>0.3428425349768916</v>
      </c>
      <c r="M899" s="360">
        <v>1.343248519468434</v>
      </c>
      <c r="N899" s="360">
        <v>1.2245297437390448</v>
      </c>
      <c r="O899" s="360">
        <v>0.36503867704352089</v>
      </c>
      <c r="P899" s="360">
        <v>1.2537008756455261</v>
      </c>
      <c r="Q899" s="360">
        <v>1635.2095512190967</v>
      </c>
      <c r="R899" s="360">
        <v>3381.9303432937072</v>
      </c>
      <c r="S899" s="360">
        <v>0.31728983540500982</v>
      </c>
      <c r="T899" s="360">
        <v>1.4506331113045825</v>
      </c>
      <c r="U899" s="360">
        <v>1.6127194730094199</v>
      </c>
      <c r="V899" s="360">
        <v>0.36414636767099512</v>
      </c>
      <c r="W899" s="360">
        <v>1.2537005622494404</v>
      </c>
      <c r="X899" s="360">
        <v>2549.11497448202</v>
      </c>
      <c r="Y899" s="360">
        <v>0.348583520051919</v>
      </c>
      <c r="Z899" s="360">
        <v>1.304753112625503</v>
      </c>
      <c r="AA899" s="360">
        <v>1449.8000059612632</v>
      </c>
      <c r="AB899" s="360">
        <v>0.33050187992454821</v>
      </c>
      <c r="AC899" s="360">
        <v>1.3713385617192062</v>
      </c>
      <c r="AD899" s="360">
        <v>1.1229068553897978</v>
      </c>
      <c r="AE899" s="360">
        <v>0.34611670744629319</v>
      </c>
      <c r="AF899" s="360">
        <v>1.3047545306743789</v>
      </c>
      <c r="AG899" s="360">
        <v>1036.1661527052065</v>
      </c>
      <c r="AH899" s="360">
        <v>2731.0880442943917</v>
      </c>
      <c r="AI899" s="360">
        <v>0.30153629770343277</v>
      </c>
      <c r="AJ899" s="360">
        <v>1.516689293304059</v>
      </c>
      <c r="AK899" s="360">
        <v>1.558963852967151</v>
      </c>
      <c r="AL899" s="360">
        <v>0.34916561373946714</v>
      </c>
      <c r="AM899" s="360">
        <v>1.3047531740389653</v>
      </c>
      <c r="AN899" s="360">
        <v>1963.8586691836758</v>
      </c>
      <c r="AO899" s="360">
        <f t="shared" si="39"/>
        <v>1</v>
      </c>
      <c r="AP899" s="360">
        <f t="shared" si="40"/>
        <v>1</v>
      </c>
      <c r="AQ899" s="360">
        <f t="shared" si="41"/>
        <v>1</v>
      </c>
    </row>
    <row r="900" spans="1:43">
      <c r="A900" s="360" t="s">
        <v>1082</v>
      </c>
      <c r="B900" t="s">
        <v>1074</v>
      </c>
      <c r="C900">
        <v>2</v>
      </c>
      <c r="D900" t="s">
        <v>1080</v>
      </c>
      <c r="E900" t="s">
        <v>1079</v>
      </c>
      <c r="F900" s="360">
        <v>13</v>
      </c>
      <c r="G900" s="360" t="str">
        <f>CONCATENATE(A900," ",B900," ",C900," ","inf+"," ",FanUpsizes!D900," ",FanUpsizes!F900)</f>
        <v>5ACH Infiltration 2 inf+ Existing 13</v>
      </c>
      <c r="H900" s="360">
        <v>3.0922696330417304E-2</v>
      </c>
      <c r="I900" s="360">
        <v>0.37021251805134309</v>
      </c>
      <c r="J900" s="360">
        <v>1.2537005387800437</v>
      </c>
      <c r="K900" s="360">
        <v>0</v>
      </c>
      <c r="L900" s="360">
        <v>0.37021251805134309</v>
      </c>
      <c r="M900" s="360">
        <v>1.2537005387800437</v>
      </c>
      <c r="N900" s="360">
        <v>1</v>
      </c>
      <c r="O900" s="360">
        <v>0.37021251805134309</v>
      </c>
      <c r="P900" s="360">
        <v>1.2537005387800437</v>
      </c>
      <c r="Q900" s="360">
        <v>0</v>
      </c>
      <c r="R900" s="360">
        <v>1518.0656317421106</v>
      </c>
      <c r="S900" s="360">
        <v>0.34990974859797491</v>
      </c>
      <c r="T900" s="360">
        <v>1.3147799515631502</v>
      </c>
      <c r="U900" s="360">
        <v>1.1400689849145067</v>
      </c>
      <c r="V900" s="360">
        <v>0.36458368476401803</v>
      </c>
      <c r="W900" s="360">
        <v>1.2537008031990122</v>
      </c>
      <c r="X900" s="360">
        <v>1068.4978334486498</v>
      </c>
      <c r="Y900" s="360">
        <v>0.348583520051919</v>
      </c>
      <c r="Z900" s="360">
        <v>1.304753112625503</v>
      </c>
      <c r="AA900" s="360">
        <v>0</v>
      </c>
      <c r="AB900" s="360">
        <v>0.348583520051919</v>
      </c>
      <c r="AC900" s="360">
        <v>1.304753112625503</v>
      </c>
      <c r="AD900" s="360">
        <v>1</v>
      </c>
      <c r="AE900" s="360">
        <v>0.348583520051919</v>
      </c>
      <c r="AF900" s="360">
        <v>1.304753112625503</v>
      </c>
      <c r="AG900" s="360">
        <v>0</v>
      </c>
      <c r="AH900" s="360">
        <v>1482.9264293990529</v>
      </c>
      <c r="AI900" s="360">
        <v>0.32850218486789062</v>
      </c>
      <c r="AJ900" s="360">
        <v>1.3791120567961397</v>
      </c>
      <c r="AK900" s="360">
        <v>1.1358872446018453</v>
      </c>
      <c r="AL900" s="360">
        <v>0.34553781120225729</v>
      </c>
      <c r="AM900" s="360">
        <v>1.3047565876985479</v>
      </c>
      <c r="AN900" s="360">
        <v>1016.8704979773886</v>
      </c>
      <c r="AO900" s="360">
        <f t="shared" si="39"/>
        <v>1</v>
      </c>
      <c r="AP900" s="360">
        <f t="shared" si="40"/>
        <v>0</v>
      </c>
      <c r="AQ900" s="360">
        <f t="shared" si="41"/>
        <v>0</v>
      </c>
    </row>
    <row r="901" spans="1:43">
      <c r="A901" s="360" t="s">
        <v>1082</v>
      </c>
      <c r="B901" t="s">
        <v>1076</v>
      </c>
      <c r="C901">
        <v>2</v>
      </c>
      <c r="D901" t="s">
        <v>1080</v>
      </c>
      <c r="E901" t="s">
        <v>1079</v>
      </c>
      <c r="F901" s="360">
        <v>13</v>
      </c>
      <c r="G901" s="360" t="str">
        <f>CONCATENATE(A901," ",B901," ",C901," ","inf+"," ",FanUpsizes!D901," ",FanUpsizes!F901)</f>
        <v>5ACH 5C 2 inf+ Existing 13</v>
      </c>
      <c r="H901" s="360">
        <v>3.0922696330417304E-2</v>
      </c>
      <c r="I901" s="360">
        <v>0.37021251805134309</v>
      </c>
      <c r="J901" s="360">
        <v>1.2537005387800437</v>
      </c>
      <c r="K901" s="360">
        <v>3541.4281672088709</v>
      </c>
      <c r="L901" s="360">
        <v>0.32057918368025484</v>
      </c>
      <c r="M901" s="360">
        <v>1.4360178643242194</v>
      </c>
      <c r="N901" s="360">
        <v>1.5787195189390206</v>
      </c>
      <c r="O901" s="360">
        <v>0.36836156533269543</v>
      </c>
      <c r="P901" s="360">
        <v>1.2537008438904771</v>
      </c>
      <c r="Q901" s="360">
        <v>2811.4541631731581</v>
      </c>
      <c r="R901" s="360">
        <v>3541.4281672088709</v>
      </c>
      <c r="S901" s="360">
        <v>0.32057918368025484</v>
      </c>
      <c r="T901" s="360">
        <v>1.4360178643242194</v>
      </c>
      <c r="U901" s="360">
        <v>1.5787195189390206</v>
      </c>
      <c r="V901" s="360">
        <v>0.36836156533269543</v>
      </c>
      <c r="W901" s="360">
        <v>1.2537008438904771</v>
      </c>
      <c r="X901" s="360">
        <v>2811.4541631731581</v>
      </c>
      <c r="Y901" s="360">
        <v>0.348583520051919</v>
      </c>
      <c r="Z901" s="360">
        <v>1.304753112625503</v>
      </c>
      <c r="AA901" s="360">
        <v>2432.2760487446812</v>
      </c>
      <c r="AB901" s="360">
        <v>0.3141702606796356</v>
      </c>
      <c r="AC901" s="360">
        <v>1.447004509899954</v>
      </c>
      <c r="AD901" s="360">
        <v>1.346114861175927</v>
      </c>
      <c r="AE901" s="360">
        <v>0.34907920249495211</v>
      </c>
      <c r="AF901" s="360">
        <v>1.3047531394666516</v>
      </c>
      <c r="AG901" s="360">
        <v>1853.1601797578351</v>
      </c>
      <c r="AH901" s="360">
        <v>2432.2760487446812</v>
      </c>
      <c r="AI901" s="360">
        <v>0.3141702606796356</v>
      </c>
      <c r="AJ901" s="360">
        <v>1.447004509899954</v>
      </c>
      <c r="AK901" s="360">
        <v>1.346114861175927</v>
      </c>
      <c r="AL901" s="360">
        <v>0.34907920249495211</v>
      </c>
      <c r="AM901" s="360">
        <v>1.3047531394666516</v>
      </c>
      <c r="AN901" s="360">
        <v>1853.1601797578351</v>
      </c>
      <c r="AO901" s="360">
        <f t="shared" si="39"/>
        <v>1</v>
      </c>
      <c r="AP901" s="360">
        <f t="shared" si="40"/>
        <v>1</v>
      </c>
      <c r="AQ901" s="360">
        <f t="shared" si="41"/>
        <v>1</v>
      </c>
    </row>
    <row r="902" spans="1:43">
      <c r="A902" s="360" t="s">
        <v>1083</v>
      </c>
      <c r="B902" t="s">
        <v>1075</v>
      </c>
      <c r="C902">
        <v>1</v>
      </c>
      <c r="D902" t="s">
        <v>1078</v>
      </c>
      <c r="E902" t="s">
        <v>1079</v>
      </c>
      <c r="F902" s="360">
        <v>13</v>
      </c>
      <c r="G902" s="360" t="str">
        <f>CONCATENATE(A902," ",B902," ",C902," ","inf+"," ",FanUpsizes!D902," ",FanUpsizes!F902)</f>
        <v>3ACH Percentile 1 inf+ New 13</v>
      </c>
      <c r="H902" s="360">
        <v>3.026365149599524E-2</v>
      </c>
      <c r="I902" s="360">
        <v>0.24307821880686215</v>
      </c>
      <c r="J902" s="360">
        <v>1.3255672398050504</v>
      </c>
      <c r="K902" s="360">
        <v>2157.0145378991165</v>
      </c>
      <c r="L902" s="360">
        <v>0.21629156280618031</v>
      </c>
      <c r="M902" s="360">
        <v>1.535809189584378</v>
      </c>
      <c r="N902" s="360">
        <v>1.2802537999818597</v>
      </c>
      <c r="O902" s="360">
        <v>0.25808408788838111</v>
      </c>
      <c r="P902" s="360">
        <v>1.325567900902475</v>
      </c>
      <c r="Q902" s="360">
        <v>1019.9961537800294</v>
      </c>
      <c r="R902" s="360">
        <v>3467.7244361244684</v>
      </c>
      <c r="S902" s="360">
        <v>0.18603522969713937</v>
      </c>
      <c r="T902" s="360">
        <v>1.7807591503548481</v>
      </c>
      <c r="U902" s="360">
        <v>1.9643911982338902</v>
      </c>
      <c r="V902" s="360">
        <v>0.27874927850085424</v>
      </c>
      <c r="W902" s="360">
        <v>1.3255688722435368</v>
      </c>
      <c r="X902" s="360">
        <v>1985.8237519216843</v>
      </c>
      <c r="Y902" s="360">
        <v>0.25446743120724585</v>
      </c>
      <c r="Z902" s="360">
        <v>1.2614749834705794</v>
      </c>
      <c r="AA902" s="360">
        <v>2339.2293318762322</v>
      </c>
      <c r="AB902" s="360">
        <v>0.22516429216923697</v>
      </c>
      <c r="AC902" s="360">
        <v>1.4798283651168718</v>
      </c>
      <c r="AD902" s="360">
        <v>1.3169658176455115</v>
      </c>
      <c r="AE902" s="360">
        <v>0.27462191296974298</v>
      </c>
      <c r="AF902" s="360">
        <v>1.2614756952654931</v>
      </c>
      <c r="AG902" s="360">
        <v>966.73935604329779</v>
      </c>
      <c r="AH902" s="360">
        <v>4157.8517582652412</v>
      </c>
      <c r="AI902" s="360">
        <v>0.18465448485075556</v>
      </c>
      <c r="AJ902" s="360">
        <v>1.8014461211151747</v>
      </c>
      <c r="AK902" s="360">
        <v>2.0288291968378007</v>
      </c>
      <c r="AL902" s="360">
        <v>0.2952204429444476</v>
      </c>
      <c r="AM902" s="360">
        <v>1.2614751702932883</v>
      </c>
      <c r="AN902" s="360">
        <v>2033.7343057192334</v>
      </c>
      <c r="AO902" s="360">
        <f t="shared" si="39"/>
        <v>1</v>
      </c>
      <c r="AP902" s="360">
        <f t="shared" si="40"/>
        <v>1</v>
      </c>
      <c r="AQ902" s="360">
        <f t="shared" si="41"/>
        <v>1</v>
      </c>
    </row>
    <row r="903" spans="1:43">
      <c r="A903" s="360" t="s">
        <v>1083</v>
      </c>
      <c r="B903" t="s">
        <v>1074</v>
      </c>
      <c r="C903">
        <v>1</v>
      </c>
      <c r="D903" t="s">
        <v>1078</v>
      </c>
      <c r="E903" t="s">
        <v>1079</v>
      </c>
      <c r="F903" s="360">
        <v>13</v>
      </c>
      <c r="G903" s="360" t="str">
        <f>CONCATENATE(A903," ",B903," ",C903," ","inf+"," ",FanUpsizes!D903," ",FanUpsizes!F903)</f>
        <v>3ACH Infiltration 1 inf+ New 13</v>
      </c>
      <c r="H903" s="360">
        <v>3.026365149599524E-2</v>
      </c>
      <c r="I903" s="360">
        <v>0.24307821880686215</v>
      </c>
      <c r="J903" s="360">
        <v>1.3255672398050504</v>
      </c>
      <c r="K903" s="360">
        <v>0</v>
      </c>
      <c r="L903" s="360">
        <v>0.24307821880686215</v>
      </c>
      <c r="M903" s="360">
        <v>1.3255672398050504</v>
      </c>
      <c r="N903" s="360">
        <v>1</v>
      </c>
      <c r="O903" s="360">
        <v>0.24307821880686215</v>
      </c>
      <c r="P903" s="360">
        <v>1.3255672398050504</v>
      </c>
      <c r="Q903" s="360">
        <v>0</v>
      </c>
      <c r="R903" s="360">
        <v>155.3277762969345</v>
      </c>
      <c r="S903" s="360">
        <v>0.24158015498959431</v>
      </c>
      <c r="T903" s="360">
        <v>1.3324107864691657</v>
      </c>
      <c r="U903" s="360">
        <v>1.0072453172190374</v>
      </c>
      <c r="V903" s="360">
        <v>0.24277425494469115</v>
      </c>
      <c r="W903" s="360">
        <v>1.32556850522877</v>
      </c>
      <c r="X903" s="360">
        <v>114.60583465586426</v>
      </c>
      <c r="Y903" s="360">
        <v>0.25446743120724585</v>
      </c>
      <c r="Z903" s="360">
        <v>1.2614749834705794</v>
      </c>
      <c r="AA903" s="360">
        <v>0</v>
      </c>
      <c r="AB903" s="360">
        <v>0.25446743120724585</v>
      </c>
      <c r="AC903" s="360">
        <v>1.2614749834705794</v>
      </c>
      <c r="AD903" s="360">
        <v>1</v>
      </c>
      <c r="AE903" s="360">
        <v>0.25446743120724585</v>
      </c>
      <c r="AF903" s="360">
        <v>1.2614749834705794</v>
      </c>
      <c r="AG903" s="360">
        <v>0</v>
      </c>
      <c r="AH903" s="360">
        <v>210.38187259870992</v>
      </c>
      <c r="AI903" s="360">
        <v>0.25243097825058769</v>
      </c>
      <c r="AJ903" s="360">
        <v>1.2715877773787654</v>
      </c>
      <c r="AK903" s="360">
        <v>1.0102711674176204</v>
      </c>
      <c r="AL903" s="360">
        <v>0.25443060156209929</v>
      </c>
      <c r="AM903" s="360">
        <v>1.2614788874742999</v>
      </c>
      <c r="AN903" s="360">
        <v>133.44181201091561</v>
      </c>
      <c r="AO903" s="360">
        <f t="shared" si="39"/>
        <v>1</v>
      </c>
      <c r="AP903" s="360">
        <f t="shared" si="40"/>
        <v>0</v>
      </c>
      <c r="AQ903" s="360">
        <f t="shared" si="41"/>
        <v>0</v>
      </c>
    </row>
    <row r="904" spans="1:43">
      <c r="A904" s="360" t="s">
        <v>1083</v>
      </c>
      <c r="B904" t="s">
        <v>1076</v>
      </c>
      <c r="C904">
        <v>1</v>
      </c>
      <c r="D904" t="s">
        <v>1078</v>
      </c>
      <c r="E904" t="s">
        <v>1079</v>
      </c>
      <c r="F904" s="360">
        <v>13</v>
      </c>
      <c r="G904" s="360" t="str">
        <f>CONCATENATE(A904," ",B904," ",C904," ","inf+"," ",FanUpsizes!D904," ",FanUpsizes!F904)</f>
        <v>3ACH 5C 1 inf+ New 13</v>
      </c>
      <c r="H904" s="360">
        <v>3.026365149599524E-2</v>
      </c>
      <c r="I904" s="360">
        <v>0.24307821880686215</v>
      </c>
      <c r="J904" s="360">
        <v>1.3255672398050504</v>
      </c>
      <c r="K904" s="360">
        <v>3494.7780810735917</v>
      </c>
      <c r="L904" s="360">
        <v>0.19397181221168036</v>
      </c>
      <c r="M904" s="360">
        <v>1.7538466872871088</v>
      </c>
      <c r="N904" s="360">
        <v>2.0162544718613407</v>
      </c>
      <c r="O904" s="360">
        <v>0.31484617156298728</v>
      </c>
      <c r="P904" s="360">
        <v>1.3255672525465823</v>
      </c>
      <c r="Q904" s="360">
        <v>1424.7899266607321</v>
      </c>
      <c r="R904" s="360">
        <v>3494.7780810735917</v>
      </c>
      <c r="S904" s="360">
        <v>0.19397181221168036</v>
      </c>
      <c r="T904" s="360">
        <v>1.7538466872871088</v>
      </c>
      <c r="U904" s="360">
        <v>2.0162544718613407</v>
      </c>
      <c r="V904" s="360">
        <v>0.31484617156298728</v>
      </c>
      <c r="W904" s="360">
        <v>1.3255672525465823</v>
      </c>
      <c r="X904" s="360">
        <v>1424.7899266607321</v>
      </c>
      <c r="Y904" s="360">
        <v>0.25446743120724585</v>
      </c>
      <c r="Z904" s="360">
        <v>1.2614749834705794</v>
      </c>
      <c r="AA904" s="360">
        <v>3864.2855909844684</v>
      </c>
      <c r="AB904" s="360">
        <v>0.19963441210474886</v>
      </c>
      <c r="AC904" s="360">
        <v>1.7151896402972779</v>
      </c>
      <c r="AD904" s="360">
        <v>2.2690286779709603</v>
      </c>
      <c r="AE904" s="360">
        <v>0.35265961262936285</v>
      </c>
      <c r="AF904" s="360">
        <v>1.2614751031464482</v>
      </c>
      <c r="AG904" s="360">
        <v>1213.3137339502839</v>
      </c>
      <c r="AH904" s="360">
        <v>3864.2855909844684</v>
      </c>
      <c r="AI904" s="360">
        <v>0.19963441210474886</v>
      </c>
      <c r="AJ904" s="360">
        <v>1.7151896402972779</v>
      </c>
      <c r="AK904" s="360">
        <v>2.2690286779709603</v>
      </c>
      <c r="AL904" s="360">
        <v>0.35265961262936285</v>
      </c>
      <c r="AM904" s="360">
        <v>1.2614751031464482</v>
      </c>
      <c r="AN904" s="360">
        <v>1213.3137339502839</v>
      </c>
      <c r="AO904" s="360">
        <f t="shared" si="39"/>
        <v>1</v>
      </c>
      <c r="AP904" s="360">
        <f t="shared" si="40"/>
        <v>1</v>
      </c>
      <c r="AQ904" s="360">
        <f t="shared" si="41"/>
        <v>1</v>
      </c>
    </row>
    <row r="905" spans="1:43">
      <c r="A905" s="360" t="s">
        <v>1083</v>
      </c>
      <c r="B905" t="s">
        <v>1075</v>
      </c>
      <c r="C905">
        <v>2</v>
      </c>
      <c r="D905" t="s">
        <v>1078</v>
      </c>
      <c r="E905" t="s">
        <v>1079</v>
      </c>
      <c r="F905" s="360">
        <v>13</v>
      </c>
      <c r="G905" s="360" t="str">
        <f>CONCATENATE(A905," ",B905," ",C905," ","inf+"," ",FanUpsizes!D905," ",FanUpsizes!F905)</f>
        <v>3ACH Percentile 2 inf+ New 13</v>
      </c>
      <c r="H905" s="360">
        <v>2.6109617798250388E-2</v>
      </c>
      <c r="I905" s="360">
        <v>0.25368176494050992</v>
      </c>
      <c r="J905" s="360">
        <v>1.2989330478395951</v>
      </c>
      <c r="K905" s="360">
        <v>1860.9395226900831</v>
      </c>
      <c r="L905" s="360">
        <v>0.23057188507807655</v>
      </c>
      <c r="M905" s="360">
        <v>1.4312703525462445</v>
      </c>
      <c r="N905" s="360">
        <v>1.2459011580670634</v>
      </c>
      <c r="O905" s="360">
        <v>0.25460952821244281</v>
      </c>
      <c r="P905" s="360">
        <v>1.2989331496727958</v>
      </c>
      <c r="Q905" s="360">
        <v>1285.7057982837714</v>
      </c>
      <c r="R905" s="360">
        <v>2862.8164525637685</v>
      </c>
      <c r="S905" s="360">
        <v>0.20859247331830508</v>
      </c>
      <c r="T905" s="360">
        <v>1.5793447703735013</v>
      </c>
      <c r="U905" s="360">
        <v>1.714777405172524</v>
      </c>
      <c r="V905" s="360">
        <v>0.25990346353958743</v>
      </c>
      <c r="W905" s="360">
        <v>1.2989333134643262</v>
      </c>
      <c r="X905" s="360">
        <v>2021.8641382167862</v>
      </c>
      <c r="Y905" s="360">
        <v>0.25048383344222347</v>
      </c>
      <c r="Z905" s="360">
        <v>1.2959934349544404</v>
      </c>
      <c r="AA905" s="360">
        <v>1573.927654218445</v>
      </c>
      <c r="AB905" s="360">
        <v>0.23079614126804965</v>
      </c>
      <c r="AC905" s="360">
        <v>1.4155687057179571</v>
      </c>
      <c r="AD905" s="360">
        <v>1.1872469761365569</v>
      </c>
      <c r="AE905" s="360">
        <v>0.25357510797968091</v>
      </c>
      <c r="AF905" s="360">
        <v>1.2959934352288212</v>
      </c>
      <c r="AG905" s="360">
        <v>954.70036054299646</v>
      </c>
      <c r="AH905" s="360">
        <v>2888.5221297753719</v>
      </c>
      <c r="AI905" s="360">
        <v>0.20126961527568688</v>
      </c>
      <c r="AJ905" s="360">
        <v>1.6318313528018618</v>
      </c>
      <c r="AK905" s="360">
        <v>1.7344197864577882</v>
      </c>
      <c r="AL905" s="360">
        <v>0.26185131010265927</v>
      </c>
      <c r="AM905" s="360">
        <v>1.295993875492834</v>
      </c>
      <c r="AN905" s="360">
        <v>1820.5552104672172</v>
      </c>
      <c r="AO905" s="360">
        <f t="shared" si="39"/>
        <v>1</v>
      </c>
      <c r="AP905" s="360">
        <f t="shared" si="40"/>
        <v>1</v>
      </c>
      <c r="AQ905" s="360">
        <f t="shared" si="41"/>
        <v>1</v>
      </c>
    </row>
    <row r="906" spans="1:43">
      <c r="A906" s="360" t="s">
        <v>1083</v>
      </c>
      <c r="B906" t="s">
        <v>1074</v>
      </c>
      <c r="C906">
        <v>2</v>
      </c>
      <c r="D906" t="s">
        <v>1078</v>
      </c>
      <c r="E906" t="s">
        <v>1079</v>
      </c>
      <c r="F906" s="360">
        <v>13</v>
      </c>
      <c r="G906" s="360" t="str">
        <f>CONCATENATE(A906," ",B906," ",C906," ","inf+"," ",FanUpsizes!D906," ",FanUpsizes!F906)</f>
        <v>3ACH Infiltration 2 inf+ New 13</v>
      </c>
      <c r="H906" s="360">
        <v>2.6109617798250388E-2</v>
      </c>
      <c r="I906" s="360">
        <v>0.25368176494050992</v>
      </c>
      <c r="J906" s="360">
        <v>1.2989330478395951</v>
      </c>
      <c r="K906" s="360">
        <v>0</v>
      </c>
      <c r="L906" s="360">
        <v>0.25368176494050992</v>
      </c>
      <c r="M906" s="360">
        <v>1.2989330478395951</v>
      </c>
      <c r="N906" s="360">
        <v>1</v>
      </c>
      <c r="O906" s="360">
        <v>0.25368176494050992</v>
      </c>
      <c r="P906" s="360">
        <v>1.2989330478395951</v>
      </c>
      <c r="Q906" s="360">
        <v>0</v>
      </c>
      <c r="R906" s="360">
        <v>714.76551677266229</v>
      </c>
      <c r="S906" s="360">
        <v>0.24525067359612451</v>
      </c>
      <c r="T906" s="360">
        <v>1.3371804714820179</v>
      </c>
      <c r="U906" s="360">
        <v>1.0606728195506057</v>
      </c>
      <c r="V906" s="360">
        <v>0.25179709334905698</v>
      </c>
      <c r="W906" s="360">
        <v>1.2989416474905189</v>
      </c>
      <c r="X906" s="360">
        <v>508.78257530372878</v>
      </c>
      <c r="Y906" s="360">
        <v>0.25048383344222347</v>
      </c>
      <c r="Z906" s="360">
        <v>1.2959934349544404</v>
      </c>
      <c r="AA906" s="360">
        <v>0</v>
      </c>
      <c r="AB906" s="360">
        <v>0.25048383344222347</v>
      </c>
      <c r="AC906" s="360">
        <v>1.2959934349544404</v>
      </c>
      <c r="AD906" s="360">
        <v>1</v>
      </c>
      <c r="AE906" s="360">
        <v>0.25048383344222347</v>
      </c>
      <c r="AF906" s="360">
        <v>1.2959934349544404</v>
      </c>
      <c r="AG906" s="360">
        <v>0</v>
      </c>
      <c r="AH906" s="360">
        <v>840.90299105770578</v>
      </c>
      <c r="AI906" s="360">
        <v>0.24047505546253431</v>
      </c>
      <c r="AJ906" s="360">
        <v>1.348949229719054</v>
      </c>
      <c r="AK906" s="360">
        <v>1.0698147412076968</v>
      </c>
      <c r="AL906" s="360">
        <v>0.25004763841730093</v>
      </c>
      <c r="AM906" s="360">
        <v>1.2960004232716664</v>
      </c>
      <c r="AN906" s="360">
        <v>522.93806257583435</v>
      </c>
      <c r="AO906" s="360">
        <f t="shared" si="39"/>
        <v>1</v>
      </c>
      <c r="AP906" s="360">
        <f t="shared" si="40"/>
        <v>0</v>
      </c>
      <c r="AQ906" s="360">
        <f t="shared" si="41"/>
        <v>0</v>
      </c>
    </row>
    <row r="907" spans="1:43">
      <c r="A907" s="360" t="s">
        <v>1083</v>
      </c>
      <c r="B907" t="s">
        <v>1076</v>
      </c>
      <c r="C907">
        <v>2</v>
      </c>
      <c r="D907" t="s">
        <v>1078</v>
      </c>
      <c r="E907" t="s">
        <v>1079</v>
      </c>
      <c r="F907" s="360">
        <v>13</v>
      </c>
      <c r="G907" s="360" t="str">
        <f>CONCATENATE(A907," ",B907," ",C907," ","inf+"," ",FanUpsizes!D907," ",FanUpsizes!F907)</f>
        <v>3ACH 5C 2 inf+ New 13</v>
      </c>
      <c r="H907" s="360">
        <v>2.6109617798250388E-2</v>
      </c>
      <c r="I907" s="360">
        <v>0.25368176494050992</v>
      </c>
      <c r="J907" s="360">
        <v>1.2989330478395951</v>
      </c>
      <c r="K907" s="360">
        <v>2990.2093568350042</v>
      </c>
      <c r="L907" s="360">
        <v>0.21177379622281756</v>
      </c>
      <c r="M907" s="360">
        <v>1.5668007100237424</v>
      </c>
      <c r="N907" s="360">
        <v>1.6512562061319531</v>
      </c>
      <c r="O907" s="360">
        <v>0.26806788879846472</v>
      </c>
      <c r="P907" s="360">
        <v>1.2989335139101479</v>
      </c>
      <c r="Q907" s="360">
        <v>2081.5028793700044</v>
      </c>
      <c r="R907" s="360">
        <v>2990.2093568350042</v>
      </c>
      <c r="S907" s="360">
        <v>0.21177379622281756</v>
      </c>
      <c r="T907" s="360">
        <v>1.5668007100237424</v>
      </c>
      <c r="U907" s="360">
        <v>1.6512562061319531</v>
      </c>
      <c r="V907" s="360">
        <v>0.26806788879846472</v>
      </c>
      <c r="W907" s="360">
        <v>1.2989335139101479</v>
      </c>
      <c r="X907" s="360">
        <v>2081.5028793700044</v>
      </c>
      <c r="Y907" s="360">
        <v>0.25048383344222347</v>
      </c>
      <c r="Z907" s="360">
        <v>1.2959934349544404</v>
      </c>
      <c r="AA907" s="360">
        <v>2619.5838249575663</v>
      </c>
      <c r="AB907" s="360">
        <v>0.213340695297636</v>
      </c>
      <c r="AC907" s="360">
        <v>1.5455997099914485</v>
      </c>
      <c r="AD907" s="360">
        <v>1.57640773574574</v>
      </c>
      <c r="AE907" s="360">
        <v>0.26831011621268974</v>
      </c>
      <c r="AF907" s="360">
        <v>1.2959961194351557</v>
      </c>
      <c r="AG907" s="360">
        <v>1686.0607738815988</v>
      </c>
      <c r="AH907" s="360">
        <v>2619.5838249575663</v>
      </c>
      <c r="AI907" s="360">
        <v>0.213340695297636</v>
      </c>
      <c r="AJ907" s="360">
        <v>1.5455997099914485</v>
      </c>
      <c r="AK907" s="360">
        <v>1.57640773574574</v>
      </c>
      <c r="AL907" s="360">
        <v>0.26831011621268974</v>
      </c>
      <c r="AM907" s="360">
        <v>1.2959961194351557</v>
      </c>
      <c r="AN907" s="360">
        <v>1686.0607738815988</v>
      </c>
      <c r="AO907" s="360">
        <f t="shared" si="39"/>
        <v>1</v>
      </c>
      <c r="AP907" s="360">
        <f t="shared" si="40"/>
        <v>1</v>
      </c>
      <c r="AQ907" s="360">
        <f t="shared" si="41"/>
        <v>1</v>
      </c>
    </row>
    <row r="908" spans="1:43">
      <c r="A908" s="360" t="s">
        <v>1083</v>
      </c>
      <c r="B908" t="s">
        <v>1075</v>
      </c>
      <c r="C908">
        <v>1</v>
      </c>
      <c r="D908" t="s">
        <v>1080</v>
      </c>
      <c r="E908" t="s">
        <v>1079</v>
      </c>
      <c r="F908" s="360">
        <v>13</v>
      </c>
      <c r="G908" s="360" t="str">
        <f>CONCATENATE(A908," ",B908," ",C908," ","inf+"," ",FanUpsizes!D908," ",FanUpsizes!F908)</f>
        <v>3ACH Percentile 1 inf+ Existing 13</v>
      </c>
      <c r="H908" s="360">
        <v>4.6513651495995241E-2</v>
      </c>
      <c r="I908" s="360">
        <v>0.34695757989604059</v>
      </c>
      <c r="J908" s="360">
        <v>1.2672918435391411</v>
      </c>
      <c r="K908" s="360">
        <v>3838.7219106964631</v>
      </c>
      <c r="L908" s="360">
        <v>0.29876170746097558</v>
      </c>
      <c r="M908" s="360">
        <v>1.6295432048941842</v>
      </c>
      <c r="N908" s="360">
        <v>1.5254723674443031</v>
      </c>
      <c r="O908" s="360">
        <v>0.4331160759951776</v>
      </c>
      <c r="P908" s="360">
        <v>1.2672942586831013</v>
      </c>
      <c r="Q908" s="360">
        <v>59.600306897629714</v>
      </c>
      <c r="R908" s="360">
        <v>6651.1923167905497</v>
      </c>
      <c r="S908" s="360">
        <v>0.23518988571459956</v>
      </c>
      <c r="T908" s="360">
        <v>2.0494349692272036</v>
      </c>
      <c r="U908" s="360">
        <v>2.4551491249661157</v>
      </c>
      <c r="V908" s="360">
        <v>0.48760954647597315</v>
      </c>
      <c r="W908" s="360">
        <v>1.2672922817858905</v>
      </c>
      <c r="X908" s="360">
        <v>1753.7164664020677</v>
      </c>
      <c r="Y908" s="360">
        <v>0.36467962917071622</v>
      </c>
      <c r="Z908" s="360">
        <v>1.2063197817173046</v>
      </c>
      <c r="AA908" s="360">
        <v>4376.3892994747102</v>
      </c>
      <c r="AB908" s="360">
        <v>0.30985777566629397</v>
      </c>
      <c r="AC908" s="360">
        <v>1.5856271286820367</v>
      </c>
      <c r="AD908" s="360">
        <v>1.6325930811996829</v>
      </c>
      <c r="AE908" s="360">
        <v>0.469697666329015</v>
      </c>
      <c r="AF908" s="360">
        <v>1.2063201291646029</v>
      </c>
      <c r="AG908" s="360">
        <v>-115.96641662575402</v>
      </c>
      <c r="AH908" s="360">
        <v>7497.8000299076639</v>
      </c>
      <c r="AI908" s="360">
        <v>0.24080052527818244</v>
      </c>
      <c r="AJ908" s="360">
        <v>2.0094026745605533</v>
      </c>
      <c r="AK908" s="360">
        <v>2.6162182134331808</v>
      </c>
      <c r="AL908" s="360">
        <v>0.52573725589195874</v>
      </c>
      <c r="AM908" s="360">
        <v>1.2063197909613954</v>
      </c>
      <c r="AN908" s="360">
        <v>1709.1697568852362</v>
      </c>
      <c r="AO908" s="360">
        <f t="shared" si="39"/>
        <v>1</v>
      </c>
      <c r="AP908" s="360">
        <f t="shared" si="40"/>
        <v>1</v>
      </c>
      <c r="AQ908" s="360">
        <f t="shared" si="41"/>
        <v>1</v>
      </c>
    </row>
    <row r="909" spans="1:43">
      <c r="A909" s="360" t="s">
        <v>1083</v>
      </c>
      <c r="B909" t="s">
        <v>1074</v>
      </c>
      <c r="C909">
        <v>1</v>
      </c>
      <c r="D909" t="s">
        <v>1080</v>
      </c>
      <c r="E909" t="s">
        <v>1079</v>
      </c>
      <c r="F909" s="360">
        <v>13</v>
      </c>
      <c r="G909" s="360" t="str">
        <f>CONCATENATE(A909," ",B909," ",C909," ","inf+"," ",FanUpsizes!D909," ",FanUpsizes!F909)</f>
        <v>3ACH Infiltration 1 inf+ Existing 13</v>
      </c>
      <c r="H909" s="360">
        <v>4.6513651495995241E-2</v>
      </c>
      <c r="I909" s="360">
        <v>0.34695757989604059</v>
      </c>
      <c r="J909" s="360">
        <v>1.2672918435391411</v>
      </c>
      <c r="K909" s="360">
        <v>0</v>
      </c>
      <c r="L909" s="360">
        <v>0.34695757989604059</v>
      </c>
      <c r="M909" s="360">
        <v>1.2672918435391411</v>
      </c>
      <c r="N909" s="360">
        <v>1</v>
      </c>
      <c r="O909" s="360">
        <v>0.34695757989604059</v>
      </c>
      <c r="P909" s="360">
        <v>1.2672918435391411</v>
      </c>
      <c r="Q909" s="360">
        <v>0</v>
      </c>
      <c r="R909" s="360">
        <v>0</v>
      </c>
      <c r="S909" s="360">
        <v>0.34695757989604059</v>
      </c>
      <c r="T909" s="360">
        <v>1.2672918435391411</v>
      </c>
      <c r="U909" s="360">
        <v>1</v>
      </c>
      <c r="V909" s="360">
        <v>0.34695757989604059</v>
      </c>
      <c r="W909" s="360">
        <v>1.2672918435391411</v>
      </c>
      <c r="X909" s="360">
        <v>0</v>
      </c>
      <c r="Y909" s="360">
        <v>0.36467962917071622</v>
      </c>
      <c r="Z909" s="360">
        <v>1.2063197817173046</v>
      </c>
      <c r="AA909" s="360">
        <v>0</v>
      </c>
      <c r="AB909" s="360">
        <v>0.36467962917071622</v>
      </c>
      <c r="AC909" s="360">
        <v>1.2063197817173046</v>
      </c>
      <c r="AD909" s="360">
        <v>1</v>
      </c>
      <c r="AE909" s="360">
        <v>0.36467962917071622</v>
      </c>
      <c r="AF909" s="360">
        <v>1.2063197817173046</v>
      </c>
      <c r="AG909" s="360">
        <v>0</v>
      </c>
      <c r="AH909" s="360">
        <v>0</v>
      </c>
      <c r="AI909" s="360">
        <v>0.36467962917071622</v>
      </c>
      <c r="AJ909" s="360">
        <v>1.2063197817173046</v>
      </c>
      <c r="AK909" s="360">
        <v>1</v>
      </c>
      <c r="AL909" s="360">
        <v>0.36467962917071622</v>
      </c>
      <c r="AM909" s="360">
        <v>1.2063197817173046</v>
      </c>
      <c r="AN909" s="360">
        <v>0</v>
      </c>
      <c r="AO909" s="360">
        <f t="shared" si="39"/>
        <v>1</v>
      </c>
      <c r="AP909" s="360">
        <f t="shared" si="40"/>
        <v>0</v>
      </c>
      <c r="AQ909" s="360">
        <f t="shared" si="41"/>
        <v>0</v>
      </c>
    </row>
    <row r="910" spans="1:43">
      <c r="A910" s="360" t="s">
        <v>1083</v>
      </c>
      <c r="B910" t="s">
        <v>1076</v>
      </c>
      <c r="C910">
        <v>1</v>
      </c>
      <c r="D910" t="s">
        <v>1080</v>
      </c>
      <c r="E910" t="s">
        <v>1079</v>
      </c>
      <c r="F910" s="360">
        <v>13</v>
      </c>
      <c r="G910" s="360" t="str">
        <f>CONCATENATE(A910," ",B910," ",C910," ","inf+"," ",FanUpsizes!D910," ",FanUpsizes!F910)</f>
        <v>3ACH 5C 1 inf+ Existing 13</v>
      </c>
      <c r="H910" s="360">
        <v>4.6513651495995241E-2</v>
      </c>
      <c r="I910" s="360">
        <v>0.34695757989604059</v>
      </c>
      <c r="J910" s="360">
        <v>1.2672918435391411</v>
      </c>
      <c r="K910" s="360">
        <v>6393.8632546641657</v>
      </c>
      <c r="L910" s="360">
        <v>0.25593337456874776</v>
      </c>
      <c r="M910" s="360">
        <v>2.0230099644545043</v>
      </c>
      <c r="N910" s="360">
        <v>6.5283421723158508</v>
      </c>
      <c r="O910" s="360">
        <v>1.326138280915458</v>
      </c>
      <c r="P910" s="360">
        <v>1.2672920238073133</v>
      </c>
      <c r="Q910" s="360">
        <v>-12363.384694113254</v>
      </c>
      <c r="R910" s="360">
        <v>6393.8632546641657</v>
      </c>
      <c r="S910" s="360">
        <v>0.25593337456874776</v>
      </c>
      <c r="T910" s="360">
        <v>2.0230099644545043</v>
      </c>
      <c r="U910" s="360">
        <v>6.5283421723158508</v>
      </c>
      <c r="V910" s="360">
        <v>1.326138280915458</v>
      </c>
      <c r="W910" s="360">
        <v>1.2672920238073133</v>
      </c>
      <c r="X910" s="360">
        <v>-12363.384694113254</v>
      </c>
      <c r="Y910" s="360">
        <v>0.36467962917071622</v>
      </c>
      <c r="Z910" s="360">
        <v>1.2063197817173046</v>
      </c>
      <c r="AA910" s="360">
        <v>7163.8498590812324</v>
      </c>
      <c r="AB910" s="360">
        <v>0.26312554115325476</v>
      </c>
      <c r="AC910" s="360">
        <v>1.9914980327822476</v>
      </c>
      <c r="AD910" s="360">
        <v>8.5996258546684832</v>
      </c>
      <c r="AE910" s="360">
        <v>1.729114169103765</v>
      </c>
      <c r="AF910" s="360">
        <v>1.2338008055563694</v>
      </c>
      <c r="AG910" s="360">
        <v>-18524.47690846759</v>
      </c>
      <c r="AH910" s="360">
        <v>7163.8498590812324</v>
      </c>
      <c r="AI910" s="360">
        <v>0.26312554115325476</v>
      </c>
      <c r="AJ910" s="360">
        <v>1.9914980327822476</v>
      </c>
      <c r="AK910" s="360">
        <v>8.5996258546684832</v>
      </c>
      <c r="AL910" s="360">
        <v>1.729114169103765</v>
      </c>
      <c r="AM910" s="360">
        <v>1.2338008055563694</v>
      </c>
      <c r="AN910" s="360">
        <v>-18524.47690846759</v>
      </c>
      <c r="AO910" s="360">
        <f t="shared" si="39"/>
        <v>1</v>
      </c>
      <c r="AP910" s="360">
        <f t="shared" si="40"/>
        <v>1</v>
      </c>
      <c r="AQ910" s="360">
        <f t="shared" si="41"/>
        <v>1</v>
      </c>
    </row>
    <row r="911" spans="1:43">
      <c r="A911" s="360" t="s">
        <v>1083</v>
      </c>
      <c r="B911" t="s">
        <v>1075</v>
      </c>
      <c r="C911">
        <v>2</v>
      </c>
      <c r="D911" t="s">
        <v>1080</v>
      </c>
      <c r="E911" t="s">
        <v>1079</v>
      </c>
      <c r="F911" s="360">
        <v>13</v>
      </c>
      <c r="G911" s="360" t="str">
        <f>CONCATENATE(A911," ",B911," ",C911," ","inf+"," ",FanUpsizes!D911," ",FanUpsizes!F911)</f>
        <v>3ACH Percentile 2 inf+ Existing 13</v>
      </c>
      <c r="H911" s="360">
        <v>4.2359617798250385E-2</v>
      </c>
      <c r="I911" s="360">
        <v>0.33523477734372709</v>
      </c>
      <c r="J911" s="360">
        <v>1.3216205590129577</v>
      </c>
      <c r="K911" s="360">
        <v>3023.5257520252899</v>
      </c>
      <c r="L911" s="360">
        <v>0.29767582478530158</v>
      </c>
      <c r="M911" s="360">
        <v>1.5552488168988212</v>
      </c>
      <c r="N911" s="360">
        <v>1.3162128103160036</v>
      </c>
      <c r="O911" s="360">
        <v>0.36494256493372157</v>
      </c>
      <c r="P911" s="360">
        <v>1.3216205669478516</v>
      </c>
      <c r="Q911" s="360">
        <v>1168.6840409671481</v>
      </c>
      <c r="R911" s="360">
        <v>4964.5707032721621</v>
      </c>
      <c r="S911" s="360">
        <v>0.25293052121060772</v>
      </c>
      <c r="T911" s="360">
        <v>1.8256823306776642</v>
      </c>
      <c r="U911" s="360">
        <v>2.0491472906173622</v>
      </c>
      <c r="V911" s="360">
        <v>0.39834616346800245</v>
      </c>
      <c r="W911" s="360">
        <v>1.3216237342017376</v>
      </c>
      <c r="X911" s="360">
        <v>2541.8572494945765</v>
      </c>
      <c r="Y911" s="360">
        <v>0.35233355432787195</v>
      </c>
      <c r="Z911" s="360">
        <v>1.2531996200996607</v>
      </c>
      <c r="AA911" s="360">
        <v>3404.8753668985296</v>
      </c>
      <c r="AB911" s="360">
        <v>0.30968396523753344</v>
      </c>
      <c r="AC911" s="360">
        <v>1.5010293045926684</v>
      </c>
      <c r="AD911" s="360">
        <v>1.3731768061331575</v>
      </c>
      <c r="AE911" s="360">
        <v>0.39189458678185551</v>
      </c>
      <c r="AF911" s="360">
        <v>1.2531999453356997</v>
      </c>
      <c r="AG911" s="360">
        <v>1115.5655882241961</v>
      </c>
      <c r="AH911" s="360">
        <v>5995.4732765201397</v>
      </c>
      <c r="AI911" s="360">
        <v>0.25205172002678256</v>
      </c>
      <c r="AJ911" s="360">
        <v>1.8385872620809367</v>
      </c>
      <c r="AK911" s="360">
        <v>2.1365310551796859</v>
      </c>
      <c r="AL911" s="360">
        <v>0.42498991306367129</v>
      </c>
      <c r="AM911" s="360">
        <v>1.2532001722476833</v>
      </c>
      <c r="AN911" s="360">
        <v>2632.7732436182941</v>
      </c>
      <c r="AO911" s="360">
        <f t="shared" si="39"/>
        <v>1</v>
      </c>
      <c r="AP911" s="360">
        <f t="shared" si="40"/>
        <v>1</v>
      </c>
      <c r="AQ911" s="360">
        <f t="shared" si="41"/>
        <v>1</v>
      </c>
    </row>
    <row r="912" spans="1:43">
      <c r="A912" s="360" t="s">
        <v>1083</v>
      </c>
      <c r="B912" t="s">
        <v>1074</v>
      </c>
      <c r="C912">
        <v>2</v>
      </c>
      <c r="D912" t="s">
        <v>1080</v>
      </c>
      <c r="E912" t="s">
        <v>1079</v>
      </c>
      <c r="F912" s="360">
        <v>13</v>
      </c>
      <c r="G912" s="360" t="str">
        <f>CONCATENATE(A912," ",B912," ",C912," ","inf+"," ",FanUpsizes!D912," ",FanUpsizes!F912)</f>
        <v>3ACH Infiltration 2 inf+ Existing 13</v>
      </c>
      <c r="H912" s="360">
        <v>4.2359617798250385E-2</v>
      </c>
      <c r="I912" s="360">
        <v>0.33523477734372709</v>
      </c>
      <c r="J912" s="360">
        <v>1.3216205590129577</v>
      </c>
      <c r="K912" s="360">
        <v>0</v>
      </c>
      <c r="L912" s="360">
        <v>0.33523477734372709</v>
      </c>
      <c r="M912" s="360">
        <v>1.3216205590129577</v>
      </c>
      <c r="N912" s="360">
        <v>1</v>
      </c>
      <c r="O912" s="360">
        <v>0.33523477734372709</v>
      </c>
      <c r="P912" s="360">
        <v>1.3216205590129577</v>
      </c>
      <c r="Q912" s="360">
        <v>0</v>
      </c>
      <c r="R912" s="360">
        <v>78.772392084392067</v>
      </c>
      <c r="S912" s="360">
        <v>0.33452096649354274</v>
      </c>
      <c r="T912" s="360">
        <v>1.3240773562740984</v>
      </c>
      <c r="U912" s="360">
        <v>1.002455049367414</v>
      </c>
      <c r="V912" s="360">
        <v>0.33511729890977626</v>
      </c>
      <c r="W912" s="360">
        <v>1.321620575883131</v>
      </c>
      <c r="X912" s="360">
        <v>57.527523314737799</v>
      </c>
      <c r="Y912" s="360">
        <v>0.35233355432787195</v>
      </c>
      <c r="Z912" s="360">
        <v>1.2531996200996607</v>
      </c>
      <c r="AA912" s="360">
        <v>0</v>
      </c>
      <c r="AB912" s="360">
        <v>0.35233355432787195</v>
      </c>
      <c r="AC912" s="360">
        <v>1.2531996200996607</v>
      </c>
      <c r="AD912" s="360">
        <v>1</v>
      </c>
      <c r="AE912" s="360">
        <v>0.35233355432787195</v>
      </c>
      <c r="AF912" s="360">
        <v>1.2531996200996607</v>
      </c>
      <c r="AG912" s="360">
        <v>0</v>
      </c>
      <c r="AH912" s="360">
        <v>109.08338025727591</v>
      </c>
      <c r="AI912" s="360">
        <v>0.35134205224249959</v>
      </c>
      <c r="AJ912" s="360">
        <v>1.2568672527266984</v>
      </c>
      <c r="AK912" s="360">
        <v>1.0036427449500538</v>
      </c>
      <c r="AL912" s="360">
        <v>0.35235480816470405</v>
      </c>
      <c r="AM912" s="360">
        <v>1.2532005168825435</v>
      </c>
      <c r="AN912" s="360">
        <v>69.271668364521034</v>
      </c>
      <c r="AO912" s="360">
        <f t="shared" si="39"/>
        <v>1</v>
      </c>
      <c r="AP912" s="360">
        <f t="shared" si="40"/>
        <v>0</v>
      </c>
      <c r="AQ912" s="360">
        <f t="shared" si="41"/>
        <v>0</v>
      </c>
    </row>
    <row r="913" spans="1:43">
      <c r="A913" s="360" t="s">
        <v>1083</v>
      </c>
      <c r="B913" t="s">
        <v>1076</v>
      </c>
      <c r="C913">
        <v>2</v>
      </c>
      <c r="D913" t="s">
        <v>1080</v>
      </c>
      <c r="E913" t="s">
        <v>1079</v>
      </c>
      <c r="F913" s="360">
        <v>13</v>
      </c>
      <c r="G913" s="360" t="str">
        <f>CONCATENATE(A913," ",B913," ",C913," ","inf+"," ",FanUpsizes!D913," ",FanUpsizes!F913)</f>
        <v>3ACH 5C 2 inf+ Existing 13</v>
      </c>
      <c r="H913" s="360">
        <v>4.2359617798250385E-2</v>
      </c>
      <c r="I913" s="360">
        <v>0.33523477734372709</v>
      </c>
      <c r="J913" s="360">
        <v>1.3216205590129577</v>
      </c>
      <c r="K913" s="360">
        <v>4959.8843329182173</v>
      </c>
      <c r="L913" s="360">
        <v>0.26532543874283754</v>
      </c>
      <c r="M913" s="360">
        <v>1.7992219309931738</v>
      </c>
      <c r="N913" s="360">
        <v>2.3049296825291909</v>
      </c>
      <c r="O913" s="360">
        <v>0.48573705544186535</v>
      </c>
      <c r="P913" s="360">
        <v>1.3216215072773134</v>
      </c>
      <c r="Q913" s="360">
        <v>1162.8750437670178</v>
      </c>
      <c r="R913" s="360">
        <v>4959.8843329182173</v>
      </c>
      <c r="S913" s="360">
        <v>0.26532543874283754</v>
      </c>
      <c r="T913" s="360">
        <v>1.7992219309931738</v>
      </c>
      <c r="U913" s="360">
        <v>2.3049296825291909</v>
      </c>
      <c r="V913" s="360">
        <v>0.48573705544186535</v>
      </c>
      <c r="W913" s="360">
        <v>1.3216215072773134</v>
      </c>
      <c r="X913" s="360">
        <v>1162.8750437670178</v>
      </c>
      <c r="Y913" s="360">
        <v>0.35233355432787195</v>
      </c>
      <c r="Z913" s="360">
        <v>1.2531996200996607</v>
      </c>
      <c r="AA913" s="360">
        <v>5602.6339946118542</v>
      </c>
      <c r="AB913" s="360">
        <v>0.27287882625364485</v>
      </c>
      <c r="AC913" s="360">
        <v>1.7626480302660048</v>
      </c>
      <c r="AD913" s="360">
        <v>2.7181483808262956</v>
      </c>
      <c r="AE913" s="360">
        <v>0.56558129264030643</v>
      </c>
      <c r="AF913" s="360">
        <v>1.2532005936558794</v>
      </c>
      <c r="AG913" s="360">
        <v>516.381902549041</v>
      </c>
      <c r="AH913" s="360">
        <v>5602.6339946118542</v>
      </c>
      <c r="AI913" s="360">
        <v>0.27287882625364485</v>
      </c>
      <c r="AJ913" s="360">
        <v>1.7626480302660048</v>
      </c>
      <c r="AK913" s="360">
        <v>2.7181483808262956</v>
      </c>
      <c r="AL913" s="360">
        <v>0.56558129264030643</v>
      </c>
      <c r="AM913" s="360">
        <v>1.2532005936558794</v>
      </c>
      <c r="AN913" s="360">
        <v>516.381902549041</v>
      </c>
      <c r="AO913" s="360">
        <f t="shared" si="39"/>
        <v>1</v>
      </c>
      <c r="AP913" s="360">
        <f t="shared" si="40"/>
        <v>1</v>
      </c>
      <c r="AQ913" s="360">
        <f t="shared" si="41"/>
        <v>1</v>
      </c>
    </row>
    <row r="914" spans="1:43">
      <c r="A914" s="360" t="s">
        <v>1084</v>
      </c>
      <c r="B914" t="s">
        <v>1075</v>
      </c>
      <c r="C914">
        <v>1</v>
      </c>
      <c r="D914" t="s">
        <v>1078</v>
      </c>
      <c r="E914" t="s">
        <v>1079</v>
      </c>
      <c r="F914" s="360">
        <v>13</v>
      </c>
      <c r="G914" s="360" t="str">
        <f>CONCATENATE(A914," ",B914," ",C914," ","inf+"," ",FanUpsizes!D914," ",FanUpsizes!F914)</f>
        <v>1.5ACH Percentile 1 inf+ New 13</v>
      </c>
      <c r="H914" s="360">
        <v>3.6764325747997616E-2</v>
      </c>
      <c r="I914" s="360">
        <v>0.27151648745433926</v>
      </c>
      <c r="J914" s="360">
        <v>1.1760810720612234</v>
      </c>
      <c r="K914" s="360">
        <v>3811.0613650296232</v>
      </c>
      <c r="L914" s="360">
        <v>0.22374508774207205</v>
      </c>
      <c r="M914" s="360">
        <v>1.7477142299711654</v>
      </c>
      <c r="N914" s="360">
        <v>2.0936337638497182</v>
      </c>
      <c r="O914" s="360">
        <v>0.44916884910472238</v>
      </c>
      <c r="P914" s="360">
        <v>1.1760813475935032</v>
      </c>
      <c r="Q914" s="360">
        <v>-2573.2332902491894</v>
      </c>
      <c r="R914" s="360">
        <v>6459.2341995866482</v>
      </c>
      <c r="S914" s="360">
        <v>0.16532951565383963</v>
      </c>
      <c r="T914" s="360">
        <v>2.3167749929666916</v>
      </c>
      <c r="U914" s="360">
        <v>3.4652426900878353</v>
      </c>
      <c r="V914" s="360">
        <v>0.52155224437484193</v>
      </c>
      <c r="W914" s="360">
        <v>1.1760811615723201</v>
      </c>
      <c r="X914" s="360">
        <v>-992.85353361538625</v>
      </c>
      <c r="Y914" s="360">
        <v>0.27830929701852775</v>
      </c>
      <c r="Z914" s="360">
        <v>1.1476687616078798</v>
      </c>
      <c r="AA914" s="360">
        <v>3999.7083999446199</v>
      </c>
      <c r="AB914" s="360">
        <v>0.22823157418519199</v>
      </c>
      <c r="AC914" s="360">
        <v>1.7238619646326931</v>
      </c>
      <c r="AD914" s="360">
        <v>2.199224651285741</v>
      </c>
      <c r="AE914" s="360">
        <v>0.47310020579211792</v>
      </c>
      <c r="AF914" s="360">
        <v>1.1476688943563418</v>
      </c>
      <c r="AG914" s="360">
        <v>-2920.4190422483666</v>
      </c>
      <c r="AH914" s="360">
        <v>6627.9339411134952</v>
      </c>
      <c r="AI914" s="360">
        <v>0.17034143374564778</v>
      </c>
      <c r="AJ914" s="360">
        <v>2.2472062261149439</v>
      </c>
      <c r="AK914" s="360">
        <v>3.6369789824000609</v>
      </c>
      <c r="AL914" s="360">
        <v>0.54873758155938801</v>
      </c>
      <c r="AM914" s="360">
        <v>1.1476688229044538</v>
      </c>
      <c r="AN914" s="360">
        <v>-1264.9486370882064</v>
      </c>
      <c r="AO914" s="360">
        <f t="shared" si="39"/>
        <v>1</v>
      </c>
      <c r="AP914" s="360">
        <f t="shared" si="40"/>
        <v>1</v>
      </c>
      <c r="AQ914" s="360">
        <f t="shared" si="41"/>
        <v>1</v>
      </c>
    </row>
    <row r="915" spans="1:43">
      <c r="A915" s="360" t="s">
        <v>1084</v>
      </c>
      <c r="B915" t="s">
        <v>1074</v>
      </c>
      <c r="C915">
        <v>1</v>
      </c>
      <c r="D915" t="s">
        <v>1078</v>
      </c>
      <c r="E915" t="s">
        <v>1079</v>
      </c>
      <c r="F915" s="360">
        <v>13</v>
      </c>
      <c r="G915" s="360" t="str">
        <f>CONCATENATE(A915," ",B915," ",C915," ","inf+"," ",FanUpsizes!D915," ",FanUpsizes!F915)</f>
        <v>1.5ACH Infiltration 1 inf+ New 13</v>
      </c>
      <c r="H915" s="360">
        <v>3.6764325747997616E-2</v>
      </c>
      <c r="I915" s="360">
        <v>0.27151648745433926</v>
      </c>
      <c r="J915" s="360">
        <v>1.1760810720612234</v>
      </c>
      <c r="K915" s="360">
        <v>0</v>
      </c>
      <c r="L915" s="360">
        <v>0.27151648745433926</v>
      </c>
      <c r="M915" s="360">
        <v>1.1760810720612234</v>
      </c>
      <c r="N915" s="360">
        <v>1</v>
      </c>
      <c r="O915" s="360">
        <v>0.27151648745433926</v>
      </c>
      <c r="P915" s="360">
        <v>1.1760810720612234</v>
      </c>
      <c r="Q915" s="360">
        <v>0</v>
      </c>
      <c r="R915" s="360">
        <v>0</v>
      </c>
      <c r="S915" s="360">
        <v>0.27151648745433926</v>
      </c>
      <c r="T915" s="360">
        <v>1.1760810720612234</v>
      </c>
      <c r="U915" s="360">
        <v>1</v>
      </c>
      <c r="V915" s="360">
        <v>0.27151648745433926</v>
      </c>
      <c r="W915" s="360">
        <v>1.1760810720612234</v>
      </c>
      <c r="X915" s="360">
        <v>0</v>
      </c>
      <c r="Y915" s="360">
        <v>0.27830929701852775</v>
      </c>
      <c r="Z915" s="360">
        <v>1.1476687616078798</v>
      </c>
      <c r="AA915" s="360">
        <v>0</v>
      </c>
      <c r="AB915" s="360">
        <v>0.27830929701852775</v>
      </c>
      <c r="AC915" s="360">
        <v>1.1476687616078798</v>
      </c>
      <c r="AD915" s="360">
        <v>1</v>
      </c>
      <c r="AE915" s="360">
        <v>0.27830929701852775</v>
      </c>
      <c r="AF915" s="360">
        <v>1.1476687616078798</v>
      </c>
      <c r="AG915" s="360">
        <v>0</v>
      </c>
      <c r="AH915" s="360">
        <v>0</v>
      </c>
      <c r="AI915" s="360">
        <v>0.27830929701852775</v>
      </c>
      <c r="AJ915" s="360">
        <v>1.1476687616078798</v>
      </c>
      <c r="AK915" s="360">
        <v>1</v>
      </c>
      <c r="AL915" s="360">
        <v>0.27830929701852775</v>
      </c>
      <c r="AM915" s="360">
        <v>1.1476687616078798</v>
      </c>
      <c r="AN915" s="360">
        <v>0</v>
      </c>
      <c r="AO915" s="360">
        <f t="shared" si="39"/>
        <v>1</v>
      </c>
      <c r="AP915" s="360">
        <f t="shared" si="40"/>
        <v>0</v>
      </c>
      <c r="AQ915" s="360">
        <f t="shared" si="41"/>
        <v>0</v>
      </c>
    </row>
    <row r="916" spans="1:43">
      <c r="A916" s="360" t="s">
        <v>1084</v>
      </c>
      <c r="B916" t="s">
        <v>1076</v>
      </c>
      <c r="C916">
        <v>1</v>
      </c>
      <c r="D916" t="s">
        <v>1078</v>
      </c>
      <c r="E916" t="s">
        <v>1079</v>
      </c>
      <c r="F916" s="360">
        <v>13</v>
      </c>
      <c r="G916" s="360" t="str">
        <f>CONCATENATE(A916," ",B916," ",C916," ","inf+"," ",FanUpsizes!D916," ",FanUpsizes!F916)</f>
        <v>1.5ACH 5C 1 inf+ New 13</v>
      </c>
      <c r="H916" s="360">
        <v>3.6764325747997616E-2</v>
      </c>
      <c r="I916" s="360">
        <v>0.27151648745433926</v>
      </c>
      <c r="J916" s="360">
        <v>1.1760810720612234</v>
      </c>
      <c r="K916" s="360">
        <v>6220.3882498118492</v>
      </c>
      <c r="L916" s="360">
        <v>0.18331601673113193</v>
      </c>
      <c r="M916" s="360">
        <v>2.396798122693852</v>
      </c>
      <c r="N916" s="360">
        <v>10.880112496603754</v>
      </c>
      <c r="O916" s="360">
        <v>1.6981116638073375</v>
      </c>
      <c r="P916" s="360">
        <v>1.5237773223017097</v>
      </c>
      <c r="Q916" s="360">
        <v>-20365.889574384833</v>
      </c>
      <c r="R916" s="360">
        <v>6220.3882498118492</v>
      </c>
      <c r="S916" s="360">
        <v>0.18331601673113193</v>
      </c>
      <c r="T916" s="360">
        <v>2.396798122693852</v>
      </c>
      <c r="U916" s="360">
        <v>10.880112496603754</v>
      </c>
      <c r="V916" s="360">
        <v>1.6981116638073375</v>
      </c>
      <c r="W916" s="360">
        <v>1.5237773223017097</v>
      </c>
      <c r="X916" s="360">
        <v>-20365.889574384833</v>
      </c>
      <c r="Y916" s="360">
        <v>0.27830929701852775</v>
      </c>
      <c r="Z916" s="360">
        <v>1.1476687616078798</v>
      </c>
      <c r="AA916" s="360">
        <v>6501.5456972343945</v>
      </c>
      <c r="AB916" s="360">
        <v>0.18625633634696387</v>
      </c>
      <c r="AC916" s="360">
        <v>2.3779205882515173</v>
      </c>
      <c r="AD916" s="360">
        <v>10.880112496603754</v>
      </c>
      <c r="AE916" s="360">
        <v>1.6984020444778318</v>
      </c>
      <c r="AF916" s="360">
        <v>1.5237612614042744</v>
      </c>
      <c r="AG916" s="360">
        <v>-20026.255171289493</v>
      </c>
      <c r="AH916" s="360">
        <v>6501.5456972343945</v>
      </c>
      <c r="AI916" s="360">
        <v>0.18625633634696387</v>
      </c>
      <c r="AJ916" s="360">
        <v>2.3779205882515173</v>
      </c>
      <c r="AK916" s="360">
        <v>10.880112496603754</v>
      </c>
      <c r="AL916" s="360">
        <v>1.6984020444778318</v>
      </c>
      <c r="AM916" s="360">
        <v>1.5237612614042744</v>
      </c>
      <c r="AN916" s="360">
        <v>-20026.255171289493</v>
      </c>
      <c r="AO916" s="360">
        <f t="shared" si="39"/>
        <v>0</v>
      </c>
      <c r="AP916" s="360">
        <f t="shared" si="40"/>
        <v>1</v>
      </c>
      <c r="AQ916" s="360">
        <f t="shared" si="41"/>
        <v>1</v>
      </c>
    </row>
    <row r="917" spans="1:43">
      <c r="A917" s="360" t="s">
        <v>1084</v>
      </c>
      <c r="B917" t="s">
        <v>1075</v>
      </c>
      <c r="C917">
        <v>2</v>
      </c>
      <c r="D917" t="s">
        <v>1078</v>
      </c>
      <c r="E917" t="s">
        <v>1079</v>
      </c>
      <c r="F917" s="360">
        <v>13</v>
      </c>
      <c r="G917" s="360" t="str">
        <f>CONCATENATE(A917," ",B917," ",C917," ","inf+"," ",FanUpsizes!D917," ",FanUpsizes!F917)</f>
        <v>1.5ACH Percentile 2 inf+ New 13</v>
      </c>
      <c r="H917" s="360">
        <v>3.4687308899125191E-2</v>
      </c>
      <c r="I917" s="360">
        <v>0.25766838213619503</v>
      </c>
      <c r="J917" s="360">
        <v>1.2398817228202585</v>
      </c>
      <c r="K917" s="360">
        <v>3107.1922634937828</v>
      </c>
      <c r="L917" s="360">
        <v>0.21866196868957305</v>
      </c>
      <c r="M917" s="360">
        <v>1.654213353211847</v>
      </c>
      <c r="N917" s="360">
        <v>1.6221608436072692</v>
      </c>
      <c r="O917" s="360">
        <v>0.33833757345247267</v>
      </c>
      <c r="P917" s="360">
        <v>1.2398822261753673</v>
      </c>
      <c r="Q917" s="360">
        <v>-268.74077672907657</v>
      </c>
      <c r="R917" s="360">
        <v>5355.343824456183</v>
      </c>
      <c r="S917" s="360">
        <v>0.1683851707951072</v>
      </c>
      <c r="T917" s="360">
        <v>2.1239342041208347</v>
      </c>
      <c r="U917" s="360">
        <v>2.6359742289319885</v>
      </c>
      <c r="V917" s="360">
        <v>0.38472979271214591</v>
      </c>
      <c r="W917" s="360">
        <v>1.2398854524343279</v>
      </c>
      <c r="X917" s="360">
        <v>1018.1203455645992</v>
      </c>
      <c r="Y917" s="360">
        <v>0.26885087355679804</v>
      </c>
      <c r="Z917" s="360">
        <v>1.1889096529917478</v>
      </c>
      <c r="AA917" s="360">
        <v>3431.7166927235448</v>
      </c>
      <c r="AB917" s="360">
        <v>0.22587242317358816</v>
      </c>
      <c r="AC917" s="360">
        <v>1.6149392377713341</v>
      </c>
      <c r="AD917" s="360">
        <v>1.7238217362774915</v>
      </c>
      <c r="AE917" s="360">
        <v>0.3632166089693693</v>
      </c>
      <c r="AF917" s="360">
        <v>1.1889105219831839</v>
      </c>
      <c r="AG917" s="360">
        <v>-436.82981477885664</v>
      </c>
      <c r="AH917" s="360">
        <v>5806.9208578972321</v>
      </c>
      <c r="AI917" s="360">
        <v>0.17340261026310463</v>
      </c>
      <c r="AJ917" s="360">
        <v>2.0680749636772822</v>
      </c>
      <c r="AK917" s="360">
        <v>2.7923040189629584</v>
      </c>
      <c r="AL917" s="360">
        <v>0.41127369572275735</v>
      </c>
      <c r="AM917" s="360">
        <v>1.1889096920957689</v>
      </c>
      <c r="AN917" s="360">
        <v>930.26839941789592</v>
      </c>
      <c r="AO917" s="360">
        <f t="shared" si="39"/>
        <v>1</v>
      </c>
      <c r="AP917" s="360">
        <f t="shared" si="40"/>
        <v>1</v>
      </c>
      <c r="AQ917" s="360">
        <f t="shared" si="41"/>
        <v>1</v>
      </c>
    </row>
    <row r="918" spans="1:43">
      <c r="A918" s="360" t="s">
        <v>1084</v>
      </c>
      <c r="B918" t="s">
        <v>1074</v>
      </c>
      <c r="C918">
        <v>2</v>
      </c>
      <c r="D918" t="s">
        <v>1078</v>
      </c>
      <c r="E918" t="s">
        <v>1079</v>
      </c>
      <c r="F918" s="360">
        <v>13</v>
      </c>
      <c r="G918" s="360" t="str">
        <f>CONCATENATE(A918," ",B918," ",C918," ","inf+"," ",FanUpsizes!D918," ",FanUpsizes!F918)</f>
        <v>1.5ACH Infiltration 2 inf+ New 13</v>
      </c>
      <c r="H918" s="360">
        <v>3.4687308899125191E-2</v>
      </c>
      <c r="I918" s="360">
        <v>0.25766838213619503</v>
      </c>
      <c r="J918" s="360">
        <v>1.2398817228202585</v>
      </c>
      <c r="K918" s="360">
        <v>0</v>
      </c>
      <c r="L918" s="360">
        <v>0.25766838213619503</v>
      </c>
      <c r="M918" s="360">
        <v>1.2398817228202585</v>
      </c>
      <c r="N918" s="360">
        <v>1</v>
      </c>
      <c r="O918" s="360">
        <v>0.25766838213619503</v>
      </c>
      <c r="P918" s="360">
        <v>1.2398817228202585</v>
      </c>
      <c r="Q918" s="360">
        <v>0</v>
      </c>
      <c r="R918" s="360">
        <v>0</v>
      </c>
      <c r="S918" s="360">
        <v>0.25766838213619503</v>
      </c>
      <c r="T918" s="360">
        <v>1.2398817228202585</v>
      </c>
      <c r="U918" s="360">
        <v>1</v>
      </c>
      <c r="V918" s="360">
        <v>0.25766838213619503</v>
      </c>
      <c r="W918" s="360">
        <v>1.2398817228202585</v>
      </c>
      <c r="X918" s="360">
        <v>0</v>
      </c>
      <c r="Y918" s="360">
        <v>0.26885087355679804</v>
      </c>
      <c r="Z918" s="360">
        <v>1.1889096529917478</v>
      </c>
      <c r="AA918" s="360">
        <v>0</v>
      </c>
      <c r="AB918" s="360">
        <v>0.26885087355679804</v>
      </c>
      <c r="AC918" s="360">
        <v>1.1889096529917478</v>
      </c>
      <c r="AD918" s="360">
        <v>1</v>
      </c>
      <c r="AE918" s="360">
        <v>0.26885087355679804</v>
      </c>
      <c r="AF918" s="360">
        <v>1.1889096529917478</v>
      </c>
      <c r="AG918" s="360">
        <v>0</v>
      </c>
      <c r="AH918" s="360">
        <v>0</v>
      </c>
      <c r="AI918" s="360">
        <v>0.26885087355679804</v>
      </c>
      <c r="AJ918" s="360">
        <v>1.1889096529917478</v>
      </c>
      <c r="AK918" s="360">
        <v>1</v>
      </c>
      <c r="AL918" s="360">
        <v>0.26885087355679804</v>
      </c>
      <c r="AM918" s="360">
        <v>1.1889096529917478</v>
      </c>
      <c r="AN918" s="360">
        <v>0</v>
      </c>
      <c r="AO918" s="360">
        <f t="shared" si="39"/>
        <v>1</v>
      </c>
      <c r="AP918" s="360">
        <f t="shared" si="40"/>
        <v>0</v>
      </c>
      <c r="AQ918" s="360">
        <f t="shared" si="41"/>
        <v>0</v>
      </c>
    </row>
    <row r="919" spans="1:43">
      <c r="A919" s="360" t="s">
        <v>1084</v>
      </c>
      <c r="B919" t="s">
        <v>1076</v>
      </c>
      <c r="C919">
        <v>2</v>
      </c>
      <c r="D919" t="s">
        <v>1078</v>
      </c>
      <c r="E919" t="s">
        <v>1079</v>
      </c>
      <c r="F919" s="360">
        <v>13</v>
      </c>
      <c r="G919" s="360" t="str">
        <f>CONCATENATE(A919," ",B919," ",C919," ","inf+"," ",FanUpsizes!D919," ",FanUpsizes!F919)</f>
        <v>1.5ACH 5C 2 inf+ New 13</v>
      </c>
      <c r="H919" s="360">
        <v>3.4687308899125191E-2</v>
      </c>
      <c r="I919" s="360">
        <v>0.25766838213619503</v>
      </c>
      <c r="J919" s="360">
        <v>1.2398817228202585</v>
      </c>
      <c r="K919" s="360">
        <v>5124.5396434711611</v>
      </c>
      <c r="L919" s="360">
        <v>0.18482808779359289</v>
      </c>
      <c r="M919" s="360">
        <v>2.105644884959216</v>
      </c>
      <c r="N919" s="360">
        <v>11.531595061561204</v>
      </c>
      <c r="O919" s="360">
        <v>1.7073011158668616</v>
      </c>
      <c r="P919" s="360">
        <v>1.2457882374869096</v>
      </c>
      <c r="Q919" s="360">
        <v>-21584.060319415523</v>
      </c>
      <c r="R919" s="360">
        <v>5124.5396434711611</v>
      </c>
      <c r="S919" s="360">
        <v>0.18482808779359289</v>
      </c>
      <c r="T919" s="360">
        <v>2.105644884959216</v>
      </c>
      <c r="U919" s="360">
        <v>11.531595061561204</v>
      </c>
      <c r="V919" s="360">
        <v>1.7073011158668616</v>
      </c>
      <c r="W919" s="360">
        <v>1.2457882374869096</v>
      </c>
      <c r="X919" s="360">
        <v>-21584.060319415523</v>
      </c>
      <c r="Y919" s="360">
        <v>0.26885087355679804</v>
      </c>
      <c r="Z919" s="360">
        <v>1.1889096529917478</v>
      </c>
      <c r="AA919" s="360">
        <v>5595.1887329787323</v>
      </c>
      <c r="AB919" s="360">
        <v>0.18958947141748911</v>
      </c>
      <c r="AC919" s="360">
        <v>2.0761694845022407</v>
      </c>
      <c r="AD919" s="360">
        <v>11.531595061561204</v>
      </c>
      <c r="AE919" s="360">
        <v>1.7078374128255718</v>
      </c>
      <c r="AF919" s="360">
        <v>1.2457605952459205</v>
      </c>
      <c r="AG919" s="360">
        <v>-21027.266148606897</v>
      </c>
      <c r="AH919" s="360">
        <v>5595.1887329787323</v>
      </c>
      <c r="AI919" s="360">
        <v>0.18958947141748911</v>
      </c>
      <c r="AJ919" s="360">
        <v>2.0761694845022407</v>
      </c>
      <c r="AK919" s="360">
        <v>11.531595061561204</v>
      </c>
      <c r="AL919" s="360">
        <v>1.7078374128255718</v>
      </c>
      <c r="AM919" s="360">
        <v>1.2457605952459205</v>
      </c>
      <c r="AN919" s="360">
        <v>-21027.266148606897</v>
      </c>
      <c r="AO919" s="360">
        <f t="shared" si="39"/>
        <v>0</v>
      </c>
      <c r="AP919" s="360">
        <f t="shared" si="40"/>
        <v>1</v>
      </c>
      <c r="AQ919" s="360">
        <f t="shared" si="41"/>
        <v>1</v>
      </c>
    </row>
    <row r="920" spans="1:43">
      <c r="A920" s="360" t="s">
        <v>1084</v>
      </c>
      <c r="B920" t="s">
        <v>1075</v>
      </c>
      <c r="C920">
        <v>1</v>
      </c>
      <c r="D920" t="s">
        <v>1080</v>
      </c>
      <c r="E920" t="s">
        <v>1079</v>
      </c>
      <c r="F920" s="360">
        <v>13</v>
      </c>
      <c r="G920" s="360" t="str">
        <f>CONCATENATE(A920," ",B920," ",C920," ","inf+"," ",FanUpsizes!D920," ",FanUpsizes!F920)</f>
        <v>1.5ACH Percentile 1 inf+ Existing 13</v>
      </c>
      <c r="H920" s="360">
        <v>5.3014325747997616E-2</v>
      </c>
      <c r="I920" s="360">
        <v>0.39131631793228611</v>
      </c>
      <c r="J920" s="360">
        <v>1.1225066207102523</v>
      </c>
      <c r="K920" s="360">
        <v>6112.3827814299557</v>
      </c>
      <c r="L920" s="360">
        <v>0.31478153098894518</v>
      </c>
      <c r="M920" s="360">
        <v>1.9476446003456267</v>
      </c>
      <c r="N920" s="360">
        <v>4.3030395293737369</v>
      </c>
      <c r="O920" s="360">
        <v>1.2972200865025667</v>
      </c>
      <c r="P920" s="360">
        <v>1.1225066504772792</v>
      </c>
      <c r="Q920" s="360">
        <v>-21722.605014542783</v>
      </c>
      <c r="R920" s="360">
        <v>10071.327035021535</v>
      </c>
      <c r="S920" s="360">
        <v>0.22783398286284856</v>
      </c>
      <c r="T920" s="360">
        <v>2.5684667580730469</v>
      </c>
      <c r="U920" s="360">
        <v>7.1896420818615123</v>
      </c>
      <c r="V920" s="360">
        <v>1.5258924686176729</v>
      </c>
      <c r="W920" s="360">
        <v>1.1225066772721182</v>
      </c>
      <c r="X920" s="360">
        <v>-17336.825831156955</v>
      </c>
      <c r="Y920" s="360">
        <v>0.39616911925295767</v>
      </c>
      <c r="Z920" s="360">
        <v>1.1088500197907487</v>
      </c>
      <c r="AA920" s="360">
        <v>6244.6793561551622</v>
      </c>
      <c r="AB920" s="360">
        <v>0.31801716752306169</v>
      </c>
      <c r="AC920" s="360">
        <v>1.9356988560808863</v>
      </c>
      <c r="AD920" s="360">
        <v>4.5496108146300882</v>
      </c>
      <c r="AE920" s="360">
        <v>1.3712860823657975</v>
      </c>
      <c r="AF920" s="360">
        <v>1.1088500753319233</v>
      </c>
      <c r="AG920" s="360">
        <v>-23579.552941918817</v>
      </c>
      <c r="AH920" s="360">
        <v>10133.244821966746</v>
      </c>
      <c r="AI920" s="360">
        <v>0.23252977199607205</v>
      </c>
      <c r="AJ920" s="360">
        <v>2.5156106203983333</v>
      </c>
      <c r="AK920" s="360">
        <v>7.5451303842171047</v>
      </c>
      <c r="AL920" s="360">
        <v>1.6012256225325487</v>
      </c>
      <c r="AM920" s="360">
        <v>1.1104989447653342</v>
      </c>
      <c r="AN920" s="360">
        <v>-18696.833870523584</v>
      </c>
      <c r="AO920" s="360">
        <f t="shared" si="39"/>
        <v>1</v>
      </c>
      <c r="AP920" s="360">
        <f t="shared" si="40"/>
        <v>1</v>
      </c>
      <c r="AQ920" s="360">
        <f t="shared" si="41"/>
        <v>1</v>
      </c>
    </row>
    <row r="921" spans="1:43">
      <c r="A921" s="360" t="s">
        <v>1084</v>
      </c>
      <c r="B921" t="s">
        <v>1074</v>
      </c>
      <c r="C921">
        <v>1</v>
      </c>
      <c r="D921" t="s">
        <v>1080</v>
      </c>
      <c r="E921" t="s">
        <v>1079</v>
      </c>
      <c r="F921" s="360">
        <v>13</v>
      </c>
      <c r="G921" s="360" t="str">
        <f>CONCATENATE(A921," ",B921," ",C921," ","inf+"," ",FanUpsizes!D921," ",FanUpsizes!F921)</f>
        <v>1.5ACH Infiltration 1 inf+ Existing 13</v>
      </c>
      <c r="H921" s="360">
        <v>5.3014325747997616E-2</v>
      </c>
      <c r="I921" s="360">
        <v>0.39616911925295767</v>
      </c>
      <c r="J921" s="360">
        <v>1.1225066207102523</v>
      </c>
      <c r="K921" s="360">
        <v>0</v>
      </c>
      <c r="L921" s="360">
        <v>0.39131631793228611</v>
      </c>
      <c r="M921" s="360">
        <v>1.1225066207102523</v>
      </c>
      <c r="N921" s="360">
        <v>1</v>
      </c>
      <c r="O921" s="360">
        <v>0.39131631793228611</v>
      </c>
      <c r="P921" s="360">
        <v>1.1225066207102523</v>
      </c>
      <c r="Q921" s="360">
        <v>0</v>
      </c>
      <c r="R921" s="360">
        <v>0</v>
      </c>
      <c r="S921" s="360">
        <v>0.39131631793228611</v>
      </c>
      <c r="T921" s="360">
        <v>1.1225066207102523</v>
      </c>
      <c r="U921" s="360">
        <v>1</v>
      </c>
      <c r="V921" s="360">
        <v>0.39131631793228611</v>
      </c>
      <c r="W921" s="360">
        <v>1.1225066207102523</v>
      </c>
      <c r="X921" s="360">
        <v>0</v>
      </c>
      <c r="Y921" s="360">
        <v>0.39131631793228611</v>
      </c>
      <c r="Z921" s="360">
        <v>1.1225066207102523</v>
      </c>
      <c r="AA921" s="360">
        <v>0</v>
      </c>
      <c r="AB921" s="360">
        <v>0.39131631793228611</v>
      </c>
      <c r="AC921" s="360">
        <v>1.1225066207102523</v>
      </c>
      <c r="AD921" s="360">
        <v>1</v>
      </c>
      <c r="AE921" s="360">
        <v>0.39616911925295767</v>
      </c>
      <c r="AF921" s="360">
        <v>1.1088500197907487</v>
      </c>
      <c r="AG921" s="360">
        <v>0</v>
      </c>
      <c r="AH921" s="360">
        <v>0</v>
      </c>
      <c r="AI921" s="360">
        <v>0.39616911925295767</v>
      </c>
      <c r="AJ921" s="360">
        <v>1.1088500197907487</v>
      </c>
      <c r="AK921" s="360">
        <v>1</v>
      </c>
      <c r="AL921" s="360">
        <v>0.39616911925295767</v>
      </c>
      <c r="AM921" s="360">
        <v>1.1088500197907487</v>
      </c>
      <c r="AN921" s="360">
        <v>0</v>
      </c>
      <c r="AO921" s="360">
        <f t="shared" si="39"/>
        <v>1</v>
      </c>
      <c r="AP921" s="360">
        <f t="shared" si="40"/>
        <v>0</v>
      </c>
      <c r="AQ921" s="360">
        <f t="shared" si="41"/>
        <v>1</v>
      </c>
    </row>
    <row r="922" spans="1:43">
      <c r="A922" s="360" t="s">
        <v>1084</v>
      </c>
      <c r="B922" t="s">
        <v>1076</v>
      </c>
      <c r="C922">
        <v>1</v>
      </c>
      <c r="D922" t="s">
        <v>1080</v>
      </c>
      <c r="E922" t="s">
        <v>1079</v>
      </c>
      <c r="F922" s="360">
        <v>13</v>
      </c>
      <c r="G922" s="360" t="str">
        <f>CONCATENATE(A922," ",B922," ",C922," ","inf+"," ",FanUpsizes!D922," ",FanUpsizes!F922)</f>
        <v>1.5ACH 5C 1 inf+ Existing 13</v>
      </c>
      <c r="H922" s="360">
        <v>5.3014325747997616E-2</v>
      </c>
      <c r="I922" s="360">
        <v>0.39616911925295767</v>
      </c>
      <c r="J922" s="360">
        <v>1.1225066207102523</v>
      </c>
      <c r="K922" s="360">
        <v>9914.0661028535778</v>
      </c>
      <c r="L922" s="360">
        <v>0.25097387157498774</v>
      </c>
      <c r="M922" s="360">
        <v>2.906857706121682</v>
      </c>
      <c r="N922" s="360">
        <v>7.5451303842171047</v>
      </c>
      <c r="O922" s="360">
        <v>1.6981116638073375</v>
      </c>
      <c r="P922" s="360">
        <v>2.0955176581418336</v>
      </c>
      <c r="Q922" s="360">
        <v>-15487.278887653089</v>
      </c>
      <c r="R922" s="360">
        <v>9914.0661028535778</v>
      </c>
      <c r="S922" s="360">
        <v>0.25097387157498774</v>
      </c>
      <c r="T922" s="360">
        <v>2.906857706121682</v>
      </c>
      <c r="U922" s="360">
        <v>7.5451303842171047</v>
      </c>
      <c r="V922" s="360">
        <v>1.6981116638073375</v>
      </c>
      <c r="W922" s="360">
        <v>2.0955176581418336</v>
      </c>
      <c r="X922" s="360">
        <v>-15487.278887653089</v>
      </c>
      <c r="Y922" s="360">
        <v>0.39131631793228611</v>
      </c>
      <c r="Z922" s="360">
        <v>1.1225066207102523</v>
      </c>
      <c r="AA922" s="360">
        <v>-15487.278887653089</v>
      </c>
      <c r="AB922" s="360">
        <v>1.6981116638073375</v>
      </c>
      <c r="AC922" s="360">
        <v>2.0955176581418336</v>
      </c>
      <c r="AD922" s="360">
        <v>7.5451303842171047</v>
      </c>
      <c r="AE922" s="360">
        <v>1.6984020444778318</v>
      </c>
      <c r="AF922" s="360">
        <v>2.0954955649265359</v>
      </c>
      <c r="AG922" s="360">
        <v>-15247.203829103895</v>
      </c>
      <c r="AH922" s="360">
        <v>10112.052974137716</v>
      </c>
      <c r="AI922" s="360">
        <v>0.25311141549841759</v>
      </c>
      <c r="AJ922" s="360">
        <v>2.8970768183943023</v>
      </c>
      <c r="AK922" s="360">
        <v>7.5451303842171047</v>
      </c>
      <c r="AL922" s="360">
        <v>1.6984020444778318</v>
      </c>
      <c r="AM922" s="360">
        <v>2.0954955649265359</v>
      </c>
      <c r="AN922" s="360">
        <v>-15247.203829103895</v>
      </c>
      <c r="AO922" s="360">
        <f t="shared" si="39"/>
        <v>0</v>
      </c>
      <c r="AP922" s="360">
        <f t="shared" si="40"/>
        <v>1</v>
      </c>
      <c r="AQ922" s="360">
        <f t="shared" si="41"/>
        <v>1</v>
      </c>
    </row>
    <row r="923" spans="1:43">
      <c r="A923" s="360" t="s">
        <v>1084</v>
      </c>
      <c r="B923" t="s">
        <v>1075</v>
      </c>
      <c r="C923">
        <v>1</v>
      </c>
      <c r="D923" t="s">
        <v>1080</v>
      </c>
      <c r="E923" t="s">
        <v>1079</v>
      </c>
      <c r="F923" s="360">
        <v>13</v>
      </c>
      <c r="G923" s="360" t="str">
        <f>CONCATENATE(A923," ",B923," ",C923," ","inf+"," ",FanUpsizes!D923," ",FanUpsizes!F923)</f>
        <v>1.5ACH Percentile 1 inf+ Existing 13</v>
      </c>
      <c r="H923" s="360">
        <v>5.0937308899125192E-2</v>
      </c>
      <c r="I923" s="360">
        <v>0.39616911925295767</v>
      </c>
      <c r="J923" s="360">
        <v>1.1677095339026127</v>
      </c>
      <c r="K923" s="360">
        <v>5400.6282555672597</v>
      </c>
      <c r="L923" s="360">
        <v>0.30851075954909396</v>
      </c>
      <c r="M923" s="360">
        <v>1.8040485345761483</v>
      </c>
      <c r="N923" s="360">
        <v>2.4826321549728743</v>
      </c>
      <c r="O923" s="360">
        <v>0.73201035688512806</v>
      </c>
      <c r="P923" s="360">
        <v>1.1677098971911724</v>
      </c>
      <c r="Q923" s="360">
        <v>-6594.7822074589549</v>
      </c>
      <c r="R923" s="360">
        <v>9080.7416418197954</v>
      </c>
      <c r="S923" s="360">
        <v>0.22737465580776414</v>
      </c>
      <c r="T923" s="360">
        <v>2.3727987568362283</v>
      </c>
      <c r="U923" s="360">
        <v>4.1049612127680986</v>
      </c>
      <c r="V923" s="360">
        <v>0.8500898474648273</v>
      </c>
      <c r="W923" s="360">
        <v>1.1677097005664085</v>
      </c>
      <c r="X923" s="360">
        <v>-3980.1851063300041</v>
      </c>
      <c r="Y923" s="360">
        <v>0.37618399569876682</v>
      </c>
      <c r="Z923" s="360">
        <v>1.1677095339026127</v>
      </c>
      <c r="AA923" s="360">
        <v>-19731.334003608972</v>
      </c>
      <c r="AB923" s="360">
        <v>1.1956548172046788</v>
      </c>
      <c r="AC923" s="360">
        <v>0.99461153258331547</v>
      </c>
      <c r="AD923" s="360">
        <v>2.631494940559389</v>
      </c>
      <c r="AE923" s="360">
        <v>0.77691986677666991</v>
      </c>
      <c r="AF923" s="360">
        <v>1.1415766018335891</v>
      </c>
      <c r="AG923" s="360">
        <v>-7448.6116600226833</v>
      </c>
      <c r="AH923" s="360">
        <v>9285.7818364739032</v>
      </c>
      <c r="AI923" s="360">
        <v>0.23392855883207708</v>
      </c>
      <c r="AJ923" s="360">
        <v>2.3069141077332316</v>
      </c>
      <c r="AK923" s="360">
        <v>4.3486505961781718</v>
      </c>
      <c r="AL923" s="360">
        <v>0.90162899120367823</v>
      </c>
      <c r="AM923" s="360">
        <v>1.1415766334350008</v>
      </c>
      <c r="AN923" s="360">
        <v>-4682.2835627750937</v>
      </c>
      <c r="AO923" s="360">
        <f t="shared" si="39"/>
        <v>1</v>
      </c>
      <c r="AP923" s="360">
        <f t="shared" si="40"/>
        <v>1</v>
      </c>
      <c r="AQ923" s="360">
        <f t="shared" si="41"/>
        <v>1</v>
      </c>
    </row>
    <row r="924" spans="1:43">
      <c r="A924" s="360" t="s">
        <v>1084</v>
      </c>
      <c r="B924" t="s">
        <v>1074</v>
      </c>
      <c r="C924">
        <v>2</v>
      </c>
      <c r="D924" t="s">
        <v>1080</v>
      </c>
      <c r="E924" t="s">
        <v>1079</v>
      </c>
      <c r="F924" s="360">
        <v>13</v>
      </c>
      <c r="G924" s="360" t="str">
        <f>CONCATENATE(A924," ",B924," ",C924," ","inf+"," ",FanUpsizes!D924," ",FanUpsizes!F924)</f>
        <v>1.5ACH Infiltration 2 inf+ Existing 13</v>
      </c>
      <c r="H924" s="360">
        <v>5.0937308899125192E-2</v>
      </c>
      <c r="I924" s="360">
        <v>0.38489082890805282</v>
      </c>
      <c r="J924" s="360">
        <v>1.1677095339026127</v>
      </c>
      <c r="K924" s="360">
        <v>0</v>
      </c>
      <c r="L924" s="360">
        <v>0.37618399569876682</v>
      </c>
      <c r="M924" s="360">
        <v>1.1677095339026127</v>
      </c>
      <c r="N924" s="360">
        <v>1</v>
      </c>
      <c r="O924" s="360">
        <v>0.37618399569876682</v>
      </c>
      <c r="P924" s="360">
        <v>1.1677095339026127</v>
      </c>
      <c r="Q924" s="360">
        <v>0</v>
      </c>
      <c r="R924" s="360">
        <v>0</v>
      </c>
      <c r="S924" s="360">
        <v>0.37618399569876682</v>
      </c>
      <c r="T924" s="360">
        <v>1.1677095339026127</v>
      </c>
      <c r="U924" s="360">
        <v>1</v>
      </c>
      <c r="V924" s="360">
        <v>0.37618399569876682</v>
      </c>
      <c r="W924" s="360">
        <v>1.1677095339026127</v>
      </c>
      <c r="X924" s="360">
        <v>0</v>
      </c>
      <c r="Y924" s="360">
        <v>0.37618399569876682</v>
      </c>
      <c r="Z924" s="360">
        <v>1.1677095339026127</v>
      </c>
      <c r="AA924" s="360">
        <v>0</v>
      </c>
      <c r="AB924" s="360">
        <v>0.37618399569876682</v>
      </c>
      <c r="AC924" s="360">
        <v>1.1677095339026127</v>
      </c>
      <c r="AD924" s="360">
        <v>1</v>
      </c>
      <c r="AE924" s="360">
        <v>0.38489082890805282</v>
      </c>
      <c r="AF924" s="360">
        <v>1.1415765622581486</v>
      </c>
      <c r="AG924" s="360">
        <v>0</v>
      </c>
      <c r="AH924" s="360">
        <v>0</v>
      </c>
      <c r="AI924" s="360">
        <v>0.38489082890805282</v>
      </c>
      <c r="AJ924" s="360">
        <v>1.1415765622581486</v>
      </c>
      <c r="AK924" s="360">
        <v>1</v>
      </c>
      <c r="AL924" s="360">
        <v>0.38489082890805282</v>
      </c>
      <c r="AM924" s="360">
        <v>1.1415765622581486</v>
      </c>
      <c r="AN924" s="360">
        <v>0</v>
      </c>
      <c r="AO924" s="360">
        <f t="shared" si="39"/>
        <v>1</v>
      </c>
      <c r="AP924" s="360">
        <f t="shared" si="40"/>
        <v>0</v>
      </c>
      <c r="AQ924" s="360">
        <f t="shared" si="41"/>
        <v>1</v>
      </c>
    </row>
    <row r="925" spans="1:43">
      <c r="A925" s="360" t="s">
        <v>1084</v>
      </c>
      <c r="B925" t="s">
        <v>1076</v>
      </c>
      <c r="C925">
        <v>2</v>
      </c>
      <c r="D925" t="s">
        <v>1080</v>
      </c>
      <c r="E925" t="s">
        <v>1079</v>
      </c>
      <c r="F925" s="360">
        <v>13</v>
      </c>
      <c r="G925" s="360" t="str">
        <f>CONCATENATE(A925," ",B925," ",C925," ","inf+"," ",FanUpsizes!D925," ",FanUpsizes!F925)</f>
        <v>1.5ACH 5C 2 inf+ Existing 13</v>
      </c>
      <c r="H925" s="360">
        <v>5.0937308899125192E-2</v>
      </c>
      <c r="I925" s="360">
        <v>0.38489082890805282</v>
      </c>
      <c r="J925" s="360">
        <v>1.1677095339026127</v>
      </c>
      <c r="K925" s="360">
        <v>8787.7079772848065</v>
      </c>
      <c r="L925" s="360">
        <v>0.25166857282871075</v>
      </c>
      <c r="M925" s="360">
        <v>2.5057876331875795</v>
      </c>
      <c r="N925" s="360">
        <v>7.8527901973021139</v>
      </c>
      <c r="O925" s="360">
        <v>1.7073011158668616</v>
      </c>
      <c r="P925" s="360">
        <v>1.7132461391797225</v>
      </c>
      <c r="Q925" s="360">
        <v>-16758.720839617057</v>
      </c>
      <c r="R925" s="360">
        <v>8787.7079772848065</v>
      </c>
      <c r="S925" s="360">
        <v>0.25166857282871075</v>
      </c>
      <c r="T925" s="360">
        <v>2.5057876331875795</v>
      </c>
      <c r="U925" s="360">
        <v>7.8527901973021139</v>
      </c>
      <c r="V925" s="360">
        <v>1.7073011158668616</v>
      </c>
      <c r="W925" s="360">
        <v>1.7132461391797225</v>
      </c>
      <c r="X925" s="360">
        <v>-16758.720839617057</v>
      </c>
      <c r="Y925" s="360">
        <v>0.37618399569876682</v>
      </c>
      <c r="Z925" s="360">
        <v>1.1677095339026127</v>
      </c>
      <c r="AA925" s="360">
        <v>9136.3400468546788</v>
      </c>
      <c r="AB925" s="360">
        <v>1.7073011158668616</v>
      </c>
      <c r="AC925" s="360">
        <v>2.4886788282082497</v>
      </c>
      <c r="AD925" s="360">
        <v>7.8527901973021139</v>
      </c>
      <c r="AE925" s="360">
        <v>1.7078374128255718</v>
      </c>
      <c r="AF925" s="360">
        <v>1.7132081147420892</v>
      </c>
      <c r="AG925" s="360">
        <v>-16336.563516969352</v>
      </c>
      <c r="AH925" s="360">
        <v>9136.3400468546788</v>
      </c>
      <c r="AI925" s="360">
        <v>0.25558347256964437</v>
      </c>
      <c r="AJ925" s="360">
        <v>2.4886788282082497</v>
      </c>
      <c r="AK925" s="360">
        <v>7.8527901973021139</v>
      </c>
      <c r="AL925" s="360">
        <v>1.7078374128255718</v>
      </c>
      <c r="AM925" s="360">
        <v>1.7132081147420892</v>
      </c>
      <c r="AN925" s="360">
        <v>-16336.563516969352</v>
      </c>
      <c r="AO925" s="360">
        <f t="shared" si="39"/>
        <v>0</v>
      </c>
      <c r="AP925" s="360">
        <f t="shared" si="40"/>
        <v>1</v>
      </c>
      <c r="AQ925" s="360">
        <f t="shared" si="41"/>
        <v>1</v>
      </c>
    </row>
    <row r="926" spans="1:43">
      <c r="A926" s="360" t="s">
        <v>1084</v>
      </c>
      <c r="B926" t="s">
        <v>1075</v>
      </c>
      <c r="C926">
        <v>2</v>
      </c>
      <c r="D926" t="s">
        <v>1080</v>
      </c>
      <c r="E926" t="s">
        <v>1079</v>
      </c>
      <c r="F926" s="360">
        <v>13</v>
      </c>
      <c r="G926" s="360" t="str">
        <f>CONCATENATE(A926," ",B926," ",C926," ","inf+"," ",FanUpsizes!D926," ",FanUpsizes!F926)</f>
        <v>1.5ACH Percentile 2 inf+ Existing 13</v>
      </c>
      <c r="H926" s="360">
        <v>4.0664730299199044E-2</v>
      </c>
      <c r="I926" s="360">
        <v>0.38489082890805282</v>
      </c>
      <c r="J926" s="360">
        <v>1.0639159503315325</v>
      </c>
      <c r="K926" s="360">
        <v>5200.9693225408773</v>
      </c>
      <c r="L926" s="360">
        <v>0.23507885542495938</v>
      </c>
      <c r="M926" s="360">
        <v>2.2864148197206631</v>
      </c>
      <c r="N926" s="360">
        <v>9.8365339461719898</v>
      </c>
      <c r="O926" s="360">
        <v>2.2511691450027485</v>
      </c>
      <c r="P926" s="360">
        <v>1.2095557041455902</v>
      </c>
      <c r="Q926" s="360">
        <v>-51921.409528898344</v>
      </c>
      <c r="R926" s="360">
        <v>8263.5934392342115</v>
      </c>
      <c r="S926" s="360">
        <v>0.16788580432125058</v>
      </c>
      <c r="T926" s="360">
        <v>3.0281782057644144</v>
      </c>
      <c r="U926" s="360">
        <v>9.8365339461719898</v>
      </c>
      <c r="V926" s="360">
        <v>1.5900961441531272</v>
      </c>
      <c r="W926" s="360">
        <v>1.2916290672307811</v>
      </c>
      <c r="X926" s="360">
        <v>-21789.051832018704</v>
      </c>
      <c r="Y926" s="360">
        <v>0.30013947529910578</v>
      </c>
      <c r="Z926" s="360">
        <v>1.0639159503315325</v>
      </c>
      <c r="AA926" s="360">
        <v>-51921.409528898344</v>
      </c>
      <c r="AB926" s="360">
        <v>2.2511691450027485</v>
      </c>
      <c r="AC926" s="360">
        <v>1.2095557041455902</v>
      </c>
      <c r="AD926" s="360">
        <v>9.8365339461719898</v>
      </c>
      <c r="AE926" s="360">
        <v>2.251239146150712</v>
      </c>
      <c r="AF926" s="360">
        <v>1.2095520149603063</v>
      </c>
      <c r="AG926" s="360">
        <v>-51871.68756156235</v>
      </c>
      <c r="AH926" s="360">
        <v>8268.8747252243575</v>
      </c>
      <c r="AI926" s="360">
        <v>0.16902824414603621</v>
      </c>
      <c r="AJ926" s="360">
        <v>3.0065786631700684</v>
      </c>
      <c r="AK926" s="360">
        <v>9.8365339461719898</v>
      </c>
      <c r="AL926" s="360">
        <v>1.5902149679416582</v>
      </c>
      <c r="AM926" s="360">
        <v>1.2916010385307686</v>
      </c>
      <c r="AN926" s="360">
        <v>-21741.747017316022</v>
      </c>
      <c r="AO926" s="360">
        <f t="shared" si="39"/>
        <v>0</v>
      </c>
      <c r="AP926" s="360">
        <f t="shared" si="40"/>
        <v>1</v>
      </c>
      <c r="AQ926" s="360">
        <f t="shared" si="41"/>
        <v>1</v>
      </c>
    </row>
    <row r="927" spans="1:43">
      <c r="A927" s="360" t="s">
        <v>1085</v>
      </c>
      <c r="B927" t="s">
        <v>1074</v>
      </c>
      <c r="C927">
        <v>1</v>
      </c>
      <c r="D927" t="s">
        <v>1078</v>
      </c>
      <c r="E927" t="s">
        <v>1079</v>
      </c>
      <c r="F927" s="360">
        <v>13</v>
      </c>
      <c r="G927" s="360" t="str">
        <f>CONCATENATE(A927," ",B927," ",C927," ","inf+"," ",FanUpsizes!D927," ",FanUpsizes!F927)</f>
        <v>0.6ACH Infiltration 1 inf+ New 13</v>
      </c>
      <c r="H927" s="360">
        <v>4.0664730299199044E-2</v>
      </c>
      <c r="I927" s="360">
        <v>0.30116542367605348</v>
      </c>
      <c r="J927" s="360">
        <v>1.0639159503315325</v>
      </c>
      <c r="K927" s="360">
        <v>0</v>
      </c>
      <c r="L927" s="360">
        <v>0.30013947529910578</v>
      </c>
      <c r="M927" s="360">
        <v>1.0639159503315325</v>
      </c>
      <c r="N927" s="360">
        <v>1</v>
      </c>
      <c r="O927" s="360">
        <v>0.30013947529910578</v>
      </c>
      <c r="P927" s="360">
        <v>1.0639159503315325</v>
      </c>
      <c r="Q927" s="360">
        <v>0</v>
      </c>
      <c r="R927" s="360">
        <v>0</v>
      </c>
      <c r="S927" s="360">
        <v>0.30013947529910578</v>
      </c>
      <c r="T927" s="360">
        <v>1.0639159503315325</v>
      </c>
      <c r="U927" s="360">
        <v>1</v>
      </c>
      <c r="V927" s="360">
        <v>0.30013947529910578</v>
      </c>
      <c r="W927" s="360">
        <v>1.0639159503315325</v>
      </c>
      <c r="X927" s="360">
        <v>0</v>
      </c>
      <c r="Y927" s="360">
        <v>0.30013947529910578</v>
      </c>
      <c r="Z927" s="360">
        <v>1.0639159503315325</v>
      </c>
      <c r="AA927" s="360">
        <v>0</v>
      </c>
      <c r="AB927" s="360">
        <v>0.30013947529910578</v>
      </c>
      <c r="AC927" s="360">
        <v>1.0639159503315325</v>
      </c>
      <c r="AD927" s="360">
        <v>1</v>
      </c>
      <c r="AE927" s="360">
        <v>0.30116542367605348</v>
      </c>
      <c r="AF927" s="360">
        <v>1.0603008475773352</v>
      </c>
      <c r="AG927" s="360">
        <v>0</v>
      </c>
      <c r="AH927" s="360">
        <v>0</v>
      </c>
      <c r="AI927" s="360">
        <v>0.30116542367605348</v>
      </c>
      <c r="AJ927" s="360">
        <v>1.0603008475773352</v>
      </c>
      <c r="AK927" s="360">
        <v>1</v>
      </c>
      <c r="AL927" s="360">
        <v>0.30116542367605348</v>
      </c>
      <c r="AM927" s="360">
        <v>1.0603008475773352</v>
      </c>
      <c r="AN927" s="360">
        <v>0</v>
      </c>
      <c r="AO927" s="360">
        <f t="shared" si="39"/>
        <v>1</v>
      </c>
      <c r="AP927" s="360">
        <f t="shared" si="40"/>
        <v>0</v>
      </c>
      <c r="AQ927" s="360">
        <f t="shared" si="41"/>
        <v>1</v>
      </c>
    </row>
    <row r="928" spans="1:43">
      <c r="A928" s="360" t="s">
        <v>1085</v>
      </c>
      <c r="B928" t="s">
        <v>1076</v>
      </c>
      <c r="C928">
        <v>1</v>
      </c>
      <c r="D928" t="s">
        <v>1078</v>
      </c>
      <c r="E928" t="s">
        <v>1079</v>
      </c>
      <c r="F928" s="360">
        <v>13</v>
      </c>
      <c r="G928" s="360" t="str">
        <f>CONCATENATE(A928," ",B928," ",C928," ","inf+"," ",FanUpsizes!D928," ",FanUpsizes!F928)</f>
        <v>0.6ACH 5C 1 inf+ New 13</v>
      </c>
      <c r="H928" s="360">
        <v>4.0664730299199044E-2</v>
      </c>
      <c r="I928" s="360">
        <v>0.30116542367605348</v>
      </c>
      <c r="J928" s="360">
        <v>1.0639159503315325</v>
      </c>
      <c r="K928" s="360">
        <v>8390.3864817689937</v>
      </c>
      <c r="L928" s="360">
        <v>0.18153607770866362</v>
      </c>
      <c r="M928" s="360">
        <v>4.0087571692589616</v>
      </c>
      <c r="N928" s="360">
        <v>9.8365339461719898</v>
      </c>
      <c r="O928" s="360">
        <v>1.6802065888077755</v>
      </c>
      <c r="P928" s="360">
        <v>2.969578717369282</v>
      </c>
      <c r="Q928" s="360">
        <v>-17916.507789205054</v>
      </c>
      <c r="R928" s="360">
        <v>8390.3864817689937</v>
      </c>
      <c r="S928" s="360">
        <v>0.18153607770866362</v>
      </c>
      <c r="T928" s="360">
        <v>4.0087571692589616</v>
      </c>
      <c r="U928" s="360">
        <v>9.8365339461719898</v>
      </c>
      <c r="V928" s="360">
        <v>1.6802065888077755</v>
      </c>
      <c r="W928" s="360">
        <v>2.969578717369282</v>
      </c>
      <c r="X928" s="360">
        <v>-17916.507789205054</v>
      </c>
      <c r="Y928" s="360">
        <v>0.30013947529910578</v>
      </c>
      <c r="Z928" s="360">
        <v>1.0639159503315325</v>
      </c>
      <c r="AA928" s="360">
        <v>-17916.507789205054</v>
      </c>
      <c r="AB928" s="360">
        <v>1.6802065888077755</v>
      </c>
      <c r="AC928" s="360">
        <v>2.969578717369282</v>
      </c>
      <c r="AD928" s="360">
        <v>9.8365339461719898</v>
      </c>
      <c r="AE928" s="360">
        <v>1.6802530588265989</v>
      </c>
      <c r="AF928" s="360">
        <v>2.9695755210830179</v>
      </c>
      <c r="AG928" s="360">
        <v>-17865.377994491326</v>
      </c>
      <c r="AH928" s="360">
        <v>8431.9856330216899</v>
      </c>
      <c r="AI928" s="360">
        <v>0.18199157659243945</v>
      </c>
      <c r="AJ928" s="360">
        <v>4.0049680038736577</v>
      </c>
      <c r="AK928" s="360">
        <v>9.8365339461719898</v>
      </c>
      <c r="AL928" s="360">
        <v>1.6802530588265989</v>
      </c>
      <c r="AM928" s="360">
        <v>2.9695755210830179</v>
      </c>
      <c r="AN928" s="360">
        <v>-17865.377994491326</v>
      </c>
      <c r="AO928" s="360">
        <f t="shared" si="39"/>
        <v>0</v>
      </c>
      <c r="AP928" s="360">
        <f t="shared" si="40"/>
        <v>1</v>
      </c>
      <c r="AQ928" s="360">
        <f t="shared" si="41"/>
        <v>1</v>
      </c>
    </row>
    <row r="929" spans="1:43">
      <c r="A929" s="360" t="s">
        <v>1085</v>
      </c>
      <c r="B929" t="s">
        <v>1075</v>
      </c>
      <c r="C929">
        <v>1</v>
      </c>
      <c r="D929" t="s">
        <v>1078</v>
      </c>
      <c r="E929" t="s">
        <v>1079</v>
      </c>
      <c r="F929" s="360">
        <v>13</v>
      </c>
      <c r="G929" s="360" t="str">
        <f>CONCATENATE(A929," ",B929," ",C929," ","inf+"," ",FanUpsizes!D929," ",FanUpsizes!F929)</f>
        <v>0.6ACH Percentile 1 inf+ New 13</v>
      </c>
      <c r="H929" s="360">
        <v>3.9833923559650077E-2</v>
      </c>
      <c r="I929" s="360">
        <v>0.30116542367605348</v>
      </c>
      <c r="J929" s="360">
        <v>1.0860873170169785</v>
      </c>
      <c r="K929" s="360">
        <v>4916.1672890892723</v>
      </c>
      <c r="L929" s="360">
        <v>0.23249514452202635</v>
      </c>
      <c r="M929" s="360">
        <v>2.1074616719946979</v>
      </c>
      <c r="N929" s="360">
        <v>8.2721774331925708</v>
      </c>
      <c r="O929" s="360">
        <v>1.8577708902129855</v>
      </c>
      <c r="P929" s="360">
        <v>1.0860873193188914</v>
      </c>
      <c r="Q929" s="360">
        <v>-41133.100685256046</v>
      </c>
      <c r="R929" s="360">
        <v>7912.6815350501265</v>
      </c>
      <c r="S929" s="360">
        <v>0.1667454937191479</v>
      </c>
      <c r="T929" s="360">
        <v>2.8011453796760586</v>
      </c>
      <c r="U929" s="360">
        <v>10.041692212443303</v>
      </c>
      <c r="V929" s="360">
        <v>1.5921714110866518</v>
      </c>
      <c r="W929" s="360">
        <v>1.1408033778356053</v>
      </c>
      <c r="X929" s="360">
        <v>-22205.790922167533</v>
      </c>
      <c r="Y929" s="360">
        <v>0.29400978700729818</v>
      </c>
      <c r="Z929" s="360">
        <v>1.0860873170169785</v>
      </c>
      <c r="AA929" s="360">
        <v>-52338.14861904698</v>
      </c>
      <c r="AB929" s="360">
        <v>2.2532444119362895</v>
      </c>
      <c r="AC929" s="360">
        <v>1.063044768561574</v>
      </c>
      <c r="AD929" s="360">
        <v>8.7188243324105272</v>
      </c>
      <c r="AE929" s="360">
        <v>1.9577398191066431</v>
      </c>
      <c r="AF929" s="360">
        <v>1.079310655876877</v>
      </c>
      <c r="AG929" s="360">
        <v>-43874.22807624971</v>
      </c>
      <c r="AH929" s="360">
        <v>7923.3302771620429</v>
      </c>
      <c r="AI929" s="360">
        <v>0.16877034627225018</v>
      </c>
      <c r="AJ929" s="360">
        <v>2.7659392129158422</v>
      </c>
      <c r="AK929" s="360">
        <v>10.041692212443303</v>
      </c>
      <c r="AL929" s="360">
        <v>1.5923862647691993</v>
      </c>
      <c r="AM929" s="360">
        <v>1.1407570245043031</v>
      </c>
      <c r="AN929" s="360">
        <v>-22122.278446306002</v>
      </c>
      <c r="AO929" s="360">
        <f t="shared" si="39"/>
        <v>1</v>
      </c>
      <c r="AP929" s="360">
        <f t="shared" si="40"/>
        <v>1</v>
      </c>
      <c r="AQ929" s="360">
        <f t="shared" si="41"/>
        <v>1</v>
      </c>
    </row>
    <row r="930" spans="1:43">
      <c r="A930" s="360" t="s">
        <v>1085</v>
      </c>
      <c r="B930" t="s">
        <v>1074</v>
      </c>
      <c r="C930">
        <v>2</v>
      </c>
      <c r="D930" t="s">
        <v>1078</v>
      </c>
      <c r="E930" t="s">
        <v>1079</v>
      </c>
      <c r="F930" s="360">
        <v>13</v>
      </c>
      <c r="G930" s="360" t="str">
        <f>CONCATENATE(A930," ",B930," ",C930," ","inf+"," ",FanUpsizes!D930," ",FanUpsizes!F930)</f>
        <v>0.6ACH Infiltration 2 inf+ New 13</v>
      </c>
      <c r="H930" s="360">
        <v>3.9833923559650077E-2</v>
      </c>
      <c r="I930" s="360">
        <v>0.29586357729759771</v>
      </c>
      <c r="J930" s="360">
        <v>1.0860873170169785</v>
      </c>
      <c r="K930" s="360">
        <v>0</v>
      </c>
      <c r="L930" s="360">
        <v>0.29400978700729818</v>
      </c>
      <c r="M930" s="360">
        <v>1.0860873170169785</v>
      </c>
      <c r="N930" s="360">
        <v>1</v>
      </c>
      <c r="O930" s="360">
        <v>0.29400978700729818</v>
      </c>
      <c r="P930" s="360">
        <v>1.0860873170169785</v>
      </c>
      <c r="Q930" s="360">
        <v>0</v>
      </c>
      <c r="R930" s="360">
        <v>0</v>
      </c>
      <c r="S930" s="360">
        <v>0.29400978700729818</v>
      </c>
      <c r="T930" s="360">
        <v>1.0860873170169785</v>
      </c>
      <c r="U930" s="360">
        <v>1</v>
      </c>
      <c r="V930" s="360">
        <v>0.29400978700729818</v>
      </c>
      <c r="W930" s="360">
        <v>1.0860873170169785</v>
      </c>
      <c r="X930" s="360">
        <v>0</v>
      </c>
      <c r="Y930" s="360">
        <v>0.29400978700729818</v>
      </c>
      <c r="Z930" s="360">
        <v>1.0860873170169785</v>
      </c>
      <c r="AA930" s="360">
        <v>0</v>
      </c>
      <c r="AB930" s="360">
        <v>0.29400978700729818</v>
      </c>
      <c r="AC930" s="360">
        <v>1.0860873170169785</v>
      </c>
      <c r="AD930" s="360">
        <v>1</v>
      </c>
      <c r="AE930" s="360">
        <v>0.29586357729759771</v>
      </c>
      <c r="AF930" s="360">
        <v>1.0793105782360315</v>
      </c>
      <c r="AG930" s="360">
        <v>0</v>
      </c>
      <c r="AH930" s="360">
        <v>0</v>
      </c>
      <c r="AI930" s="360">
        <v>0.29586357729759771</v>
      </c>
      <c r="AJ930" s="360">
        <v>1.0793105782360315</v>
      </c>
      <c r="AK930" s="360">
        <v>1</v>
      </c>
      <c r="AL930" s="360">
        <v>0.29586357729759771</v>
      </c>
      <c r="AM930" s="360">
        <v>1.0793105782360315</v>
      </c>
      <c r="AN930" s="360">
        <v>0</v>
      </c>
      <c r="AO930" s="360">
        <f t="shared" si="39"/>
        <v>1</v>
      </c>
      <c r="AP930" s="360">
        <f t="shared" si="40"/>
        <v>0</v>
      </c>
      <c r="AQ930" s="360">
        <f t="shared" si="41"/>
        <v>1</v>
      </c>
    </row>
    <row r="931" spans="1:43">
      <c r="A931" s="360" t="s">
        <v>1085</v>
      </c>
      <c r="B931" t="s">
        <v>1076</v>
      </c>
      <c r="C931">
        <v>2</v>
      </c>
      <c r="D931" t="s">
        <v>1078</v>
      </c>
      <c r="E931" t="s">
        <v>1079</v>
      </c>
      <c r="F931" s="360">
        <v>13</v>
      </c>
      <c r="G931" s="360" t="str">
        <f>CONCATENATE(A931," ",B931," ",C931," ","inf+"," ",FanUpsizes!D931," ",FanUpsizes!F931)</f>
        <v>0.6ACH 5C 2 inf+ New 13</v>
      </c>
      <c r="H931" s="360">
        <v>3.9833923559650077E-2</v>
      </c>
      <c r="I931" s="360">
        <v>0.29586357729759771</v>
      </c>
      <c r="J931" s="360">
        <v>1.0860873170169785</v>
      </c>
      <c r="K931" s="360">
        <v>7939.1203223590228</v>
      </c>
      <c r="L931" s="360">
        <v>0.18174918920061398</v>
      </c>
      <c r="M931" s="360">
        <v>3.4335753719326298</v>
      </c>
      <c r="N931" s="360">
        <v>10.041692212443303</v>
      </c>
      <c r="O931" s="360">
        <v>1.683882369631571</v>
      </c>
      <c r="P931" s="360">
        <v>2.4622010522521856</v>
      </c>
      <c r="Q931" s="360">
        <v>-18428.463581441887</v>
      </c>
      <c r="R931" s="360">
        <v>7939.1203223590228</v>
      </c>
      <c r="S931" s="360">
        <v>0.18174918920061398</v>
      </c>
      <c r="T931" s="360">
        <v>3.4335753719326298</v>
      </c>
      <c r="U931" s="360">
        <v>10.041692212443303</v>
      </c>
      <c r="V931" s="360">
        <v>1.683882369631571</v>
      </c>
      <c r="W931" s="360">
        <v>2.4622010522521856</v>
      </c>
      <c r="X931" s="360">
        <v>-18428.463581441887</v>
      </c>
      <c r="Y931" s="360">
        <v>0.29400978700729818</v>
      </c>
      <c r="Z931" s="360">
        <v>1.0860873170169785</v>
      </c>
      <c r="AA931" s="360">
        <v>-18428.463581441887</v>
      </c>
      <c r="AB931" s="360">
        <v>1.683882369631571</v>
      </c>
      <c r="AC931" s="360">
        <v>2.4622010522521856</v>
      </c>
      <c r="AD931" s="360">
        <v>10.041692212443303</v>
      </c>
      <c r="AE931" s="360">
        <v>1.683968209618822</v>
      </c>
      <c r="AF931" s="360">
        <v>2.4621955973052962</v>
      </c>
      <c r="AG931" s="360">
        <v>-18338.140879619394</v>
      </c>
      <c r="AH931" s="360">
        <v>8011.8145434348371</v>
      </c>
      <c r="AI931" s="360">
        <v>0.18260282241527748</v>
      </c>
      <c r="AJ931" s="360">
        <v>3.4272065313284372</v>
      </c>
      <c r="AK931" s="360">
        <v>10.041692212443303</v>
      </c>
      <c r="AL931" s="360">
        <v>1.683968209618822</v>
      </c>
      <c r="AM931" s="360">
        <v>2.4621955973052962</v>
      </c>
      <c r="AN931" s="360">
        <v>-18338.140879619394</v>
      </c>
      <c r="AO931" s="360">
        <f t="shared" si="39"/>
        <v>0</v>
      </c>
      <c r="AP931" s="360">
        <f t="shared" si="40"/>
        <v>1</v>
      </c>
      <c r="AQ931" s="360">
        <f t="shared" si="41"/>
        <v>1</v>
      </c>
    </row>
    <row r="932" spans="1:43">
      <c r="A932" s="360" t="s">
        <v>1085</v>
      </c>
      <c r="B932" t="s">
        <v>1075</v>
      </c>
      <c r="C932">
        <v>2</v>
      </c>
      <c r="D932" t="s">
        <v>1078</v>
      </c>
      <c r="E932" t="s">
        <v>1079</v>
      </c>
      <c r="F932" s="360">
        <v>13</v>
      </c>
      <c r="G932" s="360" t="str">
        <f>CONCATENATE(A932," ",B932," ",C932," ","inf+"," ",FanUpsizes!D932," ",FanUpsizes!F932)</f>
        <v>0.6ACH Percentile 2 inf+ New 13</v>
      </c>
      <c r="H932" s="360">
        <v>5.6914730299199044E-2</v>
      </c>
      <c r="I932" s="360">
        <v>0.29586357729759771</v>
      </c>
      <c r="J932" s="360">
        <v>1.0456719076368397</v>
      </c>
      <c r="K932" s="360">
        <v>7502.488589306693</v>
      </c>
      <c r="L932" s="360">
        <v>0.32625127841843743</v>
      </c>
      <c r="M932" s="360">
        <v>2.680499961195268</v>
      </c>
      <c r="N932" s="360">
        <v>7.0280575502547755</v>
      </c>
      <c r="O932" s="360">
        <v>2.2511691450027485</v>
      </c>
      <c r="P932" s="360">
        <v>1.6629817421685491</v>
      </c>
      <c r="Q932" s="360">
        <v>-47036.679721433917</v>
      </c>
      <c r="R932" s="360">
        <v>11789.822030402082</v>
      </c>
      <c r="S932" s="360">
        <v>0.23219113408785755</v>
      </c>
      <c r="T932" s="360">
        <v>3.4587133022879475</v>
      </c>
      <c r="U932" s="360">
        <v>7.0280575502547746</v>
      </c>
      <c r="V932" s="360">
        <v>1.5900961441531272</v>
      </c>
      <c r="W932" s="360">
        <v>1.7758769064178392</v>
      </c>
      <c r="X932" s="360">
        <v>-16904.322024554262</v>
      </c>
      <c r="Y932" s="360">
        <v>0.42007796837959804</v>
      </c>
      <c r="Z932" s="360">
        <v>1.0456719076368397</v>
      </c>
      <c r="AA932" s="360">
        <v>-47036.679721433902</v>
      </c>
      <c r="AB932" s="360">
        <v>2.2511691450027485</v>
      </c>
      <c r="AC932" s="360">
        <v>1.6629817421685491</v>
      </c>
      <c r="AD932" s="360">
        <v>7.0280575502547737</v>
      </c>
      <c r="AE932" s="360">
        <v>2.2512391461507115</v>
      </c>
      <c r="AF932" s="360">
        <v>1.6629766675318847</v>
      </c>
      <c r="AG932" s="360">
        <v>-47001.808199487532</v>
      </c>
      <c r="AH932" s="360">
        <v>11793.037408612341</v>
      </c>
      <c r="AI932" s="360">
        <v>0.23301936722420766</v>
      </c>
      <c r="AJ932" s="360">
        <v>3.446780267126027</v>
      </c>
      <c r="AK932" s="360">
        <v>7.0280575502547737</v>
      </c>
      <c r="AL932" s="360">
        <v>1.590214967941658</v>
      </c>
      <c r="AM932" s="360">
        <v>1.7758383527912855</v>
      </c>
      <c r="AN932" s="360">
        <v>-16871.867655241178</v>
      </c>
      <c r="AO932" s="360">
        <f t="shared" si="39"/>
        <v>0</v>
      </c>
      <c r="AP932" s="360">
        <f t="shared" si="40"/>
        <v>1</v>
      </c>
      <c r="AQ932" s="360">
        <f t="shared" si="41"/>
        <v>0</v>
      </c>
    </row>
    <row r="933" spans="1:43">
      <c r="A933" s="360" t="s">
        <v>1085</v>
      </c>
      <c r="B933" t="s">
        <v>1074</v>
      </c>
      <c r="C933">
        <v>1</v>
      </c>
      <c r="D933" t="s">
        <v>1080</v>
      </c>
      <c r="E933" t="s">
        <v>1079</v>
      </c>
      <c r="F933" s="360">
        <v>13</v>
      </c>
      <c r="G933" s="360" t="str">
        <f>CONCATENATE(A933," ",B933," ",C933," ","inf+"," ",FanUpsizes!D933," ",FanUpsizes!F933)</f>
        <v>0.6ACH Infiltration 1 inf+ Existing 13</v>
      </c>
      <c r="H933" s="360">
        <v>5.6914730299199044E-2</v>
      </c>
      <c r="I933" s="360">
        <v>0.42081209940803549</v>
      </c>
      <c r="J933" s="360">
        <v>1.0456719076368397</v>
      </c>
      <c r="K933" s="360">
        <v>0</v>
      </c>
      <c r="L933" s="360">
        <v>0.42007796837959804</v>
      </c>
      <c r="M933" s="360">
        <v>1.0456719076368397</v>
      </c>
      <c r="N933" s="360">
        <v>1</v>
      </c>
      <c r="O933" s="360">
        <v>0.42007796837959804</v>
      </c>
      <c r="P933" s="360">
        <v>1.0456719076368397</v>
      </c>
      <c r="Q933" s="360">
        <v>0</v>
      </c>
      <c r="R933" s="360">
        <v>0</v>
      </c>
      <c r="S933" s="360">
        <v>0.42007796837959804</v>
      </c>
      <c r="T933" s="360">
        <v>1.0456719076368397</v>
      </c>
      <c r="U933" s="360">
        <v>1</v>
      </c>
      <c r="V933" s="360">
        <v>0.42007796837959804</v>
      </c>
      <c r="W933" s="360">
        <v>1.0456719076368397</v>
      </c>
      <c r="X933" s="360">
        <v>0</v>
      </c>
      <c r="Y933" s="360">
        <v>0.42007796837959804</v>
      </c>
      <c r="Z933" s="360">
        <v>1.0456719076368397</v>
      </c>
      <c r="AA933" s="360">
        <v>0</v>
      </c>
      <c r="AB933" s="360">
        <v>0.42007796837959804</v>
      </c>
      <c r="AC933" s="360">
        <v>1.0456719076368397</v>
      </c>
      <c r="AD933" s="360">
        <v>1</v>
      </c>
      <c r="AE933" s="360">
        <v>0.42081209940803549</v>
      </c>
      <c r="AF933" s="360">
        <v>1.0438505958010262</v>
      </c>
      <c r="AG933" s="360">
        <v>0</v>
      </c>
      <c r="AH933" s="360">
        <v>0</v>
      </c>
      <c r="AI933" s="360">
        <v>0.42081209940803549</v>
      </c>
      <c r="AJ933" s="360">
        <v>1.0438505958010262</v>
      </c>
      <c r="AK933" s="360">
        <v>1</v>
      </c>
      <c r="AL933" s="360">
        <v>0.42081209940803549</v>
      </c>
      <c r="AM933" s="360">
        <v>1.0438505958010262</v>
      </c>
      <c r="AN933" s="360">
        <v>0</v>
      </c>
      <c r="AO933" s="360">
        <f t="shared" ref="AO933:AO996" si="42">IF(ROUND(P933,3)=ROUND(J933,3),1,0)</f>
        <v>1</v>
      </c>
      <c r="AP933" s="360">
        <f t="shared" ref="AP933:AP996" si="43">IF(O933&gt;L933,1,0)</f>
        <v>0</v>
      </c>
      <c r="AQ933" s="360">
        <f t="shared" ref="AQ933:AQ996" si="44">IF(I933&gt;L933,1,0)</f>
        <v>1</v>
      </c>
    </row>
    <row r="934" spans="1:43">
      <c r="A934" s="360" t="s">
        <v>1085</v>
      </c>
      <c r="B934" t="s">
        <v>1076</v>
      </c>
      <c r="C934">
        <v>1</v>
      </c>
      <c r="D934" t="s">
        <v>1080</v>
      </c>
      <c r="E934" t="s">
        <v>1079</v>
      </c>
      <c r="F934" s="360">
        <v>13</v>
      </c>
      <c r="G934" s="360" t="str">
        <f>CONCATENATE(A934," ",B934," ",C934," ","inf+"," ",FanUpsizes!D934," ",FanUpsizes!F934)</f>
        <v>0.6ACH 5C 1 inf+ Existing 13</v>
      </c>
      <c r="H934" s="360">
        <v>5.6914730299199044E-2</v>
      </c>
      <c r="I934" s="360">
        <v>0.42081209940803549</v>
      </c>
      <c r="J934" s="360">
        <v>1.0456719076368397</v>
      </c>
      <c r="K934" s="360">
        <v>12085.455635384253</v>
      </c>
      <c r="L934" s="360">
        <v>0.24930954126439531</v>
      </c>
      <c r="M934" s="360">
        <v>5.0664550118686131</v>
      </c>
      <c r="N934" s="360">
        <v>7.0280575502547737</v>
      </c>
      <c r="O934" s="360">
        <v>1.6802065888077755</v>
      </c>
      <c r="P934" s="360">
        <v>4.0837231234238285</v>
      </c>
      <c r="Q934" s="360">
        <v>-13031.777981740606</v>
      </c>
      <c r="R934" s="360">
        <v>12085.455635384253</v>
      </c>
      <c r="S934" s="360">
        <v>0.24930954126439531</v>
      </c>
      <c r="T934" s="360">
        <v>5.0664550118686131</v>
      </c>
      <c r="U934" s="360">
        <v>7.0280575502547737</v>
      </c>
      <c r="V934" s="360">
        <v>1.6802065888077755</v>
      </c>
      <c r="W934" s="360">
        <v>4.0837231234238285</v>
      </c>
      <c r="X934" s="360">
        <v>-13031.777981740606</v>
      </c>
      <c r="Y934" s="360">
        <v>0.42007796837959804</v>
      </c>
      <c r="Z934" s="360">
        <v>1.0456719076368397</v>
      </c>
      <c r="AA934" s="360">
        <v>-13031.777981740606</v>
      </c>
      <c r="AB934" s="360">
        <v>1.6802065888077755</v>
      </c>
      <c r="AC934" s="360">
        <v>4.0837231234238285</v>
      </c>
      <c r="AD934" s="360">
        <v>7.0280575502547746</v>
      </c>
      <c r="AE934" s="360">
        <v>1.6802530588265989</v>
      </c>
      <c r="AF934" s="360">
        <v>4.0837187266988879</v>
      </c>
      <c r="AG934" s="360">
        <v>-12995.498632416498</v>
      </c>
      <c r="AH934" s="360">
        <v>12115.217805374943</v>
      </c>
      <c r="AI934" s="360">
        <v>0.24963555041390759</v>
      </c>
      <c r="AJ934" s="360">
        <v>5.0644700331027535</v>
      </c>
      <c r="AK934" s="360">
        <v>7.0280575502547746</v>
      </c>
      <c r="AL934" s="360">
        <v>1.6802530588265989</v>
      </c>
      <c r="AM934" s="360">
        <v>4.0837187266988879</v>
      </c>
      <c r="AN934" s="360">
        <v>-12995.498632416498</v>
      </c>
      <c r="AO934" s="360">
        <f t="shared" si="42"/>
        <v>0</v>
      </c>
      <c r="AP934" s="360">
        <f t="shared" si="43"/>
        <v>1</v>
      </c>
      <c r="AQ934" s="360">
        <f t="shared" si="44"/>
        <v>1</v>
      </c>
    </row>
    <row r="935" spans="1:43">
      <c r="A935" s="360" t="s">
        <v>1085</v>
      </c>
      <c r="B935" t="s">
        <v>1075</v>
      </c>
      <c r="C935">
        <v>1</v>
      </c>
      <c r="D935" t="s">
        <v>1080</v>
      </c>
      <c r="E935" t="s">
        <v>1079</v>
      </c>
      <c r="F935" s="360">
        <v>13</v>
      </c>
      <c r="G935" s="360" t="str">
        <f>CONCATENATE(A935," ",B935," ",C935," ","inf+"," ",FanUpsizes!D935," ",FanUpsizes!F935)</f>
        <v>0.6ACH Percentile 1 inf+ Existing 13</v>
      </c>
      <c r="H935" s="360">
        <v>5.6083923559650077E-2</v>
      </c>
      <c r="I935" s="360">
        <v>0.42081209940803549</v>
      </c>
      <c r="J935" s="360">
        <v>1.061156936122533</v>
      </c>
      <c r="K935" s="360">
        <v>7217.6865558551417</v>
      </c>
      <c r="L935" s="360">
        <v>0.32366521221444949</v>
      </c>
      <c r="M935" s="360">
        <v>2.4442730459858177</v>
      </c>
      <c r="N935" s="360">
        <v>7.1321686253738221</v>
      </c>
      <c r="O935" s="360">
        <v>2.2532444119362895</v>
      </c>
      <c r="P935" s="360">
        <v>1.4615338989752418</v>
      </c>
      <c r="Q935" s="360">
        <v>-47453.552445770612</v>
      </c>
      <c r="R935" s="360">
        <v>11441.578137636156</v>
      </c>
      <c r="S935" s="360">
        <v>0.23099426699801581</v>
      </c>
      <c r="T935" s="360">
        <v>3.1706980611706492</v>
      </c>
      <c r="U935" s="360">
        <v>7.1321686253738221</v>
      </c>
      <c r="V935" s="360">
        <v>1.5921714110866518</v>
      </c>
      <c r="W935" s="360">
        <v>1.568494697433898</v>
      </c>
      <c r="X935" s="360">
        <v>-17321.194748891161</v>
      </c>
      <c r="Y935" s="360">
        <v>0.41394592478673276</v>
      </c>
      <c r="Z935" s="360">
        <v>1.061156936122533</v>
      </c>
      <c r="AA935" s="360">
        <v>-47453.552445770612</v>
      </c>
      <c r="AB935" s="360">
        <v>2.2532444119362895</v>
      </c>
      <c r="AC935" s="360">
        <v>1.4615338989752418</v>
      </c>
      <c r="AD935" s="360">
        <v>7.1321686253738221</v>
      </c>
      <c r="AE935" s="360">
        <v>2.2533717334451984</v>
      </c>
      <c r="AF935" s="360">
        <v>1.4615251063119019</v>
      </c>
      <c r="AG935" s="360">
        <v>-47392.170532022275</v>
      </c>
      <c r="AH935" s="360">
        <v>11446.528518738765</v>
      </c>
      <c r="AI935" s="360">
        <v>0.23249105693624367</v>
      </c>
      <c r="AJ935" s="360">
        <v>3.1508999669723603</v>
      </c>
      <c r="AK935" s="360">
        <v>7.1321686253738221</v>
      </c>
      <c r="AL935" s="360">
        <v>1.5923862647691993</v>
      </c>
      <c r="AM935" s="360">
        <v>1.5684309375437868</v>
      </c>
      <c r="AN935" s="360">
        <v>-17264.140099922261</v>
      </c>
      <c r="AO935" s="360">
        <f t="shared" si="42"/>
        <v>0</v>
      </c>
      <c r="AP935" s="360">
        <f t="shared" si="43"/>
        <v>1</v>
      </c>
      <c r="AQ935" s="360">
        <f t="shared" si="44"/>
        <v>1</v>
      </c>
    </row>
    <row r="936" spans="1:43">
      <c r="A936" s="360" t="s">
        <v>1085</v>
      </c>
      <c r="B936" t="s">
        <v>1074</v>
      </c>
      <c r="C936">
        <v>2</v>
      </c>
      <c r="D936" t="s">
        <v>1080</v>
      </c>
      <c r="E936" t="s">
        <v>1079</v>
      </c>
      <c r="F936" s="360">
        <v>13</v>
      </c>
      <c r="G936" s="360" t="str">
        <f>CONCATENATE(A936," ",B936," ",C936," ","inf+"," ",FanUpsizes!D936," ",FanUpsizes!F936)</f>
        <v>0.6ACH Infiltration 2 inf+ Existing 13</v>
      </c>
      <c r="H936" s="360">
        <v>5.6083923559650077E-2</v>
      </c>
      <c r="I936" s="360">
        <v>0.41526812895093346</v>
      </c>
      <c r="J936" s="360">
        <v>1.061156936122533</v>
      </c>
      <c r="K936" s="360">
        <v>0</v>
      </c>
      <c r="L936" s="360">
        <v>0.41394592478673276</v>
      </c>
      <c r="M936" s="360">
        <v>1.061156936122533</v>
      </c>
      <c r="N936" s="360">
        <v>1</v>
      </c>
      <c r="O936" s="360">
        <v>0.41394592478673276</v>
      </c>
      <c r="P936" s="360">
        <v>1.061156936122533</v>
      </c>
      <c r="Q936" s="360">
        <v>0</v>
      </c>
      <c r="R936" s="360">
        <v>0</v>
      </c>
      <c r="S936" s="360">
        <v>0.41394592478673276</v>
      </c>
      <c r="T936" s="360">
        <v>1.061156936122533</v>
      </c>
      <c r="U936" s="360">
        <v>1</v>
      </c>
      <c r="V936" s="360">
        <v>0.41394592478673276</v>
      </c>
      <c r="W936" s="360">
        <v>1.061156936122533</v>
      </c>
      <c r="X936" s="360">
        <v>0</v>
      </c>
      <c r="Y936" s="360">
        <v>0.41394592478673276</v>
      </c>
      <c r="Z936" s="360">
        <v>1.061156936122533</v>
      </c>
      <c r="AA936" s="360">
        <v>0</v>
      </c>
      <c r="AB936" s="360">
        <v>0.41394592478673276</v>
      </c>
      <c r="AC936" s="360">
        <v>1.061156936122533</v>
      </c>
      <c r="AD936" s="360">
        <v>1</v>
      </c>
      <c r="AE936" s="360">
        <v>0.41526812895093346</v>
      </c>
      <c r="AF936" s="360">
        <v>1.0577868151304364</v>
      </c>
      <c r="AG936" s="360">
        <v>0</v>
      </c>
      <c r="AH936" s="360">
        <v>0</v>
      </c>
      <c r="AI936" s="360">
        <v>0.41526812895093346</v>
      </c>
      <c r="AJ936" s="360">
        <v>1.0577868151304364</v>
      </c>
      <c r="AK936" s="360">
        <v>1</v>
      </c>
      <c r="AL936" s="360">
        <v>0.41526812895093346</v>
      </c>
      <c r="AM936" s="360">
        <v>1.0577868151304364</v>
      </c>
      <c r="AN936" s="360">
        <v>0</v>
      </c>
      <c r="AO936" s="360">
        <f t="shared" si="42"/>
        <v>1</v>
      </c>
      <c r="AP936" s="360">
        <f t="shared" si="43"/>
        <v>0</v>
      </c>
      <c r="AQ936" s="360">
        <f t="shared" si="44"/>
        <v>1</v>
      </c>
    </row>
    <row r="937" spans="1:43">
      <c r="A937" s="360" t="s">
        <v>1085</v>
      </c>
      <c r="B937" s="360" t="s">
        <v>1076</v>
      </c>
      <c r="C937">
        <v>2</v>
      </c>
      <c r="D937" t="s">
        <v>1080</v>
      </c>
      <c r="E937" t="s">
        <v>1079</v>
      </c>
      <c r="F937" s="360">
        <v>13</v>
      </c>
      <c r="G937" s="360" t="str">
        <f>CONCATENATE(A937," ",B937," ",C937," ","inf+"," ",FanUpsizes!D937," ",FanUpsizes!F937)</f>
        <v>0.6ACH 5C 2 inf+ Existing 13</v>
      </c>
      <c r="H937" s="360">
        <v>5.6083923559650077E-2</v>
      </c>
      <c r="I937" s="360">
        <v>0.41526812895093346</v>
      </c>
      <c r="J937" s="360">
        <v>1.061156936122533</v>
      </c>
      <c r="K937" s="360">
        <v>11634.189475974292</v>
      </c>
      <c r="L937" s="360">
        <v>0.24952029745529006</v>
      </c>
      <c r="M937" s="360">
        <v>4.3026759630460063</v>
      </c>
      <c r="N937" s="360">
        <v>7.1321686253738221</v>
      </c>
      <c r="O937" s="360">
        <v>1.683882369631571</v>
      </c>
      <c r="P937" s="360">
        <v>3.3859722735480728</v>
      </c>
      <c r="Q937" s="360">
        <v>-13543.867408165515</v>
      </c>
      <c r="R937" s="360">
        <v>11634.189475974292</v>
      </c>
      <c r="S937" s="360">
        <v>0.24952029745529006</v>
      </c>
      <c r="T937" s="360">
        <v>4.3026759630460063</v>
      </c>
      <c r="U937" s="360">
        <v>7.1321686253738221</v>
      </c>
      <c r="V937" s="360">
        <v>1.683882369631571</v>
      </c>
      <c r="W937" s="360">
        <v>3.3859722735480728</v>
      </c>
      <c r="X937" s="360">
        <v>-13543.867408165515</v>
      </c>
      <c r="Y937" s="360">
        <v>0.41394592478673276</v>
      </c>
      <c r="Z937" s="360">
        <v>1.061156936122533</v>
      </c>
      <c r="AA937" s="360">
        <v>-13543.867408165515</v>
      </c>
      <c r="AB937" s="360">
        <v>1.683882369631571</v>
      </c>
      <c r="AC937" s="360">
        <v>3.3859722735480728</v>
      </c>
      <c r="AD937" s="360">
        <v>7.1321686253738221</v>
      </c>
      <c r="AE937" s="360">
        <v>1.683968209618822</v>
      </c>
      <c r="AF937" s="360">
        <v>3.3859647698322419</v>
      </c>
      <c r="AG937" s="360">
        <v>-13480.002533235653</v>
      </c>
      <c r="AH937" s="360">
        <v>11685.950558480208</v>
      </c>
      <c r="AI937" s="360">
        <v>0.25013035990366367</v>
      </c>
      <c r="AJ937" s="360">
        <v>4.2993535671533758</v>
      </c>
      <c r="AK937" s="360">
        <v>7.1321686253738221</v>
      </c>
      <c r="AL937" s="360">
        <v>1.683968209618822</v>
      </c>
      <c r="AM937" s="360">
        <v>3.3859647698322419</v>
      </c>
      <c r="AN937" s="360">
        <v>-13480.002533235653</v>
      </c>
      <c r="AO937" s="360">
        <f t="shared" si="42"/>
        <v>0</v>
      </c>
      <c r="AP937" s="360">
        <f t="shared" si="43"/>
        <v>1</v>
      </c>
      <c r="AQ937" s="360">
        <f t="shared" si="44"/>
        <v>1</v>
      </c>
    </row>
    <row r="938" spans="1:43">
      <c r="A938" s="360" t="s">
        <v>1077</v>
      </c>
      <c r="B938" t="s">
        <v>1075</v>
      </c>
      <c r="C938">
        <v>1</v>
      </c>
      <c r="D938" t="s">
        <v>1078</v>
      </c>
      <c r="E938" t="s">
        <v>1079</v>
      </c>
      <c r="F938">
        <v>14</v>
      </c>
      <c r="G938" s="360" t="str">
        <f>CONCATENATE(A938," ",B938," ",C938," ","inf+"," ",FanUpsizes!D938," ",FanUpsizes!F938)</f>
        <v>10ACH Percentile 1 inf+ New 14</v>
      </c>
      <c r="H938" s="360">
        <v>1.4421666666666666E-2</v>
      </c>
      <c r="I938" s="360">
        <v>0.50850455638508407</v>
      </c>
      <c r="J938" s="360">
        <v>0.71317172127029826</v>
      </c>
      <c r="K938" s="360">
        <v>1228.4222808416828</v>
      </c>
      <c r="L938" s="360">
        <v>0.49555145470909184</v>
      </c>
      <c r="M938" s="360">
        <v>0.72347445720666315</v>
      </c>
      <c r="N938" s="360">
        <v>1.122042815691465</v>
      </c>
      <c r="O938" s="360">
        <v>0.50047178493820255</v>
      </c>
      <c r="P938" s="360">
        <v>0.71317172557208852</v>
      </c>
      <c r="Q938" s="360">
        <v>1071.9212470318294</v>
      </c>
      <c r="R938" s="360">
        <v>1837.1141129293894</v>
      </c>
      <c r="S938" s="360">
        <v>0.48349449866968236</v>
      </c>
      <c r="T938" s="360">
        <v>0.74247377100387557</v>
      </c>
      <c r="U938" s="360">
        <v>1.4390091471323452</v>
      </c>
      <c r="V938" s="360">
        <v>0.49591247174732145</v>
      </c>
      <c r="W938" s="360">
        <v>0.71317175850437964</v>
      </c>
      <c r="X938" s="360">
        <v>1541.3740687729739</v>
      </c>
      <c r="Y938" s="360">
        <v>0.46998155408844022</v>
      </c>
      <c r="Z938" s="360">
        <v>0.77873617926968486</v>
      </c>
      <c r="AA938" s="360">
        <v>220.84375058028536</v>
      </c>
      <c r="AB938" s="360">
        <v>0.46774739683311911</v>
      </c>
      <c r="AC938" s="360">
        <v>0.78074303295689917</v>
      </c>
      <c r="AD938" s="360">
        <v>1.026174474821425</v>
      </c>
      <c r="AE938" s="360">
        <v>0.46838152062079852</v>
      </c>
      <c r="AF938" s="360">
        <v>0.77873627042499893</v>
      </c>
      <c r="AG938" s="360">
        <v>204.46654742870464</v>
      </c>
      <c r="AH938" s="360">
        <v>441.18471771234158</v>
      </c>
      <c r="AI938" s="360">
        <v>0.46323360744176395</v>
      </c>
      <c r="AJ938" s="360">
        <v>0.79024772277610755</v>
      </c>
      <c r="AK938" s="360">
        <v>1.1878105754683814</v>
      </c>
      <c r="AL938" s="360">
        <v>0.46629610573453478</v>
      </c>
      <c r="AM938" s="360">
        <v>0.77873618546793766</v>
      </c>
      <c r="AN938" s="360">
        <v>400.95043284705986</v>
      </c>
      <c r="AO938" s="360">
        <f t="shared" si="42"/>
        <v>1</v>
      </c>
      <c r="AP938" s="360">
        <f t="shared" si="43"/>
        <v>1</v>
      </c>
      <c r="AQ938" s="360">
        <f t="shared" si="44"/>
        <v>1</v>
      </c>
    </row>
    <row r="939" spans="1:43">
      <c r="A939" s="360" t="s">
        <v>1077</v>
      </c>
      <c r="B939" t="s">
        <v>1074</v>
      </c>
      <c r="C939">
        <v>1</v>
      </c>
      <c r="D939" t="s">
        <v>1078</v>
      </c>
      <c r="E939" t="s">
        <v>1079</v>
      </c>
      <c r="F939" s="360">
        <v>14</v>
      </c>
      <c r="G939" s="360" t="str">
        <f>CONCATENATE(A939," ",B939," ",C939," ","inf+"," ",FanUpsizes!D939," ",FanUpsizes!F939)</f>
        <v>10ACH Infiltration 1 inf+ New 14</v>
      </c>
      <c r="H939" s="360">
        <v>1.4421666666666666E-2</v>
      </c>
      <c r="I939" s="360">
        <v>0.50850455638508407</v>
      </c>
      <c r="J939" s="360">
        <v>0.71317172127029826</v>
      </c>
      <c r="K939" s="360">
        <v>2062.3380095092512</v>
      </c>
      <c r="L939" s="360">
        <v>0.48268948648766463</v>
      </c>
      <c r="M939" s="360">
        <v>0.73940048283814352</v>
      </c>
      <c r="N939" s="360">
        <v>1.3873337893367281</v>
      </c>
      <c r="O939" s="360">
        <v>0.49333088511372131</v>
      </c>
      <c r="P939" s="360">
        <v>0.71317256910088511</v>
      </c>
      <c r="Q939" s="360">
        <v>1888.6460757960224</v>
      </c>
      <c r="R939" s="360">
        <v>2269.7650198026599</v>
      </c>
      <c r="S939" s="360">
        <v>0.47573904168590769</v>
      </c>
      <c r="T939" s="360">
        <v>0.7548614711070929</v>
      </c>
      <c r="U939" s="360">
        <v>1.7690581836657828</v>
      </c>
      <c r="V939" s="360">
        <v>0.49156134840635535</v>
      </c>
      <c r="W939" s="360">
        <v>0.71317176264005144</v>
      </c>
      <c r="X939" s="360">
        <v>2084.4200108789537</v>
      </c>
      <c r="Y939" s="360">
        <v>0.46998155408844022</v>
      </c>
      <c r="Z939" s="360">
        <v>0.77873617926968486</v>
      </c>
      <c r="AA939" s="360">
        <v>410.35497799598403</v>
      </c>
      <c r="AB939" s="360">
        <v>0.46496275836651202</v>
      </c>
      <c r="AC939" s="360">
        <v>0.78478654389493152</v>
      </c>
      <c r="AD939" s="360">
        <v>1.0867537173394419</v>
      </c>
      <c r="AE939" s="360">
        <v>0.4666214765052844</v>
      </c>
      <c r="AF939" s="360">
        <v>0.77873621155286066</v>
      </c>
      <c r="AG939" s="360">
        <v>387.2418851414306</v>
      </c>
      <c r="AH939" s="360">
        <v>500.28567893174773</v>
      </c>
      <c r="AI939" s="360">
        <v>0.4618155365122491</v>
      </c>
      <c r="AJ939" s="360">
        <v>0.79413211029945074</v>
      </c>
      <c r="AK939" s="360">
        <v>1.2799469241995911</v>
      </c>
      <c r="AL939" s="360">
        <v>0.46566518542324292</v>
      </c>
      <c r="AM939" s="360">
        <v>0.77873628690785124</v>
      </c>
      <c r="AN939" s="360">
        <v>472.67051086517961</v>
      </c>
      <c r="AO939" s="360">
        <f t="shared" si="42"/>
        <v>1</v>
      </c>
      <c r="AP939" s="360">
        <f t="shared" si="43"/>
        <v>1</v>
      </c>
      <c r="AQ939" s="360">
        <f t="shared" si="44"/>
        <v>1</v>
      </c>
    </row>
    <row r="940" spans="1:43">
      <c r="A940" s="360" t="s">
        <v>1077</v>
      </c>
      <c r="B940" t="s">
        <v>1076</v>
      </c>
      <c r="C940">
        <v>1</v>
      </c>
      <c r="D940" t="s">
        <v>1078</v>
      </c>
      <c r="E940" t="s">
        <v>1079</v>
      </c>
      <c r="F940" s="360">
        <v>14</v>
      </c>
      <c r="G940" s="360" t="str">
        <f>CONCATENATE(A940," ",B940," ",C940," ","inf+"," ",FanUpsizes!D940," ",FanUpsizes!F940)</f>
        <v>10ACH 5C 1 inf+ New 14</v>
      </c>
      <c r="H940" s="360">
        <v>1.4421666666666666E-2</v>
      </c>
      <c r="I940" s="360">
        <v>0.50850455638508407</v>
      </c>
      <c r="J940" s="360">
        <v>0.71317172127029826</v>
      </c>
      <c r="K940" s="360">
        <v>2093.5470565793876</v>
      </c>
      <c r="L940" s="360">
        <v>0.48207585456023677</v>
      </c>
      <c r="M940" s="360">
        <v>0.74035979454413037</v>
      </c>
      <c r="N940" s="360">
        <v>1.4074250321640882</v>
      </c>
      <c r="O940" s="360">
        <v>0.49302056765376406</v>
      </c>
      <c r="P940" s="360">
        <v>0.71317178014306637</v>
      </c>
      <c r="Q940" s="360">
        <v>1923.5609620179541</v>
      </c>
      <c r="R940" s="360">
        <v>2285.3695433377411</v>
      </c>
      <c r="S940" s="360">
        <v>0.47543222572219362</v>
      </c>
      <c r="T940" s="360">
        <v>0.75537335515913573</v>
      </c>
      <c r="U940" s="360">
        <v>1.7867115239572555</v>
      </c>
      <c r="V940" s="360">
        <v>0.49137799271374305</v>
      </c>
      <c r="W940" s="360">
        <v>0.71317175602236305</v>
      </c>
      <c r="X940" s="360">
        <v>2108.0462922919069</v>
      </c>
      <c r="Y940" s="360">
        <v>0.46998155408844022</v>
      </c>
      <c r="Z940" s="360">
        <v>0.77873617926968486</v>
      </c>
      <c r="AA940" s="360">
        <v>418.48940696767187</v>
      </c>
      <c r="AB940" s="360">
        <v>0.46481167624356007</v>
      </c>
      <c r="AC940" s="360">
        <v>0.78506400112248065</v>
      </c>
      <c r="AD940" s="360">
        <v>1.091355278088098</v>
      </c>
      <c r="AE940" s="360">
        <v>0.46653322914317824</v>
      </c>
      <c r="AF940" s="360">
        <v>0.77873618768754238</v>
      </c>
      <c r="AG940" s="360">
        <v>395.56997745034261</v>
      </c>
      <c r="AH940" s="360">
        <v>502.50212383663631</v>
      </c>
      <c r="AI940" s="360">
        <v>0.46177727691257098</v>
      </c>
      <c r="AJ940" s="360">
        <v>0.79420472873417514</v>
      </c>
      <c r="AK940" s="360">
        <v>1.2820128566625471</v>
      </c>
      <c r="AL940" s="360">
        <v>0.46563359630804319</v>
      </c>
      <c r="AM940" s="360">
        <v>0.77873623208782849</v>
      </c>
      <c r="AN940" s="360">
        <v>475.96747936852648</v>
      </c>
      <c r="AO940" s="360">
        <f t="shared" si="42"/>
        <v>1</v>
      </c>
      <c r="AP940" s="360">
        <f t="shared" si="43"/>
        <v>1</v>
      </c>
      <c r="AQ940" s="360">
        <f t="shared" si="44"/>
        <v>1</v>
      </c>
    </row>
    <row r="941" spans="1:43">
      <c r="A941" s="360" t="s">
        <v>1077</v>
      </c>
      <c r="B941" t="s">
        <v>1075</v>
      </c>
      <c r="C941">
        <v>2</v>
      </c>
      <c r="D941" t="s">
        <v>1078</v>
      </c>
      <c r="E941" t="s">
        <v>1079</v>
      </c>
      <c r="F941" s="360">
        <v>14</v>
      </c>
      <c r="G941" s="360" t="str">
        <f>CONCATENATE(A941," ",B941," ",C941," ","inf+"," ",FanUpsizes!D941," ",FanUpsizes!F941)</f>
        <v>10ACH Percentile 2 inf+ New 14</v>
      </c>
      <c r="H941" s="360">
        <v>1.4421666666666666E-2</v>
      </c>
      <c r="I941" s="360">
        <v>0.66189348970559581</v>
      </c>
      <c r="J941" s="360">
        <v>0.55425275483631642</v>
      </c>
      <c r="K941" s="360">
        <v>1228.4222808418194</v>
      </c>
      <c r="L941" s="360">
        <v>0.6489403880296023</v>
      </c>
      <c r="M941" s="360">
        <v>0.56037165286424762</v>
      </c>
      <c r="N941" s="360">
        <v>1.1180774341524093</v>
      </c>
      <c r="O941" s="360">
        <v>0.65369881577106015</v>
      </c>
      <c r="P941" s="360">
        <v>0.55425277903932246</v>
      </c>
      <c r="Q941" s="360">
        <v>1077.006235499083</v>
      </c>
      <c r="R941" s="360">
        <v>1837.1141129293187</v>
      </c>
      <c r="S941" s="360">
        <v>0.6368834319902078</v>
      </c>
      <c r="T941" s="360">
        <v>0.57181488335163499</v>
      </c>
      <c r="U941" s="360">
        <v>1.4290228546985939</v>
      </c>
      <c r="V941" s="360">
        <v>0.64900238296077639</v>
      </c>
      <c r="W941" s="360">
        <v>0.55425291686030653</v>
      </c>
      <c r="X941" s="360">
        <v>1548.1013695241179</v>
      </c>
      <c r="Y941" s="360">
        <v>0.61985335105665884</v>
      </c>
      <c r="Z941" s="360">
        <v>0.59898634911162907</v>
      </c>
      <c r="AA941" s="360">
        <v>171.84727683192131</v>
      </c>
      <c r="AB941" s="360">
        <v>0.61814724219661188</v>
      </c>
      <c r="AC941" s="360">
        <v>0.59989050465795579</v>
      </c>
      <c r="AD941" s="360">
        <v>1.0243846427404926</v>
      </c>
      <c r="AE941" s="360">
        <v>0.61860281908679415</v>
      </c>
      <c r="AF941" s="360">
        <v>0.59898634996361533</v>
      </c>
      <c r="AG941" s="360">
        <v>159.9361193109321</v>
      </c>
      <c r="AH941" s="360">
        <v>342.6689306275498</v>
      </c>
      <c r="AI941" s="360">
        <v>0.61470489743078149</v>
      </c>
      <c r="AJ941" s="360">
        <v>0.60424496803128347</v>
      </c>
      <c r="AK941" s="360">
        <v>1.1748946322203142</v>
      </c>
      <c r="AL941" s="360">
        <v>0.6169064969431739</v>
      </c>
      <c r="AM941" s="360">
        <v>0.59898656155998942</v>
      </c>
      <c r="AN941" s="360">
        <v>313.11440106804883</v>
      </c>
      <c r="AO941" s="360">
        <f t="shared" si="42"/>
        <v>1</v>
      </c>
      <c r="AP941" s="360">
        <f t="shared" si="43"/>
        <v>1</v>
      </c>
      <c r="AQ941" s="360">
        <f t="shared" si="44"/>
        <v>1</v>
      </c>
    </row>
    <row r="942" spans="1:43">
      <c r="A942" s="360" t="s">
        <v>1077</v>
      </c>
      <c r="B942" t="s">
        <v>1074</v>
      </c>
      <c r="C942">
        <v>2</v>
      </c>
      <c r="D942" t="s">
        <v>1078</v>
      </c>
      <c r="E942" t="s">
        <v>1079</v>
      </c>
      <c r="F942" s="360">
        <v>14</v>
      </c>
      <c r="G942" s="360" t="str">
        <f>CONCATENATE(A942," ",B942," ",C942," ","inf+"," ",FanUpsizes!D942," ",FanUpsizes!F942)</f>
        <v>10ACH Infiltration 2 inf+ New 14</v>
      </c>
      <c r="H942" s="360">
        <v>1.4421666666666666E-2</v>
      </c>
      <c r="I942" s="360">
        <v>0.66189348970559581</v>
      </c>
      <c r="J942" s="360">
        <v>0.55425275483631642</v>
      </c>
      <c r="K942" s="360">
        <v>2325.7532441005542</v>
      </c>
      <c r="L942" s="360">
        <v>0.62977806031568506</v>
      </c>
      <c r="M942" s="360">
        <v>0.57680641481055184</v>
      </c>
      <c r="N942" s="360">
        <v>1.647817771085248</v>
      </c>
      <c r="O942" s="360">
        <v>0.64347803467920928</v>
      </c>
      <c r="P942" s="360">
        <v>0.55425292793467917</v>
      </c>
      <c r="Q942" s="360">
        <v>2205.8976544732168</v>
      </c>
      <c r="R942" s="360">
        <v>2410.7823581161738</v>
      </c>
      <c r="S942" s="360">
        <v>0.62401842598696289</v>
      </c>
      <c r="T942" s="360">
        <v>0.58695866332567304</v>
      </c>
      <c r="U942" s="360">
        <v>2.2483636335441775</v>
      </c>
      <c r="V942" s="360">
        <v>0.64328657929398592</v>
      </c>
      <c r="W942" s="360">
        <v>0.55425290963725693</v>
      </c>
      <c r="X942" s="360">
        <v>2285.9644144614426</v>
      </c>
      <c r="Y942" s="360">
        <v>0.61985335105665884</v>
      </c>
      <c r="Z942" s="360">
        <v>0.59898634911162907</v>
      </c>
      <c r="AA942" s="360">
        <v>377.36166731853456</v>
      </c>
      <c r="AB942" s="360">
        <v>0.61474017159925609</v>
      </c>
      <c r="AC942" s="360">
        <v>0.60344493688575773</v>
      </c>
      <c r="AD942" s="360">
        <v>1.1430500615371362</v>
      </c>
      <c r="AE942" s="360">
        <v>0.61652152459519749</v>
      </c>
      <c r="AF942" s="360">
        <v>0.5989863769641095</v>
      </c>
      <c r="AG942" s="360">
        <v>363.02306968456236</v>
      </c>
      <c r="AH942" s="360">
        <v>410.53724199735444</v>
      </c>
      <c r="AI942" s="360">
        <v>0.61241151840188723</v>
      </c>
      <c r="AJ942" s="360">
        <v>0.6089859773837244</v>
      </c>
      <c r="AK942" s="360">
        <v>1.446110452538365</v>
      </c>
      <c r="AL942" s="360">
        <v>0.61622716575445491</v>
      </c>
      <c r="AM942" s="360">
        <v>0.59898677250372967</v>
      </c>
      <c r="AN942" s="360">
        <v>392.43158039527481</v>
      </c>
      <c r="AO942" s="360">
        <f t="shared" si="42"/>
        <v>1</v>
      </c>
      <c r="AP942" s="360">
        <f t="shared" si="43"/>
        <v>1</v>
      </c>
      <c r="AQ942" s="360">
        <f t="shared" si="44"/>
        <v>1</v>
      </c>
    </row>
    <row r="943" spans="1:43">
      <c r="A943" s="360" t="s">
        <v>1077</v>
      </c>
      <c r="B943" t="s">
        <v>1076</v>
      </c>
      <c r="C943">
        <v>2</v>
      </c>
      <c r="D943" t="s">
        <v>1078</v>
      </c>
      <c r="E943" t="s">
        <v>1079</v>
      </c>
      <c r="F943" s="360">
        <v>14</v>
      </c>
      <c r="G943" s="360" t="str">
        <f>CONCATENATE(A943," ",B943," ",C943," ","inf+"," ",FanUpsizes!D943," ",FanUpsizes!F943)</f>
        <v>10ACH 5C 2 inf+ New 14</v>
      </c>
      <c r="H943" s="360">
        <v>1.4421666666666666E-2</v>
      </c>
      <c r="I943" s="360">
        <v>0.66189348970559581</v>
      </c>
      <c r="J943" s="360">
        <v>0.55425275483631642</v>
      </c>
      <c r="K943" s="360">
        <v>2093.5470565794831</v>
      </c>
      <c r="L943" s="360">
        <v>0.63546478788075422</v>
      </c>
      <c r="M943" s="360">
        <v>0.57037751845646645</v>
      </c>
      <c r="N943" s="360">
        <v>1.3897483838851059</v>
      </c>
      <c r="O943" s="360">
        <v>0.64592090903806054</v>
      </c>
      <c r="P943" s="360">
        <v>0.55425282239439588</v>
      </c>
      <c r="Q943" s="360">
        <v>1930.9360228724645</v>
      </c>
      <c r="R943" s="360">
        <v>2294.6792643555614</v>
      </c>
      <c r="S943" s="360">
        <v>0.62686178976949991</v>
      </c>
      <c r="T943" s="360">
        <v>0.58355926321821527</v>
      </c>
      <c r="U943" s="360">
        <v>1.9826484909471589</v>
      </c>
      <c r="V943" s="360">
        <v>0.64479929218816534</v>
      </c>
      <c r="W943" s="360">
        <v>0.55425286154165421</v>
      </c>
      <c r="X943" s="360">
        <v>2082.3403844354434</v>
      </c>
      <c r="Y943" s="360">
        <v>0.61985335105665884</v>
      </c>
      <c r="Z943" s="360">
        <v>0.59898634911162907</v>
      </c>
      <c r="AA943" s="360">
        <v>325.60366402563767</v>
      </c>
      <c r="AB943" s="360">
        <v>0.6159126770740353</v>
      </c>
      <c r="AC943" s="360">
        <v>0.60183331390791117</v>
      </c>
      <c r="AD943" s="360">
        <v>1.0841013874093977</v>
      </c>
      <c r="AE943" s="360">
        <v>0.61713761132240541</v>
      </c>
      <c r="AF943" s="360">
        <v>0.59898635093459518</v>
      </c>
      <c r="AG943" s="360">
        <v>308.92025395805268</v>
      </c>
      <c r="AH943" s="360">
        <v>396.01899191285162</v>
      </c>
      <c r="AI943" s="360">
        <v>0.61270748613350423</v>
      </c>
      <c r="AJ943" s="360">
        <v>0.60856844421567746</v>
      </c>
      <c r="AK943" s="360">
        <v>1.4122243317007206</v>
      </c>
      <c r="AL943" s="360">
        <v>0.61648563688330105</v>
      </c>
      <c r="AM943" s="360">
        <v>0.59898637988021541</v>
      </c>
      <c r="AN943" s="360">
        <v>366.77326893185392</v>
      </c>
      <c r="AO943" s="360">
        <f t="shared" si="42"/>
        <v>1</v>
      </c>
      <c r="AP943" s="360">
        <f t="shared" si="43"/>
        <v>1</v>
      </c>
      <c r="AQ943" s="360">
        <f t="shared" si="44"/>
        <v>1</v>
      </c>
    </row>
    <row r="944" spans="1:43">
      <c r="A944" s="360" t="s">
        <v>1077</v>
      </c>
      <c r="B944" t="s">
        <v>1075</v>
      </c>
      <c r="C944">
        <v>1</v>
      </c>
      <c r="D944" t="s">
        <v>1080</v>
      </c>
      <c r="E944" t="s">
        <v>1079</v>
      </c>
      <c r="F944" s="360">
        <v>14</v>
      </c>
      <c r="G944" s="360" t="str">
        <f>CONCATENATE(A944," ",B944," ",C944," ","inf+"," ",FanUpsizes!D944," ",FanUpsizes!F944)</f>
        <v>10ACH Percentile 1 inf+ Existing 14</v>
      </c>
      <c r="H944" s="360">
        <v>1.1361857392574969E-2</v>
      </c>
      <c r="I944" s="360">
        <v>0.49720614463105456</v>
      </c>
      <c r="J944" s="360">
        <v>1.0096420461678128</v>
      </c>
      <c r="K944" s="360">
        <v>967.79097003008076</v>
      </c>
      <c r="L944" s="360">
        <v>0.48700127043476354</v>
      </c>
      <c r="M944" s="360">
        <v>1.0210080898346232</v>
      </c>
      <c r="N944" s="360">
        <v>1.115871108591493</v>
      </c>
      <c r="O944" s="360">
        <v>0.49068006566060729</v>
      </c>
      <c r="P944" s="360">
        <v>1.0096449578245164</v>
      </c>
      <c r="Q944" s="360">
        <v>850.72948354978723</v>
      </c>
      <c r="R944" s="360">
        <v>1447.3381646819046</v>
      </c>
      <c r="S944" s="360">
        <v>0.47750240887635031</v>
      </c>
      <c r="T944" s="360">
        <v>1.0424958181613824</v>
      </c>
      <c r="U944" s="360">
        <v>1.4229527784651834</v>
      </c>
      <c r="V944" s="360">
        <v>0.48691526176445082</v>
      </c>
      <c r="W944" s="360">
        <v>1.0096421046184003</v>
      </c>
      <c r="X944" s="360">
        <v>1222.8660866357495</v>
      </c>
      <c r="Y944" s="360">
        <v>0.46453047373211581</v>
      </c>
      <c r="Z944" s="360">
        <v>1.0930528742685153</v>
      </c>
      <c r="AA944" s="360">
        <v>139.69902544731943</v>
      </c>
      <c r="AB944" s="360">
        <v>0.46313954665739687</v>
      </c>
      <c r="AC944" s="360">
        <v>1.0947822966063765</v>
      </c>
      <c r="AD944" s="360">
        <v>1.0238021196384823</v>
      </c>
      <c r="AE944" s="360">
        <v>0.46350762442058768</v>
      </c>
      <c r="AF944" s="360">
        <v>1.093052904855776</v>
      </c>
      <c r="AG944" s="360">
        <v>130.18423937455717</v>
      </c>
      <c r="AH944" s="360">
        <v>279.56374356159426</v>
      </c>
      <c r="AI944" s="360">
        <v>0.46031126691835456</v>
      </c>
      <c r="AJ944" s="360">
        <v>1.1032214507765599</v>
      </c>
      <c r="AK944" s="360">
        <v>1.1720917499542221</v>
      </c>
      <c r="AL944" s="360">
        <v>0.46211050972501361</v>
      </c>
      <c r="AM944" s="360">
        <v>1.0930532534755801</v>
      </c>
      <c r="AN944" s="360">
        <v>255.81723518419884</v>
      </c>
      <c r="AO944" s="360">
        <f t="shared" si="42"/>
        <v>1</v>
      </c>
      <c r="AP944" s="360">
        <f t="shared" si="43"/>
        <v>1</v>
      </c>
      <c r="AQ944" s="360">
        <f t="shared" si="44"/>
        <v>1</v>
      </c>
    </row>
    <row r="945" spans="1:43">
      <c r="A945" s="360" t="s">
        <v>1077</v>
      </c>
      <c r="B945" t="s">
        <v>1074</v>
      </c>
      <c r="C945">
        <v>1</v>
      </c>
      <c r="D945" t="s">
        <v>1080</v>
      </c>
      <c r="E945" t="s">
        <v>1079</v>
      </c>
      <c r="F945" s="360">
        <v>14</v>
      </c>
      <c r="G945" s="360" t="str">
        <f>CONCATENATE(A945," ",B945," ",C945," ","inf+"," ",FanUpsizes!D945," ",FanUpsizes!F945)</f>
        <v>10ACH Infiltration 1 inf+ Existing 14</v>
      </c>
      <c r="H945" s="360">
        <v>1.1361857392574969E-2</v>
      </c>
      <c r="I945" s="360">
        <v>0.49720614463105456</v>
      </c>
      <c r="J945" s="360">
        <v>1.0096420461678128</v>
      </c>
      <c r="K945" s="360">
        <v>961.56526777490603</v>
      </c>
      <c r="L945" s="360">
        <v>0.48708264138285789</v>
      </c>
      <c r="M945" s="360">
        <v>1.0209082386875896</v>
      </c>
      <c r="N945" s="360">
        <v>1.1147557567418973</v>
      </c>
      <c r="O945" s="360">
        <v>0.49073536305483839</v>
      </c>
      <c r="P945" s="360">
        <v>1.0096422866661456</v>
      </c>
      <c r="Q945" s="360">
        <v>844.91615630750812</v>
      </c>
      <c r="R945" s="360">
        <v>1424.1155239625184</v>
      </c>
      <c r="S945" s="360">
        <v>0.47856980425429152</v>
      </c>
      <c r="T945" s="360">
        <v>1.038692637777884</v>
      </c>
      <c r="U945" s="360">
        <v>1.3584319424028017</v>
      </c>
      <c r="V945" s="360">
        <v>0.48692871982144431</v>
      </c>
      <c r="W945" s="360">
        <v>1.009642319334086</v>
      </c>
      <c r="X945" s="360">
        <v>1225.5626013032918</v>
      </c>
      <c r="Y945" s="360">
        <v>0.46453047373211581</v>
      </c>
      <c r="Z945" s="360">
        <v>1.0930528742685153</v>
      </c>
      <c r="AA945" s="360">
        <v>138.70875702857032</v>
      </c>
      <c r="AB945" s="360">
        <v>0.46315155873766478</v>
      </c>
      <c r="AC945" s="360">
        <v>1.0947661452969948</v>
      </c>
      <c r="AD945" s="360">
        <v>1.0235636185357349</v>
      </c>
      <c r="AE945" s="360">
        <v>0.46351647904167703</v>
      </c>
      <c r="AF945" s="360">
        <v>1.0930534529289879</v>
      </c>
      <c r="AG945" s="360">
        <v>129.24536085254081</v>
      </c>
      <c r="AH945" s="360">
        <v>271.48539351664039</v>
      </c>
      <c r="AI945" s="360">
        <v>0.46071394509425545</v>
      </c>
      <c r="AJ945" s="360">
        <v>1.1012812044279527</v>
      </c>
      <c r="AK945" s="360">
        <v>1.1324204345467603</v>
      </c>
      <c r="AL945" s="360">
        <v>0.46218658099696874</v>
      </c>
      <c r="AM945" s="360">
        <v>1.0930553433202728</v>
      </c>
      <c r="AN945" s="360">
        <v>251.42514243319968</v>
      </c>
      <c r="AO945" s="360">
        <f t="shared" si="42"/>
        <v>1</v>
      </c>
      <c r="AP945" s="360">
        <f t="shared" si="43"/>
        <v>1</v>
      </c>
      <c r="AQ945" s="360">
        <f t="shared" si="44"/>
        <v>1</v>
      </c>
    </row>
    <row r="946" spans="1:43">
      <c r="A946" s="360" t="s">
        <v>1077</v>
      </c>
      <c r="B946" t="s">
        <v>1076</v>
      </c>
      <c r="C946">
        <v>1</v>
      </c>
      <c r="D946" t="s">
        <v>1080</v>
      </c>
      <c r="E946" t="s">
        <v>1079</v>
      </c>
      <c r="F946" s="360">
        <v>14</v>
      </c>
      <c r="G946" s="360" t="str">
        <f>CONCATENATE(A946," ",B946," ",C946," ","inf+"," ",FanUpsizes!D946," ",FanUpsizes!F946)</f>
        <v>10ACH 5C 1 inf+ Existing 14</v>
      </c>
      <c r="H946" s="360">
        <v>1.1361857392574969E-2</v>
      </c>
      <c r="I946" s="360">
        <v>0.49720614463105456</v>
      </c>
      <c r="J946" s="360">
        <v>1.0096420461678128</v>
      </c>
      <c r="K946" s="360">
        <v>1649.3643662197369</v>
      </c>
      <c r="L946" s="360">
        <v>0.47638475497164229</v>
      </c>
      <c r="M946" s="360">
        <v>1.0397586045849985</v>
      </c>
      <c r="N946" s="360">
        <v>1.3836599090968038</v>
      </c>
      <c r="O946" s="360">
        <v>0.4844939716992942</v>
      </c>
      <c r="P946" s="360">
        <v>1.0096423023900851</v>
      </c>
      <c r="Q946" s="360">
        <v>1523.2553935568858</v>
      </c>
      <c r="R946" s="360">
        <v>1768.0150731849731</v>
      </c>
      <c r="S946" s="360">
        <v>0.47322086104868288</v>
      </c>
      <c r="T946" s="360">
        <v>1.0485545654285551</v>
      </c>
      <c r="U946" s="360">
        <v>1.5543527920745441</v>
      </c>
      <c r="V946" s="360">
        <v>0.48318698842511087</v>
      </c>
      <c r="W946" s="360">
        <v>1.0096432448981703</v>
      </c>
      <c r="X946" s="360">
        <v>1651.5737181299901</v>
      </c>
      <c r="Y946" s="360">
        <v>0.46453047373211581</v>
      </c>
      <c r="Z946" s="360">
        <v>1.0930528742685153</v>
      </c>
      <c r="AA946" s="360">
        <v>265.2726273308536</v>
      </c>
      <c r="AB946" s="360">
        <v>0.46130814735730102</v>
      </c>
      <c r="AC946" s="360">
        <v>1.098539637167927</v>
      </c>
      <c r="AD946" s="360">
        <v>1.0826114079692184</v>
      </c>
      <c r="AE946" s="360">
        <v>0.46230677779846718</v>
      </c>
      <c r="AF946" s="360">
        <v>1.0930539178918133</v>
      </c>
      <c r="AG946" s="360">
        <v>251.84284268652627</v>
      </c>
      <c r="AH946" s="360">
        <v>306.07434444605087</v>
      </c>
      <c r="AI946" s="360">
        <v>0.46025016534135504</v>
      </c>
      <c r="AJ946" s="360">
        <v>1.1022455019604429</v>
      </c>
      <c r="AK946" s="360">
        <v>1.152233434590501</v>
      </c>
      <c r="AL946" s="360">
        <v>0.46180514816649965</v>
      </c>
      <c r="AM946" s="360">
        <v>1.093052878756861</v>
      </c>
      <c r="AN946" s="360">
        <v>293.17438518935541</v>
      </c>
      <c r="AO946" s="360">
        <f t="shared" si="42"/>
        <v>1</v>
      </c>
      <c r="AP946" s="360">
        <f t="shared" si="43"/>
        <v>1</v>
      </c>
      <c r="AQ946" s="360">
        <f t="shared" si="44"/>
        <v>1</v>
      </c>
    </row>
    <row r="947" spans="1:43">
      <c r="A947" s="360" t="s">
        <v>1077</v>
      </c>
      <c r="B947" t="s">
        <v>1075</v>
      </c>
      <c r="C947">
        <v>2</v>
      </c>
      <c r="D947" t="s">
        <v>1080</v>
      </c>
      <c r="E947" t="s">
        <v>1079</v>
      </c>
      <c r="F947" s="360">
        <v>14</v>
      </c>
      <c r="G947" s="360" t="str">
        <f>CONCATENATE(A947," ",B947," ",C947," ","inf+"," ",FanUpsizes!D947," ",FanUpsizes!F947)</f>
        <v>10ACH Percentile 2 inf+ Existing 14</v>
      </c>
      <c r="H947" s="360">
        <v>0</v>
      </c>
      <c r="I947" s="360">
        <v>0.60865696065120634</v>
      </c>
      <c r="J947" s="360">
        <v>0.85311787432224218</v>
      </c>
      <c r="K947" s="360">
        <v>0</v>
      </c>
      <c r="L947" s="360">
        <v>0.60865696065120634</v>
      </c>
      <c r="M947" s="360">
        <v>0.85311787432224218</v>
      </c>
      <c r="N947" s="360" t="e">
        <v>#DIV/0!</v>
      </c>
      <c r="O947" s="360">
        <v>0.60865696065120634</v>
      </c>
      <c r="P947" s="360">
        <v>0.85311787432224218</v>
      </c>
      <c r="Q947" s="360">
        <v>0</v>
      </c>
      <c r="R947" s="360">
        <v>0</v>
      </c>
      <c r="S947" s="360">
        <v>0.60865696065120634</v>
      </c>
      <c r="T947" s="360">
        <v>0.85311787432224218</v>
      </c>
      <c r="U947" s="360" t="e">
        <v>#DIV/0!</v>
      </c>
      <c r="V947" s="360">
        <v>0.60865696065120634</v>
      </c>
      <c r="W947" s="360">
        <v>0.85311787432224218</v>
      </c>
      <c r="X947" s="360">
        <v>0</v>
      </c>
      <c r="Y947" s="360">
        <v>0.60865696065120634</v>
      </c>
      <c r="Z947" s="360">
        <v>0.85311787432224218</v>
      </c>
      <c r="AA947" s="360">
        <v>0</v>
      </c>
      <c r="AB947" s="360">
        <v>0.60865696065120634</v>
      </c>
      <c r="AC947" s="360">
        <v>0.85311787432224218</v>
      </c>
      <c r="AD947" s="360" t="e">
        <v>#DIV/0!</v>
      </c>
      <c r="AE947" s="360">
        <v>0.60865696065120634</v>
      </c>
      <c r="AF947" s="360">
        <v>0.85311787432224218</v>
      </c>
      <c r="AG947" s="360">
        <v>0</v>
      </c>
      <c r="AH947" s="360">
        <v>0</v>
      </c>
      <c r="AI947" s="360">
        <v>0.60865696065120634</v>
      </c>
      <c r="AJ947" s="360">
        <v>0.85311787432224218</v>
      </c>
      <c r="AK947" s="360" t="e">
        <v>#DIV/0!</v>
      </c>
      <c r="AL947" s="360">
        <v>0.60865696065120634</v>
      </c>
      <c r="AM947" s="360">
        <v>0.85311787432224218</v>
      </c>
      <c r="AN947" s="360">
        <v>0</v>
      </c>
      <c r="AO947" s="360">
        <f t="shared" si="42"/>
        <v>1</v>
      </c>
      <c r="AP947" s="360">
        <f t="shared" si="43"/>
        <v>0</v>
      </c>
      <c r="AQ947" s="360">
        <f t="shared" si="44"/>
        <v>0</v>
      </c>
    </row>
    <row r="948" spans="1:43">
      <c r="A948" s="360" t="s">
        <v>1077</v>
      </c>
      <c r="B948" t="s">
        <v>1074</v>
      </c>
      <c r="C948">
        <v>2</v>
      </c>
      <c r="D948" t="s">
        <v>1080</v>
      </c>
      <c r="E948" t="s">
        <v>1079</v>
      </c>
      <c r="F948" s="360">
        <v>14</v>
      </c>
      <c r="G948" s="360" t="str">
        <f>CONCATENATE(A948," ",B948," ",C948," ","inf+"," ",FanUpsizes!D948," ",FanUpsizes!F948)</f>
        <v>10ACH Infiltration 2 inf+ Existing 14</v>
      </c>
      <c r="H948" s="360">
        <v>0</v>
      </c>
      <c r="I948" s="360">
        <v>0.60865696065120634</v>
      </c>
      <c r="J948" s="360">
        <v>0.85311787432224218</v>
      </c>
      <c r="K948" s="360">
        <v>0</v>
      </c>
      <c r="L948" s="360">
        <v>0.60865696065120634</v>
      </c>
      <c r="M948" s="360">
        <v>0.85311787432224218</v>
      </c>
      <c r="N948" s="360" t="e">
        <v>#DIV/0!</v>
      </c>
      <c r="O948" s="360">
        <v>0.60865696065120634</v>
      </c>
      <c r="P948" s="360">
        <v>0.85311787432224218</v>
      </c>
      <c r="Q948" s="360">
        <v>0</v>
      </c>
      <c r="R948" s="360">
        <v>0</v>
      </c>
      <c r="S948" s="360">
        <v>0.60865696065120634</v>
      </c>
      <c r="T948" s="360">
        <v>0.85311787432224218</v>
      </c>
      <c r="U948" s="360" t="e">
        <v>#DIV/0!</v>
      </c>
      <c r="V948" s="360">
        <v>0.60865696065120634</v>
      </c>
      <c r="W948" s="360">
        <v>0.85311787432224218</v>
      </c>
      <c r="X948" s="360">
        <v>0</v>
      </c>
      <c r="Y948" s="360">
        <v>0.60865696065120634</v>
      </c>
      <c r="Z948" s="360">
        <v>0.85311787432224218</v>
      </c>
      <c r="AA948" s="360">
        <v>0</v>
      </c>
      <c r="AB948" s="360">
        <v>0.60865696065120634</v>
      </c>
      <c r="AC948" s="360">
        <v>0.85311787432224218</v>
      </c>
      <c r="AD948" s="360" t="e">
        <v>#DIV/0!</v>
      </c>
      <c r="AE948" s="360">
        <v>0.60865696065120634</v>
      </c>
      <c r="AF948" s="360">
        <v>0.85311787432224218</v>
      </c>
      <c r="AG948" s="360">
        <v>0</v>
      </c>
      <c r="AH948" s="360">
        <v>0</v>
      </c>
      <c r="AI948" s="360">
        <v>0.60865696065120634</v>
      </c>
      <c r="AJ948" s="360">
        <v>0.85311787432224218</v>
      </c>
      <c r="AK948" s="360" t="e">
        <v>#DIV/0!</v>
      </c>
      <c r="AL948" s="360">
        <v>0.60865696065120634</v>
      </c>
      <c r="AM948" s="360">
        <v>0.85311787432224218</v>
      </c>
      <c r="AN948" s="360">
        <v>0</v>
      </c>
      <c r="AO948" s="360">
        <f t="shared" si="42"/>
        <v>1</v>
      </c>
      <c r="AP948" s="360">
        <f t="shared" si="43"/>
        <v>0</v>
      </c>
      <c r="AQ948" s="360">
        <f t="shared" si="44"/>
        <v>0</v>
      </c>
    </row>
    <row r="949" spans="1:43">
      <c r="A949" s="360" t="s">
        <v>1077</v>
      </c>
      <c r="B949" t="s">
        <v>1076</v>
      </c>
      <c r="C949">
        <v>2</v>
      </c>
      <c r="D949" t="s">
        <v>1080</v>
      </c>
      <c r="E949" t="s">
        <v>1079</v>
      </c>
      <c r="F949" s="360">
        <v>14</v>
      </c>
      <c r="G949" s="360" t="str">
        <f>CONCATENATE(A949," ",B949," ",C949," ","inf+"," ",FanUpsizes!D949," ",FanUpsizes!F949)</f>
        <v>10ACH 5C 2 inf+ Existing 14</v>
      </c>
      <c r="H949" s="360">
        <v>0</v>
      </c>
      <c r="I949" s="360">
        <v>0.60865696065120634</v>
      </c>
      <c r="J949" s="360">
        <v>0.85311787432224218</v>
      </c>
      <c r="K949" s="360">
        <v>0</v>
      </c>
      <c r="L949" s="360">
        <v>0.60865696065120634</v>
      </c>
      <c r="M949" s="360">
        <v>0.85311787432224218</v>
      </c>
      <c r="N949" s="360" t="e">
        <v>#DIV/0!</v>
      </c>
      <c r="O949" s="360">
        <v>0.60865696065120634</v>
      </c>
      <c r="P949" s="360">
        <v>0.85311787432224218</v>
      </c>
      <c r="Q949" s="360">
        <v>0</v>
      </c>
      <c r="R949" s="360">
        <v>0</v>
      </c>
      <c r="S949" s="360">
        <v>0.60865696065120634</v>
      </c>
      <c r="T949" s="360">
        <v>0.85311787432224218</v>
      </c>
      <c r="U949" s="360" t="e">
        <v>#DIV/0!</v>
      </c>
      <c r="V949" s="360">
        <v>0.60865696065120634</v>
      </c>
      <c r="W949" s="360">
        <v>0.85311787432224218</v>
      </c>
      <c r="X949" s="360">
        <v>0</v>
      </c>
      <c r="Y949" s="360">
        <v>0.60865696065120634</v>
      </c>
      <c r="Z949" s="360">
        <v>0.85311787432224218</v>
      </c>
      <c r="AA949" s="360">
        <v>0</v>
      </c>
      <c r="AB949" s="360">
        <v>0.60865696065120634</v>
      </c>
      <c r="AC949" s="360">
        <v>0.85311787432224218</v>
      </c>
      <c r="AD949" s="360" t="e">
        <v>#DIV/0!</v>
      </c>
      <c r="AE949" s="360">
        <v>0.60865696065120634</v>
      </c>
      <c r="AF949" s="360">
        <v>0.85311787432224218</v>
      </c>
      <c r="AG949" s="360">
        <v>0</v>
      </c>
      <c r="AH949" s="360">
        <v>0</v>
      </c>
      <c r="AI949" s="360">
        <v>0.60865696065120634</v>
      </c>
      <c r="AJ949" s="360">
        <v>0.85311787432224218</v>
      </c>
      <c r="AK949" s="360" t="e">
        <v>#DIV/0!</v>
      </c>
      <c r="AL949" s="360">
        <v>0.60865696065120634</v>
      </c>
      <c r="AM949" s="360">
        <v>0.85311787432224218</v>
      </c>
      <c r="AN949" s="360">
        <v>0</v>
      </c>
      <c r="AO949" s="360">
        <f t="shared" si="42"/>
        <v>1</v>
      </c>
      <c r="AP949" s="360">
        <f t="shared" si="43"/>
        <v>0</v>
      </c>
      <c r="AQ949" s="360">
        <f t="shared" si="44"/>
        <v>0</v>
      </c>
    </row>
    <row r="950" spans="1:43">
      <c r="A950" s="360" t="s">
        <v>1081</v>
      </c>
      <c r="B950" t="s">
        <v>1075</v>
      </c>
      <c r="C950">
        <v>1</v>
      </c>
      <c r="D950" t="s">
        <v>1078</v>
      </c>
      <c r="E950" t="s">
        <v>1079</v>
      </c>
      <c r="F950" s="360">
        <v>14</v>
      </c>
      <c r="G950" s="360" t="str">
        <f>CONCATENATE(A950," ",B950," ",C950," ","inf+"," ",FanUpsizes!D950," ",FanUpsizes!F950)</f>
        <v>7ACH Percentile 1 inf+ New 14</v>
      </c>
      <c r="H950" s="360">
        <v>1.4421666666666666E-2</v>
      </c>
      <c r="I950" s="360">
        <v>0.37194168406112382</v>
      </c>
      <c r="J950" s="360">
        <v>0.959053067900419</v>
      </c>
      <c r="K950" s="360">
        <v>1228.4222808416082</v>
      </c>
      <c r="L950" s="360">
        <v>0.35898858238513065</v>
      </c>
      <c r="M950" s="360">
        <v>0.97924008593461631</v>
      </c>
      <c r="N950" s="360">
        <v>1.1359292304764619</v>
      </c>
      <c r="O950" s="360">
        <v>0.36448334537964278</v>
      </c>
      <c r="P950" s="360">
        <v>0.95905307883954138</v>
      </c>
      <c r="Q950" s="360">
        <v>1054.114067990007</v>
      </c>
      <c r="R950" s="360">
        <v>1837.114112929265</v>
      </c>
      <c r="S950" s="360">
        <v>0.34693162634572716</v>
      </c>
      <c r="T950" s="360">
        <v>1.0145105905913094</v>
      </c>
      <c r="U950" s="360">
        <v>1.4735018830779247</v>
      </c>
      <c r="V950" s="360">
        <v>0.36040276854051329</v>
      </c>
      <c r="W950" s="360">
        <v>0.95905307753465763</v>
      </c>
      <c r="X950" s="360">
        <v>1518.1379168195062</v>
      </c>
      <c r="Y950" s="360">
        <v>0.33903046120195302</v>
      </c>
      <c r="Z950" s="360">
        <v>1.0541786489408838</v>
      </c>
      <c r="AA950" s="360">
        <v>307.37405747923697</v>
      </c>
      <c r="AB950" s="360">
        <v>0.335864880295418</v>
      </c>
      <c r="AC950" s="360">
        <v>1.0598437330302872</v>
      </c>
      <c r="AD950" s="360">
        <v>1.032917543813002</v>
      </c>
      <c r="AE950" s="360">
        <v>0.33693470587689422</v>
      </c>
      <c r="AF950" s="360">
        <v>1.0541794741511206</v>
      </c>
      <c r="AG950" s="360">
        <v>279.37739008997772</v>
      </c>
      <c r="AH950" s="360">
        <v>610.74963059459799</v>
      </c>
      <c r="AI950" s="360">
        <v>0.32957291408416567</v>
      </c>
      <c r="AJ950" s="360">
        <v>1.0844921322259817</v>
      </c>
      <c r="AK950" s="360">
        <v>1.2283578275186722</v>
      </c>
      <c r="AL950" s="360">
        <v>0.33453372674564769</v>
      </c>
      <c r="AM950" s="360">
        <v>1.054178946554224</v>
      </c>
      <c r="AN950" s="360">
        <v>543.92191472626064</v>
      </c>
      <c r="AO950" s="360">
        <f t="shared" si="42"/>
        <v>1</v>
      </c>
      <c r="AP950" s="360">
        <f t="shared" si="43"/>
        <v>1</v>
      </c>
      <c r="AQ950" s="360">
        <f t="shared" si="44"/>
        <v>1</v>
      </c>
    </row>
    <row r="951" spans="1:43">
      <c r="A951" s="360" t="s">
        <v>1081</v>
      </c>
      <c r="B951" t="s">
        <v>1074</v>
      </c>
      <c r="C951">
        <v>1</v>
      </c>
      <c r="D951" t="s">
        <v>1078</v>
      </c>
      <c r="E951" t="s">
        <v>1079</v>
      </c>
      <c r="F951" s="360">
        <v>14</v>
      </c>
      <c r="G951" s="360" t="str">
        <f>CONCATENATE(A951," ",B951," ",C951," ","inf+"," ",FanUpsizes!D951," ",FanUpsizes!F951)</f>
        <v>7ACH Infiltration 1 inf+ New 14</v>
      </c>
      <c r="H951" s="360">
        <v>1.4421666666666666E-2</v>
      </c>
      <c r="I951" s="360">
        <v>0.37194168406112382</v>
      </c>
      <c r="J951" s="360">
        <v>0.959053067900419</v>
      </c>
      <c r="K951" s="360">
        <v>1089.4014857261604</v>
      </c>
      <c r="L951" s="360">
        <v>0.36073834471284388</v>
      </c>
      <c r="M951" s="360">
        <v>0.97601046142511172</v>
      </c>
      <c r="N951" s="360">
        <v>1.1115548211881798</v>
      </c>
      <c r="O951" s="360">
        <v>0.3654422120299512</v>
      </c>
      <c r="P951" s="360">
        <v>0.95905569859542705</v>
      </c>
      <c r="Q951" s="360">
        <v>930.84124266614901</v>
      </c>
      <c r="R951" s="360">
        <v>1731.6642827890228</v>
      </c>
      <c r="S951" s="360">
        <v>0.34949551420091901</v>
      </c>
      <c r="T951" s="360">
        <v>1.0053256734068612</v>
      </c>
      <c r="U951" s="360">
        <v>1.3704677886797116</v>
      </c>
      <c r="V951" s="360">
        <v>0.36097003922439735</v>
      </c>
      <c r="W951" s="360">
        <v>0.95905351552429363</v>
      </c>
      <c r="X951" s="360">
        <v>1443.0315985823993</v>
      </c>
      <c r="Y951" s="360">
        <v>0.33903046120195302</v>
      </c>
      <c r="Z951" s="360">
        <v>1.0541786489408838</v>
      </c>
      <c r="AA951" s="360">
        <v>269.28387787431456</v>
      </c>
      <c r="AB951" s="360">
        <v>0.33632768611347458</v>
      </c>
      <c r="AC951" s="360">
        <v>1.0588570484133386</v>
      </c>
      <c r="AD951" s="360">
        <v>1.0269094798438501</v>
      </c>
      <c r="AE951" s="360">
        <v>0.33722499860013266</v>
      </c>
      <c r="AF951" s="360">
        <v>1.0541788619667927</v>
      </c>
      <c r="AG951" s="360">
        <v>244.4651944957121</v>
      </c>
      <c r="AH951" s="360">
        <v>578.13489777123823</v>
      </c>
      <c r="AI951" s="360">
        <v>0.33080349305492068</v>
      </c>
      <c r="AJ951" s="360">
        <v>1.0776959332618172</v>
      </c>
      <c r="AK951" s="360">
        <v>1.1648007242181149</v>
      </c>
      <c r="AL951" s="360">
        <v>0.33471269464982423</v>
      </c>
      <c r="AM951" s="360">
        <v>1.0541788851541352</v>
      </c>
      <c r="AN951" s="360">
        <v>520.56832293865614</v>
      </c>
      <c r="AO951" s="360">
        <f t="shared" si="42"/>
        <v>1</v>
      </c>
      <c r="AP951" s="360">
        <f t="shared" si="43"/>
        <v>1</v>
      </c>
      <c r="AQ951" s="360">
        <f t="shared" si="44"/>
        <v>1</v>
      </c>
    </row>
    <row r="952" spans="1:43">
      <c r="A952" s="360" t="s">
        <v>1081</v>
      </c>
      <c r="B952" t="s">
        <v>1076</v>
      </c>
      <c r="C952">
        <v>1</v>
      </c>
      <c r="D952" t="s">
        <v>1078</v>
      </c>
      <c r="E952" t="s">
        <v>1079</v>
      </c>
      <c r="F952" s="360">
        <v>14</v>
      </c>
      <c r="G952" s="360" t="str">
        <f>CONCATENATE(A952," ",B952," ",C952," ","inf+"," ",FanUpsizes!D952," ",FanUpsizes!F952)</f>
        <v>7ACH 5C 1 inf+ New 14</v>
      </c>
      <c r="H952" s="360">
        <v>1.4421666666666666E-2</v>
      </c>
      <c r="I952" s="360">
        <v>0.37194168406112382</v>
      </c>
      <c r="J952" s="360">
        <v>0.959053067900419</v>
      </c>
      <c r="K952" s="360">
        <v>2093.5470565793112</v>
      </c>
      <c r="L952" s="360">
        <v>0.34551298223627736</v>
      </c>
      <c r="M952" s="360">
        <v>1.0118229592560939</v>
      </c>
      <c r="N952" s="360">
        <v>1.4609397228433065</v>
      </c>
      <c r="O952" s="360">
        <v>0.35796979342033347</v>
      </c>
      <c r="P952" s="360">
        <v>0.95905309863649535</v>
      </c>
      <c r="Q952" s="360">
        <v>1901.2335335289442</v>
      </c>
      <c r="R952" s="360">
        <v>2233.7370682156011</v>
      </c>
      <c r="S952" s="360">
        <v>0.3418828329626355</v>
      </c>
      <c r="T952" s="360">
        <v>1.0246310728260899</v>
      </c>
      <c r="U952" s="360">
        <v>1.6346633529543375</v>
      </c>
      <c r="V952" s="360">
        <v>0.35678157015754319</v>
      </c>
      <c r="W952" s="360">
        <v>0.95905310037839941</v>
      </c>
      <c r="X952" s="360">
        <v>2057.9159401128572</v>
      </c>
      <c r="Y952" s="360">
        <v>0.33903046120195302</v>
      </c>
      <c r="Z952" s="360">
        <v>1.0541786489408838</v>
      </c>
      <c r="AA952" s="360">
        <v>580.30659770488478</v>
      </c>
      <c r="AB952" s="360">
        <v>0.33172708332687934</v>
      </c>
      <c r="AC952" s="360">
        <v>1.0717263240507575</v>
      </c>
      <c r="AD952" s="360">
        <v>1.1162656397402488</v>
      </c>
      <c r="AE952" s="360">
        <v>0.33463704552792295</v>
      </c>
      <c r="AF952" s="360">
        <v>1.0541787604060968</v>
      </c>
      <c r="AG952" s="360">
        <v>541.46079654632354</v>
      </c>
      <c r="AH952" s="360">
        <v>661.24682734078203</v>
      </c>
      <c r="AI952" s="360">
        <v>0.3296307182619026</v>
      </c>
      <c r="AJ952" s="360">
        <v>1.0811299947633886</v>
      </c>
      <c r="AK952" s="360">
        <v>1.1987330223562001</v>
      </c>
      <c r="AL952" s="360">
        <v>0.33388953309982272</v>
      </c>
      <c r="AM952" s="360">
        <v>1.0541786543007841</v>
      </c>
      <c r="AN952" s="360">
        <v>625.07228637528681</v>
      </c>
      <c r="AO952" s="360">
        <f t="shared" si="42"/>
        <v>1</v>
      </c>
      <c r="AP952" s="360">
        <f t="shared" si="43"/>
        <v>1</v>
      </c>
      <c r="AQ952" s="360">
        <f t="shared" si="44"/>
        <v>1</v>
      </c>
    </row>
    <row r="953" spans="1:43">
      <c r="A953" s="360" t="s">
        <v>1081</v>
      </c>
      <c r="B953" t="s">
        <v>1075</v>
      </c>
      <c r="C953">
        <v>2</v>
      </c>
      <c r="D953" t="s">
        <v>1078</v>
      </c>
      <c r="E953" t="s">
        <v>1079</v>
      </c>
      <c r="F953" s="360">
        <v>14</v>
      </c>
      <c r="G953" s="360" t="str">
        <f>CONCATENATE(A953," ",B953," ",C953," ","inf+"," ",FanUpsizes!D953," ",FanUpsizes!F953)</f>
        <v>7ACH Percentile 2 inf+ New 14</v>
      </c>
      <c r="H953" s="360">
        <v>1.4421666666666666E-2</v>
      </c>
      <c r="I953" s="360">
        <v>0.4793027955864787</v>
      </c>
      <c r="J953" s="360">
        <v>0.75375579025430195</v>
      </c>
      <c r="K953" s="360">
        <v>1228.4222808415752</v>
      </c>
      <c r="L953" s="360">
        <v>0.46634969391048708</v>
      </c>
      <c r="M953" s="360">
        <v>0.76584764157041407</v>
      </c>
      <c r="N953" s="360">
        <v>1.1299381989485702</v>
      </c>
      <c r="O953" s="360">
        <v>0.47158857193009845</v>
      </c>
      <c r="P953" s="360">
        <v>0.75375579050006525</v>
      </c>
      <c r="Q953" s="360">
        <v>1061.7966392449957</v>
      </c>
      <c r="R953" s="360">
        <v>1837.1141129292607</v>
      </c>
      <c r="S953" s="360">
        <v>0.45429273787108648</v>
      </c>
      <c r="T953" s="360">
        <v>0.78745232167388735</v>
      </c>
      <c r="U953" s="360">
        <v>1.4601448399977621</v>
      </c>
      <c r="V953" s="360">
        <v>0.46731806564290113</v>
      </c>
      <c r="W953" s="360">
        <v>0.75375585560140079</v>
      </c>
      <c r="X953" s="360">
        <v>1527.1359355080745</v>
      </c>
      <c r="Y953" s="360">
        <v>0.44171195811320874</v>
      </c>
      <c r="Z953" s="360">
        <v>0.82451229484471755</v>
      </c>
      <c r="AA953" s="360">
        <v>238.67162063313401</v>
      </c>
      <c r="AB953" s="360">
        <v>0.43928651564393983</v>
      </c>
      <c r="AC953" s="360">
        <v>0.8270932397356513</v>
      </c>
      <c r="AD953" s="360">
        <v>1.0290967158226645</v>
      </c>
      <c r="AE953" s="360">
        <v>0.44003116696250322</v>
      </c>
      <c r="AF953" s="360">
        <v>0.82451256243726079</v>
      </c>
      <c r="AG953" s="360">
        <v>219.23065771745922</v>
      </c>
      <c r="AH953" s="360">
        <v>474.56042327790198</v>
      </c>
      <c r="AI953" s="360">
        <v>0.43444193993634034</v>
      </c>
      <c r="AJ953" s="360">
        <v>0.83878643415906695</v>
      </c>
      <c r="AK953" s="360">
        <v>1.2042914412735093</v>
      </c>
      <c r="AL953" s="360">
        <v>0.43794754041909306</v>
      </c>
      <c r="AM953" s="360">
        <v>0.82451400464227242</v>
      </c>
      <c r="AN953" s="360">
        <v>427.78979945091504</v>
      </c>
      <c r="AO953" s="360">
        <f t="shared" si="42"/>
        <v>1</v>
      </c>
      <c r="AP953" s="360">
        <f t="shared" si="43"/>
        <v>1</v>
      </c>
      <c r="AQ953" s="360">
        <f t="shared" si="44"/>
        <v>1</v>
      </c>
    </row>
    <row r="954" spans="1:43">
      <c r="A954" s="360" t="s">
        <v>1081</v>
      </c>
      <c r="B954" t="s">
        <v>1074</v>
      </c>
      <c r="C954">
        <v>2</v>
      </c>
      <c r="D954" t="s">
        <v>1078</v>
      </c>
      <c r="E954" t="s">
        <v>1079</v>
      </c>
      <c r="F954" s="360">
        <v>14</v>
      </c>
      <c r="G954" s="360" t="str">
        <f>CONCATENATE(A954," ",B954," ",C954," ","inf+"," ",FanUpsizes!D954," ",FanUpsizes!F954)</f>
        <v>7ACH Infiltration 2 inf+ New 14</v>
      </c>
      <c r="H954" s="360">
        <v>1.4421666666666666E-2</v>
      </c>
      <c r="I954" s="360">
        <v>0.4793027955864787</v>
      </c>
      <c r="J954" s="360">
        <v>0.75375579025430195</v>
      </c>
      <c r="K954" s="360">
        <v>1868.9194094126283</v>
      </c>
      <c r="L954" s="360">
        <v>0.4569386458353884</v>
      </c>
      <c r="M954" s="360">
        <v>0.7785977449707131</v>
      </c>
      <c r="N954" s="360">
        <v>1.3115819291254565</v>
      </c>
      <c r="O954" s="360">
        <v>0.46657643373393753</v>
      </c>
      <c r="P954" s="360">
        <v>0.75375672895176959</v>
      </c>
      <c r="Q954" s="360">
        <v>1668.9311110363535</v>
      </c>
      <c r="R954" s="360">
        <v>2167.7601217363881</v>
      </c>
      <c r="S954" s="360">
        <v>0.44878827721515213</v>
      </c>
      <c r="T954" s="360">
        <v>0.79682877823850651</v>
      </c>
      <c r="U954" s="360">
        <v>1.6767294233133299</v>
      </c>
      <c r="V954" s="360">
        <v>0.46424204599544239</v>
      </c>
      <c r="W954" s="360">
        <v>0.75375580230654127</v>
      </c>
      <c r="X954" s="360">
        <v>1935.6368667213592</v>
      </c>
      <c r="Y954" s="360">
        <v>0.44171195811320874</v>
      </c>
      <c r="Z954" s="360">
        <v>0.82451229484471755</v>
      </c>
      <c r="AA954" s="360">
        <v>390.93048638454127</v>
      </c>
      <c r="AB954" s="360">
        <v>0.43715100065418483</v>
      </c>
      <c r="AC954" s="360">
        <v>0.83049847297448565</v>
      </c>
      <c r="AD954" s="360">
        <v>1.0722680341510933</v>
      </c>
      <c r="AE954" s="360">
        <v>0.43871886764732804</v>
      </c>
      <c r="AF954" s="360">
        <v>0.82451232029886945</v>
      </c>
      <c r="AG954" s="360">
        <v>363.4611456422773</v>
      </c>
      <c r="AH954" s="360">
        <v>520.76529115937285</v>
      </c>
      <c r="AI954" s="360">
        <v>0.43345387068952251</v>
      </c>
      <c r="AJ954" s="360">
        <v>0.84165560657862304</v>
      </c>
      <c r="AK954" s="360">
        <v>1.2628579856215258</v>
      </c>
      <c r="AL954" s="360">
        <v>0.43749426132144204</v>
      </c>
      <c r="AM954" s="360">
        <v>0.82451234301612353</v>
      </c>
      <c r="AN954" s="360">
        <v>484.55918327551933</v>
      </c>
      <c r="AO954" s="360">
        <f t="shared" si="42"/>
        <v>1</v>
      </c>
      <c r="AP954" s="360">
        <f t="shared" si="43"/>
        <v>1</v>
      </c>
      <c r="AQ954" s="360">
        <f t="shared" si="44"/>
        <v>1</v>
      </c>
    </row>
    <row r="955" spans="1:43">
      <c r="A955" s="360" t="s">
        <v>1081</v>
      </c>
      <c r="B955" t="s">
        <v>1076</v>
      </c>
      <c r="C955">
        <v>2</v>
      </c>
      <c r="D955" t="s">
        <v>1078</v>
      </c>
      <c r="E955" t="s">
        <v>1079</v>
      </c>
      <c r="F955" s="360">
        <v>14</v>
      </c>
      <c r="G955" s="360" t="str">
        <f>CONCATENATE(A955," ",B955," ",C955," ","inf+"," ",FanUpsizes!D955," ",FanUpsizes!F955)</f>
        <v>7ACH 5C 2 inf+ New 14</v>
      </c>
      <c r="H955" s="360">
        <v>1.4421666666666666E-2</v>
      </c>
      <c r="I955" s="360">
        <v>0.4793027955864787</v>
      </c>
      <c r="J955" s="360">
        <v>0.75375579025430195</v>
      </c>
      <c r="K955" s="360">
        <v>2093.5470565792471</v>
      </c>
      <c r="L955" s="360">
        <v>0.4528740937616349</v>
      </c>
      <c r="M955" s="360">
        <v>0.78537147529333196</v>
      </c>
      <c r="N955" s="360">
        <v>1.4347144691586109</v>
      </c>
      <c r="O955" s="360">
        <v>0.4645610180352826</v>
      </c>
      <c r="P955" s="360">
        <v>0.75375585766357411</v>
      </c>
      <c r="Q955" s="360">
        <v>1912.175248202333</v>
      </c>
      <c r="R955" s="360">
        <v>2280.0739453197225</v>
      </c>
      <c r="S955" s="360">
        <v>0.44675600117827502</v>
      </c>
      <c r="T955" s="360">
        <v>0.80044584444757461</v>
      </c>
      <c r="U955" s="360">
        <v>1.7828813254083646</v>
      </c>
      <c r="V955" s="360">
        <v>0.46305464314743283</v>
      </c>
      <c r="W955" s="360">
        <v>0.75375597259636495</v>
      </c>
      <c r="X955" s="360">
        <v>2099.46818880004</v>
      </c>
      <c r="Y955" s="360">
        <v>0.44171195811320874</v>
      </c>
      <c r="Z955" s="360">
        <v>0.82451229484471755</v>
      </c>
      <c r="AA955" s="360">
        <v>450.77507334264567</v>
      </c>
      <c r="AB955" s="360">
        <v>0.43611990625713165</v>
      </c>
      <c r="AC955" s="360">
        <v>0.83254084972259401</v>
      </c>
      <c r="AD955" s="360">
        <v>1.1012000220781226</v>
      </c>
      <c r="AE955" s="360">
        <v>0.4381258063490478</v>
      </c>
      <c r="AF955" s="360">
        <v>0.82451450809848204</v>
      </c>
      <c r="AG955" s="360">
        <v>423.8712688310448</v>
      </c>
      <c r="AH955" s="360">
        <v>536.97074859716497</v>
      </c>
      <c r="AI955" s="360">
        <v>0.4331924885533609</v>
      </c>
      <c r="AJ955" s="360">
        <v>0.84219144416284908</v>
      </c>
      <c r="AK955" s="360">
        <v>1.2756243095930344</v>
      </c>
      <c r="AL955" s="360">
        <v>0.43728464708285947</v>
      </c>
      <c r="AM955" s="360">
        <v>0.82451250259006237</v>
      </c>
      <c r="AN955" s="360">
        <v>508.19779359325838</v>
      </c>
      <c r="AO955" s="360">
        <f t="shared" si="42"/>
        <v>1</v>
      </c>
      <c r="AP955" s="360">
        <f t="shared" si="43"/>
        <v>1</v>
      </c>
      <c r="AQ955" s="360">
        <f t="shared" si="44"/>
        <v>1</v>
      </c>
    </row>
    <row r="956" spans="1:43">
      <c r="A956" s="360" t="s">
        <v>1081</v>
      </c>
      <c r="B956" t="s">
        <v>1075</v>
      </c>
      <c r="C956">
        <v>1</v>
      </c>
      <c r="D956" t="s">
        <v>1080</v>
      </c>
      <c r="E956" t="s">
        <v>1079</v>
      </c>
      <c r="F956" s="360">
        <v>14</v>
      </c>
      <c r="G956" s="360" t="str">
        <f>CONCATENATE(A956," ",B956," ",C956," ","inf+"," ",FanUpsizes!D956," ",FanUpsizes!F956)</f>
        <v>7ACH Percentile 1 inf+ Existing 14</v>
      </c>
      <c r="H956" s="360">
        <v>2.5807800174802484E-2</v>
      </c>
      <c r="I956" s="360">
        <v>0.41427448480199924</v>
      </c>
      <c r="J956" s="360">
        <v>1.1569057626799626</v>
      </c>
      <c r="K956" s="360">
        <v>2198.2810646645371</v>
      </c>
      <c r="L956" s="360">
        <v>0.39109470486223658</v>
      </c>
      <c r="M956" s="360">
        <v>1.2022841858272306</v>
      </c>
      <c r="N956" s="360">
        <v>1.162836728672624</v>
      </c>
      <c r="O956" s="360">
        <v>0.40318279513093602</v>
      </c>
      <c r="P956" s="360">
        <v>1.1569057778274761</v>
      </c>
      <c r="Q956" s="360">
        <v>1824.594054398254</v>
      </c>
      <c r="R956" s="360">
        <v>3287.5447076013902</v>
      </c>
      <c r="S956" s="360">
        <v>0.3695185916865999</v>
      </c>
      <c r="T956" s="360">
        <v>1.2736118991806875</v>
      </c>
      <c r="U956" s="360">
        <v>1.5147660407337122</v>
      </c>
      <c r="V956" s="360">
        <v>0.39752267288297721</v>
      </c>
      <c r="W956" s="360">
        <v>1.1569058080437984</v>
      </c>
      <c r="X956" s="360">
        <v>2666.1129262905815</v>
      </c>
      <c r="Y956" s="360">
        <v>0.37768492599245462</v>
      </c>
      <c r="Z956" s="360">
        <v>1.2477212285036356</v>
      </c>
      <c r="AA956" s="360">
        <v>935.32882927404626</v>
      </c>
      <c r="AB956" s="360">
        <v>0.36787754937319417</v>
      </c>
      <c r="AC956" s="360">
        <v>1.2701276666480694</v>
      </c>
      <c r="AD956" s="360">
        <v>1.0558773815787381</v>
      </c>
      <c r="AE956" s="360">
        <v>0.37273018978953965</v>
      </c>
      <c r="AF956" s="360">
        <v>1.2477218343941103</v>
      </c>
      <c r="AG956" s="360">
        <v>801.72690991112574</v>
      </c>
      <c r="AH956" s="360">
        <v>1820.4775103328132</v>
      </c>
      <c r="AI956" s="360">
        <v>0.34943887614964092</v>
      </c>
      <c r="AJ956" s="360">
        <v>1.3491813374711836</v>
      </c>
      <c r="AK956" s="360">
        <v>1.3520314332113106</v>
      </c>
      <c r="AL956" s="360">
        <v>0.36970668141147323</v>
      </c>
      <c r="AM956" s="360">
        <v>1.247721294672741</v>
      </c>
      <c r="AN956" s="360">
        <v>1512.4267148222527</v>
      </c>
      <c r="AO956" s="360">
        <f t="shared" si="42"/>
        <v>1</v>
      </c>
      <c r="AP956" s="360">
        <f t="shared" si="43"/>
        <v>1</v>
      </c>
      <c r="AQ956" s="360">
        <f t="shared" si="44"/>
        <v>1</v>
      </c>
    </row>
    <row r="957" spans="1:43">
      <c r="A957" s="360" t="s">
        <v>1081</v>
      </c>
      <c r="B957" t="s">
        <v>1074</v>
      </c>
      <c r="C957">
        <v>1</v>
      </c>
      <c r="D957" t="s">
        <v>1080</v>
      </c>
      <c r="E957" t="s">
        <v>1079</v>
      </c>
      <c r="F957" s="360">
        <v>14</v>
      </c>
      <c r="G957" s="360" t="str">
        <f>CONCATENATE(A957," ",B957," ",C957," ","inf+"," ",FanUpsizes!D957," ",FanUpsizes!F957)</f>
        <v>7ACH Infiltration 1 inf+ Existing 14</v>
      </c>
      <c r="H957" s="360">
        <v>2.5807800174802484E-2</v>
      </c>
      <c r="I957" s="360">
        <v>0.41427448480199924</v>
      </c>
      <c r="J957" s="360">
        <v>1.1569057626799626</v>
      </c>
      <c r="K957" s="360">
        <v>204.66488526080755</v>
      </c>
      <c r="L957" s="360">
        <v>0.41257840334299228</v>
      </c>
      <c r="M957" s="360">
        <v>1.1592649858675064</v>
      </c>
      <c r="N957" s="360">
        <v>1.0072916380765378</v>
      </c>
      <c r="O957" s="360">
        <v>0.41327255276326691</v>
      </c>
      <c r="P957" s="360">
        <v>1.156905841296799</v>
      </c>
      <c r="Q957" s="360">
        <v>173.39547281970889</v>
      </c>
      <c r="R957" s="360">
        <v>1974.96055973273</v>
      </c>
      <c r="S957" s="360">
        <v>0.38979002681684694</v>
      </c>
      <c r="T957" s="360">
        <v>1.2102128470446893</v>
      </c>
      <c r="U957" s="360">
        <v>1.191354604361458</v>
      </c>
      <c r="V957" s="360">
        <v>0.4037621714269149</v>
      </c>
      <c r="W957" s="360">
        <v>1.1569071099701644</v>
      </c>
      <c r="X957" s="360">
        <v>1493.0898220103511</v>
      </c>
      <c r="Y957" s="360">
        <v>0.37768492599245462</v>
      </c>
      <c r="Z957" s="360">
        <v>1.2477212285036356</v>
      </c>
      <c r="AA957" s="360">
        <v>74.884860628629141</v>
      </c>
      <c r="AB957" s="360">
        <v>0.37707334541491722</v>
      </c>
      <c r="AC957" s="360">
        <v>1.2486973854699717</v>
      </c>
      <c r="AD957" s="360">
        <v>1.0021996200374785</v>
      </c>
      <c r="AE957" s="360">
        <v>0.37730010310722922</v>
      </c>
      <c r="AF957" s="360">
        <v>1.2477254941784386</v>
      </c>
      <c r="AG957" s="360">
        <v>66.148495361290671</v>
      </c>
      <c r="AH957" s="360">
        <v>1298.4733078536494</v>
      </c>
      <c r="AI957" s="360">
        <v>0.36102399327084261</v>
      </c>
      <c r="AJ957" s="360">
        <v>1.2951222261263184</v>
      </c>
      <c r="AK957" s="360">
        <v>1.1306669310618711</v>
      </c>
      <c r="AL957" s="360">
        <v>0.37095447222826033</v>
      </c>
      <c r="AM957" s="360">
        <v>1.2477212863931626</v>
      </c>
      <c r="AN957" s="360">
        <v>1063.5555596484082</v>
      </c>
      <c r="AO957" s="360">
        <f t="shared" si="42"/>
        <v>1</v>
      </c>
      <c r="AP957" s="360">
        <f t="shared" si="43"/>
        <v>1</v>
      </c>
      <c r="AQ957" s="360">
        <f t="shared" si="44"/>
        <v>1</v>
      </c>
    </row>
    <row r="958" spans="1:43">
      <c r="A958" s="360" t="s">
        <v>1081</v>
      </c>
      <c r="B958" t="s">
        <v>1076</v>
      </c>
      <c r="C958">
        <v>1</v>
      </c>
      <c r="D958" t="s">
        <v>1080</v>
      </c>
      <c r="E958" t="s">
        <v>1079</v>
      </c>
      <c r="F958" s="360">
        <v>14</v>
      </c>
      <c r="G958" s="360" t="str">
        <f>CONCATENATE(A958," ",B958," ",C958," ","inf+"," ",FanUpsizes!D958," ",FanUpsizes!F958)</f>
        <v>7ACH 5C 1 inf+ Existing 14</v>
      </c>
      <c r="H958" s="360">
        <v>2.5807800174802484E-2</v>
      </c>
      <c r="I958" s="360">
        <v>0.41427448480199924</v>
      </c>
      <c r="J958" s="360">
        <v>1.1569057626799626</v>
      </c>
      <c r="K958" s="360">
        <v>3746.4355085690227</v>
      </c>
      <c r="L958" s="360">
        <v>0.36697990565661293</v>
      </c>
      <c r="M958" s="360">
        <v>1.2737531929722141</v>
      </c>
      <c r="N958" s="360">
        <v>1.5564326782330442</v>
      </c>
      <c r="O958" s="360">
        <v>0.39599734076880905</v>
      </c>
      <c r="P958" s="360">
        <v>1.1569057864079011</v>
      </c>
      <c r="Q958" s="360">
        <v>3329.6475074557243</v>
      </c>
      <c r="R958" s="360">
        <v>3746.4355085690227</v>
      </c>
      <c r="S958" s="360">
        <v>0.36697990565661293</v>
      </c>
      <c r="T958" s="360">
        <v>1.2737531929722141</v>
      </c>
      <c r="U958" s="360">
        <v>1.5564326782330442</v>
      </c>
      <c r="V958" s="360">
        <v>0.39599734076880905</v>
      </c>
      <c r="W958" s="360">
        <v>1.1569057864079011</v>
      </c>
      <c r="X958" s="360">
        <v>3329.6475074557243</v>
      </c>
      <c r="Y958" s="360">
        <v>0.37768492599245462</v>
      </c>
      <c r="Z958" s="360">
        <v>1.2477212285036356</v>
      </c>
      <c r="AA958" s="360">
        <v>1748.3206453993919</v>
      </c>
      <c r="AB958" s="360">
        <v>0.35529883107373178</v>
      </c>
      <c r="AC958" s="360">
        <v>1.3140465386378033</v>
      </c>
      <c r="AD958" s="360">
        <v>1.2074469172814577</v>
      </c>
      <c r="AE958" s="360">
        <v>0.36881501894869051</v>
      </c>
      <c r="AF958" s="360">
        <v>1.2477218426602159</v>
      </c>
      <c r="AG958" s="360">
        <v>1561.0731944137774</v>
      </c>
      <c r="AH958" s="360">
        <v>1748.3206453993919</v>
      </c>
      <c r="AI958" s="360">
        <v>0.35529883107373178</v>
      </c>
      <c r="AJ958" s="360">
        <v>1.3140465386378033</v>
      </c>
      <c r="AK958" s="360">
        <v>1.2074469172814577</v>
      </c>
      <c r="AL958" s="360">
        <v>0.36881501894869051</v>
      </c>
      <c r="AM958" s="360">
        <v>1.2477218426602159</v>
      </c>
      <c r="AN958" s="360">
        <v>1561.0731944137774</v>
      </c>
      <c r="AO958" s="360">
        <f t="shared" si="42"/>
        <v>1</v>
      </c>
      <c r="AP958" s="360">
        <f t="shared" si="43"/>
        <v>1</v>
      </c>
      <c r="AQ958" s="360">
        <f t="shared" si="44"/>
        <v>1</v>
      </c>
    </row>
    <row r="959" spans="1:43">
      <c r="A959" s="360" t="s">
        <v>1081</v>
      </c>
      <c r="B959" t="s">
        <v>1075</v>
      </c>
      <c r="C959">
        <v>2</v>
      </c>
      <c r="D959" t="s">
        <v>1080</v>
      </c>
      <c r="E959" t="s">
        <v>1079</v>
      </c>
      <c r="F959" s="360">
        <v>14</v>
      </c>
      <c r="G959" s="360" t="str">
        <f>CONCATENATE(A959," ",B959," ",C959," ","inf+"," ",FanUpsizes!D959," ",FanUpsizes!F959)</f>
        <v>7ACH Percentile 2 inf+ Existing 14</v>
      </c>
      <c r="H959" s="360">
        <v>1.5038083180649149E-2</v>
      </c>
      <c r="I959" s="360">
        <v>0.48157970591470389</v>
      </c>
      <c r="J959" s="360">
        <v>1.0305584954856122</v>
      </c>
      <c r="K959" s="360">
        <v>1280.9279861499015</v>
      </c>
      <c r="L959" s="360">
        <v>0.46807295770361057</v>
      </c>
      <c r="M959" s="360">
        <v>1.0478225160248926</v>
      </c>
      <c r="N959" s="360">
        <v>1.1311886881917967</v>
      </c>
      <c r="O959" s="360">
        <v>0.47358922901253925</v>
      </c>
      <c r="P959" s="360">
        <v>1.0305585436345142</v>
      </c>
      <c r="Q959" s="360">
        <v>1105.5082672690869</v>
      </c>
      <c r="R959" s="360">
        <v>1915.6367624574605</v>
      </c>
      <c r="S959" s="360">
        <v>0.45550065853619776</v>
      </c>
      <c r="T959" s="360">
        <v>1.0785356153798964</v>
      </c>
      <c r="U959" s="360">
        <v>1.4631545131864578</v>
      </c>
      <c r="V959" s="360">
        <v>0.46918005288014675</v>
      </c>
      <c r="W959" s="360">
        <v>1.0305609213312787</v>
      </c>
      <c r="X959" s="360">
        <v>1590.2952405533069</v>
      </c>
      <c r="Y959" s="360">
        <v>0.44302160133841501</v>
      </c>
      <c r="Z959" s="360">
        <v>1.1285424814812248</v>
      </c>
      <c r="AA959" s="360">
        <v>258.7146177061303</v>
      </c>
      <c r="AB959" s="360">
        <v>0.4403865689647305</v>
      </c>
      <c r="AC959" s="360">
        <v>1.1323889873745503</v>
      </c>
      <c r="AD959" s="360">
        <v>1.0296928137668864</v>
      </c>
      <c r="AE959" s="360">
        <v>0.44120745854328497</v>
      </c>
      <c r="AF959" s="360">
        <v>1.1285432088328307</v>
      </c>
      <c r="AG959" s="360">
        <v>237.26254068042903</v>
      </c>
      <c r="AH959" s="360">
        <v>514.13909405390621</v>
      </c>
      <c r="AI959" s="360">
        <v>0.43513208631686312</v>
      </c>
      <c r="AJ959" s="360">
        <v>1.149706019357627</v>
      </c>
      <c r="AK959" s="360">
        <v>1.2081958576337244</v>
      </c>
      <c r="AL959" s="360">
        <v>0.43898828422830227</v>
      </c>
      <c r="AM959" s="360">
        <v>1.1285447234982635</v>
      </c>
      <c r="AN959" s="360">
        <v>462.60187472579253</v>
      </c>
      <c r="AO959" s="360">
        <f t="shared" si="42"/>
        <v>1</v>
      </c>
      <c r="AP959" s="360">
        <f t="shared" si="43"/>
        <v>1</v>
      </c>
      <c r="AQ959" s="360">
        <f t="shared" si="44"/>
        <v>1</v>
      </c>
    </row>
    <row r="960" spans="1:43">
      <c r="A960" s="360" t="s">
        <v>1081</v>
      </c>
      <c r="B960" t="s">
        <v>1074</v>
      </c>
      <c r="C960">
        <v>2</v>
      </c>
      <c r="D960" t="s">
        <v>1080</v>
      </c>
      <c r="E960" t="s">
        <v>1079</v>
      </c>
      <c r="F960" s="360">
        <v>14</v>
      </c>
      <c r="G960" s="360" t="str">
        <f>CONCATENATE(A960," ",B960," ",C960," ","inf+"," ",FanUpsizes!D960," ",FanUpsizes!F960)</f>
        <v>7ACH Infiltration 2 inf+ Existing 14</v>
      </c>
      <c r="H960" s="360">
        <v>1.5038083180649149E-2</v>
      </c>
      <c r="I960" s="360">
        <v>0.48157970591470389</v>
      </c>
      <c r="J960" s="360">
        <v>1.0305584954856122</v>
      </c>
      <c r="K960" s="360">
        <v>882.46200802107035</v>
      </c>
      <c r="L960" s="360">
        <v>0.47290041649200287</v>
      </c>
      <c r="M960" s="360">
        <v>1.0407740810765014</v>
      </c>
      <c r="N960" s="360">
        <v>1.0734423447184831</v>
      </c>
      <c r="O960" s="360">
        <v>0.47634252426674328</v>
      </c>
      <c r="P960" s="360">
        <v>1.0305589413030369</v>
      </c>
      <c r="Q960" s="360">
        <v>754.99387309167253</v>
      </c>
      <c r="R960" s="360">
        <v>1665.7646067714118</v>
      </c>
      <c r="S960" s="360">
        <v>0.46013489226809839</v>
      </c>
      <c r="T960" s="360">
        <v>1.0666516441741645</v>
      </c>
      <c r="U960" s="360">
        <v>1.3150106108410848</v>
      </c>
      <c r="V960" s="360">
        <v>0.47089057234932241</v>
      </c>
      <c r="W960" s="360">
        <v>1.030558924053897</v>
      </c>
      <c r="X960" s="360">
        <v>1365.7739517855516</v>
      </c>
      <c r="Y960" s="360">
        <v>0.44302160133841501</v>
      </c>
      <c r="Z960" s="360">
        <v>1.1285424814812248</v>
      </c>
      <c r="AA960" s="360">
        <v>171.79494148056295</v>
      </c>
      <c r="AB960" s="360">
        <v>0.44139229692148485</v>
      </c>
      <c r="AC960" s="360">
        <v>1.1307029288123798</v>
      </c>
      <c r="AD960" s="360">
        <v>1.0163127925903586</v>
      </c>
      <c r="AE960" s="360">
        <v>0.44187347855744641</v>
      </c>
      <c r="AF960" s="360">
        <v>1.1285425089865835</v>
      </c>
      <c r="AG960" s="360">
        <v>157.33304406935684</v>
      </c>
      <c r="AH960" s="360">
        <v>465.02258454307315</v>
      </c>
      <c r="AI960" s="360">
        <v>0.43655628242405214</v>
      </c>
      <c r="AJ960" s="360">
        <v>1.1434650227851448</v>
      </c>
      <c r="AK960" s="360">
        <v>1.1340944168799527</v>
      </c>
      <c r="AL960" s="360">
        <v>0.43936161935255319</v>
      </c>
      <c r="AM960" s="360">
        <v>1.1285424818570919</v>
      </c>
      <c r="AN960" s="360">
        <v>419.82231670144751</v>
      </c>
      <c r="AO960" s="360">
        <f t="shared" si="42"/>
        <v>1</v>
      </c>
      <c r="AP960" s="360">
        <f t="shared" si="43"/>
        <v>1</v>
      </c>
      <c r="AQ960" s="360">
        <f t="shared" si="44"/>
        <v>1</v>
      </c>
    </row>
    <row r="961" spans="1:43">
      <c r="A961" s="360" t="s">
        <v>1081</v>
      </c>
      <c r="B961" t="s">
        <v>1076</v>
      </c>
      <c r="C961">
        <v>2</v>
      </c>
      <c r="D961" t="s">
        <v>1080</v>
      </c>
      <c r="E961" t="s">
        <v>1079</v>
      </c>
      <c r="F961" s="360">
        <v>14</v>
      </c>
      <c r="G961" s="360" t="str">
        <f>CONCATENATE(A961," ",B961," ",C961," ","inf+"," ",FanUpsizes!D961," ",FanUpsizes!F961)</f>
        <v>7ACH 5C 2 inf+ Existing 14</v>
      </c>
      <c r="H961" s="360">
        <v>1.5038083180649149E-2</v>
      </c>
      <c r="I961" s="360">
        <v>0.48157970591470389</v>
      </c>
      <c r="J961" s="360">
        <v>1.0305584954856122</v>
      </c>
      <c r="K961" s="360">
        <v>2183.0302632226253</v>
      </c>
      <c r="L961" s="360">
        <v>0.45402137818568811</v>
      </c>
      <c r="M961" s="360">
        <v>1.0756823213772184</v>
      </c>
      <c r="N961" s="360">
        <v>1.4397125348602473</v>
      </c>
      <c r="O961" s="360">
        <v>0.46635595244956879</v>
      </c>
      <c r="P961" s="360">
        <v>1.0305587564044336</v>
      </c>
      <c r="Q961" s="360">
        <v>1991.7317638878276</v>
      </c>
      <c r="R961" s="360">
        <v>2316.0487343722621</v>
      </c>
      <c r="S961" s="360">
        <v>0.45069537311494301</v>
      </c>
      <c r="T961" s="360">
        <v>1.0851856446788686</v>
      </c>
      <c r="U961" s="360">
        <v>1.5821140110832335</v>
      </c>
      <c r="V961" s="360">
        <v>0.46510175485166827</v>
      </c>
      <c r="W961" s="360">
        <v>1.030559452130158</v>
      </c>
      <c r="X961" s="360">
        <v>2140.2298830496884</v>
      </c>
      <c r="Y961" s="360">
        <v>0.44302160133841501</v>
      </c>
      <c r="Z961" s="360">
        <v>1.1285424814812248</v>
      </c>
      <c r="AA961" s="360">
        <v>488.42919493345926</v>
      </c>
      <c r="AB961" s="360">
        <v>0.43694814752571604</v>
      </c>
      <c r="AC961" s="360">
        <v>1.1404975153999291</v>
      </c>
      <c r="AD961" s="360">
        <v>1.1035226443981516</v>
      </c>
      <c r="AE961" s="360">
        <v>0.43916235287317251</v>
      </c>
      <c r="AF961" s="360">
        <v>1.1285424913275179</v>
      </c>
      <c r="AG961" s="360">
        <v>458.74271184046574</v>
      </c>
      <c r="AH961" s="360">
        <v>549.93780301739935</v>
      </c>
      <c r="AI961" s="360">
        <v>0.43543177351500739</v>
      </c>
      <c r="AJ961" s="360">
        <v>1.1460170726642001</v>
      </c>
      <c r="AK961" s="360">
        <v>1.1642879207428287</v>
      </c>
      <c r="AL961" s="360">
        <v>0.43850950817893325</v>
      </c>
      <c r="AM961" s="360">
        <v>1.1285427072366834</v>
      </c>
      <c r="AN961" s="360">
        <v>522.08793877847393</v>
      </c>
      <c r="AO961" s="360">
        <f t="shared" si="42"/>
        <v>1</v>
      </c>
      <c r="AP961" s="360">
        <f t="shared" si="43"/>
        <v>1</v>
      </c>
      <c r="AQ961" s="360">
        <f t="shared" si="44"/>
        <v>1</v>
      </c>
    </row>
    <row r="962" spans="1:43">
      <c r="A962" s="360" t="s">
        <v>1082</v>
      </c>
      <c r="B962" t="s">
        <v>1075</v>
      </c>
      <c r="C962">
        <v>1</v>
      </c>
      <c r="D962" t="s">
        <v>1078</v>
      </c>
      <c r="E962" t="s">
        <v>1079</v>
      </c>
      <c r="F962" s="360">
        <v>14</v>
      </c>
      <c r="G962" s="360" t="str">
        <f>CONCATENATE(A962," ",B962," ",C962," ","inf+"," ",FanUpsizes!D962," ",FanUpsizes!F962)</f>
        <v>5ACH Percentile 1 inf+ New 14</v>
      </c>
      <c r="H962" s="360">
        <v>1.9188428696287483E-2</v>
      </c>
      <c r="I962" s="360">
        <v>0.29874629712720535</v>
      </c>
      <c r="J962" s="360">
        <v>1.1600767037035515</v>
      </c>
      <c r="K962" s="360">
        <v>1634.4500181343381</v>
      </c>
      <c r="L962" s="360">
        <v>0.28151183500501326</v>
      </c>
      <c r="M962" s="360">
        <v>1.2074998825231826</v>
      </c>
      <c r="N962" s="360">
        <v>1.1665129214473158</v>
      </c>
      <c r="O962" s="360">
        <v>0.29073879655931606</v>
      </c>
      <c r="P962" s="360">
        <v>1.1600783294763144</v>
      </c>
      <c r="Q962" s="360">
        <v>1350.3239903048604</v>
      </c>
      <c r="R962" s="360">
        <v>2444.3314339226213</v>
      </c>
      <c r="S962" s="360">
        <v>0.26546971958217402</v>
      </c>
      <c r="T962" s="360">
        <v>1.2809085438774499</v>
      </c>
      <c r="U962" s="360">
        <v>1.518185401510959</v>
      </c>
      <c r="V962" s="360">
        <v>0.28666732594764849</v>
      </c>
      <c r="W962" s="360">
        <v>1.16007955538987</v>
      </c>
      <c r="X962" s="360">
        <v>1978.8902349902692</v>
      </c>
      <c r="Y962" s="360">
        <v>0.27285896561804096</v>
      </c>
      <c r="Z962" s="360">
        <v>1.2483198416494909</v>
      </c>
      <c r="AA962" s="360">
        <v>720.53658573090263</v>
      </c>
      <c r="AB962" s="360">
        <v>0.26529739000200908</v>
      </c>
      <c r="AC962" s="360">
        <v>1.2725843588603916</v>
      </c>
      <c r="AD962" s="360">
        <v>1.0589041025316828</v>
      </c>
      <c r="AE962" s="360">
        <v>0.26919082959159363</v>
      </c>
      <c r="AF962" s="360">
        <v>1.2483203443597666</v>
      </c>
      <c r="AG962" s="360">
        <v>612.88127849040848</v>
      </c>
      <c r="AH962" s="360">
        <v>1399.4046002982634</v>
      </c>
      <c r="AI962" s="360">
        <v>0.2511602244423724</v>
      </c>
      <c r="AJ962" s="360">
        <v>1.3554666711128267</v>
      </c>
      <c r="AK962" s="360">
        <v>1.362146580264014</v>
      </c>
      <c r="AL962" s="360">
        <v>0.26701953930897271</v>
      </c>
      <c r="AM962" s="360">
        <v>1.2483216136459345</v>
      </c>
      <c r="AN962" s="360">
        <v>1155.6655071303248</v>
      </c>
      <c r="AO962" s="360">
        <f t="shared" si="42"/>
        <v>1</v>
      </c>
      <c r="AP962" s="360">
        <f t="shared" si="43"/>
        <v>1</v>
      </c>
      <c r="AQ962" s="360">
        <f t="shared" si="44"/>
        <v>1</v>
      </c>
    </row>
    <row r="963" spans="1:43">
      <c r="A963" s="360" t="s">
        <v>1082</v>
      </c>
      <c r="B963" t="s">
        <v>1074</v>
      </c>
      <c r="C963">
        <v>1</v>
      </c>
      <c r="D963" t="s">
        <v>1078</v>
      </c>
      <c r="E963" t="s">
        <v>1079</v>
      </c>
      <c r="F963" s="360">
        <v>14</v>
      </c>
      <c r="G963" s="360" t="str">
        <f>CONCATENATE(A963," ",B963," ",C963," ","inf+"," ",FanUpsizes!D963," ",FanUpsizes!F963)</f>
        <v>5ACH Infiltration 1 inf+ New 14</v>
      </c>
      <c r="H963" s="360">
        <v>1.9188428696287483E-2</v>
      </c>
      <c r="I963" s="360">
        <v>0.29874629712720535</v>
      </c>
      <c r="J963" s="360">
        <v>1.1600767037035515</v>
      </c>
      <c r="K963" s="360">
        <v>97.102136575686302</v>
      </c>
      <c r="L963" s="360">
        <v>0.29795409389644789</v>
      </c>
      <c r="M963" s="360">
        <v>1.1615899186593395</v>
      </c>
      <c r="N963" s="360">
        <v>1.0045291506246923</v>
      </c>
      <c r="O963" s="360">
        <v>0.29827800312736297</v>
      </c>
      <c r="P963" s="360">
        <v>1.1600796029810063</v>
      </c>
      <c r="Q963" s="360">
        <v>82.411637213259041</v>
      </c>
      <c r="R963" s="360">
        <v>1420.5501152002407</v>
      </c>
      <c r="S963" s="360">
        <v>0.28117636118790623</v>
      </c>
      <c r="T963" s="360">
        <v>1.2131812069149941</v>
      </c>
      <c r="U963" s="360">
        <v>1.1848738100052578</v>
      </c>
      <c r="V963" s="360">
        <v>0.29136934188863256</v>
      </c>
      <c r="W963" s="360">
        <v>1.1600770377237384</v>
      </c>
      <c r="X963" s="360">
        <v>1065.5449590608732</v>
      </c>
      <c r="Y963" s="360">
        <v>0.27285896561804096</v>
      </c>
      <c r="Z963" s="360">
        <v>1.2483198416494909</v>
      </c>
      <c r="AA963" s="360">
        <v>36.657919952329273</v>
      </c>
      <c r="AB963" s="360">
        <v>0.27256393889233793</v>
      </c>
      <c r="AC963" s="360">
        <v>1.2489745628023119</v>
      </c>
      <c r="AD963" s="360">
        <v>1.0014333379200295</v>
      </c>
      <c r="AE963" s="360">
        <v>0.27267700877180118</v>
      </c>
      <c r="AF963" s="360">
        <v>1.2483198674682061</v>
      </c>
      <c r="AG963" s="360">
        <v>32.242860989060219</v>
      </c>
      <c r="AH963" s="360">
        <v>975.21196071101406</v>
      </c>
      <c r="AI963" s="360">
        <v>0.26043850894861226</v>
      </c>
      <c r="AJ963" s="360">
        <v>1.2970170415977429</v>
      </c>
      <c r="AK963" s="360">
        <v>1.1296709776603764</v>
      </c>
      <c r="AL963" s="360">
        <v>0.26802476142329773</v>
      </c>
      <c r="AM963" s="360">
        <v>1.2483209935677586</v>
      </c>
      <c r="AN963" s="360">
        <v>791.07585589813687</v>
      </c>
      <c r="AO963" s="360">
        <f t="shared" si="42"/>
        <v>1</v>
      </c>
      <c r="AP963" s="360">
        <f t="shared" si="43"/>
        <v>1</v>
      </c>
      <c r="AQ963" s="360">
        <f t="shared" si="44"/>
        <v>1</v>
      </c>
    </row>
    <row r="964" spans="1:43">
      <c r="A964" s="360" t="s">
        <v>1082</v>
      </c>
      <c r="B964" t="s">
        <v>1076</v>
      </c>
      <c r="C964">
        <v>1</v>
      </c>
      <c r="D964" t="s">
        <v>1078</v>
      </c>
      <c r="E964" t="s">
        <v>1079</v>
      </c>
      <c r="F964" s="360">
        <v>14</v>
      </c>
      <c r="G964" s="360" t="str">
        <f>CONCATENATE(A964," ",B964," ",C964," ","inf+"," ",FanUpsizes!D964," ",FanUpsizes!F964)</f>
        <v>5ACH 5C 1 inf+ New 14</v>
      </c>
      <c r="H964" s="360">
        <v>1.9188428696287483E-2</v>
      </c>
      <c r="I964" s="360">
        <v>0.29874629712720535</v>
      </c>
      <c r="J964" s="360">
        <v>1.1600767037035515</v>
      </c>
      <c r="K964" s="360">
        <v>2785.5225991560055</v>
      </c>
      <c r="L964" s="360">
        <v>0.26358217412929741</v>
      </c>
      <c r="M964" s="360">
        <v>1.2816109302493173</v>
      </c>
      <c r="N964" s="360">
        <v>1.5637481367004562</v>
      </c>
      <c r="O964" s="360">
        <v>0.28574262905992792</v>
      </c>
      <c r="P964" s="360">
        <v>1.1600771196623756</v>
      </c>
      <c r="Q964" s="360">
        <v>2470.9001678475511</v>
      </c>
      <c r="R964" s="360">
        <v>2785.5225991560055</v>
      </c>
      <c r="S964" s="360">
        <v>0.26358217412929741</v>
      </c>
      <c r="T964" s="360">
        <v>1.2816109302493173</v>
      </c>
      <c r="U964" s="360">
        <v>1.5637481367004562</v>
      </c>
      <c r="V964" s="360">
        <v>0.28574262905992792</v>
      </c>
      <c r="W964" s="360">
        <v>1.1600771196623756</v>
      </c>
      <c r="X964" s="360">
        <v>2470.9001678475511</v>
      </c>
      <c r="Y964" s="360">
        <v>0.27285896561804096</v>
      </c>
      <c r="Z964" s="360">
        <v>1.2483198416494909</v>
      </c>
      <c r="AA964" s="360">
        <v>1345.5343196850295</v>
      </c>
      <c r="AB964" s="360">
        <v>0.25561818465970298</v>
      </c>
      <c r="AC964" s="360">
        <v>1.3194655292995519</v>
      </c>
      <c r="AD964" s="360">
        <v>1.2182733558788525</v>
      </c>
      <c r="AE964" s="360">
        <v>0.26641774698630549</v>
      </c>
      <c r="AF964" s="360">
        <v>1.248320493998941</v>
      </c>
      <c r="AG964" s="360">
        <v>1195.4210294569023</v>
      </c>
      <c r="AH964" s="360">
        <v>1345.5343196850295</v>
      </c>
      <c r="AI964" s="360">
        <v>0.25561818465970298</v>
      </c>
      <c r="AJ964" s="360">
        <v>1.3194655292995519</v>
      </c>
      <c r="AK964" s="360">
        <v>1.2182733558788525</v>
      </c>
      <c r="AL964" s="360">
        <v>0.26641774698630549</v>
      </c>
      <c r="AM964" s="360">
        <v>1.248320493998941</v>
      </c>
      <c r="AN964" s="360">
        <v>1195.4210294569023</v>
      </c>
      <c r="AO964" s="360">
        <f t="shared" si="42"/>
        <v>1</v>
      </c>
      <c r="AP964" s="360">
        <f t="shared" si="43"/>
        <v>1</v>
      </c>
      <c r="AQ964" s="360">
        <f t="shared" si="44"/>
        <v>1</v>
      </c>
    </row>
    <row r="965" spans="1:43">
      <c r="A965" s="360" t="s">
        <v>1082</v>
      </c>
      <c r="B965" t="s">
        <v>1075</v>
      </c>
      <c r="C965">
        <v>2</v>
      </c>
      <c r="D965" t="s">
        <v>1078</v>
      </c>
      <c r="E965" t="s">
        <v>1079</v>
      </c>
      <c r="F965" s="360">
        <v>14</v>
      </c>
      <c r="G965" s="360" t="str">
        <f>CONCATENATE(A965," ",B965," ",C965," ","inf+"," ",FanUpsizes!D965," ",FanUpsizes!F965)</f>
        <v>5ACH Percentile 2 inf+ New 14</v>
      </c>
      <c r="H965" s="360">
        <v>1.4421666666666666E-2</v>
      </c>
      <c r="I965" s="360">
        <v>0.35759031980174105</v>
      </c>
      <c r="J965" s="360">
        <v>0.99438222853756941</v>
      </c>
      <c r="K965" s="360">
        <v>1228.4222808416641</v>
      </c>
      <c r="L965" s="360">
        <v>0.3446372181257486</v>
      </c>
      <c r="M965" s="360">
        <v>1.0171107512627902</v>
      </c>
      <c r="N965" s="360">
        <v>1.1439343300472795</v>
      </c>
      <c r="O965" s="360">
        <v>0.35045947729345212</v>
      </c>
      <c r="P965" s="360">
        <v>0.99438248015044173</v>
      </c>
      <c r="Q965" s="360">
        <v>1043.8487660017354</v>
      </c>
      <c r="R965" s="360">
        <v>1837.114112929358</v>
      </c>
      <c r="S965" s="360">
        <v>0.33258026208634078</v>
      </c>
      <c r="T965" s="360">
        <v>1.0555836470530839</v>
      </c>
      <c r="U965" s="360">
        <v>1.4930617658996421</v>
      </c>
      <c r="V965" s="360">
        <v>0.34663434570745361</v>
      </c>
      <c r="W965" s="360">
        <v>0.99438234913768941</v>
      </c>
      <c r="X965" s="360">
        <v>1504.9613334906728</v>
      </c>
      <c r="Y965" s="360">
        <v>0.32552268724781613</v>
      </c>
      <c r="Z965" s="360">
        <v>1.0931438424422992</v>
      </c>
      <c r="AA965" s="360">
        <v>326.01916211168123</v>
      </c>
      <c r="AB965" s="360">
        <v>0.32215738095626917</v>
      </c>
      <c r="AC965" s="360">
        <v>1.0999760886390408</v>
      </c>
      <c r="AD965" s="360">
        <v>1.0364148259457615</v>
      </c>
      <c r="AE965" s="360">
        <v>0.32338173776762646</v>
      </c>
      <c r="AF965" s="360">
        <v>1.0931440805888442</v>
      </c>
      <c r="AG965" s="360">
        <v>293.60195399463169</v>
      </c>
      <c r="AH965" s="360">
        <v>644.43409556155837</v>
      </c>
      <c r="AI965" s="360">
        <v>0.31555078494861044</v>
      </c>
      <c r="AJ965" s="360">
        <v>1.128305266493101</v>
      </c>
      <c r="AK965" s="360">
        <v>1.2460995314610046</v>
      </c>
      <c r="AL965" s="360">
        <v>0.32106487198773004</v>
      </c>
      <c r="AM965" s="360">
        <v>1.0931438555056361</v>
      </c>
      <c r="AN965" s="360">
        <v>568.71239176742131</v>
      </c>
      <c r="AO965" s="360">
        <f t="shared" si="42"/>
        <v>1</v>
      </c>
      <c r="AP965" s="360">
        <f t="shared" si="43"/>
        <v>1</v>
      </c>
      <c r="AQ965" s="360">
        <f t="shared" si="44"/>
        <v>1</v>
      </c>
    </row>
    <row r="966" spans="1:43">
      <c r="A966" s="360" t="s">
        <v>1082</v>
      </c>
      <c r="B966" t="s">
        <v>1074</v>
      </c>
      <c r="C966">
        <v>2</v>
      </c>
      <c r="D966" t="s">
        <v>1078</v>
      </c>
      <c r="E966" t="s">
        <v>1079</v>
      </c>
      <c r="F966" s="360">
        <v>14</v>
      </c>
      <c r="G966" s="360" t="str">
        <f>CONCATENATE(A966," ",B966," ",C966," ","inf+"," ",FanUpsizes!D966," ",FanUpsizes!F966)</f>
        <v>5ACH Infiltration 2 inf+ New 14</v>
      </c>
      <c r="H966" s="360">
        <v>1.4421666666666666E-2</v>
      </c>
      <c r="I966" s="360">
        <v>0.35759031980174105</v>
      </c>
      <c r="J966" s="360">
        <v>0.99438222853756941</v>
      </c>
      <c r="K966" s="360">
        <v>796.20924495295583</v>
      </c>
      <c r="L966" s="360">
        <v>0.34983182503614929</v>
      </c>
      <c r="M966" s="360">
        <v>1.0067747101079634</v>
      </c>
      <c r="N966" s="360">
        <v>1.0733264649401457</v>
      </c>
      <c r="O966" s="360">
        <v>0.35317775926842299</v>
      </c>
      <c r="P966" s="360">
        <v>0.99438267637895361</v>
      </c>
      <c r="Q966" s="360">
        <v>670.48674162082511</v>
      </c>
      <c r="R966" s="360">
        <v>1560.9812445267221</v>
      </c>
      <c r="S966" s="360">
        <v>0.33765335772398414</v>
      </c>
      <c r="T966" s="360">
        <v>1.0386260201485598</v>
      </c>
      <c r="U966" s="360">
        <v>1.3177316794635383</v>
      </c>
      <c r="V966" s="360">
        <v>0.3482963588273314</v>
      </c>
      <c r="W966" s="360">
        <v>0.99438258664066959</v>
      </c>
      <c r="X966" s="360">
        <v>1259.2040297045778</v>
      </c>
      <c r="Y966" s="360">
        <v>0.32552268724781613</v>
      </c>
      <c r="Z966" s="360">
        <v>1.0931438424422992</v>
      </c>
      <c r="AA966" s="360">
        <v>202.6847955770981</v>
      </c>
      <c r="AB966" s="360">
        <v>0.32359387574492254</v>
      </c>
      <c r="AC966" s="360">
        <v>1.0966688482147282</v>
      </c>
      <c r="AD966" s="360">
        <v>1.018209024630566</v>
      </c>
      <c r="AE966" s="360">
        <v>0.32425362945463837</v>
      </c>
      <c r="AF966" s="360">
        <v>1.0931443872182633</v>
      </c>
      <c r="AG966" s="360">
        <v>182.25253873483211</v>
      </c>
      <c r="AH966" s="360">
        <v>572.57963550127204</v>
      </c>
      <c r="AI966" s="360">
        <v>0.31759348761328082</v>
      </c>
      <c r="AJ966" s="360">
        <v>1.1171850280025912</v>
      </c>
      <c r="AK966" s="360">
        <v>1.1508590607370153</v>
      </c>
      <c r="AL966" s="360">
        <v>0.32148266045943258</v>
      </c>
      <c r="AM966" s="360">
        <v>1.0931442815247918</v>
      </c>
      <c r="AN966" s="360">
        <v>506.50769613572095</v>
      </c>
      <c r="AO966" s="360">
        <f t="shared" si="42"/>
        <v>1</v>
      </c>
      <c r="AP966" s="360">
        <f t="shared" si="43"/>
        <v>1</v>
      </c>
      <c r="AQ966" s="360">
        <f t="shared" si="44"/>
        <v>1</v>
      </c>
    </row>
    <row r="967" spans="1:43">
      <c r="A967" s="360" t="s">
        <v>1082</v>
      </c>
      <c r="B967" t="s">
        <v>1076</v>
      </c>
      <c r="C967">
        <v>2</v>
      </c>
      <c r="D967" t="s">
        <v>1078</v>
      </c>
      <c r="E967" t="s">
        <v>1079</v>
      </c>
      <c r="F967" s="360">
        <v>14</v>
      </c>
      <c r="G967" s="360" t="str">
        <f>CONCATENATE(A967," ",B967," ",C967," ","inf+"," ",FanUpsizes!D967," ",FanUpsizes!F967)</f>
        <v>5ACH 5C 2 inf+ New 14</v>
      </c>
      <c r="H967" s="360">
        <v>1.4421666666666666E-2</v>
      </c>
      <c r="I967" s="360">
        <v>0.35759031980174105</v>
      </c>
      <c r="J967" s="360">
        <v>0.99438222853756941</v>
      </c>
      <c r="K967" s="360">
        <v>2093.5470565793444</v>
      </c>
      <c r="L967" s="360">
        <v>0.33116161797689658</v>
      </c>
      <c r="M967" s="360">
        <v>1.053227713183795</v>
      </c>
      <c r="N967" s="360">
        <v>1.4885174503356706</v>
      </c>
      <c r="O967" s="360">
        <v>0.34439206350325796</v>
      </c>
      <c r="P967" s="360">
        <v>0.99438325491549584</v>
      </c>
      <c r="Q967" s="360">
        <v>1889.7275389944525</v>
      </c>
      <c r="R967" s="360">
        <v>2209.6501503399604</v>
      </c>
      <c r="S967" s="360">
        <v>0.32831825419435939</v>
      </c>
      <c r="T967" s="360">
        <v>1.0636914862539915</v>
      </c>
      <c r="U967" s="360">
        <v>1.6231208992009931</v>
      </c>
      <c r="V967" s="360">
        <v>0.34346537333924632</v>
      </c>
      <c r="W967" s="360">
        <v>0.99438246521376827</v>
      </c>
      <c r="X967" s="360">
        <v>2022.0175724479575</v>
      </c>
      <c r="Y967" s="360">
        <v>0.32552268724781613</v>
      </c>
      <c r="Z967" s="360">
        <v>1.0931438424422992</v>
      </c>
      <c r="AA967" s="360">
        <v>613.44770036321211</v>
      </c>
      <c r="AB967" s="360">
        <v>0.31778830474866898</v>
      </c>
      <c r="AC967" s="360">
        <v>1.1139888698427534</v>
      </c>
      <c r="AD967" s="360">
        <v>1.1281481437905609</v>
      </c>
      <c r="AE967" s="360">
        <v>0.3210925098408825</v>
      </c>
      <c r="AF967" s="360">
        <v>1.0931439634199134</v>
      </c>
      <c r="AG967" s="360">
        <v>568.9351657045471</v>
      </c>
      <c r="AH967" s="360">
        <v>682.10449133268548</v>
      </c>
      <c r="AI967" s="360">
        <v>0.31611135788240025</v>
      </c>
      <c r="AJ967" s="360">
        <v>1.1218263988243367</v>
      </c>
      <c r="AK967" s="360">
        <v>1.1914928139725069</v>
      </c>
      <c r="AL967" s="360">
        <v>0.32049801979253151</v>
      </c>
      <c r="AM967" s="360">
        <v>1.0931441832427424</v>
      </c>
      <c r="AN967" s="360">
        <v>640.28816218453255</v>
      </c>
      <c r="AO967" s="360">
        <f t="shared" si="42"/>
        <v>1</v>
      </c>
      <c r="AP967" s="360">
        <f t="shared" si="43"/>
        <v>1</v>
      </c>
      <c r="AQ967" s="360">
        <f t="shared" si="44"/>
        <v>1</v>
      </c>
    </row>
    <row r="968" spans="1:43">
      <c r="A968" s="360" t="s">
        <v>1082</v>
      </c>
      <c r="B968" t="s">
        <v>1075</v>
      </c>
      <c r="C968">
        <v>1</v>
      </c>
      <c r="D968" t="s">
        <v>1080</v>
      </c>
      <c r="E968" t="s">
        <v>1079</v>
      </c>
      <c r="F968" s="360">
        <v>14</v>
      </c>
      <c r="G968" s="360" t="str">
        <f>CONCATENATE(A968," ",B968," ",C968," ","inf+"," ",FanUpsizes!D968," ",FanUpsizes!F968)</f>
        <v>5ACH Percentile 1 inf+ Existing 14</v>
      </c>
      <c r="H968" s="360">
        <v>3.543842869628748E-2</v>
      </c>
      <c r="I968" s="360">
        <v>0.36345721090424127</v>
      </c>
      <c r="J968" s="360">
        <v>1.2645092425037141</v>
      </c>
      <c r="K968" s="360">
        <v>3018.6077944208514</v>
      </c>
      <c r="L968" s="360">
        <v>0.33162749380216494</v>
      </c>
      <c r="M968" s="360">
        <v>1.3672131733060893</v>
      </c>
      <c r="N968" s="360">
        <v>1.1977145415939945</v>
      </c>
      <c r="O968" s="360">
        <v>0.35669805191040987</v>
      </c>
      <c r="P968" s="360">
        <v>1.2645096182005466</v>
      </c>
      <c r="Q968" s="360">
        <v>2362.232405608826</v>
      </c>
      <c r="R968" s="360">
        <v>4519.5333738661702</v>
      </c>
      <c r="S968" s="360">
        <v>0.30167611235507691</v>
      </c>
      <c r="T968" s="360">
        <v>1.5026915654039688</v>
      </c>
      <c r="U968" s="360">
        <v>1.6057869296906222</v>
      </c>
      <c r="V968" s="360">
        <v>0.35963187413626746</v>
      </c>
      <c r="W968" s="360">
        <v>1.2645092558098765</v>
      </c>
      <c r="X968" s="360">
        <v>3481.6378657532396</v>
      </c>
      <c r="Y968" s="360">
        <v>0.35363888056648363</v>
      </c>
      <c r="Z968" s="360">
        <v>1.2722915660352547</v>
      </c>
      <c r="AA968" s="360">
        <v>2203.9510088876423</v>
      </c>
      <c r="AB968" s="360">
        <v>0.33031495346587336</v>
      </c>
      <c r="AC968" s="360">
        <v>1.3560039939459978</v>
      </c>
      <c r="AD968" s="360">
        <v>1.1337372427888039</v>
      </c>
      <c r="AE968" s="360">
        <v>0.35186807396326392</v>
      </c>
      <c r="AF968" s="360">
        <v>1.2722915987089747</v>
      </c>
      <c r="AG968" s="360">
        <v>1569.0375283099893</v>
      </c>
      <c r="AH968" s="360">
        <v>4089.4161657293484</v>
      </c>
      <c r="AI968" s="360">
        <v>0.29148333469416204</v>
      </c>
      <c r="AJ968" s="360">
        <v>1.552919117306016</v>
      </c>
      <c r="AK968" s="360">
        <v>1.6288262726471492</v>
      </c>
      <c r="AL968" s="360">
        <v>0.35936719580510529</v>
      </c>
      <c r="AM968" s="360">
        <v>1.2722928538587051</v>
      </c>
      <c r="AN968" s="360">
        <v>2828.5715775202048</v>
      </c>
      <c r="AO968" s="360">
        <f t="shared" si="42"/>
        <v>1</v>
      </c>
      <c r="AP968" s="360">
        <f t="shared" si="43"/>
        <v>1</v>
      </c>
      <c r="AQ968" s="360">
        <f t="shared" si="44"/>
        <v>1</v>
      </c>
    </row>
    <row r="969" spans="1:43">
      <c r="A969" s="360" t="s">
        <v>1082</v>
      </c>
      <c r="B969" t="s">
        <v>1074</v>
      </c>
      <c r="C969">
        <v>1</v>
      </c>
      <c r="D969" t="s">
        <v>1080</v>
      </c>
      <c r="E969" t="s">
        <v>1079</v>
      </c>
      <c r="F969" s="360">
        <v>14</v>
      </c>
      <c r="G969" s="360" t="str">
        <f>CONCATENATE(A969," ",B969," ",C969," ","inf+"," ",FanUpsizes!D969," ",FanUpsizes!F969)</f>
        <v>5ACH Infiltration 1 inf+ Existing 14</v>
      </c>
      <c r="H969" s="360">
        <v>3.543842869628748E-2</v>
      </c>
      <c r="I969" s="360">
        <v>0.36345721090424127</v>
      </c>
      <c r="J969" s="360">
        <v>1.2645092425037141</v>
      </c>
      <c r="K969" s="360">
        <v>0</v>
      </c>
      <c r="L969" s="360">
        <v>0.36345721090424127</v>
      </c>
      <c r="M969" s="360">
        <v>1.2645092425037141</v>
      </c>
      <c r="N969" s="360">
        <v>1</v>
      </c>
      <c r="O969" s="360">
        <v>0.36345721090424127</v>
      </c>
      <c r="P969" s="360">
        <v>1.2645092425037141</v>
      </c>
      <c r="Q969" s="360">
        <v>0</v>
      </c>
      <c r="R969" s="360">
        <v>1499.5946966004408</v>
      </c>
      <c r="S969" s="360">
        <v>0.34766925319530689</v>
      </c>
      <c r="T969" s="360">
        <v>1.3068225379621519</v>
      </c>
      <c r="U969" s="360">
        <v>1.0718648944449498</v>
      </c>
      <c r="V969" s="360">
        <v>0.35766172085448578</v>
      </c>
      <c r="W969" s="360">
        <v>1.2645100712397062</v>
      </c>
      <c r="X969" s="360">
        <v>1155.7764214050767</v>
      </c>
      <c r="Y969" s="360">
        <v>0.35363888056648363</v>
      </c>
      <c r="Z969" s="360">
        <v>1.2722915660352547</v>
      </c>
      <c r="AA969" s="360">
        <v>0</v>
      </c>
      <c r="AB969" s="360">
        <v>0.35363888056648363</v>
      </c>
      <c r="AC969" s="360">
        <v>1.2722915660352547</v>
      </c>
      <c r="AD969" s="360">
        <v>1</v>
      </c>
      <c r="AE969" s="360">
        <v>0.35363888056648363</v>
      </c>
      <c r="AF969" s="360">
        <v>1.2722915660352547</v>
      </c>
      <c r="AG969" s="360">
        <v>0</v>
      </c>
      <c r="AH969" s="360">
        <v>1573.1404564591328</v>
      </c>
      <c r="AI969" s="360">
        <v>0.33695185665008431</v>
      </c>
      <c r="AJ969" s="360">
        <v>1.3271928306615008</v>
      </c>
      <c r="AK969" s="360">
        <v>1.0791805843562901</v>
      </c>
      <c r="AL969" s="360">
        <v>0.35064932242774438</v>
      </c>
      <c r="AM969" s="360">
        <v>1.2722922007786948</v>
      </c>
      <c r="AN969" s="360">
        <v>1103.6159259214842</v>
      </c>
      <c r="AO969" s="360">
        <f t="shared" si="42"/>
        <v>1</v>
      </c>
      <c r="AP969" s="360">
        <f t="shared" si="43"/>
        <v>0</v>
      </c>
      <c r="AQ969" s="360">
        <f t="shared" si="44"/>
        <v>0</v>
      </c>
    </row>
    <row r="970" spans="1:43">
      <c r="A970" s="360" t="s">
        <v>1082</v>
      </c>
      <c r="B970" t="s">
        <v>1076</v>
      </c>
      <c r="C970">
        <v>1</v>
      </c>
      <c r="D970" t="s">
        <v>1080</v>
      </c>
      <c r="E970" t="s">
        <v>1079</v>
      </c>
      <c r="F970" s="360">
        <v>14</v>
      </c>
      <c r="G970" s="360" t="str">
        <f>CONCATENATE(A970," ",B970," ",C970," ","inf+"," ",FanUpsizes!D970," ",FanUpsizes!F970)</f>
        <v>5ACH 5C 1 inf+ Existing 14</v>
      </c>
      <c r="H970" s="360">
        <v>3.543842869628748E-2</v>
      </c>
      <c r="I970" s="360">
        <v>0.36345721090424127</v>
      </c>
      <c r="J970" s="360">
        <v>1.2645092425037141</v>
      </c>
      <c r="K970" s="360">
        <v>5144.4829368018718</v>
      </c>
      <c r="L970" s="360">
        <v>0.2985138387682032</v>
      </c>
      <c r="M970" s="360">
        <v>1.5219466008370821</v>
      </c>
      <c r="N970" s="360">
        <v>1.7199458583603355</v>
      </c>
      <c r="O970" s="360">
        <v>0.37431724438927488</v>
      </c>
      <c r="P970" s="360">
        <v>1.2645096305874766</v>
      </c>
      <c r="Q970" s="360">
        <v>4121.500943519417</v>
      </c>
      <c r="R970" s="360">
        <v>5144.4829368018718</v>
      </c>
      <c r="S970" s="360">
        <v>0.2985138387682032</v>
      </c>
      <c r="T970" s="360">
        <v>1.5219466008370821</v>
      </c>
      <c r="U970" s="360">
        <v>1.7199458583603355</v>
      </c>
      <c r="V970" s="360">
        <v>0.37431724438927488</v>
      </c>
      <c r="W970" s="360">
        <v>1.2645096305874766</v>
      </c>
      <c r="X970" s="360">
        <v>4121.500943519417</v>
      </c>
      <c r="Y970" s="360">
        <v>0.35363888056648363</v>
      </c>
      <c r="Z970" s="360">
        <v>1.2722915660352547</v>
      </c>
      <c r="AA970" s="360">
        <v>4035.1240021581889</v>
      </c>
      <c r="AB970" s="360">
        <v>0.30168898806160854</v>
      </c>
      <c r="AC970" s="360">
        <v>1.4986162806836079</v>
      </c>
      <c r="AD970" s="360">
        <v>1.5912685273196323</v>
      </c>
      <c r="AE970" s="360">
        <v>0.37058044489794756</v>
      </c>
      <c r="AF970" s="360">
        <v>1.2722915689575445</v>
      </c>
      <c r="AG970" s="360">
        <v>3029.8374429955202</v>
      </c>
      <c r="AH970" s="360">
        <v>4035.1240021581889</v>
      </c>
      <c r="AI970" s="360">
        <v>0.30168898806160854</v>
      </c>
      <c r="AJ970" s="360">
        <v>1.4986162806836079</v>
      </c>
      <c r="AK970" s="360">
        <v>1.5912685273196323</v>
      </c>
      <c r="AL970" s="360">
        <v>0.37058044489794756</v>
      </c>
      <c r="AM970" s="360">
        <v>1.2722915689575445</v>
      </c>
      <c r="AN970" s="360">
        <v>3029.8374429955202</v>
      </c>
      <c r="AO970" s="360">
        <f t="shared" si="42"/>
        <v>1</v>
      </c>
      <c r="AP970" s="360">
        <f t="shared" si="43"/>
        <v>1</v>
      </c>
      <c r="AQ970" s="360">
        <f t="shared" si="44"/>
        <v>1</v>
      </c>
    </row>
    <row r="971" spans="1:43">
      <c r="A971" s="360" t="s">
        <v>1082</v>
      </c>
      <c r="B971" t="s">
        <v>1075</v>
      </c>
      <c r="C971">
        <v>2</v>
      </c>
      <c r="D971" t="s">
        <v>1080</v>
      </c>
      <c r="E971" t="s">
        <v>1079</v>
      </c>
      <c r="F971" s="360">
        <v>14</v>
      </c>
      <c r="G971" s="360" t="str">
        <f>CONCATENATE(A971," ",B971," ",C971," ","inf+"," ",FanUpsizes!D971," ",FanUpsizes!F971)</f>
        <v>5ACH Percentile 2 inf+ Existing 14</v>
      </c>
      <c r="H971" s="360">
        <v>2.7745773700463668E-2</v>
      </c>
      <c r="I971" s="360">
        <v>0.40729664049778608</v>
      </c>
      <c r="J971" s="360">
        <v>1.1687321083300199</v>
      </c>
      <c r="K971" s="360">
        <v>2363.3555954817598</v>
      </c>
      <c r="L971" s="360">
        <v>0.38237623177333002</v>
      </c>
      <c r="M971" s="360">
        <v>1.2225432953279229</v>
      </c>
      <c r="N971" s="360">
        <v>1.176324493706604</v>
      </c>
      <c r="O971" s="360">
        <v>0.39665892405354086</v>
      </c>
      <c r="P971" s="360">
        <v>1.1687321998337588</v>
      </c>
      <c r="Q971" s="360">
        <v>1928.1449672462848</v>
      </c>
      <c r="R971" s="360">
        <v>3534.4148230160617</v>
      </c>
      <c r="S971" s="360">
        <v>0.35917991323970744</v>
      </c>
      <c r="T971" s="360">
        <v>1.3029265452140961</v>
      </c>
      <c r="U971" s="360">
        <v>1.5350089626544285</v>
      </c>
      <c r="V971" s="360">
        <v>0.39160819689726223</v>
      </c>
      <c r="W971" s="360">
        <v>1.168732278577729</v>
      </c>
      <c r="X971" s="360">
        <v>2837.7655168894839</v>
      </c>
      <c r="Y971" s="360">
        <v>0.37369628967778251</v>
      </c>
      <c r="Z971" s="360">
        <v>1.2487486136931538</v>
      </c>
      <c r="AA971" s="360">
        <v>1132.6847001548606</v>
      </c>
      <c r="AB971" s="360">
        <v>0.36179065860243864</v>
      </c>
      <c r="AC971" s="360">
        <v>1.2788030407012341</v>
      </c>
      <c r="AD971" s="360">
        <v>1.0680604069000688</v>
      </c>
      <c r="AE971" s="360">
        <v>0.3685771548603608</v>
      </c>
      <c r="AF971" s="360">
        <v>1.2487499650053626</v>
      </c>
      <c r="AG971" s="360">
        <v>942.32157398722154</v>
      </c>
      <c r="AH971" s="360">
        <v>2180.1610891850537</v>
      </c>
      <c r="AI971" s="360">
        <v>0.34001502232105196</v>
      </c>
      <c r="AJ971" s="360">
        <v>1.37515461803565</v>
      </c>
      <c r="AK971" s="360">
        <v>1.4041840536825347</v>
      </c>
      <c r="AL971" s="360">
        <v>0.36673281647661832</v>
      </c>
      <c r="AM971" s="360">
        <v>1.2487532932445837</v>
      </c>
      <c r="AN971" s="360">
        <v>1755.5840405127215</v>
      </c>
      <c r="AO971" s="360">
        <f t="shared" si="42"/>
        <v>1</v>
      </c>
      <c r="AP971" s="360">
        <f t="shared" si="43"/>
        <v>1</v>
      </c>
      <c r="AQ971" s="360">
        <f t="shared" si="44"/>
        <v>1</v>
      </c>
    </row>
    <row r="972" spans="1:43">
      <c r="A972" s="360" t="s">
        <v>1082</v>
      </c>
      <c r="B972" t="s">
        <v>1074</v>
      </c>
      <c r="C972">
        <v>2</v>
      </c>
      <c r="D972" t="s">
        <v>1080</v>
      </c>
      <c r="E972" t="s">
        <v>1079</v>
      </c>
      <c r="F972" s="360">
        <v>14</v>
      </c>
      <c r="G972" s="360" t="str">
        <f>CONCATENATE(A972," ",B972," ",C972," ","inf+"," ",FanUpsizes!D972," ",FanUpsizes!F972)</f>
        <v>5ACH Infiltration 2 inf+ Existing 14</v>
      </c>
      <c r="H972" s="360">
        <v>2.7745773700463668E-2</v>
      </c>
      <c r="I972" s="360">
        <v>0.40729664049778608</v>
      </c>
      <c r="J972" s="360">
        <v>1.1687321083300199</v>
      </c>
      <c r="K972" s="360">
        <v>16.624316841790414</v>
      </c>
      <c r="L972" s="360">
        <v>0.40716806428016455</v>
      </c>
      <c r="M972" s="360">
        <v>1.1689108272912232</v>
      </c>
      <c r="N972" s="360">
        <v>1.0004784977599672</v>
      </c>
      <c r="O972" s="360">
        <v>0.4072182338425368</v>
      </c>
      <c r="P972" s="360">
        <v>1.1687384635256872</v>
      </c>
      <c r="Q972" s="360">
        <v>14.320823219020482</v>
      </c>
      <c r="R972" s="360">
        <v>1888.0146962206861</v>
      </c>
      <c r="S972" s="360">
        <v>0.38430487503765187</v>
      </c>
      <c r="T972" s="360">
        <v>1.2208565646921214</v>
      </c>
      <c r="U972" s="360">
        <v>1.1652698087086004</v>
      </c>
      <c r="V972" s="360">
        <v>0.397998176076447</v>
      </c>
      <c r="W972" s="360">
        <v>1.1687325067247951</v>
      </c>
      <c r="X972" s="360">
        <v>1401.5465839312176</v>
      </c>
      <c r="Y972" s="360">
        <v>0.37369628967778251</v>
      </c>
      <c r="Z972" s="360">
        <v>1.2487486136931538</v>
      </c>
      <c r="AA972" s="360">
        <v>6.5420230202972878</v>
      </c>
      <c r="AB972" s="360">
        <v>0.37364632117322355</v>
      </c>
      <c r="AC972" s="360">
        <v>1.2488275106770674</v>
      </c>
      <c r="AD972" s="360">
        <v>1.0001573534633232</v>
      </c>
      <c r="AE972" s="360">
        <v>0.37366525390687955</v>
      </c>
      <c r="AF972" s="360">
        <v>1.2487490790771147</v>
      </c>
      <c r="AG972" s="360">
        <v>5.7802757289640363</v>
      </c>
      <c r="AH972" s="360">
        <v>1413.7451619037549</v>
      </c>
      <c r="AI972" s="360">
        <v>0.35615757340678783</v>
      </c>
      <c r="AJ972" s="360">
        <v>1.3002083157070972</v>
      </c>
      <c r="AK972" s="360">
        <v>1.1247935599173908</v>
      </c>
      <c r="AL972" s="360">
        <v>0.36754980352621147</v>
      </c>
      <c r="AM972" s="360">
        <v>1.2487490054997972</v>
      </c>
      <c r="AN972" s="360">
        <v>1116.6913924824607</v>
      </c>
      <c r="AO972" s="360">
        <f t="shared" si="42"/>
        <v>1</v>
      </c>
      <c r="AP972" s="360">
        <f t="shared" si="43"/>
        <v>1</v>
      </c>
      <c r="AQ972" s="360">
        <f t="shared" si="44"/>
        <v>1</v>
      </c>
    </row>
    <row r="973" spans="1:43">
      <c r="A973" s="360" t="s">
        <v>1082</v>
      </c>
      <c r="B973" t="s">
        <v>1076</v>
      </c>
      <c r="C973">
        <v>2</v>
      </c>
      <c r="D973" t="s">
        <v>1080</v>
      </c>
      <c r="E973" t="s">
        <v>1079</v>
      </c>
      <c r="F973" s="360">
        <v>14</v>
      </c>
      <c r="G973" s="360" t="str">
        <f>CONCATENATE(A973," ",B973," ",C973," ","inf+"," ",FanUpsizes!D973," ",FanUpsizes!F973)</f>
        <v>5ACH 5C 2 inf+ Existing 14</v>
      </c>
      <c r="H973" s="360">
        <v>2.7745773700463668E-2</v>
      </c>
      <c r="I973" s="360">
        <v>0.40729664049778608</v>
      </c>
      <c r="J973" s="360">
        <v>1.1687321083300199</v>
      </c>
      <c r="K973" s="360">
        <v>4027.7649044114714</v>
      </c>
      <c r="L973" s="360">
        <v>0.35645059080201469</v>
      </c>
      <c r="M973" s="360">
        <v>1.3056423652156748</v>
      </c>
      <c r="N973" s="360">
        <v>1.5962088406266475</v>
      </c>
      <c r="O973" s="360">
        <v>0.39154669881644671</v>
      </c>
      <c r="P973" s="360">
        <v>1.1687323163903889</v>
      </c>
      <c r="Q973" s="360">
        <v>3540.5497224849278</v>
      </c>
      <c r="R973" s="360">
        <v>4027.7649044114714</v>
      </c>
      <c r="S973" s="360">
        <v>0.35645059080201469</v>
      </c>
      <c r="T973" s="360">
        <v>1.3056423652156748</v>
      </c>
      <c r="U973" s="360">
        <v>1.5962088406266475</v>
      </c>
      <c r="V973" s="360">
        <v>0.39154669881644671</v>
      </c>
      <c r="W973" s="360">
        <v>1.1687323163903889</v>
      </c>
      <c r="X973" s="360">
        <v>3540.5497224849278</v>
      </c>
      <c r="Y973" s="360">
        <v>0.37369628967778251</v>
      </c>
      <c r="Z973" s="360">
        <v>1.2487486136931538</v>
      </c>
      <c r="AA973" s="360">
        <v>2104.7736655722993</v>
      </c>
      <c r="AB973" s="360">
        <v>0.34670755517544499</v>
      </c>
      <c r="AC973" s="360">
        <v>1.3354168626230472</v>
      </c>
      <c r="AD973" s="360">
        <v>1.2563352031300532</v>
      </c>
      <c r="AE973" s="360">
        <v>0.36573180468090127</v>
      </c>
      <c r="AF973" s="360">
        <v>1.2487487120484932</v>
      </c>
      <c r="AG973" s="360">
        <v>1837.4519752945969</v>
      </c>
      <c r="AH973" s="360">
        <v>2104.7736655722993</v>
      </c>
      <c r="AI973" s="360">
        <v>0.34670755517544499</v>
      </c>
      <c r="AJ973" s="360">
        <v>1.3354168626230472</v>
      </c>
      <c r="AK973" s="360">
        <v>1.2563352031300532</v>
      </c>
      <c r="AL973" s="360">
        <v>0.36573180468090127</v>
      </c>
      <c r="AM973" s="360">
        <v>1.2487487120484932</v>
      </c>
      <c r="AN973" s="360">
        <v>1837.4519752945969</v>
      </c>
      <c r="AO973" s="360">
        <f t="shared" si="42"/>
        <v>1</v>
      </c>
      <c r="AP973" s="360">
        <f t="shared" si="43"/>
        <v>1</v>
      </c>
      <c r="AQ973" s="360">
        <f t="shared" si="44"/>
        <v>1</v>
      </c>
    </row>
    <row r="974" spans="1:43">
      <c r="A974" s="360" t="s">
        <v>1083</v>
      </c>
      <c r="B974" t="s">
        <v>1075</v>
      </c>
      <c r="C974">
        <v>1</v>
      </c>
      <c r="D974" t="s">
        <v>1078</v>
      </c>
      <c r="E974" t="s">
        <v>1079</v>
      </c>
      <c r="F974" s="360">
        <v>14</v>
      </c>
      <c r="G974" s="360" t="str">
        <f>CONCATENATE(A974," ",B974," ",C974," ","inf+"," ",FanUpsizes!D974," ",FanUpsizes!F974)</f>
        <v>3ACH Percentile 1 inf+ New 14</v>
      </c>
      <c r="H974" s="360">
        <v>2.8819057217772486E-2</v>
      </c>
      <c r="I974" s="360">
        <v>0.25279125719607076</v>
      </c>
      <c r="J974" s="360">
        <v>1.2918152180363625</v>
      </c>
      <c r="K974" s="360">
        <v>2454.7767478906626</v>
      </c>
      <c r="L974" s="360">
        <v>0.22690685791156318</v>
      </c>
      <c r="M974" s="360">
        <v>1.4408195494540683</v>
      </c>
      <c r="N974" s="360">
        <v>1.2337079156541977</v>
      </c>
      <c r="O974" s="360">
        <v>0.25555248565431127</v>
      </c>
      <c r="P974" s="360">
        <v>1.291815228932218</v>
      </c>
      <c r="Q974" s="360">
        <v>1694.2398686215888</v>
      </c>
      <c r="R974" s="360">
        <v>3717.3860715652741</v>
      </c>
      <c r="S974" s="360">
        <v>0.20087891596215882</v>
      </c>
      <c r="T974" s="360">
        <v>1.6269590366467124</v>
      </c>
      <c r="U974" s="360">
        <v>1.7649175940891124</v>
      </c>
      <c r="V974" s="360">
        <v>0.26618872048370157</v>
      </c>
      <c r="W974" s="360">
        <v>1.291815228099406</v>
      </c>
      <c r="X974" s="360">
        <v>2613.0367081221161</v>
      </c>
      <c r="Y974" s="360">
        <v>0.25697414728285561</v>
      </c>
      <c r="Z974" s="360">
        <v>1.2566961002408825</v>
      </c>
      <c r="AA974" s="360">
        <v>2215.5802920355436</v>
      </c>
      <c r="AB974" s="360">
        <v>0.23348583933779535</v>
      </c>
      <c r="AC974" s="360">
        <v>1.3981709026587643</v>
      </c>
      <c r="AD974" s="360">
        <v>1.2114461212180143</v>
      </c>
      <c r="AE974" s="360">
        <v>0.26364324136648126</v>
      </c>
      <c r="AF974" s="360">
        <v>1.2566962838720872</v>
      </c>
      <c r="AG974" s="360">
        <v>1305.7942166791502</v>
      </c>
      <c r="AH974" s="360">
        <v>3991.6107920494451</v>
      </c>
      <c r="AI974" s="360">
        <v>0.19717356967403626</v>
      </c>
      <c r="AJ974" s="360">
        <v>1.6625227093984811</v>
      </c>
      <c r="AK974" s="360">
        <v>1.8137160345419896</v>
      </c>
      <c r="AL974" s="360">
        <v>0.27573111341840345</v>
      </c>
      <c r="AM974" s="360">
        <v>1.2566961101643117</v>
      </c>
      <c r="AN974" s="360">
        <v>2409.010634362538</v>
      </c>
      <c r="AO974" s="360">
        <f t="shared" si="42"/>
        <v>1</v>
      </c>
      <c r="AP974" s="360">
        <f t="shared" si="43"/>
        <v>1</v>
      </c>
      <c r="AQ974" s="360">
        <f t="shared" si="44"/>
        <v>1</v>
      </c>
    </row>
    <row r="975" spans="1:43">
      <c r="A975" s="360" t="s">
        <v>1083</v>
      </c>
      <c r="B975" t="s">
        <v>1074</v>
      </c>
      <c r="C975">
        <v>1</v>
      </c>
      <c r="D975" t="s">
        <v>1078</v>
      </c>
      <c r="E975" t="s">
        <v>1079</v>
      </c>
      <c r="F975" s="360">
        <v>14</v>
      </c>
      <c r="G975" s="360" t="str">
        <f>CONCATENATE(A975," ",B975," ",C975," ","inf+"," ",FanUpsizes!D975," ",FanUpsizes!F975)</f>
        <v>3ACH Infiltration 1 inf+ New 14</v>
      </c>
      <c r="H975" s="360">
        <v>2.8819057217772486E-2</v>
      </c>
      <c r="I975" s="360">
        <v>0.25279125719607076</v>
      </c>
      <c r="J975" s="360">
        <v>1.2918152180363625</v>
      </c>
      <c r="K975" s="360">
        <v>0</v>
      </c>
      <c r="L975" s="360">
        <v>0.25279125719607076</v>
      </c>
      <c r="M975" s="360">
        <v>1.2918152180363625</v>
      </c>
      <c r="N975" s="360">
        <v>1</v>
      </c>
      <c r="O975" s="360">
        <v>0.25279125719607076</v>
      </c>
      <c r="P975" s="360">
        <v>1.2918152180363625</v>
      </c>
      <c r="Q975" s="360">
        <v>0</v>
      </c>
      <c r="R975" s="360">
        <v>531.31636110954344</v>
      </c>
      <c r="S975" s="360">
        <v>0.24788026305414615</v>
      </c>
      <c r="T975" s="360">
        <v>1.311264146117348</v>
      </c>
      <c r="U975" s="360">
        <v>1.0250588880011406</v>
      </c>
      <c r="V975" s="360">
        <v>0.25129140002265749</v>
      </c>
      <c r="W975" s="360">
        <v>1.2918161887760149</v>
      </c>
      <c r="X975" s="360">
        <v>408.87036138708521</v>
      </c>
      <c r="Y975" s="360">
        <v>0.25697414728285561</v>
      </c>
      <c r="Z975" s="360">
        <v>1.2566961002408825</v>
      </c>
      <c r="AA975" s="360">
        <v>0</v>
      </c>
      <c r="AB975" s="360">
        <v>0.25697414728285561</v>
      </c>
      <c r="AC975" s="360">
        <v>1.2566961002408825</v>
      </c>
      <c r="AD975" s="360">
        <v>1</v>
      </c>
      <c r="AE975" s="360">
        <v>0.25697414728285561</v>
      </c>
      <c r="AF975" s="360">
        <v>1.2566961002408825</v>
      </c>
      <c r="AG975" s="360">
        <v>0</v>
      </c>
      <c r="AH975" s="360">
        <v>644.35686986917062</v>
      </c>
      <c r="AI975" s="360">
        <v>0.25099354347651098</v>
      </c>
      <c r="AJ975" s="360">
        <v>1.2842029727485045</v>
      </c>
      <c r="AK975" s="360">
        <v>1.0316536244630776</v>
      </c>
      <c r="AL975" s="360">
        <v>0.25636045660938733</v>
      </c>
      <c r="AM975" s="360">
        <v>1.2566961204292486</v>
      </c>
      <c r="AN975" s="360">
        <v>427.81911111342453</v>
      </c>
      <c r="AO975" s="360">
        <f t="shared" si="42"/>
        <v>1</v>
      </c>
      <c r="AP975" s="360">
        <f t="shared" si="43"/>
        <v>0</v>
      </c>
      <c r="AQ975" s="360">
        <f t="shared" si="44"/>
        <v>0</v>
      </c>
    </row>
    <row r="976" spans="1:43">
      <c r="A976" s="360" t="s">
        <v>1083</v>
      </c>
      <c r="B976" t="s">
        <v>1076</v>
      </c>
      <c r="C976">
        <v>1</v>
      </c>
      <c r="D976" t="s">
        <v>1078</v>
      </c>
      <c r="E976" t="s">
        <v>1079</v>
      </c>
      <c r="F976" s="360">
        <v>14</v>
      </c>
      <c r="G976" s="360" t="str">
        <f>CONCATENATE(A976," ",B976," ",C976," ","inf+"," ",FanUpsizes!D976," ",FanUpsizes!F976)</f>
        <v>3ACH 5C 1 inf+ New 14</v>
      </c>
      <c r="H976" s="360">
        <v>2.8819057217772486E-2</v>
      </c>
      <c r="I976" s="360">
        <v>0.25279125719607076</v>
      </c>
      <c r="J976" s="360">
        <v>1.2918152180363625</v>
      </c>
      <c r="K976" s="360">
        <v>4185.6405672790061</v>
      </c>
      <c r="L976" s="360">
        <v>0.19993486204358102</v>
      </c>
      <c r="M976" s="360">
        <v>1.6584644326504701</v>
      </c>
      <c r="N976" s="360">
        <v>2.0155116129024626</v>
      </c>
      <c r="O976" s="360">
        <v>0.30119104516871109</v>
      </c>
      <c r="P976" s="360">
        <v>1.29181567194036</v>
      </c>
      <c r="Q976" s="360">
        <v>2711.0581418630245</v>
      </c>
      <c r="R976" s="360">
        <v>4185.6405672790061</v>
      </c>
      <c r="S976" s="360">
        <v>0.19993486204358102</v>
      </c>
      <c r="T976" s="360">
        <v>1.6584644326504701</v>
      </c>
      <c r="U976" s="360">
        <v>2.0155116129024626</v>
      </c>
      <c r="V976" s="360">
        <v>0.30119104516871109</v>
      </c>
      <c r="W976" s="360">
        <v>1.29181567194036</v>
      </c>
      <c r="X976" s="360">
        <v>2711.0581418630245</v>
      </c>
      <c r="Y976" s="360">
        <v>0.25697414728285561</v>
      </c>
      <c r="Z976" s="360">
        <v>1.2566961002408825</v>
      </c>
      <c r="AA976" s="360">
        <v>4007.276055739876</v>
      </c>
      <c r="AB976" s="360">
        <v>0.20541777783037568</v>
      </c>
      <c r="AC976" s="360">
        <v>1.621181852026071</v>
      </c>
      <c r="AD976" s="360">
        <v>2.1361160946594109</v>
      </c>
      <c r="AE976" s="360">
        <v>0.32045443353410286</v>
      </c>
      <c r="AF976" s="360">
        <v>1.256696872452133</v>
      </c>
      <c r="AG976" s="360">
        <v>2300.8108029838659</v>
      </c>
      <c r="AH976" s="360">
        <v>4007.276055739876</v>
      </c>
      <c r="AI976" s="360">
        <v>0.20541777783037568</v>
      </c>
      <c r="AJ976" s="360">
        <v>1.621181852026071</v>
      </c>
      <c r="AK976" s="360">
        <v>2.1361160946594109</v>
      </c>
      <c r="AL976" s="360">
        <v>0.32045443353410286</v>
      </c>
      <c r="AM976" s="360">
        <v>1.256696872452133</v>
      </c>
      <c r="AN976" s="360">
        <v>2300.8108029838659</v>
      </c>
      <c r="AO976" s="360">
        <f t="shared" si="42"/>
        <v>1</v>
      </c>
      <c r="AP976" s="360">
        <f t="shared" si="43"/>
        <v>1</v>
      </c>
      <c r="AQ976" s="360">
        <f t="shared" si="44"/>
        <v>1</v>
      </c>
    </row>
    <row r="977" spans="1:43">
      <c r="A977" s="360" t="s">
        <v>1083</v>
      </c>
      <c r="B977" t="s">
        <v>1075</v>
      </c>
      <c r="C977">
        <v>2</v>
      </c>
      <c r="D977" t="s">
        <v>1078</v>
      </c>
      <c r="E977" t="s">
        <v>1079</v>
      </c>
      <c r="F977" s="360">
        <v>14</v>
      </c>
      <c r="G977" s="360" t="str">
        <f>CONCATENATE(A977," ",B977," ",C977," ","inf+"," ",FanUpsizes!D977," ",FanUpsizes!F977)</f>
        <v>3ACH Percentile 2 inf+ New 14</v>
      </c>
      <c r="H977" s="360">
        <v>2.4203464220278206E-2</v>
      </c>
      <c r="I977" s="360">
        <v>0.27384474413190951</v>
      </c>
      <c r="J977" s="360">
        <v>1.2318215719501144</v>
      </c>
      <c r="K977" s="360">
        <v>2061.6254285272648</v>
      </c>
      <c r="L977" s="360">
        <v>0.25210592987397334</v>
      </c>
      <c r="M977" s="360">
        <v>1.3169945257673534</v>
      </c>
      <c r="N977" s="360">
        <v>1.1937310940939723</v>
      </c>
      <c r="O977" s="360">
        <v>0.26756871970288398</v>
      </c>
      <c r="P977" s="360">
        <v>1.2318222911053953</v>
      </c>
      <c r="Q977" s="360">
        <v>1635.5349923774645</v>
      </c>
      <c r="R977" s="360">
        <v>3083.7637710748586</v>
      </c>
      <c r="S977" s="360">
        <v>0.2318259583543576</v>
      </c>
      <c r="T977" s="360">
        <v>1.4313110278916736</v>
      </c>
      <c r="U977" s="360">
        <v>1.5699222921493432</v>
      </c>
      <c r="V977" s="360">
        <v>0.26681208396593198</v>
      </c>
      <c r="W977" s="360">
        <v>1.2318224370550175</v>
      </c>
      <c r="X977" s="360">
        <v>2424.0420304135114</v>
      </c>
      <c r="Y977" s="360">
        <v>0.26073646346713641</v>
      </c>
      <c r="Z977" s="360">
        <v>1.2645062314488944</v>
      </c>
      <c r="AA977" s="360">
        <v>1347.7335861601234</v>
      </c>
      <c r="AB977" s="360">
        <v>0.2464959604839444</v>
      </c>
      <c r="AC977" s="360">
        <v>1.3279500732601202</v>
      </c>
      <c r="AD977" s="360">
        <v>1.1107924036530195</v>
      </c>
      <c r="AE977" s="360">
        <v>0.25798491091654213</v>
      </c>
      <c r="AF977" s="360">
        <v>1.2645062333033372</v>
      </c>
      <c r="AG977" s="360">
        <v>1013.1065814585659</v>
      </c>
      <c r="AH977" s="360">
        <v>2525.129194190602</v>
      </c>
      <c r="AI977" s="360">
        <v>0.22217890779652255</v>
      </c>
      <c r="AJ977" s="360">
        <v>1.4883473420832751</v>
      </c>
      <c r="AK977" s="360">
        <v>1.5537098419020998</v>
      </c>
      <c r="AL977" s="360">
        <v>0.26045562356587643</v>
      </c>
      <c r="AM977" s="360">
        <v>1.2645062318085118</v>
      </c>
      <c r="AN977" s="360">
        <v>1843.8030922648406</v>
      </c>
      <c r="AO977" s="360">
        <f t="shared" si="42"/>
        <v>1</v>
      </c>
      <c r="AP977" s="360">
        <f t="shared" si="43"/>
        <v>1</v>
      </c>
      <c r="AQ977" s="360">
        <f t="shared" si="44"/>
        <v>1</v>
      </c>
    </row>
    <row r="978" spans="1:43">
      <c r="A978" s="360" t="s">
        <v>1083</v>
      </c>
      <c r="B978" t="s">
        <v>1074</v>
      </c>
      <c r="C978">
        <v>2</v>
      </c>
      <c r="D978" t="s">
        <v>1078</v>
      </c>
      <c r="E978" t="s">
        <v>1079</v>
      </c>
      <c r="F978" s="360">
        <v>14</v>
      </c>
      <c r="G978" s="360" t="str">
        <f>CONCATENATE(A978," ",B978," ",C978," ","inf+"," ",FanUpsizes!D978," ",FanUpsizes!F978)</f>
        <v>3ACH Infiltration 2 inf+ New 14</v>
      </c>
      <c r="H978" s="360">
        <v>2.4203464220278206E-2</v>
      </c>
      <c r="I978" s="360">
        <v>0.27384474413190951</v>
      </c>
      <c r="J978" s="360">
        <v>1.2318215719501144</v>
      </c>
      <c r="K978" s="360">
        <v>0</v>
      </c>
      <c r="L978" s="360">
        <v>0.27384474413190951</v>
      </c>
      <c r="M978" s="360">
        <v>1.2318215719501144</v>
      </c>
      <c r="N978" s="360">
        <v>1</v>
      </c>
      <c r="O978" s="360">
        <v>0.27384474413190951</v>
      </c>
      <c r="P978" s="360">
        <v>1.2318215719501144</v>
      </c>
      <c r="Q978" s="360">
        <v>0</v>
      </c>
      <c r="R978" s="360">
        <v>1189.0500773023559</v>
      </c>
      <c r="S978" s="360">
        <v>0.26085447707533788</v>
      </c>
      <c r="T978" s="360">
        <v>1.2766818433191234</v>
      </c>
      <c r="U978" s="360">
        <v>1.0923813807677318</v>
      </c>
      <c r="V978" s="360">
        <v>0.2688756935941965</v>
      </c>
      <c r="W978" s="360">
        <v>1.2318224656221965</v>
      </c>
      <c r="X978" s="360">
        <v>906.52445589876277</v>
      </c>
      <c r="Y978" s="360">
        <v>0.26073646346713641</v>
      </c>
      <c r="Z978" s="360">
        <v>1.2645062314488944</v>
      </c>
      <c r="AA978" s="360">
        <v>0</v>
      </c>
      <c r="AB978" s="360">
        <v>0.26073646346713641</v>
      </c>
      <c r="AC978" s="360">
        <v>1.2645062314488944</v>
      </c>
      <c r="AD978" s="360">
        <v>1</v>
      </c>
      <c r="AE978" s="360">
        <v>0.26073646346713641</v>
      </c>
      <c r="AF978" s="360">
        <v>1.2645062314488944</v>
      </c>
      <c r="AG978" s="360">
        <v>0</v>
      </c>
      <c r="AH978" s="360">
        <v>1141.0498647094691</v>
      </c>
      <c r="AI978" s="360">
        <v>0.24815842730332238</v>
      </c>
      <c r="AJ978" s="360">
        <v>1.3186468230232942</v>
      </c>
      <c r="AK978" s="360">
        <v>1.0897468934478838</v>
      </c>
      <c r="AL978" s="360">
        <v>0.25778685001435514</v>
      </c>
      <c r="AM978" s="360">
        <v>1.2645070808430554</v>
      </c>
      <c r="AN978" s="360">
        <v>830.62295215396796</v>
      </c>
      <c r="AO978" s="360">
        <f t="shared" si="42"/>
        <v>1</v>
      </c>
      <c r="AP978" s="360">
        <f t="shared" si="43"/>
        <v>0</v>
      </c>
      <c r="AQ978" s="360">
        <f t="shared" si="44"/>
        <v>0</v>
      </c>
    </row>
    <row r="979" spans="1:43">
      <c r="A979" s="360" t="s">
        <v>1083</v>
      </c>
      <c r="B979" t="s">
        <v>1076</v>
      </c>
      <c r="C979">
        <v>2</v>
      </c>
      <c r="D979" t="s">
        <v>1078</v>
      </c>
      <c r="E979" t="s">
        <v>1079</v>
      </c>
      <c r="F979" s="360">
        <v>14</v>
      </c>
      <c r="G979" s="360" t="str">
        <f>CONCATENATE(A979," ",B979," ",C979," ","inf+"," ",FanUpsizes!D979," ",FanUpsizes!F979)</f>
        <v>3ACH 5C 2 inf+ New 14</v>
      </c>
      <c r="H979" s="360">
        <v>2.4203464220278206E-2</v>
      </c>
      <c r="I979" s="360">
        <v>0.27384474413190951</v>
      </c>
      <c r="J979" s="360">
        <v>1.2318215719501144</v>
      </c>
      <c r="K979" s="360">
        <v>3513.5392079547255</v>
      </c>
      <c r="L979" s="360">
        <v>0.2294902216075087</v>
      </c>
      <c r="M979" s="360">
        <v>1.4444859853507614</v>
      </c>
      <c r="N979" s="360">
        <v>1.6624075781983065</v>
      </c>
      <c r="O979" s="360">
        <v>0.27232532821526201</v>
      </c>
      <c r="P979" s="360">
        <v>1.2318216175586916</v>
      </c>
      <c r="Q979" s="360">
        <v>2948.5305586981704</v>
      </c>
      <c r="R979" s="360">
        <v>3513.5392079547255</v>
      </c>
      <c r="S979" s="360">
        <v>0.2294902216075087</v>
      </c>
      <c r="T979" s="360">
        <v>1.4444859853507614</v>
      </c>
      <c r="U979" s="360">
        <v>1.6624075781983065</v>
      </c>
      <c r="V979" s="360">
        <v>0.27232532821526201</v>
      </c>
      <c r="W979" s="360">
        <v>1.2318216175586916</v>
      </c>
      <c r="X979" s="360">
        <v>2948.5305586981704</v>
      </c>
      <c r="Y979" s="360">
        <v>0.26073646346713641</v>
      </c>
      <c r="Z979" s="360">
        <v>1.2645062314488944</v>
      </c>
      <c r="AA979" s="360">
        <v>2475.2116914106937</v>
      </c>
      <c r="AB979" s="360">
        <v>0.22889874014134498</v>
      </c>
      <c r="AC979" s="360">
        <v>1.4373252653570827</v>
      </c>
      <c r="AD979" s="360">
        <v>1.4504624366750234</v>
      </c>
      <c r="AE979" s="360">
        <v>0.26293643448803344</v>
      </c>
      <c r="AF979" s="360">
        <v>1.2645103488287139</v>
      </c>
      <c r="AG979" s="360">
        <v>1983.0399871812806</v>
      </c>
      <c r="AH979" s="360">
        <v>2475.2116914106937</v>
      </c>
      <c r="AI979" s="360">
        <v>0.22889874014134498</v>
      </c>
      <c r="AJ979" s="360">
        <v>1.4373252653570827</v>
      </c>
      <c r="AK979" s="360">
        <v>1.4504624366750234</v>
      </c>
      <c r="AL979" s="360">
        <v>0.26293643448803344</v>
      </c>
      <c r="AM979" s="360">
        <v>1.2645103488287139</v>
      </c>
      <c r="AN979" s="360">
        <v>1983.0399871812806</v>
      </c>
      <c r="AO979" s="360">
        <f t="shared" si="42"/>
        <v>1</v>
      </c>
      <c r="AP979" s="360">
        <f t="shared" si="43"/>
        <v>1</v>
      </c>
      <c r="AQ979" s="360">
        <f t="shared" si="44"/>
        <v>1</v>
      </c>
    </row>
    <row r="980" spans="1:43">
      <c r="A980" s="360" t="s">
        <v>1083</v>
      </c>
      <c r="B980" t="s">
        <v>1075</v>
      </c>
      <c r="C980">
        <v>1</v>
      </c>
      <c r="D980" t="s">
        <v>1080</v>
      </c>
      <c r="E980" t="s">
        <v>1079</v>
      </c>
      <c r="F980" s="360">
        <v>14</v>
      </c>
      <c r="G980" s="360" t="str">
        <f>CONCATENATE(A980," ",B980," ",C980," ","inf+"," ",FanUpsizes!D980," ",FanUpsizes!F980)</f>
        <v>3ACH Percentile 1 inf+ Existing 14</v>
      </c>
      <c r="H980" s="360">
        <v>4.506905721777249E-2</v>
      </c>
      <c r="I980" s="360">
        <v>0.34366897413091096</v>
      </c>
      <c r="J980" s="360">
        <v>1.2828921473914945</v>
      </c>
      <c r="K980" s="360">
        <v>3913.0345245311137</v>
      </c>
      <c r="L980" s="360">
        <v>0.30229153506265188</v>
      </c>
      <c r="M980" s="360">
        <v>1.5472235299133952</v>
      </c>
      <c r="N980" s="360">
        <v>1.3700215090986778</v>
      </c>
      <c r="O980" s="360">
        <v>0.39184117995914175</v>
      </c>
      <c r="P980" s="360">
        <v>1.2828944676829326</v>
      </c>
      <c r="Q980" s="360">
        <v>1171.9102943125706</v>
      </c>
      <c r="R980" s="360">
        <v>6490.1436417060995</v>
      </c>
      <c r="S980" s="360">
        <v>0.24818047725173883</v>
      </c>
      <c r="T980" s="360">
        <v>1.8715283911657943</v>
      </c>
      <c r="U980" s="360">
        <v>2.1668335977468209</v>
      </c>
      <c r="V980" s="360">
        <v>0.43070825292420256</v>
      </c>
      <c r="W980" s="360">
        <v>1.2828924516036868</v>
      </c>
      <c r="X980" s="360">
        <v>2942.5039056209725</v>
      </c>
      <c r="Y980" s="360">
        <v>0.36319120625671192</v>
      </c>
      <c r="Z980" s="360">
        <v>1.2133387556508883</v>
      </c>
      <c r="AA980" s="360">
        <v>4460.2420884689109</v>
      </c>
      <c r="AB980" s="360">
        <v>0.31586091518647152</v>
      </c>
      <c r="AC980" s="360">
        <v>1.4956259673829397</v>
      </c>
      <c r="AD980" s="360">
        <v>1.4608251137895738</v>
      </c>
      <c r="AE980" s="360">
        <v>0.42653885336095337</v>
      </c>
      <c r="AF980" s="360">
        <v>1.2133390458139035</v>
      </c>
      <c r="AG980" s="360">
        <v>1045.1125216233836</v>
      </c>
      <c r="AH980" s="360">
        <v>7681.4477824376427</v>
      </c>
      <c r="AI980" s="360">
        <v>0.25060744059891987</v>
      </c>
      <c r="AJ980" s="360">
        <v>1.8618370892168137</v>
      </c>
      <c r="AK980" s="360">
        <v>2.2932526587241355</v>
      </c>
      <c r="AL980" s="360">
        <v>0.46443711791198222</v>
      </c>
      <c r="AM980" s="360">
        <v>1.2133408448550274</v>
      </c>
      <c r="AN980" s="360">
        <v>2993.021837008243</v>
      </c>
      <c r="AO980" s="360">
        <f t="shared" si="42"/>
        <v>1</v>
      </c>
      <c r="AP980" s="360">
        <f t="shared" si="43"/>
        <v>1</v>
      </c>
      <c r="AQ980" s="360">
        <f t="shared" si="44"/>
        <v>1</v>
      </c>
    </row>
    <row r="981" spans="1:43">
      <c r="A981" s="360" t="s">
        <v>1083</v>
      </c>
      <c r="B981" t="s">
        <v>1074</v>
      </c>
      <c r="C981">
        <v>1</v>
      </c>
      <c r="D981" t="s">
        <v>1080</v>
      </c>
      <c r="E981" t="s">
        <v>1079</v>
      </c>
      <c r="F981" s="360">
        <v>14</v>
      </c>
      <c r="G981" s="360" t="str">
        <f>CONCATENATE(A981," ",B981," ",C981," ","inf+"," ",FanUpsizes!D981," ",FanUpsizes!F981)</f>
        <v>3ACH Infiltration 1 inf+ Existing 14</v>
      </c>
      <c r="H981" s="360">
        <v>4.506905721777249E-2</v>
      </c>
      <c r="I981" s="360">
        <v>0.34366897413091096</v>
      </c>
      <c r="J981" s="360">
        <v>1.2828921473914945</v>
      </c>
      <c r="K981" s="360">
        <v>0</v>
      </c>
      <c r="L981" s="360">
        <v>0.34366897413091096</v>
      </c>
      <c r="M981" s="360">
        <v>1.2828921473914945</v>
      </c>
      <c r="N981" s="360">
        <v>1</v>
      </c>
      <c r="O981" s="360">
        <v>0.34366897413091096</v>
      </c>
      <c r="P981" s="360">
        <v>1.2828921473914945</v>
      </c>
      <c r="Q981" s="360">
        <v>0</v>
      </c>
      <c r="R981" s="360">
        <v>0</v>
      </c>
      <c r="S981" s="360">
        <v>0.34366897413091096</v>
      </c>
      <c r="T981" s="360">
        <v>1.2828921473914945</v>
      </c>
      <c r="U981" s="360">
        <v>1</v>
      </c>
      <c r="V981" s="360">
        <v>0.34366897413091096</v>
      </c>
      <c r="W981" s="360">
        <v>1.2828921473914945</v>
      </c>
      <c r="X981" s="360">
        <v>0</v>
      </c>
      <c r="Y981" s="360">
        <v>0.36319120625671192</v>
      </c>
      <c r="Z981" s="360">
        <v>1.2133387556508883</v>
      </c>
      <c r="AA981" s="360">
        <v>0</v>
      </c>
      <c r="AB981" s="360">
        <v>0.36319120625671192</v>
      </c>
      <c r="AC981" s="360">
        <v>1.2133387556508883</v>
      </c>
      <c r="AD981" s="360">
        <v>1</v>
      </c>
      <c r="AE981" s="360">
        <v>0.36319120625671192</v>
      </c>
      <c r="AF981" s="360">
        <v>1.2133387556508883</v>
      </c>
      <c r="AG981" s="360">
        <v>0</v>
      </c>
      <c r="AH981" s="360">
        <v>0</v>
      </c>
      <c r="AI981" s="360">
        <v>0.36319120625671192</v>
      </c>
      <c r="AJ981" s="360">
        <v>1.2133387556508883</v>
      </c>
      <c r="AK981" s="360">
        <v>1</v>
      </c>
      <c r="AL981" s="360">
        <v>0.36319120625671192</v>
      </c>
      <c r="AM981" s="360">
        <v>1.2133387556508883</v>
      </c>
      <c r="AN981" s="360">
        <v>0</v>
      </c>
      <c r="AO981" s="360">
        <f t="shared" si="42"/>
        <v>1</v>
      </c>
      <c r="AP981" s="360">
        <f t="shared" si="43"/>
        <v>0</v>
      </c>
      <c r="AQ981" s="360">
        <f t="shared" si="44"/>
        <v>0</v>
      </c>
    </row>
    <row r="982" spans="1:43">
      <c r="A982" s="360" t="s">
        <v>1083</v>
      </c>
      <c r="B982" t="s">
        <v>1076</v>
      </c>
      <c r="C982">
        <v>1</v>
      </c>
      <c r="D982" t="s">
        <v>1080</v>
      </c>
      <c r="E982" t="s">
        <v>1079</v>
      </c>
      <c r="F982" s="360">
        <v>14</v>
      </c>
      <c r="G982" s="360" t="str">
        <f>CONCATENATE(A982," ",B982," ",C982," ","inf+"," ",FanUpsizes!D982," ",FanUpsizes!F982)</f>
        <v>3ACH 5C 1 inf+ Existing 14</v>
      </c>
      <c r="H982" s="360">
        <v>4.506905721777249E-2</v>
      </c>
      <c r="I982" s="360">
        <v>0.34366897413091096</v>
      </c>
      <c r="J982" s="360">
        <v>1.2828921473914945</v>
      </c>
      <c r="K982" s="360">
        <v>6990.4577200323893</v>
      </c>
      <c r="L982" s="360">
        <v>0.25401621236694955</v>
      </c>
      <c r="M982" s="360">
        <v>1.9380607200599955</v>
      </c>
      <c r="N982" s="360">
        <v>7.5976156621618118</v>
      </c>
      <c r="O982" s="360">
        <v>1.3572781187120064</v>
      </c>
      <c r="P982" s="360">
        <v>1.2828921482997755</v>
      </c>
      <c r="Q982" s="360">
        <v>-9609.0382089393261</v>
      </c>
      <c r="R982" s="360">
        <v>6990.4577200323893</v>
      </c>
      <c r="S982" s="360">
        <v>0.25401621236694955</v>
      </c>
      <c r="T982" s="360">
        <v>1.9380607200599955</v>
      </c>
      <c r="U982" s="360">
        <v>7.5976156621618118</v>
      </c>
      <c r="V982" s="360">
        <v>1.3572781187120064</v>
      </c>
      <c r="W982" s="360">
        <v>1.2828921482997755</v>
      </c>
      <c r="X982" s="360">
        <v>-9609.0382089393261</v>
      </c>
      <c r="Y982" s="360">
        <v>0.36319120625671192</v>
      </c>
      <c r="Z982" s="360">
        <v>1.2133387556508883</v>
      </c>
      <c r="AA982" s="360">
        <v>7927.8607830418514</v>
      </c>
      <c r="AB982" s="360">
        <v>0.26145632980099803</v>
      </c>
      <c r="AC982" s="360">
        <v>1.9062152688278502</v>
      </c>
      <c r="AD982" s="360">
        <v>8.8752688583479937</v>
      </c>
      <c r="AE982" s="360">
        <v>1.5723048526861807</v>
      </c>
      <c r="AF982" s="360">
        <v>1.2684318455228516</v>
      </c>
      <c r="AG982" s="360">
        <v>-11773.957017750279</v>
      </c>
      <c r="AH982" s="360">
        <v>7927.8607830418514</v>
      </c>
      <c r="AI982" s="360">
        <v>0.26145632980099803</v>
      </c>
      <c r="AJ982" s="360">
        <v>1.9062152688278502</v>
      </c>
      <c r="AK982" s="360">
        <v>8.8752688583479937</v>
      </c>
      <c r="AL982" s="360">
        <v>1.5723048526861807</v>
      </c>
      <c r="AM982" s="360">
        <v>1.2684318455228516</v>
      </c>
      <c r="AN982" s="360">
        <v>-11773.957017750279</v>
      </c>
      <c r="AO982" s="360">
        <f t="shared" si="42"/>
        <v>1</v>
      </c>
      <c r="AP982" s="360">
        <f t="shared" si="43"/>
        <v>1</v>
      </c>
      <c r="AQ982" s="360">
        <f t="shared" si="44"/>
        <v>1</v>
      </c>
    </row>
    <row r="983" spans="1:43">
      <c r="A983" s="360" t="s">
        <v>1083</v>
      </c>
      <c r="B983" t="s">
        <v>1075</v>
      </c>
      <c r="C983">
        <v>2</v>
      </c>
      <c r="D983" t="s">
        <v>1080</v>
      </c>
      <c r="E983" t="s">
        <v>1079</v>
      </c>
      <c r="F983" s="360">
        <v>14</v>
      </c>
      <c r="G983" s="360" t="str">
        <f>CONCATENATE(A983," ",B983," ",C983," ","inf+"," ",FanUpsizes!D983," ",FanUpsizes!F983)</f>
        <v>3ACH Percentile 2 inf+ Existing 14</v>
      </c>
      <c r="H983" s="360">
        <v>4.0453464220278207E-2</v>
      </c>
      <c r="I983" s="360">
        <v>0.34735709653511626</v>
      </c>
      <c r="J983" s="360">
        <v>1.2907833033307312</v>
      </c>
      <c r="K983" s="360">
        <v>3445.7832048136602</v>
      </c>
      <c r="L983" s="360">
        <v>0.31102302729730119</v>
      </c>
      <c r="M983" s="360">
        <v>1.4543765041342429</v>
      </c>
      <c r="N983" s="360">
        <v>1.2497261400256667</v>
      </c>
      <c r="O983" s="360">
        <v>0.35579911418563276</v>
      </c>
      <c r="P983" s="360">
        <v>1.2907878264714201</v>
      </c>
      <c r="Q983" s="360">
        <v>2209.8726214434323</v>
      </c>
      <c r="R983" s="360">
        <v>5249.8123535522227</v>
      </c>
      <c r="S983" s="360">
        <v>0.2735334386726474</v>
      </c>
      <c r="T983" s="360">
        <v>1.6551281891171319</v>
      </c>
      <c r="U983" s="360">
        <v>1.8341383376968361</v>
      </c>
      <c r="V983" s="360">
        <v>0.3749941330522385</v>
      </c>
      <c r="W983" s="360">
        <v>1.2907834984017621</v>
      </c>
      <c r="X983" s="360">
        <v>3530.3719363866244</v>
      </c>
      <c r="Y983" s="360">
        <v>0.35561379940520493</v>
      </c>
      <c r="Z983" s="360">
        <v>1.2481884840364545</v>
      </c>
      <c r="AA983" s="360">
        <v>3240.380018319654</v>
      </c>
      <c r="AB983" s="360">
        <v>0.32126098032164097</v>
      </c>
      <c r="AC983" s="360">
        <v>1.407831052673884</v>
      </c>
      <c r="AD983" s="360">
        <v>1.2423656246275128</v>
      </c>
      <c r="AE983" s="360">
        <v>0.37029435096427388</v>
      </c>
      <c r="AF983" s="360">
        <v>1.248188679219935</v>
      </c>
      <c r="AG983" s="360">
        <v>1753.7251555141024</v>
      </c>
      <c r="AH983" s="360">
        <v>5787.6196305182248</v>
      </c>
      <c r="AI983" s="360">
        <v>0.26927091773755907</v>
      </c>
      <c r="AJ983" s="360">
        <v>1.6865694000673093</v>
      </c>
      <c r="AK983" s="360">
        <v>1.8812457898869839</v>
      </c>
      <c r="AL983" s="360">
        <v>0.39030704010903217</v>
      </c>
      <c r="AM983" s="360">
        <v>1.2481886439368037</v>
      </c>
      <c r="AN983" s="360">
        <v>3311.3084590661906</v>
      </c>
      <c r="AO983" s="360">
        <f t="shared" si="42"/>
        <v>1</v>
      </c>
      <c r="AP983" s="360">
        <f t="shared" si="43"/>
        <v>1</v>
      </c>
      <c r="AQ983" s="360">
        <f t="shared" si="44"/>
        <v>1</v>
      </c>
    </row>
    <row r="984" spans="1:43">
      <c r="A984" s="360" t="s">
        <v>1083</v>
      </c>
      <c r="B984" t="s">
        <v>1074</v>
      </c>
      <c r="C984">
        <v>2</v>
      </c>
      <c r="D984" t="s">
        <v>1080</v>
      </c>
      <c r="E984" t="s">
        <v>1079</v>
      </c>
      <c r="F984" s="360">
        <v>14</v>
      </c>
      <c r="G984" s="360" t="str">
        <f>CONCATENATE(A984," ",B984," ",C984," ","inf+"," ",FanUpsizes!D984," ",FanUpsizes!F984)</f>
        <v>3ACH Infiltration 2 inf+ Existing 14</v>
      </c>
      <c r="H984" s="360">
        <v>4.0453464220278207E-2</v>
      </c>
      <c r="I984" s="360">
        <v>0.34735709653511626</v>
      </c>
      <c r="J984" s="360">
        <v>1.2907833033307312</v>
      </c>
      <c r="K984" s="360">
        <v>0</v>
      </c>
      <c r="L984" s="360">
        <v>0.34735709653511626</v>
      </c>
      <c r="M984" s="360">
        <v>1.2907833033307312</v>
      </c>
      <c r="N984" s="360">
        <v>1</v>
      </c>
      <c r="O984" s="360">
        <v>0.34735709653511626</v>
      </c>
      <c r="P984" s="360">
        <v>1.2907833033307312</v>
      </c>
      <c r="Q984" s="360">
        <v>0</v>
      </c>
      <c r="R984" s="360">
        <v>461.51837071238822</v>
      </c>
      <c r="S984" s="360">
        <v>0.34329252077844691</v>
      </c>
      <c r="T984" s="360">
        <v>1.3025816386318141</v>
      </c>
      <c r="U984" s="360">
        <v>1.0145159121627991</v>
      </c>
      <c r="V984" s="360">
        <v>0.34616969077549614</v>
      </c>
      <c r="W984" s="360">
        <v>1.2907834137155789</v>
      </c>
      <c r="X984" s="360">
        <v>354.94983065897969</v>
      </c>
      <c r="Y984" s="360">
        <v>0.35561379940520493</v>
      </c>
      <c r="Z984" s="360">
        <v>1.2481884840364545</v>
      </c>
      <c r="AA984" s="360">
        <v>0</v>
      </c>
      <c r="AB984" s="360">
        <v>0.35561379940520493</v>
      </c>
      <c r="AC984" s="360">
        <v>1.2481884840364545</v>
      </c>
      <c r="AD984" s="360">
        <v>1</v>
      </c>
      <c r="AE984" s="360">
        <v>0.35561379940520493</v>
      </c>
      <c r="AF984" s="360">
        <v>1.2481884840364545</v>
      </c>
      <c r="AG984" s="360">
        <v>0</v>
      </c>
      <c r="AH984" s="360">
        <v>571.57810354840171</v>
      </c>
      <c r="AI984" s="360">
        <v>0.35056437703697235</v>
      </c>
      <c r="AJ984" s="360">
        <v>1.2651154210520301</v>
      </c>
      <c r="AK984" s="360">
        <v>1.0188087402536219</v>
      </c>
      <c r="AL984" s="360">
        <v>0.35519700834434864</v>
      </c>
      <c r="AM984" s="360">
        <v>1.2481887446546585</v>
      </c>
      <c r="AN984" s="360">
        <v>377.02584029173528</v>
      </c>
      <c r="AO984" s="360">
        <f t="shared" si="42"/>
        <v>1</v>
      </c>
      <c r="AP984" s="360">
        <f t="shared" si="43"/>
        <v>0</v>
      </c>
      <c r="AQ984" s="360">
        <f t="shared" si="44"/>
        <v>0</v>
      </c>
    </row>
    <row r="985" spans="1:43">
      <c r="A985" s="360" t="s">
        <v>1083</v>
      </c>
      <c r="B985" t="s">
        <v>1076</v>
      </c>
      <c r="C985">
        <v>2</v>
      </c>
      <c r="D985" t="s">
        <v>1080</v>
      </c>
      <c r="E985" t="s">
        <v>1079</v>
      </c>
      <c r="F985" s="360">
        <v>14</v>
      </c>
      <c r="G985" s="360" t="str">
        <f>CONCATENATE(A985," ",B985," ",C985," ","inf+"," ",FanUpsizes!D985," ",FanUpsizes!F985)</f>
        <v>3ACH 5C 2 inf+ Existing 14</v>
      </c>
      <c r="H985" s="360">
        <v>4.0453464220278207E-2</v>
      </c>
      <c r="I985" s="360">
        <v>0.34735709653511626</v>
      </c>
      <c r="J985" s="360">
        <v>1.2907833033307312</v>
      </c>
      <c r="K985" s="360">
        <v>5884.1347313991146</v>
      </c>
      <c r="L985" s="360">
        <v>0.2729901685278297</v>
      </c>
      <c r="M985" s="360">
        <v>1.6910194779708621</v>
      </c>
      <c r="N985" s="360">
        <v>2.2311846050215465</v>
      </c>
      <c r="O985" s="360">
        <v>0.44820132049781808</v>
      </c>
      <c r="P985" s="360">
        <v>1.2907838524332422</v>
      </c>
      <c r="Q985" s="360">
        <v>3306.6841414941409</v>
      </c>
      <c r="R985" s="360">
        <v>5884.1347313991146</v>
      </c>
      <c r="S985" s="360">
        <v>0.2729901685278297</v>
      </c>
      <c r="T985" s="360">
        <v>1.6910194779708621</v>
      </c>
      <c r="U985" s="360">
        <v>2.2311846050215465</v>
      </c>
      <c r="V985" s="360">
        <v>0.44820132049781808</v>
      </c>
      <c r="W985" s="360">
        <v>1.2907838524332422</v>
      </c>
      <c r="X985" s="360">
        <v>3306.6841414941409</v>
      </c>
      <c r="Y985" s="360">
        <v>0.35561379940520493</v>
      </c>
      <c r="Z985" s="360">
        <v>1.2481884840364545</v>
      </c>
      <c r="AA985" s="360">
        <v>5834.5923857147818</v>
      </c>
      <c r="AB985" s="360">
        <v>0.28061143766568492</v>
      </c>
      <c r="AC985" s="360">
        <v>1.6543548799569106</v>
      </c>
      <c r="AD985" s="360">
        <v>2.4693943086081953</v>
      </c>
      <c r="AE985" s="360">
        <v>0.49152393236775621</v>
      </c>
      <c r="AF985" s="360">
        <v>1.2481889345378376</v>
      </c>
      <c r="AG985" s="360">
        <v>2695.4207732079071</v>
      </c>
      <c r="AH985" s="360">
        <v>5834.5923857147818</v>
      </c>
      <c r="AI985" s="360">
        <v>0.28061143766568492</v>
      </c>
      <c r="AJ985" s="360">
        <v>1.6543548799569106</v>
      </c>
      <c r="AK985" s="360">
        <v>2.4693943086081953</v>
      </c>
      <c r="AL985" s="360">
        <v>0.49152393236775621</v>
      </c>
      <c r="AM985" s="360">
        <v>1.2481889345378376</v>
      </c>
      <c r="AN985" s="360">
        <v>2695.4207732079071</v>
      </c>
      <c r="AO985" s="360">
        <f t="shared" si="42"/>
        <v>1</v>
      </c>
      <c r="AP985" s="360">
        <f t="shared" si="43"/>
        <v>1</v>
      </c>
      <c r="AQ985" s="360">
        <f t="shared" si="44"/>
        <v>1</v>
      </c>
    </row>
    <row r="986" spans="1:43">
      <c r="A986" s="360" t="s">
        <v>1084</v>
      </c>
      <c r="B986" t="s">
        <v>1075</v>
      </c>
      <c r="C986">
        <v>1</v>
      </c>
      <c r="D986" t="s">
        <v>1078</v>
      </c>
      <c r="E986" t="s">
        <v>1079</v>
      </c>
      <c r="F986" s="360">
        <v>14</v>
      </c>
      <c r="G986" s="360" t="str">
        <f>CONCATENATE(A986," ",B986," ",C986," ","inf+"," ",FanUpsizes!D986," ",FanUpsizes!F986)</f>
        <v>1.5ACH Percentile 1 inf+ New 14</v>
      </c>
      <c r="H986" s="360">
        <v>3.6042028608886244E-2</v>
      </c>
      <c r="I986" s="360">
        <v>0.26639427634444773</v>
      </c>
      <c r="J986" s="360">
        <v>1.1987931068446784</v>
      </c>
      <c r="K986" s="360">
        <v>3938.4279513211623</v>
      </c>
      <c r="L986" s="360">
        <v>0.22453817150059963</v>
      </c>
      <c r="M986" s="360">
        <v>1.6827541639283301</v>
      </c>
      <c r="N986" s="360">
        <v>1.9588846228939416</v>
      </c>
      <c r="O986" s="360">
        <v>0.41738594313770538</v>
      </c>
      <c r="P986" s="360">
        <v>1.1987932328242987</v>
      </c>
      <c r="Q986" s="360">
        <v>-2100.7857010512334</v>
      </c>
      <c r="R986" s="360">
        <v>6712.7279913144548</v>
      </c>
      <c r="S986" s="360">
        <v>0.16829461860690761</v>
      </c>
      <c r="T986" s="360">
        <v>2.170707369259957</v>
      </c>
      <c r="U986" s="360">
        <v>3.175400949113695</v>
      </c>
      <c r="V986" s="360">
        <v>0.47088067517882681</v>
      </c>
      <c r="W986" s="360">
        <v>1.1987932707319675</v>
      </c>
      <c r="X986" s="360">
        <v>-209.61314120040655</v>
      </c>
      <c r="Y986" s="360">
        <v>0.27595899345060648</v>
      </c>
      <c r="Z986" s="360">
        <v>1.1578422019304955</v>
      </c>
      <c r="AA986" s="360">
        <v>4313.1130145563757</v>
      </c>
      <c r="AB986" s="360">
        <v>0.23018813076445205</v>
      </c>
      <c r="AC986" s="360">
        <v>1.6548997916056019</v>
      </c>
      <c r="AD986" s="360">
        <v>2.1137224290940719</v>
      </c>
      <c r="AE986" s="360">
        <v>0.45134852829632649</v>
      </c>
      <c r="AF986" s="360">
        <v>1.1578424237461524</v>
      </c>
      <c r="AG986" s="360">
        <v>-2584.5429493610568</v>
      </c>
      <c r="AH986" s="360">
        <v>7119.7711857895583</v>
      </c>
      <c r="AI986" s="360">
        <v>0.17369033842408674</v>
      </c>
      <c r="AJ986" s="360">
        <v>2.1043111472991591</v>
      </c>
      <c r="AK986" s="360">
        <v>3.4188631863940389</v>
      </c>
      <c r="AL986" s="360">
        <v>0.50821448834799576</v>
      </c>
      <c r="AM986" s="360">
        <v>1.1578422334201395</v>
      </c>
      <c r="AN986" s="360">
        <v>-544.1760388659161</v>
      </c>
      <c r="AO986" s="360">
        <f t="shared" si="42"/>
        <v>1</v>
      </c>
      <c r="AP986" s="360">
        <f t="shared" si="43"/>
        <v>1</v>
      </c>
      <c r="AQ986" s="360">
        <f t="shared" si="44"/>
        <v>1</v>
      </c>
    </row>
    <row r="987" spans="1:43">
      <c r="A987" s="360" t="s">
        <v>1084</v>
      </c>
      <c r="B987" t="s">
        <v>1074</v>
      </c>
      <c r="C987">
        <v>1</v>
      </c>
      <c r="D987" t="s">
        <v>1078</v>
      </c>
      <c r="E987" t="s">
        <v>1079</v>
      </c>
      <c r="F987" s="360">
        <v>14</v>
      </c>
      <c r="G987" s="360" t="str">
        <f>CONCATENATE(A987," ",B987," ",C987," ","inf+"," ",FanUpsizes!D987," ",FanUpsizes!F987)</f>
        <v>1.5ACH Infiltration 1 inf+ New 14</v>
      </c>
      <c r="H987" s="360">
        <v>3.6042028608886244E-2</v>
      </c>
      <c r="I987" s="360">
        <v>0.26639427634444773</v>
      </c>
      <c r="J987" s="360">
        <v>1.1987931068446784</v>
      </c>
      <c r="K987" s="360">
        <v>0</v>
      </c>
      <c r="L987" s="360">
        <v>0.26639427634444773</v>
      </c>
      <c r="M987" s="360">
        <v>1.1987931068446784</v>
      </c>
      <c r="N987" s="360">
        <v>1</v>
      </c>
      <c r="O987" s="360">
        <v>0.26639427634444773</v>
      </c>
      <c r="P987" s="360">
        <v>1.1987931068446784</v>
      </c>
      <c r="Q987" s="360">
        <v>0</v>
      </c>
      <c r="R987" s="360">
        <v>0</v>
      </c>
      <c r="S987" s="360">
        <v>0.26639427634444773</v>
      </c>
      <c r="T987" s="360">
        <v>1.1987931068446784</v>
      </c>
      <c r="U987" s="360">
        <v>1</v>
      </c>
      <c r="V987" s="360">
        <v>0.26639427634444773</v>
      </c>
      <c r="W987" s="360">
        <v>1.1987931068446784</v>
      </c>
      <c r="X987" s="360">
        <v>0</v>
      </c>
      <c r="Y987" s="360">
        <v>0.27595899345060648</v>
      </c>
      <c r="Z987" s="360">
        <v>1.1578422019304955</v>
      </c>
      <c r="AA987" s="360">
        <v>0</v>
      </c>
      <c r="AB987" s="360">
        <v>0.27595899345060648</v>
      </c>
      <c r="AC987" s="360">
        <v>1.1578422019304955</v>
      </c>
      <c r="AD987" s="360">
        <v>1</v>
      </c>
      <c r="AE987" s="360">
        <v>0.27595899345060648</v>
      </c>
      <c r="AF987" s="360">
        <v>1.1578422019304955</v>
      </c>
      <c r="AG987" s="360">
        <v>0</v>
      </c>
      <c r="AH987" s="360">
        <v>0</v>
      </c>
      <c r="AI987" s="360">
        <v>0.27595899345060648</v>
      </c>
      <c r="AJ987" s="360">
        <v>1.1578422019304955</v>
      </c>
      <c r="AK987" s="360">
        <v>1</v>
      </c>
      <c r="AL987" s="360">
        <v>0.27595899345060648</v>
      </c>
      <c r="AM987" s="360">
        <v>1.1578422019304955</v>
      </c>
      <c r="AN987" s="360">
        <v>0</v>
      </c>
      <c r="AO987" s="360">
        <f t="shared" si="42"/>
        <v>1</v>
      </c>
      <c r="AP987" s="360">
        <f t="shared" si="43"/>
        <v>0</v>
      </c>
      <c r="AQ987" s="360">
        <f t="shared" si="44"/>
        <v>0</v>
      </c>
    </row>
    <row r="988" spans="1:43">
      <c r="A988" s="360" t="s">
        <v>1084</v>
      </c>
      <c r="B988" t="s">
        <v>1076</v>
      </c>
      <c r="C988">
        <v>1</v>
      </c>
      <c r="D988" t="s">
        <v>1078</v>
      </c>
      <c r="E988" t="s">
        <v>1079</v>
      </c>
      <c r="F988" s="360">
        <v>14</v>
      </c>
      <c r="G988" s="360" t="str">
        <f>CONCATENATE(A988," ",B988," ",C988," ","inf+"," ",FanUpsizes!D988," ",FanUpsizes!F988)</f>
        <v>1.5ACH 5C 1 inf+ New 14</v>
      </c>
      <c r="H988" s="360">
        <v>3.6042028608886244E-2</v>
      </c>
      <c r="I988" s="360">
        <v>0.26639427634444773</v>
      </c>
      <c r="J988" s="360">
        <v>1.1987931068446784</v>
      </c>
      <c r="K988" s="360">
        <v>6999.9807086550854</v>
      </c>
      <c r="L988" s="360">
        <v>0.17645524908665916</v>
      </c>
      <c r="M988" s="360">
        <v>2.3629331888845222</v>
      </c>
      <c r="N988" s="360">
        <v>11.098154444652405</v>
      </c>
      <c r="O988" s="360">
        <v>1.5287571061313485</v>
      </c>
      <c r="P988" s="360">
        <v>1.6663691966883951</v>
      </c>
      <c r="Q988" s="360">
        <v>-13357.989701289529</v>
      </c>
      <c r="R988" s="360">
        <v>6999.9807086550854</v>
      </c>
      <c r="S988" s="360">
        <v>0.17645524908665916</v>
      </c>
      <c r="T988" s="360">
        <v>2.3629331888845222</v>
      </c>
      <c r="U988" s="360">
        <v>11.098154444652405</v>
      </c>
      <c r="V988" s="360">
        <v>1.5287571061313485</v>
      </c>
      <c r="W988" s="360">
        <v>1.6663691966883951</v>
      </c>
      <c r="X988" s="360">
        <v>-13357.989701289529</v>
      </c>
      <c r="Y988" s="360">
        <v>0.27595899345060648</v>
      </c>
      <c r="Z988" s="360">
        <v>1.1578422019304955</v>
      </c>
      <c r="AA988" s="360">
        <v>7554.3594736600817</v>
      </c>
      <c r="AB988" s="360">
        <v>0.17930512061874659</v>
      </c>
      <c r="AC988" s="360">
        <v>2.3465017389336449</v>
      </c>
      <c r="AD988" s="360">
        <v>11.098154444652405</v>
      </c>
      <c r="AE988" s="360">
        <v>1.5290241065544299</v>
      </c>
      <c r="AF988" s="360">
        <v>1.666356180760826</v>
      </c>
      <c r="AG988" s="360">
        <v>-12753.9372736113</v>
      </c>
      <c r="AH988" s="360">
        <v>7554.3594736600817</v>
      </c>
      <c r="AI988" s="360">
        <v>0.17930512061874659</v>
      </c>
      <c r="AJ988" s="360">
        <v>2.3465017389336449</v>
      </c>
      <c r="AK988" s="360">
        <v>11.098154444652405</v>
      </c>
      <c r="AL988" s="360">
        <v>1.5290241065544299</v>
      </c>
      <c r="AM988" s="360">
        <v>1.666356180760826</v>
      </c>
      <c r="AN988" s="360">
        <v>-12753.9372736113</v>
      </c>
      <c r="AO988" s="360">
        <f t="shared" si="42"/>
        <v>0</v>
      </c>
      <c r="AP988" s="360">
        <f t="shared" si="43"/>
        <v>1</v>
      </c>
      <c r="AQ988" s="360">
        <f t="shared" si="44"/>
        <v>1</v>
      </c>
    </row>
    <row r="989" spans="1:43">
      <c r="A989" s="360" t="s">
        <v>1084</v>
      </c>
      <c r="B989" t="s">
        <v>1075</v>
      </c>
      <c r="C989">
        <v>2</v>
      </c>
      <c r="D989" t="s">
        <v>1078</v>
      </c>
      <c r="E989" t="s">
        <v>1079</v>
      </c>
      <c r="F989" s="360">
        <v>14</v>
      </c>
      <c r="G989" s="360" t="str">
        <f>CONCATENATE(A989," ",B989," ",C989," ","inf+"," ",FanUpsizes!D989," ",FanUpsizes!F989)</f>
        <v>1.5ACH Percentile 2 inf+ New 14</v>
      </c>
      <c r="H989" s="360">
        <v>3.3734232110139102E-2</v>
      </c>
      <c r="I989" s="360">
        <v>0.25343277849428925</v>
      </c>
      <c r="J989" s="360">
        <v>1.2622820254083145</v>
      </c>
      <c r="K989" s="360">
        <v>3071.2907405907472</v>
      </c>
      <c r="L989" s="360">
        <v>0.22084861875333775</v>
      </c>
      <c r="M989" s="360">
        <v>1.5728819076111975</v>
      </c>
      <c r="N989" s="360">
        <v>1.4558434846477917</v>
      </c>
      <c r="O989" s="360">
        <v>0.30498290048951271</v>
      </c>
      <c r="P989" s="360">
        <v>1.2622831265989571</v>
      </c>
      <c r="Q989" s="360">
        <v>464.71733103446473</v>
      </c>
      <c r="R989" s="360">
        <v>5190.6807488003906</v>
      </c>
      <c r="S989" s="360">
        <v>0.17680292127553346</v>
      </c>
      <c r="T989" s="360">
        <v>1.9381089073077216</v>
      </c>
      <c r="U989" s="360">
        <v>2.3214667657218637</v>
      </c>
      <c r="V989" s="360">
        <v>0.33758066475726983</v>
      </c>
      <c r="W989" s="360">
        <v>1.2622832437087181</v>
      </c>
      <c r="X989" s="360">
        <v>1867.8296832319886</v>
      </c>
      <c r="Y989" s="360">
        <v>0.26748676025047746</v>
      </c>
      <c r="Z989" s="360">
        <v>1.1963898730363076</v>
      </c>
      <c r="AA989" s="360">
        <v>3541.9298776699529</v>
      </c>
      <c r="AB989" s="360">
        <v>0.22990548408201728</v>
      </c>
      <c r="AC989" s="360">
        <v>1.5263815042530338</v>
      </c>
      <c r="AD989" s="360">
        <v>1.5664227069280783</v>
      </c>
      <c r="AE989" s="360">
        <v>0.33282463533998147</v>
      </c>
      <c r="AF989" s="360">
        <v>1.1963898763757257</v>
      </c>
      <c r="AG989" s="360">
        <v>353.3633127077556</v>
      </c>
      <c r="AH989" s="360">
        <v>6017.8945101506861</v>
      </c>
      <c r="AI989" s="360">
        <v>0.17985604157904722</v>
      </c>
      <c r="AJ989" s="360">
        <v>1.9132705812711308</v>
      </c>
      <c r="AK989" s="360">
        <v>2.480094229463524</v>
      </c>
      <c r="AL989" s="360">
        <v>0.36566803578004997</v>
      </c>
      <c r="AM989" s="360">
        <v>1.1963901385395079</v>
      </c>
      <c r="AN989" s="360">
        <v>1882.7709619262473</v>
      </c>
      <c r="AO989" s="360">
        <f t="shared" si="42"/>
        <v>1</v>
      </c>
      <c r="AP989" s="360">
        <f t="shared" si="43"/>
        <v>1</v>
      </c>
      <c r="AQ989" s="360">
        <f t="shared" si="44"/>
        <v>1</v>
      </c>
    </row>
    <row r="990" spans="1:43">
      <c r="A990" s="360" t="s">
        <v>1084</v>
      </c>
      <c r="B990" t="s">
        <v>1074</v>
      </c>
      <c r="C990">
        <v>2</v>
      </c>
      <c r="D990" t="s">
        <v>1078</v>
      </c>
      <c r="E990" t="s">
        <v>1079</v>
      </c>
      <c r="F990" s="360">
        <v>14</v>
      </c>
      <c r="G990" s="360" t="str">
        <f>CONCATENATE(A990," ",B990," ",C990," ","inf+"," ",FanUpsizes!D990," ",FanUpsizes!F990)</f>
        <v>1.5ACH Infiltration 2 inf+ New 14</v>
      </c>
      <c r="H990" s="360">
        <v>3.3734232110139102E-2</v>
      </c>
      <c r="I990" s="360">
        <v>0.25343277849428925</v>
      </c>
      <c r="J990" s="360">
        <v>1.2622820254083145</v>
      </c>
      <c r="K990" s="360">
        <v>0</v>
      </c>
      <c r="L990" s="360">
        <v>0.25343277849428925</v>
      </c>
      <c r="M990" s="360">
        <v>1.2622820254083145</v>
      </c>
      <c r="N990" s="360">
        <v>1</v>
      </c>
      <c r="O990" s="360">
        <v>0.25343277849428925</v>
      </c>
      <c r="P990" s="360">
        <v>1.2622820254083145</v>
      </c>
      <c r="Q990" s="360">
        <v>0</v>
      </c>
      <c r="R990" s="360">
        <v>0</v>
      </c>
      <c r="S990" s="360">
        <v>0.25343277849428925</v>
      </c>
      <c r="T990" s="360">
        <v>1.2622820254083145</v>
      </c>
      <c r="U990" s="360">
        <v>1</v>
      </c>
      <c r="V990" s="360">
        <v>0.25343277849428925</v>
      </c>
      <c r="W990" s="360">
        <v>1.2622820254083145</v>
      </c>
      <c r="X990" s="360">
        <v>0</v>
      </c>
      <c r="Y990" s="360">
        <v>0.26748676025047746</v>
      </c>
      <c r="Z990" s="360">
        <v>1.1963898730363076</v>
      </c>
      <c r="AA990" s="360">
        <v>0</v>
      </c>
      <c r="AB990" s="360">
        <v>0.26748676025047746</v>
      </c>
      <c r="AC990" s="360">
        <v>1.1963898730363076</v>
      </c>
      <c r="AD990" s="360">
        <v>1</v>
      </c>
      <c r="AE990" s="360">
        <v>0.26748676025047746</v>
      </c>
      <c r="AF990" s="360">
        <v>1.1963898730363076</v>
      </c>
      <c r="AG990" s="360">
        <v>0</v>
      </c>
      <c r="AH990" s="360">
        <v>0</v>
      </c>
      <c r="AI990" s="360">
        <v>0.26748676025047746</v>
      </c>
      <c r="AJ990" s="360">
        <v>1.1963898730363076</v>
      </c>
      <c r="AK990" s="360">
        <v>1</v>
      </c>
      <c r="AL990" s="360">
        <v>0.26748676025047746</v>
      </c>
      <c r="AM990" s="360">
        <v>1.1963898730363076</v>
      </c>
      <c r="AN990" s="360">
        <v>0</v>
      </c>
      <c r="AO990" s="360">
        <f t="shared" si="42"/>
        <v>1</v>
      </c>
      <c r="AP990" s="360">
        <f t="shared" si="43"/>
        <v>0</v>
      </c>
      <c r="AQ990" s="360">
        <f t="shared" si="44"/>
        <v>0</v>
      </c>
    </row>
    <row r="991" spans="1:43">
      <c r="A991" s="360" t="s">
        <v>1084</v>
      </c>
      <c r="B991" t="s">
        <v>1076</v>
      </c>
      <c r="C991">
        <v>2</v>
      </c>
      <c r="D991" t="s">
        <v>1078</v>
      </c>
      <c r="E991" t="s">
        <v>1079</v>
      </c>
      <c r="F991" s="360">
        <v>14</v>
      </c>
      <c r="G991" s="360" t="str">
        <f>CONCATENATE(A991," ",B991," ",C991," ","inf+"," ",FanUpsizes!D991," ",FanUpsizes!F991)</f>
        <v>1.5ACH 5C 2 inf+ New 14</v>
      </c>
      <c r="H991" s="360">
        <v>3.3734232110139102E-2</v>
      </c>
      <c r="I991" s="360">
        <v>0.25343277849428925</v>
      </c>
      <c r="J991" s="360">
        <v>1.2622820254083145</v>
      </c>
      <c r="K991" s="360">
        <v>5522.3917620626708</v>
      </c>
      <c r="L991" s="360">
        <v>0.18237305383419244</v>
      </c>
      <c r="M991" s="360">
        <v>2.0213058847006291</v>
      </c>
      <c r="N991" s="360">
        <v>11.857391586505884</v>
      </c>
      <c r="O991" s="360">
        <v>1.542558260958651</v>
      </c>
      <c r="P991" s="360">
        <v>1.3139263016883433</v>
      </c>
      <c r="Q991" s="360">
        <v>-14950.539971217768</v>
      </c>
      <c r="R991" s="360">
        <v>5522.3917620626708</v>
      </c>
      <c r="S991" s="360">
        <v>0.18237305383419244</v>
      </c>
      <c r="T991" s="360">
        <v>2.0213058847006291</v>
      </c>
      <c r="U991" s="360">
        <v>11.857391586505884</v>
      </c>
      <c r="V991" s="360">
        <v>1.542558260958651</v>
      </c>
      <c r="W991" s="360">
        <v>1.3139263016883433</v>
      </c>
      <c r="X991" s="360">
        <v>-14950.539971217768</v>
      </c>
      <c r="Y991" s="360">
        <v>0.26748676025047746</v>
      </c>
      <c r="Z991" s="360">
        <v>1.1963898730363076</v>
      </c>
      <c r="AA991" s="360">
        <v>6259.2940051823289</v>
      </c>
      <c r="AB991" s="360">
        <v>0.1872642111236418</v>
      </c>
      <c r="AC991" s="360">
        <v>1.9925061590442312</v>
      </c>
      <c r="AD991" s="360">
        <v>11.857391586505884</v>
      </c>
      <c r="AE991" s="360">
        <v>1.5430538151240294</v>
      </c>
      <c r="AF991" s="360">
        <v>1.3139033628333989</v>
      </c>
      <c r="AG991" s="360">
        <v>-14131.706986607502</v>
      </c>
      <c r="AH991" s="360">
        <v>6259.2940051823289</v>
      </c>
      <c r="AI991" s="360">
        <v>0.1872642111236418</v>
      </c>
      <c r="AJ991" s="360">
        <v>1.9925061590442312</v>
      </c>
      <c r="AK991" s="360">
        <v>11.857391586505884</v>
      </c>
      <c r="AL991" s="360">
        <v>1.5430538151240294</v>
      </c>
      <c r="AM991" s="360">
        <v>1.3139033628333989</v>
      </c>
      <c r="AN991" s="360">
        <v>-14131.706986607502</v>
      </c>
      <c r="AO991" s="360">
        <f t="shared" si="42"/>
        <v>0</v>
      </c>
      <c r="AP991" s="360">
        <f t="shared" si="43"/>
        <v>1</v>
      </c>
      <c r="AQ991" s="360">
        <f t="shared" si="44"/>
        <v>1</v>
      </c>
    </row>
    <row r="992" spans="1:43">
      <c r="A992" s="360" t="s">
        <v>1084</v>
      </c>
      <c r="B992" t="s">
        <v>1075</v>
      </c>
      <c r="C992">
        <v>1</v>
      </c>
      <c r="D992" t="s">
        <v>1080</v>
      </c>
      <c r="E992" t="s">
        <v>1079</v>
      </c>
      <c r="F992" s="360">
        <v>14</v>
      </c>
      <c r="G992" s="360" t="str">
        <f>CONCATENATE(A992," ",B992," ",C992," ","inf+"," ",FanUpsizes!D992," ",FanUpsizes!F992)</f>
        <v>1.5ACH Percentile 1 inf+ Existing 14</v>
      </c>
      <c r="H992" s="360">
        <v>5.2292028608886244E-2</v>
      </c>
      <c r="I992" s="360">
        <v>0.38599054819566886</v>
      </c>
      <c r="J992" s="360">
        <v>1.1379878925042106</v>
      </c>
      <c r="K992" s="360">
        <v>6674.1497997022989</v>
      </c>
      <c r="L992" s="360">
        <v>0.31513939645783012</v>
      </c>
      <c r="M992" s="360">
        <v>1.8941458385674865</v>
      </c>
      <c r="N992" s="360">
        <v>4.8293659436456657</v>
      </c>
      <c r="O992" s="360">
        <v>1.4334012917964993</v>
      </c>
      <c r="P992" s="360">
        <v>1.1379880990268483</v>
      </c>
      <c r="Q992" s="360">
        <v>-28357.553537197295</v>
      </c>
      <c r="R992" s="360">
        <v>10992.361392764389</v>
      </c>
      <c r="S992" s="360">
        <v>0.22854779658588317</v>
      </c>
      <c r="T992" s="360">
        <v>2.436856313397266</v>
      </c>
      <c r="U992" s="360">
        <v>7.6493494446690109</v>
      </c>
      <c r="V992" s="360">
        <v>1.5880806595740067</v>
      </c>
      <c r="W992" s="360">
        <v>1.1442116903108799</v>
      </c>
      <c r="X992" s="360">
        <v>-20736.245098137635</v>
      </c>
      <c r="Y992" s="360">
        <v>0.3929139859378562</v>
      </c>
      <c r="Z992" s="360">
        <v>1.1181312805562615</v>
      </c>
      <c r="AA992" s="360">
        <v>6949.0593044998277</v>
      </c>
      <c r="AB992" s="360">
        <v>0.31918304646432089</v>
      </c>
      <c r="AC992" s="360">
        <v>1.8804460153554787</v>
      </c>
      <c r="AD992" s="360">
        <v>5.3692088611976247</v>
      </c>
      <c r="AE992" s="360">
        <v>1.5918116896222978</v>
      </c>
      <c r="AF992" s="360">
        <v>1.1181313233589067</v>
      </c>
      <c r="AG992" s="360">
        <v>-32884.688361333821</v>
      </c>
      <c r="AH992" s="360">
        <v>11165.263882481157</v>
      </c>
      <c r="AI992" s="360">
        <v>0.23454807865081698</v>
      </c>
      <c r="AJ992" s="360">
        <v>2.3753460509755628</v>
      </c>
      <c r="AK992" s="360">
        <v>7.6493494446690109</v>
      </c>
      <c r="AL992" s="360">
        <v>1.5890133296086659</v>
      </c>
      <c r="AM992" s="360">
        <v>1.144001164695462</v>
      </c>
      <c r="AN992" s="360">
        <v>-20337.011037529803</v>
      </c>
      <c r="AO992" s="360">
        <f t="shared" si="42"/>
        <v>1</v>
      </c>
      <c r="AP992" s="360">
        <f t="shared" si="43"/>
        <v>1</v>
      </c>
      <c r="AQ992" s="360">
        <f t="shared" si="44"/>
        <v>1</v>
      </c>
    </row>
    <row r="993" spans="1:43">
      <c r="A993" s="360" t="s">
        <v>1084</v>
      </c>
      <c r="B993" t="s">
        <v>1074</v>
      </c>
      <c r="C993">
        <v>1</v>
      </c>
      <c r="D993" t="s">
        <v>1080</v>
      </c>
      <c r="E993" t="s">
        <v>1079</v>
      </c>
      <c r="F993" s="360">
        <v>14</v>
      </c>
      <c r="G993" s="360" t="str">
        <f>CONCATENATE(A993," ",B993," ",C993," ","inf+"," ",FanUpsizes!D993," ",FanUpsizes!F993)</f>
        <v>1.5ACH Infiltration 1 inf+ Existing 14</v>
      </c>
      <c r="H993" s="360">
        <v>5.2292028608886244E-2</v>
      </c>
      <c r="I993" s="360">
        <v>0.38599054819566886</v>
      </c>
      <c r="J993" s="360">
        <v>1.1379878925042106</v>
      </c>
      <c r="K993" s="360">
        <v>0</v>
      </c>
      <c r="L993" s="360">
        <v>0.38599054819566886</v>
      </c>
      <c r="M993" s="360">
        <v>1.1379878925042106</v>
      </c>
      <c r="N993" s="360">
        <v>1</v>
      </c>
      <c r="O993" s="360">
        <v>0.38599054819566886</v>
      </c>
      <c r="P993" s="360">
        <v>1.1379878925042106</v>
      </c>
      <c r="Q993" s="360">
        <v>0</v>
      </c>
      <c r="R993" s="360">
        <v>0</v>
      </c>
      <c r="S993" s="360">
        <v>0.38599054819566886</v>
      </c>
      <c r="T993" s="360">
        <v>1.1379878925042106</v>
      </c>
      <c r="U993" s="360">
        <v>1</v>
      </c>
      <c r="V993" s="360">
        <v>0.38599054819566886</v>
      </c>
      <c r="W993" s="360">
        <v>1.1379878925042106</v>
      </c>
      <c r="X993" s="360">
        <v>0</v>
      </c>
      <c r="Y993" s="360">
        <v>0.3929139859378562</v>
      </c>
      <c r="Z993" s="360">
        <v>1.1181312805562615</v>
      </c>
      <c r="AA993" s="360">
        <v>0</v>
      </c>
      <c r="AB993" s="360">
        <v>0.3929139859378562</v>
      </c>
      <c r="AC993" s="360">
        <v>1.1181312805562615</v>
      </c>
      <c r="AD993" s="360">
        <v>1</v>
      </c>
      <c r="AE993" s="360">
        <v>0.3929139859378562</v>
      </c>
      <c r="AF993" s="360">
        <v>1.1181312805562615</v>
      </c>
      <c r="AG993" s="360">
        <v>0</v>
      </c>
      <c r="AH993" s="360">
        <v>0</v>
      </c>
      <c r="AI993" s="360">
        <v>0.3929139859378562</v>
      </c>
      <c r="AJ993" s="360">
        <v>1.1181312805562615</v>
      </c>
      <c r="AK993" s="360">
        <v>1</v>
      </c>
      <c r="AL993" s="360">
        <v>0.3929139859378562</v>
      </c>
      <c r="AM993" s="360">
        <v>1.1181312805562615</v>
      </c>
      <c r="AN993" s="360">
        <v>0</v>
      </c>
      <c r="AO993" s="360">
        <f t="shared" si="42"/>
        <v>1</v>
      </c>
      <c r="AP993" s="360">
        <f t="shared" si="43"/>
        <v>0</v>
      </c>
      <c r="AQ993" s="360">
        <f t="shared" si="44"/>
        <v>0</v>
      </c>
    </row>
    <row r="994" spans="1:43">
      <c r="A994" s="360" t="s">
        <v>1084</v>
      </c>
      <c r="B994" t="s">
        <v>1076</v>
      </c>
      <c r="C994">
        <v>1</v>
      </c>
      <c r="D994" t="s">
        <v>1080</v>
      </c>
      <c r="E994" t="s">
        <v>1079</v>
      </c>
      <c r="F994" s="360">
        <v>14</v>
      </c>
      <c r="G994" s="360" t="str">
        <f>CONCATENATE(A994," ",B994," ",C994," ","inf+"," ",FanUpsizes!D994," ",FanUpsizes!F994)</f>
        <v>1.5ACH 5C 1 inf+ Existing 14</v>
      </c>
      <c r="H994" s="360">
        <v>5.2292028608886244E-2</v>
      </c>
      <c r="I994" s="360">
        <v>0.38599054819566886</v>
      </c>
      <c r="J994" s="360">
        <v>1.1379878925042106</v>
      </c>
      <c r="K994" s="360">
        <v>11663.514858073544</v>
      </c>
      <c r="L994" s="360">
        <v>0.23678607462137288</v>
      </c>
      <c r="M994" s="360">
        <v>2.9298810675370297</v>
      </c>
      <c r="N994" s="360">
        <v>7.6493494446690109</v>
      </c>
      <c r="O994" s="360">
        <v>1.5287571061313485</v>
      </c>
      <c r="P994" s="360">
        <v>2.2916513123887632</v>
      </c>
      <c r="Q994" s="360">
        <v>-7786.0245219861981</v>
      </c>
      <c r="R994" s="360">
        <v>11663.514858073544</v>
      </c>
      <c r="S994" s="360">
        <v>0.23678607462137288</v>
      </c>
      <c r="T994" s="360">
        <v>2.9298810675370297</v>
      </c>
      <c r="U994" s="360">
        <v>7.6493494446690109</v>
      </c>
      <c r="V994" s="360">
        <v>1.5287571061313485</v>
      </c>
      <c r="W994" s="360">
        <v>2.2916513123887632</v>
      </c>
      <c r="X994" s="360">
        <v>-7786.0245219861981</v>
      </c>
      <c r="Y994" s="360">
        <v>0.3929139859378562</v>
      </c>
      <c r="Z994" s="360">
        <v>1.1181312805562615</v>
      </c>
      <c r="AA994" s="360">
        <v>12068.324000672446</v>
      </c>
      <c r="AB994" s="360">
        <v>0.2388037294766209</v>
      </c>
      <c r="AC994" s="360">
        <v>2.9218231946051256</v>
      </c>
      <c r="AD994" s="360">
        <v>7.6493494446690109</v>
      </c>
      <c r="AE994" s="360">
        <v>1.5290241065544299</v>
      </c>
      <c r="AF994" s="360">
        <v>2.2916334077794835</v>
      </c>
      <c r="AG994" s="360">
        <v>-7347.8258084671197</v>
      </c>
      <c r="AH994" s="360">
        <v>12068.324000672446</v>
      </c>
      <c r="AI994" s="360">
        <v>0.2388037294766209</v>
      </c>
      <c r="AJ994" s="360">
        <v>2.9218231946051256</v>
      </c>
      <c r="AK994" s="360">
        <v>7.6493494446690109</v>
      </c>
      <c r="AL994" s="360">
        <v>1.5290241065544299</v>
      </c>
      <c r="AM994" s="360">
        <v>2.2916334077794835</v>
      </c>
      <c r="AN994" s="360">
        <v>-7347.8258084671197</v>
      </c>
      <c r="AO994" s="360">
        <f t="shared" si="42"/>
        <v>0</v>
      </c>
      <c r="AP994" s="360">
        <f t="shared" si="43"/>
        <v>1</v>
      </c>
      <c r="AQ994" s="360">
        <f t="shared" si="44"/>
        <v>1</v>
      </c>
    </row>
    <row r="995" spans="1:43">
      <c r="A995" s="360" t="s">
        <v>1084</v>
      </c>
      <c r="B995" t="s">
        <v>1075</v>
      </c>
      <c r="C995">
        <v>2</v>
      </c>
      <c r="D995" t="s">
        <v>1080</v>
      </c>
      <c r="E995" t="s">
        <v>1079</v>
      </c>
      <c r="F995" s="360">
        <v>14</v>
      </c>
      <c r="G995" s="360" t="str">
        <f>CONCATENATE(A995," ",B995," ",C995," ","inf+"," ",FanUpsizes!D995," ",FanUpsizes!F995)</f>
        <v>1.5ACH Percentile 2 inf+ Existing 14</v>
      </c>
      <c r="H995" s="360">
        <v>4.9984232110139103E-2</v>
      </c>
      <c r="I995" s="360">
        <v>0.36940100487939859</v>
      </c>
      <c r="J995" s="360">
        <v>1.1892442893380093</v>
      </c>
      <c r="K995" s="360">
        <v>5607.5319118616435</v>
      </c>
      <c r="L995" s="360">
        <v>0.30983022586090908</v>
      </c>
      <c r="M995" s="360">
        <v>1.719008861610938</v>
      </c>
      <c r="N995" s="360">
        <v>2.2104632114889262</v>
      </c>
      <c r="O995" s="360">
        <v>0.64751500211766266</v>
      </c>
      <c r="P995" s="360">
        <v>1.1892449098730542</v>
      </c>
      <c r="Q995" s="360">
        <v>-4968.5534405599938</v>
      </c>
      <c r="R995" s="360">
        <v>9493.4863819443326</v>
      </c>
      <c r="S995" s="360">
        <v>0.23120945973946685</v>
      </c>
      <c r="T995" s="360">
        <v>2.2120337251978777</v>
      </c>
      <c r="U995" s="360">
        <v>3.5803957366326671</v>
      </c>
      <c r="V995" s="360">
        <v>0.7306755053916637</v>
      </c>
      <c r="W995" s="360">
        <v>1.1892442901416647</v>
      </c>
      <c r="X995" s="360">
        <v>-1995.9059887292599</v>
      </c>
      <c r="Y995" s="360">
        <v>0.38178994264827149</v>
      </c>
      <c r="Z995" s="360">
        <v>1.1512019585082871</v>
      </c>
      <c r="AA995" s="360">
        <v>6081.748742082651</v>
      </c>
      <c r="AB995" s="360">
        <v>0.31726051913434161</v>
      </c>
      <c r="AC995" s="360">
        <v>1.6933390231257723</v>
      </c>
      <c r="AD995" s="360">
        <v>2.4061602106751017</v>
      </c>
      <c r="AE995" s="360">
        <v>0.70537487638012164</v>
      </c>
      <c r="AF995" s="360">
        <v>1.1512020324644949</v>
      </c>
      <c r="AG995" s="360">
        <v>-6034.2537004310716</v>
      </c>
      <c r="AH995" s="360">
        <v>9991.5373428786934</v>
      </c>
      <c r="AI995" s="360">
        <v>0.23859551712606969</v>
      </c>
      <c r="AJ995" s="360">
        <v>2.1449907799607906</v>
      </c>
      <c r="AK995" s="360">
        <v>3.8909214461990813</v>
      </c>
      <c r="AL995" s="360">
        <v>0.7948606856853988</v>
      </c>
      <c r="AM995" s="360">
        <v>1.1512021646500177</v>
      </c>
      <c r="AN995" s="360">
        <v>-2797.8067971434293</v>
      </c>
      <c r="AO995" s="360">
        <f t="shared" si="42"/>
        <v>1</v>
      </c>
      <c r="AP995" s="360">
        <f t="shared" si="43"/>
        <v>1</v>
      </c>
      <c r="AQ995" s="360">
        <f t="shared" si="44"/>
        <v>1</v>
      </c>
    </row>
    <row r="996" spans="1:43">
      <c r="A996" s="360" t="s">
        <v>1084</v>
      </c>
      <c r="B996" t="s">
        <v>1074</v>
      </c>
      <c r="C996">
        <v>2</v>
      </c>
      <c r="D996" t="s">
        <v>1080</v>
      </c>
      <c r="E996" t="s">
        <v>1079</v>
      </c>
      <c r="F996" s="360">
        <v>14</v>
      </c>
      <c r="G996" s="360" t="str">
        <f>CONCATENATE(A996," ",B996," ",C996," ","inf+"," ",FanUpsizes!D996," ",FanUpsizes!F996)</f>
        <v>1.5ACH Infiltration 2 inf+ Existing 14</v>
      </c>
      <c r="H996" s="360">
        <v>4.9984232110139103E-2</v>
      </c>
      <c r="I996" s="360">
        <v>0.36940100487939859</v>
      </c>
      <c r="J996" s="360">
        <v>1.1892442893380093</v>
      </c>
      <c r="K996" s="360">
        <v>0</v>
      </c>
      <c r="L996" s="360">
        <v>0.36940100487939859</v>
      </c>
      <c r="M996" s="360">
        <v>1.1892442893380093</v>
      </c>
      <c r="N996" s="360">
        <v>1</v>
      </c>
      <c r="O996" s="360">
        <v>0.36940100487939859</v>
      </c>
      <c r="P996" s="360">
        <v>1.1892442893380093</v>
      </c>
      <c r="Q996" s="360">
        <v>0</v>
      </c>
      <c r="R996" s="360">
        <v>0</v>
      </c>
      <c r="S996" s="360">
        <v>0.36940100487939859</v>
      </c>
      <c r="T996" s="360">
        <v>1.1892442893380093</v>
      </c>
      <c r="U996" s="360">
        <v>1</v>
      </c>
      <c r="V996" s="360">
        <v>0.36940100487939859</v>
      </c>
      <c r="W996" s="360">
        <v>1.1892442893380093</v>
      </c>
      <c r="X996" s="360">
        <v>0</v>
      </c>
      <c r="Y996" s="360">
        <v>0.38178994264827149</v>
      </c>
      <c r="Z996" s="360">
        <v>1.1512019585082871</v>
      </c>
      <c r="AA996" s="360">
        <v>0</v>
      </c>
      <c r="AB996" s="360">
        <v>0.38178994264827149</v>
      </c>
      <c r="AC996" s="360">
        <v>1.1512019585082871</v>
      </c>
      <c r="AD996" s="360">
        <v>1</v>
      </c>
      <c r="AE996" s="360">
        <v>0.38178994264827149</v>
      </c>
      <c r="AF996" s="360">
        <v>1.1512019585082871</v>
      </c>
      <c r="AG996" s="360">
        <v>0</v>
      </c>
      <c r="AH996" s="360">
        <v>0</v>
      </c>
      <c r="AI996" s="360">
        <v>0.38178994264827149</v>
      </c>
      <c r="AJ996" s="360">
        <v>1.1512019585082871</v>
      </c>
      <c r="AK996" s="360">
        <v>1</v>
      </c>
      <c r="AL996" s="360">
        <v>0.38178994264827149</v>
      </c>
      <c r="AM996" s="360">
        <v>1.1512019585082871</v>
      </c>
      <c r="AN996" s="360">
        <v>0</v>
      </c>
      <c r="AO996" s="360">
        <f t="shared" si="42"/>
        <v>1</v>
      </c>
      <c r="AP996" s="360">
        <f t="shared" si="43"/>
        <v>0</v>
      </c>
      <c r="AQ996" s="360">
        <f t="shared" si="44"/>
        <v>0</v>
      </c>
    </row>
    <row r="997" spans="1:43">
      <c r="A997" s="360" t="s">
        <v>1084</v>
      </c>
      <c r="B997" t="s">
        <v>1076</v>
      </c>
      <c r="C997">
        <v>2</v>
      </c>
      <c r="D997" t="s">
        <v>1080</v>
      </c>
      <c r="E997" t="s">
        <v>1079</v>
      </c>
      <c r="F997" s="360">
        <v>14</v>
      </c>
      <c r="G997" s="360" t="str">
        <f>CONCATENATE(A997," ",B997," ",C997," ","inf+"," ",FanUpsizes!D997," ",FanUpsizes!F997)</f>
        <v>1.5ACH 5C 2 inf+ Existing 14</v>
      </c>
      <c r="H997" s="360">
        <v>4.9984232110139103E-2</v>
      </c>
      <c r="I997" s="360">
        <v>0.36940100487939859</v>
      </c>
      <c r="J997" s="360">
        <v>1.1892442893380093</v>
      </c>
      <c r="K997" s="360">
        <v>9921.4823612094788</v>
      </c>
      <c r="L997" s="360">
        <v>0.24208118641293064</v>
      </c>
      <c r="M997" s="360">
        <v>2.4472138850113043</v>
      </c>
      <c r="N997" s="360">
        <v>8.002523658233045</v>
      </c>
      <c r="O997" s="360">
        <v>1.542558260958651</v>
      </c>
      <c r="P997" s="360">
        <v>1.8069582746280972</v>
      </c>
      <c r="Q997" s="360">
        <v>-9656.3382474189511</v>
      </c>
      <c r="R997" s="360">
        <v>9921.4823612094788</v>
      </c>
      <c r="S997" s="360">
        <v>0.24208118641293064</v>
      </c>
      <c r="T997" s="360">
        <v>2.4472138850113043</v>
      </c>
      <c r="U997" s="360">
        <v>8.002523658233045</v>
      </c>
      <c r="V997" s="360">
        <v>1.542558260958651</v>
      </c>
      <c r="W997" s="360">
        <v>1.8069582746280972</v>
      </c>
      <c r="X997" s="360">
        <v>-9656.3382474189511</v>
      </c>
      <c r="Y997" s="360">
        <v>0.38178994264827149</v>
      </c>
      <c r="Z997" s="360">
        <v>1.1512019585082871</v>
      </c>
      <c r="AA997" s="360">
        <v>10627.738816520483</v>
      </c>
      <c r="AB997" s="360">
        <v>0.24589469320642013</v>
      </c>
      <c r="AC997" s="360">
        <v>2.4320618774653284</v>
      </c>
      <c r="AD997" s="360">
        <v>8.002523658233045</v>
      </c>
      <c r="AE997" s="360">
        <v>1.5430538151240294</v>
      </c>
      <c r="AF997" s="360">
        <v>1.8069267201160502</v>
      </c>
      <c r="AG997" s="360">
        <v>-8887.1278465252035</v>
      </c>
      <c r="AH997" s="360">
        <v>10627.738816520483</v>
      </c>
      <c r="AI997" s="360">
        <v>0.24589469320642013</v>
      </c>
      <c r="AJ997" s="360">
        <v>2.4320618774653284</v>
      </c>
      <c r="AK997" s="360">
        <v>8.002523658233045</v>
      </c>
      <c r="AL997" s="360">
        <v>1.5430538151240294</v>
      </c>
      <c r="AM997" s="360">
        <v>1.8069267201160502</v>
      </c>
      <c r="AN997" s="360">
        <v>-8887.1278465252035</v>
      </c>
      <c r="AO997" s="360">
        <f t="shared" ref="AO997:AO1060" si="45">IF(ROUND(P997,3)=ROUND(J997,3),1,0)</f>
        <v>0</v>
      </c>
      <c r="AP997" s="360">
        <f t="shared" ref="AP997:AP1060" si="46">IF(O997&gt;L997,1,0)</f>
        <v>1</v>
      </c>
      <c r="AQ997" s="360">
        <f t="shared" ref="AQ997:AQ1060" si="47">IF(I997&gt;L997,1,0)</f>
        <v>1</v>
      </c>
    </row>
    <row r="998" spans="1:43">
      <c r="A998" s="360" t="s">
        <v>1085</v>
      </c>
      <c r="B998" t="s">
        <v>1075</v>
      </c>
      <c r="C998">
        <v>1</v>
      </c>
      <c r="D998" t="s">
        <v>1078</v>
      </c>
      <c r="E998" t="s">
        <v>1079</v>
      </c>
      <c r="F998" s="360">
        <v>14</v>
      </c>
      <c r="G998" s="360" t="str">
        <f>CONCATENATE(A998," ",B998," ",C998," ","inf+"," ",FanUpsizes!D998," ",FanUpsizes!F998)</f>
        <v>0.6ACH Percentile 1 inf+ New 14</v>
      </c>
      <c r="H998" s="360">
        <v>4.0375811443554496E-2</v>
      </c>
      <c r="I998" s="360">
        <v>0.29800701424255482</v>
      </c>
      <c r="J998" s="360">
        <v>1.0715257137241683</v>
      </c>
      <c r="K998" s="360">
        <v>5965.7463232180107</v>
      </c>
      <c r="L998" s="360">
        <v>0.23472185041140481</v>
      </c>
      <c r="M998" s="360">
        <v>2.3831588522153928</v>
      </c>
      <c r="N998" s="360">
        <v>9.9069216369608135</v>
      </c>
      <c r="O998" s="360">
        <v>2.2430399915141517</v>
      </c>
      <c r="P998" s="360">
        <v>1.473515132188759</v>
      </c>
      <c r="Q998" s="360">
        <v>-56948.875987971027</v>
      </c>
      <c r="R998" s="360">
        <v>9338.8860334506317</v>
      </c>
      <c r="S998" s="360">
        <v>0.16721459885679987</v>
      </c>
      <c r="T998" s="360">
        <v>3.0013648954372432</v>
      </c>
      <c r="U998" s="360">
        <v>9.9069216369608135</v>
      </c>
      <c r="V998" s="360">
        <v>1.5742154336828702</v>
      </c>
      <c r="W998" s="360">
        <v>1.5387595834059353</v>
      </c>
      <c r="X998" s="360">
        <v>-23529.643708514337</v>
      </c>
      <c r="Y998" s="360">
        <v>0.29946385418548821</v>
      </c>
      <c r="Z998" s="360">
        <v>1.0663292523965555</v>
      </c>
      <c r="AA998" s="360">
        <v>6023.9159574929436</v>
      </c>
      <c r="AB998" s="360">
        <v>0.23556845064679377</v>
      </c>
      <c r="AC998" s="360">
        <v>2.3787804531804673</v>
      </c>
      <c r="AD998" s="360">
        <v>9.9069216369608135</v>
      </c>
      <c r="AE998" s="360">
        <v>2.2431257275452774</v>
      </c>
      <c r="AF998" s="360">
        <v>1.4735109066784509</v>
      </c>
      <c r="AG998" s="360">
        <v>-56858.981432116103</v>
      </c>
      <c r="AH998" s="360">
        <v>9363.5884597505901</v>
      </c>
      <c r="AI998" s="360">
        <v>0.16867287390278393</v>
      </c>
      <c r="AJ998" s="360">
        <v>2.9767411385191895</v>
      </c>
      <c r="AK998" s="360">
        <v>9.9069216369608135</v>
      </c>
      <c r="AL998" s="360">
        <v>1.5743647601521293</v>
      </c>
      <c r="AM998" s="360">
        <v>1.5387291211989522</v>
      </c>
      <c r="AN998" s="360">
        <v>-23443.231341258419</v>
      </c>
      <c r="AO998" s="360">
        <f t="shared" si="45"/>
        <v>0</v>
      </c>
      <c r="AP998" s="360">
        <f t="shared" si="46"/>
        <v>1</v>
      </c>
      <c r="AQ998" s="360">
        <f t="shared" si="47"/>
        <v>1</v>
      </c>
    </row>
    <row r="999" spans="1:43">
      <c r="A999" s="360" t="s">
        <v>1085</v>
      </c>
      <c r="B999" t="s">
        <v>1074</v>
      </c>
      <c r="C999">
        <v>1</v>
      </c>
      <c r="D999" t="s">
        <v>1078</v>
      </c>
      <c r="E999" t="s">
        <v>1079</v>
      </c>
      <c r="F999" s="360">
        <v>14</v>
      </c>
      <c r="G999" s="360" t="str">
        <f>CONCATENATE(A999," ",B999," ",C999," ","inf+"," ",FanUpsizes!D999," ",FanUpsizes!F999)</f>
        <v>0.6ACH Infiltration 1 inf+ New 14</v>
      </c>
      <c r="H999" s="360">
        <v>4.0375811443554496E-2</v>
      </c>
      <c r="I999" s="360">
        <v>0.29800701424255482</v>
      </c>
      <c r="J999" s="360">
        <v>1.0715257137241683</v>
      </c>
      <c r="K999" s="360">
        <v>0</v>
      </c>
      <c r="L999" s="360">
        <v>0.29800701424255482</v>
      </c>
      <c r="M999" s="360">
        <v>1.0715257137241683</v>
      </c>
      <c r="N999" s="360">
        <v>1</v>
      </c>
      <c r="O999" s="360">
        <v>0.29800701424255482</v>
      </c>
      <c r="P999" s="360">
        <v>1.0715257137241683</v>
      </c>
      <c r="Q999" s="360">
        <v>0</v>
      </c>
      <c r="R999" s="360">
        <v>0</v>
      </c>
      <c r="S999" s="360">
        <v>0.29800701424255482</v>
      </c>
      <c r="T999" s="360">
        <v>1.0715257137241683</v>
      </c>
      <c r="U999" s="360">
        <v>1</v>
      </c>
      <c r="V999" s="360">
        <v>0.29800701424255482</v>
      </c>
      <c r="W999" s="360">
        <v>1.0715257137241683</v>
      </c>
      <c r="X999" s="360">
        <v>0</v>
      </c>
      <c r="Y999" s="360">
        <v>0.29946385418548821</v>
      </c>
      <c r="Z999" s="360">
        <v>1.0663292523965555</v>
      </c>
      <c r="AA999" s="360">
        <v>0</v>
      </c>
      <c r="AB999" s="360">
        <v>0.29946385418548821</v>
      </c>
      <c r="AC999" s="360">
        <v>1.0663292523965555</v>
      </c>
      <c r="AD999" s="360">
        <v>1</v>
      </c>
      <c r="AE999" s="360">
        <v>0.29946385418548821</v>
      </c>
      <c r="AF999" s="360">
        <v>1.0663292523965555</v>
      </c>
      <c r="AG999" s="360">
        <v>0</v>
      </c>
      <c r="AH999" s="360">
        <v>0</v>
      </c>
      <c r="AI999" s="360">
        <v>0.29946385418548821</v>
      </c>
      <c r="AJ999" s="360">
        <v>1.0663292523965555</v>
      </c>
      <c r="AK999" s="360">
        <v>1</v>
      </c>
      <c r="AL999" s="360">
        <v>0.29946385418548821</v>
      </c>
      <c r="AM999" s="360">
        <v>1.0663292523965555</v>
      </c>
      <c r="AN999" s="360">
        <v>0</v>
      </c>
      <c r="AO999" s="360">
        <f t="shared" si="45"/>
        <v>1</v>
      </c>
      <c r="AP999" s="360">
        <f t="shared" si="46"/>
        <v>0</v>
      </c>
      <c r="AQ999" s="360">
        <f t="shared" si="47"/>
        <v>0</v>
      </c>
    </row>
    <row r="1000" spans="1:43">
      <c r="A1000" s="360" t="s">
        <v>1085</v>
      </c>
      <c r="B1000" t="s">
        <v>1076</v>
      </c>
      <c r="C1000">
        <v>1</v>
      </c>
      <c r="D1000" t="s">
        <v>1078</v>
      </c>
      <c r="E1000" t="s">
        <v>1079</v>
      </c>
      <c r="F1000" s="360">
        <v>14</v>
      </c>
      <c r="G1000" s="360" t="str">
        <f>CONCATENATE(A1000," ",B1000," ",C1000," ","inf+"," ",FanUpsizes!D1000," ",FanUpsizes!F1000)</f>
        <v>0.6ACH 5C 1 inf+ New 14</v>
      </c>
      <c r="H1000" s="360">
        <v>4.0375811443554496E-2</v>
      </c>
      <c r="I1000" s="360">
        <v>0.29800701424255482</v>
      </c>
      <c r="J1000" s="360">
        <v>1.0715257137241683</v>
      </c>
      <c r="K1000" s="360">
        <v>10277.240588296472</v>
      </c>
      <c r="L1000" s="360">
        <v>0.16701620346819285</v>
      </c>
      <c r="M1000" s="360">
        <v>4.3632194244286069</v>
      </c>
      <c r="N1000" s="360">
        <v>9.9069216369608135</v>
      </c>
      <c r="O1000" s="360">
        <v>1.5032689195608469</v>
      </c>
      <c r="P1000" s="360">
        <v>3.5995380787025661</v>
      </c>
      <c r="Q1000" s="360">
        <v>-9839.0716316070611</v>
      </c>
      <c r="R1000" s="360">
        <v>10277.240588296472</v>
      </c>
      <c r="S1000" s="360">
        <v>0.16701620346819285</v>
      </c>
      <c r="T1000" s="360">
        <v>4.3632194244286069</v>
      </c>
      <c r="U1000" s="360">
        <v>9.9069216369608135</v>
      </c>
      <c r="V1000" s="360">
        <v>1.5032689195608469</v>
      </c>
      <c r="W1000" s="360">
        <v>3.5995380787025661</v>
      </c>
      <c r="X1000" s="360">
        <v>-9839.0716316070611</v>
      </c>
      <c r="Y1000" s="360">
        <v>0.29946385418548821</v>
      </c>
      <c r="Z1000" s="360">
        <v>1.0663292523965555</v>
      </c>
      <c r="AA1000" s="360">
        <v>10362.624512056645</v>
      </c>
      <c r="AB1000" s="360">
        <v>0.16743833720286588</v>
      </c>
      <c r="AC1000" s="360">
        <v>4.3604291961098474</v>
      </c>
      <c r="AD1000" s="360">
        <v>9.9069216369608135</v>
      </c>
      <c r="AE1000" s="360">
        <v>1.5033116459936082</v>
      </c>
      <c r="AF1000" s="360">
        <v>3.5995355848040802</v>
      </c>
      <c r="AG1000" s="360">
        <v>-9746.4195019648159</v>
      </c>
      <c r="AH1000" s="360">
        <v>10362.624512056645</v>
      </c>
      <c r="AI1000" s="360">
        <v>0.16743833720286588</v>
      </c>
      <c r="AJ1000" s="360">
        <v>4.3604291961098474</v>
      </c>
      <c r="AK1000" s="360">
        <v>9.9069216369608135</v>
      </c>
      <c r="AL1000" s="360">
        <v>1.5033116459936082</v>
      </c>
      <c r="AM1000" s="360">
        <v>3.5995355848040802</v>
      </c>
      <c r="AN1000" s="360">
        <v>-9746.4195019648159</v>
      </c>
      <c r="AO1000" s="360">
        <f t="shared" si="45"/>
        <v>0</v>
      </c>
      <c r="AP1000" s="360">
        <f t="shared" si="46"/>
        <v>1</v>
      </c>
      <c r="AQ1000" s="360">
        <f t="shared" si="47"/>
        <v>1</v>
      </c>
    </row>
    <row r="1001" spans="1:43">
      <c r="A1001" s="360" t="s">
        <v>1085</v>
      </c>
      <c r="B1001" t="s">
        <v>1075</v>
      </c>
      <c r="C1001">
        <v>2</v>
      </c>
      <c r="D1001" t="s">
        <v>1078</v>
      </c>
      <c r="E1001" t="s">
        <v>1079</v>
      </c>
      <c r="F1001" s="360">
        <v>14</v>
      </c>
      <c r="G1001" s="360" t="str">
        <f>CONCATENATE(A1001," ",B1001," ",C1001," ","inf+"," ",FanUpsizes!D1001," ",FanUpsizes!F1001)</f>
        <v>0.6ACH Percentile 2 inf+ New 14</v>
      </c>
      <c r="H1001" s="360">
        <v>3.9452692844055642E-2</v>
      </c>
      <c r="I1001" s="360">
        <v>0.29119363247278668</v>
      </c>
      <c r="J1001" s="360">
        <v>1.0965861698559862</v>
      </c>
      <c r="K1001" s="360">
        <v>5530.2787092906092</v>
      </c>
      <c r="L1001" s="360">
        <v>0.23252082697731213</v>
      </c>
      <c r="M1001" s="360">
        <v>2.1206827203091665</v>
      </c>
      <c r="N1001" s="360">
        <v>10.138724917487306</v>
      </c>
      <c r="O1001" s="360">
        <v>2.245994115839173</v>
      </c>
      <c r="P1001" s="360">
        <v>1.2286264774032372</v>
      </c>
      <c r="Q1001" s="360">
        <v>-57545.839018180384</v>
      </c>
      <c r="R1001" s="360">
        <v>8822.5889807253188</v>
      </c>
      <c r="S1001" s="360">
        <v>0.16661898186001695</v>
      </c>
      <c r="T1001" s="360">
        <v>2.7046997448332455</v>
      </c>
      <c r="U1001" s="360">
        <v>10.138724917487306</v>
      </c>
      <c r="V1001" s="360">
        <v>1.5771695580078837</v>
      </c>
      <c r="W1001" s="360">
        <v>1.2909759512666883</v>
      </c>
      <c r="X1001" s="360">
        <v>-24126.606738723469</v>
      </c>
      <c r="Y1001" s="360">
        <v>0.29385649938918235</v>
      </c>
      <c r="Z1001" s="360">
        <v>1.0867037148169201</v>
      </c>
      <c r="AA1001" s="360">
        <v>5633.9311436670005</v>
      </c>
      <c r="AB1001" s="360">
        <v>0.23409478848685414</v>
      </c>
      <c r="AC1001" s="360">
        <v>2.1129351381943553</v>
      </c>
      <c r="AD1001" s="360">
        <v>10.138724917487306</v>
      </c>
      <c r="AE1001" s="360">
        <v>2.2461503532325708</v>
      </c>
      <c r="AF1001" s="360">
        <v>1.2286191588073339</v>
      </c>
      <c r="AG1001" s="360">
        <v>-57383.893774732875</v>
      </c>
      <c r="AH1001" s="360">
        <v>8869.6644088296798</v>
      </c>
      <c r="AI1001" s="360">
        <v>0.16923676926829403</v>
      </c>
      <c r="AJ1001" s="360">
        <v>2.6640285692262688</v>
      </c>
      <c r="AK1001" s="360">
        <v>10.138724917487306</v>
      </c>
      <c r="AL1001" s="360">
        <v>1.5774402241365424</v>
      </c>
      <c r="AM1001" s="360">
        <v>1.2909249519936017</v>
      </c>
      <c r="AN1001" s="360">
        <v>-23970.912720668326</v>
      </c>
      <c r="AO1001" s="360">
        <f t="shared" si="45"/>
        <v>0</v>
      </c>
      <c r="AP1001" s="360">
        <f t="shared" si="46"/>
        <v>1</v>
      </c>
      <c r="AQ1001" s="360">
        <f t="shared" si="47"/>
        <v>1</v>
      </c>
    </row>
    <row r="1002" spans="1:43">
      <c r="A1002" s="360" t="s">
        <v>1085</v>
      </c>
      <c r="B1002" t="s">
        <v>1074</v>
      </c>
      <c r="C1002">
        <v>2</v>
      </c>
      <c r="D1002" t="s">
        <v>1078</v>
      </c>
      <c r="E1002" t="s">
        <v>1079</v>
      </c>
      <c r="F1002" s="360">
        <v>14</v>
      </c>
      <c r="G1002" s="360" t="str">
        <f>CONCATENATE(A1002," ",B1002," ",C1002," ","inf+"," ",FanUpsizes!D1002," ",FanUpsizes!F1002)</f>
        <v>0.6ACH Infiltration 2 inf+ New 14</v>
      </c>
      <c r="H1002" s="360">
        <v>3.9452692844055642E-2</v>
      </c>
      <c r="I1002" s="360">
        <v>0.29119363247278668</v>
      </c>
      <c r="J1002" s="360">
        <v>1.0965861698559862</v>
      </c>
      <c r="K1002" s="360">
        <v>0</v>
      </c>
      <c r="L1002" s="360">
        <v>0.29119363247278668</v>
      </c>
      <c r="M1002" s="360">
        <v>1.0965861698559862</v>
      </c>
      <c r="N1002" s="360">
        <v>1</v>
      </c>
      <c r="O1002" s="360">
        <v>0.29119363247278668</v>
      </c>
      <c r="P1002" s="360">
        <v>1.0965861698559862</v>
      </c>
      <c r="Q1002" s="360">
        <v>0</v>
      </c>
      <c r="R1002" s="360">
        <v>0</v>
      </c>
      <c r="S1002" s="360">
        <v>0.29119363247278668</v>
      </c>
      <c r="T1002" s="360">
        <v>1.0965861698559862</v>
      </c>
      <c r="U1002" s="360">
        <v>1</v>
      </c>
      <c r="V1002" s="360">
        <v>0.29119363247278668</v>
      </c>
      <c r="W1002" s="360">
        <v>1.0965861698559862</v>
      </c>
      <c r="X1002" s="360">
        <v>0</v>
      </c>
      <c r="Y1002" s="360">
        <v>0.29385649938918235</v>
      </c>
      <c r="Z1002" s="360">
        <v>1.0867037148169201</v>
      </c>
      <c r="AA1002" s="360">
        <v>0</v>
      </c>
      <c r="AB1002" s="360">
        <v>0.29385649938918235</v>
      </c>
      <c r="AC1002" s="360">
        <v>1.0867037148169201</v>
      </c>
      <c r="AD1002" s="360">
        <v>1</v>
      </c>
      <c r="AE1002" s="360">
        <v>0.29385649938918235</v>
      </c>
      <c r="AF1002" s="360">
        <v>1.0867037148169201</v>
      </c>
      <c r="AG1002" s="360">
        <v>0</v>
      </c>
      <c r="AH1002" s="360">
        <v>0</v>
      </c>
      <c r="AI1002" s="360">
        <v>0.29385649938918235</v>
      </c>
      <c r="AJ1002" s="360">
        <v>1.0867037148169201</v>
      </c>
      <c r="AK1002" s="360">
        <v>1</v>
      </c>
      <c r="AL1002" s="360">
        <v>0.29385649938918235</v>
      </c>
      <c r="AM1002" s="360">
        <v>1.0867037148169201</v>
      </c>
      <c r="AN1002" s="360">
        <v>0</v>
      </c>
      <c r="AO1002" s="360">
        <f t="shared" si="45"/>
        <v>1</v>
      </c>
      <c r="AP1002" s="360">
        <f t="shared" si="46"/>
        <v>0</v>
      </c>
      <c r="AQ1002" s="360">
        <f t="shared" si="47"/>
        <v>0</v>
      </c>
    </row>
    <row r="1003" spans="1:43">
      <c r="A1003" s="360" t="s">
        <v>1085</v>
      </c>
      <c r="B1003" t="s">
        <v>1076</v>
      </c>
      <c r="C1003">
        <v>2</v>
      </c>
      <c r="D1003" t="s">
        <v>1078</v>
      </c>
      <c r="E1003" t="s">
        <v>1079</v>
      </c>
      <c r="F1003" s="360">
        <v>14</v>
      </c>
      <c r="G1003" s="360" t="str">
        <f>CONCATENATE(A1003," ",B1003," ",C1003," ","inf+"," ",FanUpsizes!D1003," ",FanUpsizes!F1003)</f>
        <v>0.6ACH 5C 2 inf+ New 14</v>
      </c>
      <c r="H1003" s="360">
        <v>3.9452692844055642E-2</v>
      </c>
      <c r="I1003" s="360">
        <v>0.29119363247278668</v>
      </c>
      <c r="J1003" s="360">
        <v>1.0965861698559862</v>
      </c>
      <c r="K1003" s="360">
        <v>9568.5226265500878</v>
      </c>
      <c r="L1003" s="360">
        <v>0.1691066410150267</v>
      </c>
      <c r="M1003" s="360">
        <v>3.5809400903296891</v>
      </c>
      <c r="N1003" s="360">
        <v>10.138724917487306</v>
      </c>
      <c r="O1003" s="360">
        <v>1.5087893814917706</v>
      </c>
      <c r="P1003" s="360">
        <v>2.8553484832241951</v>
      </c>
      <c r="Q1003" s="360">
        <v>-10599.426114350641</v>
      </c>
      <c r="R1003" s="360">
        <v>9568.5226265500878</v>
      </c>
      <c r="S1003" s="360">
        <v>0.1691066410150267</v>
      </c>
      <c r="T1003" s="360">
        <v>3.5809400903296891</v>
      </c>
      <c r="U1003" s="360">
        <v>10.138724917487306</v>
      </c>
      <c r="V1003" s="360">
        <v>1.5087893814917706</v>
      </c>
      <c r="W1003" s="360">
        <v>2.8553484832241951</v>
      </c>
      <c r="X1003" s="360">
        <v>-10599.426114350641</v>
      </c>
      <c r="Y1003" s="360">
        <v>0.29385649938918235</v>
      </c>
      <c r="Z1003" s="360">
        <v>1.0867037148169201</v>
      </c>
      <c r="AA1003" s="360">
        <v>9721.7909984015041</v>
      </c>
      <c r="AB1003" s="360">
        <v>0.16990641104872867</v>
      </c>
      <c r="AC1003" s="360">
        <v>3.5760704349040751</v>
      </c>
      <c r="AD1003" s="360">
        <v>10.138724917487306</v>
      </c>
      <c r="AE1003" s="360">
        <v>1.5088686927145787</v>
      </c>
      <c r="AF1003" s="360">
        <v>2.8553441701964175</v>
      </c>
      <c r="AG1003" s="360">
        <v>-10432.550729330884</v>
      </c>
      <c r="AH1003" s="360">
        <v>9721.7909984015041</v>
      </c>
      <c r="AI1003" s="360">
        <v>0.16990641104872867</v>
      </c>
      <c r="AJ1003" s="360">
        <v>3.5760704349040751</v>
      </c>
      <c r="AK1003" s="360">
        <v>10.138724917487306</v>
      </c>
      <c r="AL1003" s="360">
        <v>1.5088686927145787</v>
      </c>
      <c r="AM1003" s="360">
        <v>2.8553441701964175</v>
      </c>
      <c r="AN1003" s="360">
        <v>-10432.550729330884</v>
      </c>
      <c r="AO1003" s="360">
        <f t="shared" si="45"/>
        <v>0</v>
      </c>
      <c r="AP1003" s="360">
        <f t="shared" si="46"/>
        <v>1</v>
      </c>
      <c r="AQ1003" s="360">
        <f t="shared" si="47"/>
        <v>1</v>
      </c>
    </row>
    <row r="1004" spans="1:43">
      <c r="A1004" s="360" t="s">
        <v>1085</v>
      </c>
      <c r="B1004" t="s">
        <v>1075</v>
      </c>
      <c r="C1004">
        <v>1</v>
      </c>
      <c r="D1004" t="s">
        <v>1080</v>
      </c>
      <c r="E1004" t="s">
        <v>1079</v>
      </c>
      <c r="F1004" s="360">
        <v>14</v>
      </c>
      <c r="G1004" s="360" t="str">
        <f>CONCATENATE(A1004," ",B1004," ",C1004," ","inf+"," ",FanUpsizes!D1004," ",FanUpsizes!F1004)</f>
        <v>0.6ACH Percentile 1 inf+ Existing 14</v>
      </c>
      <c r="H1004" s="360">
        <v>5.6625811443554497E-2</v>
      </c>
      <c r="I1004" s="360">
        <v>0.41794550732307967</v>
      </c>
      <c r="J1004" s="360">
        <v>1.0510054158083875</v>
      </c>
      <c r="K1004" s="360">
        <v>8718.9531912788025</v>
      </c>
      <c r="L1004" s="360">
        <v>0.32546983353214248</v>
      </c>
      <c r="M1004" s="360">
        <v>2.8776535252167892</v>
      </c>
      <c r="N1004" s="360">
        <v>7.0639164332104336</v>
      </c>
      <c r="O1004" s="360">
        <v>2.2430399915141517</v>
      </c>
      <c r="P1004" s="360">
        <v>2.0255942385667116</v>
      </c>
      <c r="Q1004" s="360">
        <v>-51352.805249544253</v>
      </c>
      <c r="R1004" s="360">
        <v>13449.931055390947</v>
      </c>
      <c r="S1004" s="360">
        <v>0.23078800028069388</v>
      </c>
      <c r="T1004" s="360">
        <v>3.5145443086902652</v>
      </c>
      <c r="U1004" s="360">
        <v>7.0639164332104336</v>
      </c>
      <c r="V1004" s="360">
        <v>1.5742154336828702</v>
      </c>
      <c r="W1004" s="360">
        <v>2.1153438698158542</v>
      </c>
      <c r="X1004" s="360">
        <v>-17933.572970087549</v>
      </c>
      <c r="Y1004" s="360">
        <v>0.41898635158373648</v>
      </c>
      <c r="Z1004" s="360">
        <v>1.0483991922429599</v>
      </c>
      <c r="AA1004" s="360">
        <v>8760.5344071075106</v>
      </c>
      <c r="AB1004" s="360">
        <v>0.32607446257180084</v>
      </c>
      <c r="AC1004" s="360">
        <v>2.8753963949868404</v>
      </c>
      <c r="AD1004" s="360">
        <v>7.0639164332104336</v>
      </c>
      <c r="AE1004" s="360">
        <v>2.2431257275452774</v>
      </c>
      <c r="AF1004" s="360">
        <v>2.0255884259916512</v>
      </c>
      <c r="AG1004" s="360">
        <v>-51289.584258814597</v>
      </c>
      <c r="AH1004" s="360">
        <v>13467.226001136287</v>
      </c>
      <c r="AI1004" s="360">
        <v>0.23183642164211185</v>
      </c>
      <c r="AJ1004" s="360">
        <v>3.5010967839821774</v>
      </c>
      <c r="AK1004" s="360">
        <v>7.0639164332104336</v>
      </c>
      <c r="AL1004" s="360">
        <v>1.5743647601521293</v>
      </c>
      <c r="AM1004" s="360">
        <v>2.1153019663357511</v>
      </c>
      <c r="AN1004" s="360">
        <v>-17873.834167956902</v>
      </c>
      <c r="AO1004" s="360">
        <f t="shared" si="45"/>
        <v>0</v>
      </c>
      <c r="AP1004" s="360">
        <f t="shared" si="46"/>
        <v>1</v>
      </c>
      <c r="AQ1004" s="360">
        <f t="shared" si="47"/>
        <v>1</v>
      </c>
    </row>
    <row r="1005" spans="1:43">
      <c r="A1005" s="360" t="s">
        <v>1085</v>
      </c>
      <c r="B1005" t="s">
        <v>1074</v>
      </c>
      <c r="C1005">
        <v>1</v>
      </c>
      <c r="D1005" t="s">
        <v>1080</v>
      </c>
      <c r="E1005" t="s">
        <v>1079</v>
      </c>
      <c r="F1005" s="360">
        <v>14</v>
      </c>
      <c r="G1005" s="360" t="str">
        <f>CONCATENATE(A1005," ",B1005," ",C1005," ","inf+"," ",FanUpsizes!D1005," ",FanUpsizes!F1005)</f>
        <v>0.6ACH Infiltration 1 inf+ Existing 14</v>
      </c>
      <c r="H1005" s="360">
        <v>5.6625811443554497E-2</v>
      </c>
      <c r="I1005" s="360">
        <v>0.41794550732307967</v>
      </c>
      <c r="J1005" s="360">
        <v>1.0510054158083875</v>
      </c>
      <c r="K1005" s="360">
        <v>0</v>
      </c>
      <c r="L1005" s="360">
        <v>0.41794550732307967</v>
      </c>
      <c r="M1005" s="360">
        <v>1.0510054158083875</v>
      </c>
      <c r="N1005" s="360">
        <v>1</v>
      </c>
      <c r="O1005" s="360">
        <v>0.41794550732307967</v>
      </c>
      <c r="P1005" s="360">
        <v>1.0510054158083875</v>
      </c>
      <c r="Q1005" s="360">
        <v>0</v>
      </c>
      <c r="R1005" s="360">
        <v>0</v>
      </c>
      <c r="S1005" s="360">
        <v>0.41794550732307967</v>
      </c>
      <c r="T1005" s="360">
        <v>1.0510054158083875</v>
      </c>
      <c r="U1005" s="360">
        <v>1</v>
      </c>
      <c r="V1005" s="360">
        <v>0.41794550732307967</v>
      </c>
      <c r="W1005" s="360">
        <v>1.0510054158083875</v>
      </c>
      <c r="X1005" s="360">
        <v>0</v>
      </c>
      <c r="Y1005" s="360">
        <v>0.41898635158373648</v>
      </c>
      <c r="Z1005" s="360">
        <v>1.0483991922429599</v>
      </c>
      <c r="AA1005" s="360">
        <v>0</v>
      </c>
      <c r="AB1005" s="360">
        <v>0.41898635158373648</v>
      </c>
      <c r="AC1005" s="360">
        <v>1.0483991922429599</v>
      </c>
      <c r="AD1005" s="360">
        <v>1</v>
      </c>
      <c r="AE1005" s="360">
        <v>0.41898635158373648</v>
      </c>
      <c r="AF1005" s="360">
        <v>1.0483991922429599</v>
      </c>
      <c r="AG1005" s="360">
        <v>0</v>
      </c>
      <c r="AH1005" s="360">
        <v>0</v>
      </c>
      <c r="AI1005" s="360">
        <v>0.41898635158373648</v>
      </c>
      <c r="AJ1005" s="360">
        <v>1.0483991922429599</v>
      </c>
      <c r="AK1005" s="360">
        <v>1</v>
      </c>
      <c r="AL1005" s="360">
        <v>0.41898635158373648</v>
      </c>
      <c r="AM1005" s="360">
        <v>1.0483991922429599</v>
      </c>
      <c r="AN1005" s="360">
        <v>0</v>
      </c>
      <c r="AO1005" s="360">
        <f t="shared" si="45"/>
        <v>1</v>
      </c>
      <c r="AP1005" s="360">
        <f t="shared" si="46"/>
        <v>0</v>
      </c>
      <c r="AQ1005" s="360">
        <f t="shared" si="47"/>
        <v>0</v>
      </c>
    </row>
    <row r="1006" spans="1:43">
      <c r="A1006" s="360" t="s">
        <v>1085</v>
      </c>
      <c r="B1006" t="s">
        <v>1076</v>
      </c>
      <c r="C1006">
        <v>1</v>
      </c>
      <c r="D1006" t="s">
        <v>1080</v>
      </c>
      <c r="E1006" t="s">
        <v>1079</v>
      </c>
      <c r="F1006" s="360">
        <v>14</v>
      </c>
      <c r="G1006" s="360" t="str">
        <f>CONCATENATE(A1006," ",B1006," ",C1006," ","inf+"," ",FanUpsizes!D1006," ",FanUpsizes!F1006)</f>
        <v>0.6ACH 5C 1 inf+ Existing 14</v>
      </c>
      <c r="H1006" s="360">
        <v>5.6625811443554497E-2</v>
      </c>
      <c r="I1006" s="360">
        <v>0.41794550732307967</v>
      </c>
      <c r="J1006" s="360">
        <v>1.0510054158083875</v>
      </c>
      <c r="K1006" s="360">
        <v>14964.334444813292</v>
      </c>
      <c r="L1006" s="360">
        <v>0.22739619827241708</v>
      </c>
      <c r="M1006" s="360">
        <v>5.6663459579039159</v>
      </c>
      <c r="N1006" s="360">
        <v>7.0639164332104336</v>
      </c>
      <c r="O1006" s="360">
        <v>1.5032689195608469</v>
      </c>
      <c r="P1006" s="360">
        <v>4.9501252150121804</v>
      </c>
      <c r="Q1006" s="360">
        <v>-4243.0008931802731</v>
      </c>
      <c r="R1006" s="360">
        <v>14964.334444813292</v>
      </c>
      <c r="S1006" s="360">
        <v>0.22739619827241708</v>
      </c>
      <c r="T1006" s="360">
        <v>5.6663459579039159</v>
      </c>
      <c r="U1006" s="360">
        <v>7.0639164332104336</v>
      </c>
      <c r="V1006" s="360">
        <v>1.5032689195608469</v>
      </c>
      <c r="W1006" s="360">
        <v>4.9501252150121804</v>
      </c>
      <c r="X1006" s="360">
        <v>-4243.0008931802731</v>
      </c>
      <c r="Y1006" s="360">
        <v>0.41898635158373648</v>
      </c>
      <c r="Z1006" s="360">
        <v>1.0483991922429599</v>
      </c>
      <c r="AA1006" s="360">
        <v>15025.357119337821</v>
      </c>
      <c r="AB1006" s="360">
        <v>0.22769759799506559</v>
      </c>
      <c r="AC1006" s="360">
        <v>5.6649032213111159</v>
      </c>
      <c r="AD1006" s="360">
        <v>7.0639164332104336</v>
      </c>
      <c r="AE1006" s="360">
        <v>1.5033116459936082</v>
      </c>
      <c r="AF1006" s="360">
        <v>4.9501217844257335</v>
      </c>
      <c r="AG1006" s="360">
        <v>-4177.0223286633018</v>
      </c>
      <c r="AH1006" s="360">
        <v>15025.357119337821</v>
      </c>
      <c r="AI1006" s="360">
        <v>0.22769759799506559</v>
      </c>
      <c r="AJ1006" s="360">
        <v>5.6649032213111159</v>
      </c>
      <c r="AK1006" s="360">
        <v>7.0639164332104336</v>
      </c>
      <c r="AL1006" s="360">
        <v>1.5033116459936082</v>
      </c>
      <c r="AM1006" s="360">
        <v>4.9501217844257335</v>
      </c>
      <c r="AN1006" s="360">
        <v>-4177.0223286633018</v>
      </c>
      <c r="AO1006" s="360">
        <f t="shared" si="45"/>
        <v>0</v>
      </c>
      <c r="AP1006" s="360">
        <f t="shared" si="46"/>
        <v>1</v>
      </c>
      <c r="AQ1006" s="360">
        <f t="shared" si="47"/>
        <v>1</v>
      </c>
    </row>
    <row r="1007" spans="1:43">
      <c r="A1007" s="360" t="s">
        <v>1085</v>
      </c>
      <c r="B1007" t="s">
        <v>1075</v>
      </c>
      <c r="C1007">
        <v>2</v>
      </c>
      <c r="D1007" t="s">
        <v>1080</v>
      </c>
      <c r="E1007" t="s">
        <v>1079</v>
      </c>
      <c r="F1007" s="360">
        <v>14</v>
      </c>
      <c r="G1007" s="360" t="str">
        <f>CONCATENATE(A1007," ",B1007," ",C1007," ","inf+"," ",FanUpsizes!D1007," ",FanUpsizes!F1007)</f>
        <v>0.6ACH Percentile 2 inf+ Existing 14</v>
      </c>
      <c r="H1007" s="360">
        <v>5.5702692844055643E-2</v>
      </c>
      <c r="I1007" s="360">
        <v>0.41113212555321915</v>
      </c>
      <c r="J1007" s="360">
        <v>1.0684170902249888</v>
      </c>
      <c r="K1007" s="360">
        <v>8283.4855773513827</v>
      </c>
      <c r="L1007" s="360">
        <v>0.32326881009796438</v>
      </c>
      <c r="M1007" s="360">
        <v>2.521408724451871</v>
      </c>
      <c r="N1007" s="360">
        <v>7.1809813776837244</v>
      </c>
      <c r="O1007" s="360">
        <v>2.245994115839173</v>
      </c>
      <c r="P1007" s="360">
        <v>1.6890212901775004</v>
      </c>
      <c r="Q1007" s="360">
        <v>-51949.768279753582</v>
      </c>
      <c r="R1007" s="360">
        <v>12937.087017831915</v>
      </c>
      <c r="S1007" s="360">
        <v>0.23013545513911141</v>
      </c>
      <c r="T1007" s="360">
        <v>3.1199491928071925</v>
      </c>
      <c r="U1007" s="360">
        <v>7.1809813776837244</v>
      </c>
      <c r="V1007" s="360">
        <v>1.5771695580078837</v>
      </c>
      <c r="W1007" s="360">
        <v>1.7747887151254549</v>
      </c>
      <c r="X1007" s="360">
        <v>-18530.536000296659</v>
      </c>
      <c r="Y1007" s="360">
        <v>0.41302539675688416</v>
      </c>
      <c r="Z1007" s="360">
        <v>1.0635346570934185</v>
      </c>
      <c r="AA1007" s="360">
        <v>8357.2489745435287</v>
      </c>
      <c r="AB1007" s="360">
        <v>0.32438716062673856</v>
      </c>
      <c r="AC1007" s="360">
        <v>2.5174728366121624</v>
      </c>
      <c r="AD1007" s="360">
        <v>7.1809813776837244</v>
      </c>
      <c r="AE1007" s="360">
        <v>2.2461503532325708</v>
      </c>
      <c r="AF1007" s="360">
        <v>1.6890112227749972</v>
      </c>
      <c r="AG1007" s="360">
        <v>-51836.431867964769</v>
      </c>
      <c r="AH1007" s="360">
        <v>12967.283135196989</v>
      </c>
      <c r="AI1007" s="360">
        <v>0.23205188246602798</v>
      </c>
      <c r="AJ1007" s="360">
        <v>3.0974332216657738</v>
      </c>
      <c r="AK1007" s="360">
        <v>7.1809813776837244</v>
      </c>
      <c r="AL1007" s="360">
        <v>1.5774402241365424</v>
      </c>
      <c r="AM1007" s="360">
        <v>1.7747185609557026</v>
      </c>
      <c r="AN1007" s="360">
        <v>-18423.450813900214</v>
      </c>
      <c r="AO1007" s="360">
        <f t="shared" si="45"/>
        <v>0</v>
      </c>
      <c r="AP1007" s="360">
        <f t="shared" si="46"/>
        <v>1</v>
      </c>
      <c r="AQ1007" s="360">
        <f t="shared" si="47"/>
        <v>1</v>
      </c>
    </row>
    <row r="1008" spans="1:43">
      <c r="A1008" s="360" t="s">
        <v>1085</v>
      </c>
      <c r="B1008" t="s">
        <v>1074</v>
      </c>
      <c r="C1008">
        <v>2</v>
      </c>
      <c r="D1008" t="s">
        <v>1080</v>
      </c>
      <c r="E1008" t="s">
        <v>1079</v>
      </c>
      <c r="F1008" s="360">
        <v>14</v>
      </c>
      <c r="G1008" s="360" t="str">
        <f>CONCATENATE(A1008," ",B1008," ",C1008," ","inf+"," ",FanUpsizes!D1008," ",FanUpsizes!F1008)</f>
        <v>0.6ACH Infiltration 2 inf+ Existing 14</v>
      </c>
      <c r="H1008" s="360">
        <v>5.5702692844055643E-2</v>
      </c>
      <c r="I1008" s="360">
        <v>0.41113212555321915</v>
      </c>
      <c r="J1008" s="360">
        <v>1.0684170902249888</v>
      </c>
      <c r="K1008" s="360">
        <v>0</v>
      </c>
      <c r="L1008" s="360">
        <v>0.41113212555321915</v>
      </c>
      <c r="M1008" s="360">
        <v>1.0684170902249888</v>
      </c>
      <c r="N1008" s="360">
        <v>1</v>
      </c>
      <c r="O1008" s="360">
        <v>0.41113212555321915</v>
      </c>
      <c r="P1008" s="360">
        <v>1.0684170902249888</v>
      </c>
      <c r="Q1008" s="360">
        <v>0</v>
      </c>
      <c r="R1008" s="360">
        <v>0</v>
      </c>
      <c r="S1008" s="360">
        <v>0.41113212555321915</v>
      </c>
      <c r="T1008" s="360">
        <v>1.0684170902249888</v>
      </c>
      <c r="U1008" s="360">
        <v>1</v>
      </c>
      <c r="V1008" s="360">
        <v>0.41113212555321915</v>
      </c>
      <c r="W1008" s="360">
        <v>1.0684170902249888</v>
      </c>
      <c r="X1008" s="360">
        <v>0</v>
      </c>
      <c r="Y1008" s="360">
        <v>0.41302539675688416</v>
      </c>
      <c r="Z1008" s="360">
        <v>1.0635346570934185</v>
      </c>
      <c r="AA1008" s="360">
        <v>0</v>
      </c>
      <c r="AB1008" s="360">
        <v>0.41302539675688416</v>
      </c>
      <c r="AC1008" s="360">
        <v>1.0635346570934185</v>
      </c>
      <c r="AD1008" s="360">
        <v>1</v>
      </c>
      <c r="AE1008" s="360">
        <v>0.41302539675688416</v>
      </c>
      <c r="AF1008" s="360">
        <v>1.0635346570934185</v>
      </c>
      <c r="AG1008" s="360">
        <v>0</v>
      </c>
      <c r="AH1008" s="360">
        <v>0</v>
      </c>
      <c r="AI1008" s="360">
        <v>0.41302539675688416</v>
      </c>
      <c r="AJ1008" s="360">
        <v>1.0635346570934185</v>
      </c>
      <c r="AK1008" s="360">
        <v>1</v>
      </c>
      <c r="AL1008" s="360">
        <v>0.41302539675688416</v>
      </c>
      <c r="AM1008" s="360">
        <v>1.0635346570934185</v>
      </c>
      <c r="AN1008" s="360">
        <v>0</v>
      </c>
      <c r="AO1008" s="360">
        <f t="shared" si="45"/>
        <v>1</v>
      </c>
      <c r="AP1008" s="360">
        <f t="shared" si="46"/>
        <v>0</v>
      </c>
      <c r="AQ1008" s="360">
        <f t="shared" si="47"/>
        <v>0</v>
      </c>
    </row>
    <row r="1009" spans="1:43">
      <c r="A1009" s="360" t="s">
        <v>1085</v>
      </c>
      <c r="B1009" t="s">
        <v>1076</v>
      </c>
      <c r="C1009">
        <v>2</v>
      </c>
      <c r="D1009" t="s">
        <v>1080</v>
      </c>
      <c r="E1009" t="s">
        <v>1079</v>
      </c>
      <c r="F1009" s="360">
        <v>14</v>
      </c>
      <c r="G1009" s="360" t="str">
        <f>CONCATENATE(A1009," ",B1009," ",C1009," ","inf+"," ",FanUpsizes!D1009," ",FanUpsizes!F1009)</f>
        <v>0.6ACH 5C 2 inf+ Existing 14</v>
      </c>
      <c r="H1009" s="360">
        <v>5.5702692844055643E-2</v>
      </c>
      <c r="I1009" s="360">
        <v>0.41113212555321915</v>
      </c>
      <c r="J1009" s="360">
        <v>1.0684170902249888</v>
      </c>
      <c r="K1009" s="360">
        <v>14255.616483066955</v>
      </c>
      <c r="L1009" s="360">
        <v>0.22948663581921902</v>
      </c>
      <c r="M1009" s="360">
        <v>4.6048621304746487</v>
      </c>
      <c r="N1009" s="360">
        <v>7.1809813776837244</v>
      </c>
      <c r="O1009" s="360">
        <v>1.5087893814917706</v>
      </c>
      <c r="P1009" s="360">
        <v>3.9267257722682669</v>
      </c>
      <c r="Q1009" s="360">
        <v>-5003.355375923833</v>
      </c>
      <c r="R1009" s="360">
        <v>14255.616483066955</v>
      </c>
      <c r="S1009" s="360">
        <v>0.22948663581921902</v>
      </c>
      <c r="T1009" s="360">
        <v>4.6048621304746487</v>
      </c>
      <c r="U1009" s="360">
        <v>7.1809813776837244</v>
      </c>
      <c r="V1009" s="360">
        <v>1.5087893814917706</v>
      </c>
      <c r="W1009" s="360">
        <v>3.9267257722682669</v>
      </c>
      <c r="X1009" s="360">
        <v>-5003.355375923833</v>
      </c>
      <c r="Y1009" s="360">
        <v>0.41302539675688416</v>
      </c>
      <c r="Z1009" s="360">
        <v>1.0635346570934185</v>
      </c>
      <c r="AA1009" s="360">
        <v>14364.65173110334</v>
      </c>
      <c r="AB1009" s="360">
        <v>0.23005462356487125</v>
      </c>
      <c r="AC1009" s="360">
        <v>4.6023798142241077</v>
      </c>
      <c r="AD1009" s="360">
        <v>7.1809813776837244</v>
      </c>
      <c r="AE1009" s="360">
        <v>1.5088686927145787</v>
      </c>
      <c r="AF1009" s="360">
        <v>3.9267198393015876</v>
      </c>
      <c r="AG1009" s="360">
        <v>-4885.088822562775</v>
      </c>
      <c r="AH1009" s="360">
        <v>14364.65173110334</v>
      </c>
      <c r="AI1009" s="360">
        <v>0.23005462356487125</v>
      </c>
      <c r="AJ1009" s="360">
        <v>4.6023798142241077</v>
      </c>
      <c r="AK1009" s="360">
        <v>7.1809813776837244</v>
      </c>
      <c r="AL1009" s="360">
        <v>1.5088686927145787</v>
      </c>
      <c r="AM1009" s="360">
        <v>3.9267198393015876</v>
      </c>
      <c r="AN1009" s="360">
        <v>-4885.088822562775</v>
      </c>
      <c r="AO1009" s="360">
        <f t="shared" si="45"/>
        <v>0</v>
      </c>
      <c r="AP1009" s="360">
        <f t="shared" si="46"/>
        <v>1</v>
      </c>
      <c r="AQ1009" s="360">
        <f t="shared" si="47"/>
        <v>1</v>
      </c>
    </row>
    <row r="1010" spans="1:43">
      <c r="A1010" s="360" t="s">
        <v>1077</v>
      </c>
      <c r="B1010" t="s">
        <v>1075</v>
      </c>
      <c r="C1010">
        <v>1</v>
      </c>
      <c r="D1010" t="s">
        <v>1078</v>
      </c>
      <c r="E1010" t="s">
        <v>1079</v>
      </c>
      <c r="F1010">
        <v>15</v>
      </c>
      <c r="G1010" s="360" t="str">
        <f>CONCATENATE(A1010," ",B1010," ",C1010," ","inf+"," ",FanUpsizes!D1010," ",FanUpsizes!F1010)</f>
        <v>10ACH Percentile 1 inf+ New 15</v>
      </c>
      <c r="H1010" s="360">
        <v>1.4421666666666666E-2</v>
      </c>
      <c r="I1010" s="360">
        <v>0.47996425719682223</v>
      </c>
      <c r="J1010" s="360">
        <v>0.75905629256631801</v>
      </c>
      <c r="K1010" s="360">
        <v>1485.9942604019341</v>
      </c>
      <c r="L1010" s="360">
        <v>0.46673775515712967</v>
      </c>
      <c r="M1010" s="360">
        <v>0.76937148499511698</v>
      </c>
      <c r="N1010" s="360">
        <v>1.1041698840691101</v>
      </c>
      <c r="O1010" s="360">
        <v>0.47091442181623605</v>
      </c>
      <c r="P1010" s="360">
        <v>0.75905651201511748</v>
      </c>
      <c r="Q1010" s="360">
        <v>1299.6730232567604</v>
      </c>
      <c r="R1010" s="360">
        <v>2289.3284613451506</v>
      </c>
      <c r="S1010" s="360">
        <v>0.45506963519054972</v>
      </c>
      <c r="T1010" s="360">
        <v>0.78816897502555783</v>
      </c>
      <c r="U1010" s="360">
        <v>1.3587773327964281</v>
      </c>
      <c r="V1010" s="360">
        <v>0.46527635515454929</v>
      </c>
      <c r="W1010" s="360">
        <v>0.75905664602291134</v>
      </c>
      <c r="X1010" s="360">
        <v>1935.8271536722082</v>
      </c>
      <c r="Y1010" s="360">
        <v>0.44250448223674993</v>
      </c>
      <c r="Z1010" s="360">
        <v>0.82979169573619704</v>
      </c>
      <c r="AA1010" s="360">
        <v>265.00178645100374</v>
      </c>
      <c r="AB1010" s="360">
        <v>0.44023422120368522</v>
      </c>
      <c r="AC1010" s="360">
        <v>0.83171717039784743</v>
      </c>
      <c r="AD1010" s="360">
        <v>1.0197262189569538</v>
      </c>
      <c r="AE1010" s="360">
        <v>0.44074543033318936</v>
      </c>
      <c r="AF1010" s="360">
        <v>0.82979253299585976</v>
      </c>
      <c r="AG1010" s="360">
        <v>247.07382205714293</v>
      </c>
      <c r="AH1010" s="360">
        <v>558.42568499848619</v>
      </c>
      <c r="AI1010" s="360">
        <v>0.43584362189053483</v>
      </c>
      <c r="AJ1010" s="360">
        <v>0.84079010789573017</v>
      </c>
      <c r="AK1010" s="360">
        <v>1.1335456721074744</v>
      </c>
      <c r="AL1010" s="360">
        <v>0.43824869425413854</v>
      </c>
      <c r="AM1010" s="360">
        <v>0.82979172253642408</v>
      </c>
      <c r="AN1010" s="360">
        <v>510.83000181042866</v>
      </c>
      <c r="AO1010" s="360">
        <f t="shared" si="45"/>
        <v>1</v>
      </c>
      <c r="AP1010" s="360">
        <f t="shared" si="46"/>
        <v>1</v>
      </c>
      <c r="AQ1010" s="360">
        <f t="shared" si="47"/>
        <v>1</v>
      </c>
    </row>
    <row r="1011" spans="1:43">
      <c r="A1011" s="360" t="s">
        <v>1077</v>
      </c>
      <c r="B1011" t="s">
        <v>1074</v>
      </c>
      <c r="C1011">
        <v>1</v>
      </c>
      <c r="D1011" t="s">
        <v>1078</v>
      </c>
      <c r="E1011" t="s">
        <v>1079</v>
      </c>
      <c r="F1011" s="360">
        <v>15</v>
      </c>
      <c r="G1011" s="360" t="str">
        <f>CONCATENATE(A1011," ",B1011," ",C1011," ","inf+"," ",FanUpsizes!D1011," ",FanUpsizes!F1011)</f>
        <v>10ACH Infiltration 1 inf+ New 15</v>
      </c>
      <c r="H1011" s="360">
        <v>1.4421666666666666E-2</v>
      </c>
      <c r="I1011" s="360">
        <v>0.47996425719682223</v>
      </c>
      <c r="J1011" s="360">
        <v>0.75905629256631801</v>
      </c>
      <c r="K1011" s="360">
        <v>2831.9040696612583</v>
      </c>
      <c r="L1011" s="360">
        <v>0.44933126533456186</v>
      </c>
      <c r="M1011" s="360">
        <v>0.79338856752022346</v>
      </c>
      <c r="N1011" s="360">
        <v>1.4663604830753401</v>
      </c>
      <c r="O1011" s="360">
        <v>0.45993683058436674</v>
      </c>
      <c r="P1011" s="360">
        <v>0.75905648387284386</v>
      </c>
      <c r="Q1011" s="360">
        <v>2625.4375060382754</v>
      </c>
      <c r="R1011" s="360">
        <v>3035.2089173132408</v>
      </c>
      <c r="S1011" s="360">
        <v>0.44291243235112004</v>
      </c>
      <c r="T1011" s="360">
        <v>0.81286397606591942</v>
      </c>
      <c r="U1011" s="360">
        <v>1.9324127605335182</v>
      </c>
      <c r="V1011" s="360">
        <v>0.4582469468231406</v>
      </c>
      <c r="W1011" s="360">
        <v>0.75905634460212579</v>
      </c>
      <c r="X1011" s="360">
        <v>2811.9762727239954</v>
      </c>
      <c r="Y1011" s="360">
        <v>0.44250448223674993</v>
      </c>
      <c r="Z1011" s="360">
        <v>0.82979169573619704</v>
      </c>
      <c r="AA1011" s="360">
        <v>579.73269041049389</v>
      </c>
      <c r="AB1011" s="360">
        <v>0.43625634266087943</v>
      </c>
      <c r="AC1011" s="360">
        <v>0.83802541549997955</v>
      </c>
      <c r="AD1011" s="360">
        <v>1.0952263898458285</v>
      </c>
      <c r="AE1011" s="360">
        <v>0.43801930096060887</v>
      </c>
      <c r="AF1011" s="360">
        <v>0.82979442757469968</v>
      </c>
      <c r="AG1011" s="360">
        <v>550.33899820063243</v>
      </c>
      <c r="AH1011" s="360">
        <v>683.94920801921955</v>
      </c>
      <c r="AI1011" s="360">
        <v>0.43285660458498892</v>
      </c>
      <c r="AJ1011" s="360">
        <v>0.85128679873089497</v>
      </c>
      <c r="AK1011" s="360">
        <v>1.3273263036842875</v>
      </c>
      <c r="AL1011" s="360">
        <v>0.43701081103098371</v>
      </c>
      <c r="AM1011" s="360">
        <v>0.82979169635091099</v>
      </c>
      <c r="AN1011" s="360">
        <v>645.94117935924191</v>
      </c>
      <c r="AO1011" s="360">
        <f t="shared" si="45"/>
        <v>1</v>
      </c>
      <c r="AP1011" s="360">
        <f t="shared" si="46"/>
        <v>1</v>
      </c>
      <c r="AQ1011" s="360">
        <f t="shared" si="47"/>
        <v>1</v>
      </c>
    </row>
    <row r="1012" spans="1:43">
      <c r="A1012" s="360" t="s">
        <v>1077</v>
      </c>
      <c r="B1012" t="s">
        <v>1076</v>
      </c>
      <c r="C1012">
        <v>1</v>
      </c>
      <c r="D1012" t="s">
        <v>1078</v>
      </c>
      <c r="E1012" t="s">
        <v>1079</v>
      </c>
      <c r="F1012" s="360">
        <v>15</v>
      </c>
      <c r="G1012" s="360" t="str">
        <f>CONCATENATE(A1012," ",B1012," ",C1012," ","inf+"," ",FanUpsizes!D1012," ",FanUpsizes!F1012)</f>
        <v>10ACH 5C 1 inf+ New 15</v>
      </c>
      <c r="H1012" s="360">
        <v>1.4421666666666666E-2</v>
      </c>
      <c r="I1012" s="360">
        <v>0.47996425719682223</v>
      </c>
      <c r="J1012" s="360">
        <v>0.75905629256631801</v>
      </c>
      <c r="K1012" s="360">
        <v>2856.7223730492706</v>
      </c>
      <c r="L1012" s="360">
        <v>0.44886952249808204</v>
      </c>
      <c r="M1012" s="360">
        <v>0.79439008246724041</v>
      </c>
      <c r="N1012" s="360">
        <v>1.4866606938656763</v>
      </c>
      <c r="O1012" s="360">
        <v>0.45971411609536128</v>
      </c>
      <c r="P1012" s="360">
        <v>0.75905683197000318</v>
      </c>
      <c r="Q1012" s="360">
        <v>2653.3466167693405</v>
      </c>
      <c r="R1012" s="360">
        <v>3047.6180690072429</v>
      </c>
      <c r="S1012" s="360">
        <v>0.44268156093288002</v>
      </c>
      <c r="T1012" s="360">
        <v>0.81340398297029948</v>
      </c>
      <c r="U1012" s="360">
        <v>1.9512924333733757</v>
      </c>
      <c r="V1012" s="360">
        <v>0.45811311989894032</v>
      </c>
      <c r="W1012" s="360">
        <v>0.75905633220381818</v>
      </c>
      <c r="X1012" s="360">
        <v>2831.6700990230579</v>
      </c>
      <c r="Y1012" s="360">
        <v>0.44250448223674993</v>
      </c>
      <c r="Z1012" s="360">
        <v>0.82979169573619704</v>
      </c>
      <c r="AA1012" s="360">
        <v>587.24186871295717</v>
      </c>
      <c r="AB1012" s="360">
        <v>0.43612251114319506</v>
      </c>
      <c r="AC1012" s="360">
        <v>0.83835707671334414</v>
      </c>
      <c r="AD1012" s="360">
        <v>1.0997485090877375</v>
      </c>
      <c r="AE1012" s="360">
        <v>0.43794492032395382</v>
      </c>
      <c r="AF1012" s="360">
        <v>0.82979300051875549</v>
      </c>
      <c r="AG1012" s="360">
        <v>557.88224977021366</v>
      </c>
      <c r="AH1012" s="360">
        <v>685.97506417584839</v>
      </c>
      <c r="AI1012" s="360">
        <v>0.43282259028884323</v>
      </c>
      <c r="AJ1012" s="360">
        <v>0.85137464266348206</v>
      </c>
      <c r="AK1012" s="360">
        <v>1.3295872874538008</v>
      </c>
      <c r="AL1012" s="360">
        <v>0.43698246259751533</v>
      </c>
      <c r="AM1012" s="360">
        <v>0.82979208358116563</v>
      </c>
      <c r="AN1012" s="360">
        <v>649.11301164888403</v>
      </c>
      <c r="AO1012" s="360">
        <f t="shared" si="45"/>
        <v>1</v>
      </c>
      <c r="AP1012" s="360">
        <f t="shared" si="46"/>
        <v>1</v>
      </c>
      <c r="AQ1012" s="360">
        <f t="shared" si="47"/>
        <v>1</v>
      </c>
    </row>
    <row r="1013" spans="1:43">
      <c r="A1013" s="360" t="s">
        <v>1077</v>
      </c>
      <c r="B1013" t="s">
        <v>1075</v>
      </c>
      <c r="C1013">
        <v>2</v>
      </c>
      <c r="D1013" t="s">
        <v>1078</v>
      </c>
      <c r="E1013" t="s">
        <v>1079</v>
      </c>
      <c r="F1013" s="360">
        <v>15</v>
      </c>
      <c r="G1013" s="360" t="str">
        <f>CONCATENATE(A1013," ",B1013," ",C1013," ","inf+"," ",FanUpsizes!D1013," ",FanUpsizes!F1013)</f>
        <v>10ACH Percentile 2 inf+ New 15</v>
      </c>
      <c r="H1013" s="360">
        <v>1.4421666666666666E-2</v>
      </c>
      <c r="I1013" s="360">
        <v>0.61199949795893382</v>
      </c>
      <c r="J1013" s="360">
        <v>0.5988774781184576</v>
      </c>
      <c r="K1013" s="360">
        <v>1485.9942604019795</v>
      </c>
      <c r="L1013" s="360">
        <v>0.59877299591923505</v>
      </c>
      <c r="M1013" s="360">
        <v>0.60517070271301721</v>
      </c>
      <c r="N1013" s="360">
        <v>1.1011652256888393</v>
      </c>
      <c r="O1013" s="360">
        <v>0.60282344562122814</v>
      </c>
      <c r="P1013" s="360">
        <v>0.59887765823957007</v>
      </c>
      <c r="Q1013" s="360">
        <v>1305.0472412628476</v>
      </c>
      <c r="R1013" s="360">
        <v>2289.3284613452129</v>
      </c>
      <c r="S1013" s="360">
        <v>0.58710487595266225</v>
      </c>
      <c r="T1013" s="360">
        <v>0.61670889311395338</v>
      </c>
      <c r="U1013" s="360">
        <v>1.3493607902081055</v>
      </c>
      <c r="V1013" s="360">
        <v>0.59701927064151361</v>
      </c>
      <c r="W1013" s="360">
        <v>0.59887750196493605</v>
      </c>
      <c r="X1013" s="360">
        <v>1945.1052206359527</v>
      </c>
      <c r="Y1013" s="360">
        <v>0.5709775114955562</v>
      </c>
      <c r="Z1013" s="360">
        <v>0.64926123535996094</v>
      </c>
      <c r="AA1013" s="360">
        <v>208.72346538820497</v>
      </c>
      <c r="AB1013" s="360">
        <v>0.5692156510248122</v>
      </c>
      <c r="AC1013" s="360">
        <v>0.65016085573704852</v>
      </c>
      <c r="AD1013" s="360">
        <v>1.0181931128996866</v>
      </c>
      <c r="AE1013" s="360">
        <v>0.56958642993695974</v>
      </c>
      <c r="AF1013" s="360">
        <v>0.64926123565873273</v>
      </c>
      <c r="AG1013" s="360">
        <v>195.693274669988</v>
      </c>
      <c r="AH1013" s="360">
        <v>438.60449273167643</v>
      </c>
      <c r="AI1013" s="360">
        <v>0.56581558001562426</v>
      </c>
      <c r="AJ1013" s="360">
        <v>0.65440202946329951</v>
      </c>
      <c r="AK1013" s="360">
        <v>1.121108807456678</v>
      </c>
      <c r="AL1013" s="360">
        <v>0.56753547618697209</v>
      </c>
      <c r="AM1013" s="360">
        <v>0.64926195801841147</v>
      </c>
      <c r="AN1013" s="360">
        <v>404.4854495698558</v>
      </c>
      <c r="AO1013" s="360">
        <f t="shared" si="45"/>
        <v>1</v>
      </c>
      <c r="AP1013" s="360">
        <f t="shared" si="46"/>
        <v>1</v>
      </c>
      <c r="AQ1013" s="360">
        <f t="shared" si="47"/>
        <v>1</v>
      </c>
    </row>
    <row r="1014" spans="1:43">
      <c r="A1014" s="360" t="s">
        <v>1077</v>
      </c>
      <c r="B1014" t="s">
        <v>1074</v>
      </c>
      <c r="C1014">
        <v>2</v>
      </c>
      <c r="D1014" t="s">
        <v>1078</v>
      </c>
      <c r="E1014" t="s">
        <v>1079</v>
      </c>
      <c r="F1014" s="360">
        <v>15</v>
      </c>
      <c r="G1014" s="360" t="str">
        <f>CONCATENATE(A1014," ",B1014," ",C1014," ","inf+"," ",FanUpsizes!D1014," ",FanUpsizes!F1014)</f>
        <v>10ACH Infiltration 2 inf+ New 15</v>
      </c>
      <c r="H1014" s="360">
        <v>1.4421666666666666E-2</v>
      </c>
      <c r="I1014" s="360">
        <v>0.61199949795893382</v>
      </c>
      <c r="J1014" s="360">
        <v>0.5988774781184576</v>
      </c>
      <c r="K1014" s="360">
        <v>3072.4612777663324</v>
      </c>
      <c r="L1014" s="360">
        <v>0.57606861460441783</v>
      </c>
      <c r="M1014" s="360">
        <v>0.62811113627750348</v>
      </c>
      <c r="N1014" s="360">
        <v>1.7601254876375669</v>
      </c>
      <c r="O1014" s="360">
        <v>0.58927741488947138</v>
      </c>
      <c r="P1014" s="360">
        <v>0.59887757359572391</v>
      </c>
      <c r="Q1014" s="360">
        <v>2918.7930825393287</v>
      </c>
      <c r="R1014" s="360">
        <v>3170.0523067289059</v>
      </c>
      <c r="S1014" s="360">
        <v>0.57066743853033208</v>
      </c>
      <c r="T1014" s="360">
        <v>0.64057167780056101</v>
      </c>
      <c r="U1014" s="360">
        <v>2.4666989996376119</v>
      </c>
      <c r="V1014" s="360">
        <v>0.58841010008122663</v>
      </c>
      <c r="W1014" s="360">
        <v>0.5988776333677428</v>
      </c>
      <c r="X1014" s="360">
        <v>3016.6787346418455</v>
      </c>
      <c r="Y1014" s="360">
        <v>0.5709775114955562</v>
      </c>
      <c r="Z1014" s="360">
        <v>0.64926123535996094</v>
      </c>
      <c r="AA1014" s="360">
        <v>518.20189907846645</v>
      </c>
      <c r="AB1014" s="360">
        <v>0.5648413021986094</v>
      </c>
      <c r="AC1014" s="360">
        <v>0.65547774831470751</v>
      </c>
      <c r="AD1014" s="360">
        <v>1.1537379116049427</v>
      </c>
      <c r="AE1014" s="360">
        <v>0.56672997824928506</v>
      </c>
      <c r="AF1014" s="360">
        <v>0.64926135236038318</v>
      </c>
      <c r="AG1014" s="360">
        <v>498.61681369252267</v>
      </c>
      <c r="AH1014" s="360">
        <v>562.89753383386119</v>
      </c>
      <c r="AI1014" s="360">
        <v>0.56231817588832622</v>
      </c>
      <c r="AJ1014" s="360">
        <v>0.66304807841310698</v>
      </c>
      <c r="AK1014" s="360">
        <v>1.4851419620000474</v>
      </c>
      <c r="AL1014" s="360">
        <v>0.56617377369284649</v>
      </c>
      <c r="AM1014" s="360">
        <v>0.64926123784231737</v>
      </c>
      <c r="AN1014" s="360">
        <v>540.94869471800428</v>
      </c>
      <c r="AO1014" s="360">
        <f t="shared" si="45"/>
        <v>1</v>
      </c>
      <c r="AP1014" s="360">
        <f t="shared" si="46"/>
        <v>1</v>
      </c>
      <c r="AQ1014" s="360">
        <f t="shared" si="47"/>
        <v>1</v>
      </c>
    </row>
    <row r="1015" spans="1:43">
      <c r="A1015" s="360" t="s">
        <v>1077</v>
      </c>
      <c r="B1015" t="s">
        <v>1076</v>
      </c>
      <c r="C1015">
        <v>2</v>
      </c>
      <c r="D1015" t="s">
        <v>1078</v>
      </c>
      <c r="E1015" t="s">
        <v>1079</v>
      </c>
      <c r="F1015" s="360">
        <v>15</v>
      </c>
      <c r="G1015" s="360" t="str">
        <f>CONCATENATE(A1015," ",B1015," ",C1015," ","inf+"," ",FanUpsizes!D1015," ",FanUpsizes!F1015)</f>
        <v>10ACH 5C 2 inf+ New 15</v>
      </c>
      <c r="H1015" s="360">
        <v>1.4421666666666666E-2</v>
      </c>
      <c r="I1015" s="360">
        <v>0.61199949795893382</v>
      </c>
      <c r="J1015" s="360">
        <v>0.5988774781184576</v>
      </c>
      <c r="K1015" s="360">
        <v>2856.7223730492456</v>
      </c>
      <c r="L1015" s="360">
        <v>0.58090476326018337</v>
      </c>
      <c r="M1015" s="360">
        <v>0.62034968547754243</v>
      </c>
      <c r="N1015" s="360">
        <v>1.4645817922870241</v>
      </c>
      <c r="O1015" s="360">
        <v>0.59121450070871429</v>
      </c>
      <c r="P1015" s="360">
        <v>0.59887798041029905</v>
      </c>
      <c r="Q1015" s="360">
        <v>2662.5734011860477</v>
      </c>
      <c r="R1015" s="360">
        <v>3062.1828543703291</v>
      </c>
      <c r="S1015" s="360">
        <v>0.57308551285821485</v>
      </c>
      <c r="T1015" s="360">
        <v>0.63641252453929387</v>
      </c>
      <c r="U1015" s="360">
        <v>2.1461158711034773</v>
      </c>
      <c r="V1015" s="360">
        <v>0.58965445532354899</v>
      </c>
      <c r="W1015" s="360">
        <v>0.59887753553655387</v>
      </c>
      <c r="X1015" s="360">
        <v>2818.701956149217</v>
      </c>
      <c r="Y1015" s="360">
        <v>0.5709775114955562</v>
      </c>
      <c r="Z1015" s="360">
        <v>0.64926123535996094</v>
      </c>
      <c r="AA1015" s="360">
        <v>462.10602350330538</v>
      </c>
      <c r="AB1015" s="360">
        <v>0.56603632531583159</v>
      </c>
      <c r="AC1015" s="360">
        <v>0.65323786177027765</v>
      </c>
      <c r="AD1015" s="360">
        <v>1.0899418928023781</v>
      </c>
      <c r="AE1015" s="360">
        <v>0.56733492647609984</v>
      </c>
      <c r="AF1015" s="360">
        <v>0.64926135951668051</v>
      </c>
      <c r="AG1015" s="360">
        <v>441.03385819763008</v>
      </c>
      <c r="AH1015" s="360">
        <v>547.4657669015337</v>
      </c>
      <c r="AI1015" s="360">
        <v>0.56262070987317625</v>
      </c>
      <c r="AJ1015" s="360">
        <v>0.66246065420067624</v>
      </c>
      <c r="AK1015" s="360">
        <v>1.4452963144848581</v>
      </c>
      <c r="AL1015" s="360">
        <v>0.56644371003653515</v>
      </c>
      <c r="AM1015" s="360">
        <v>0.64926131028054679</v>
      </c>
      <c r="AN1015" s="360">
        <v>512.47177343712588</v>
      </c>
      <c r="AO1015" s="360">
        <f t="shared" si="45"/>
        <v>1</v>
      </c>
      <c r="AP1015" s="360">
        <f t="shared" si="46"/>
        <v>1</v>
      </c>
      <c r="AQ1015" s="360">
        <f t="shared" si="47"/>
        <v>1</v>
      </c>
    </row>
    <row r="1016" spans="1:43">
      <c r="A1016" s="360" t="s">
        <v>1077</v>
      </c>
      <c r="B1016" t="s">
        <v>1075</v>
      </c>
      <c r="C1016">
        <v>1</v>
      </c>
      <c r="D1016" t="s">
        <v>1080</v>
      </c>
      <c r="E1016" t="s">
        <v>1079</v>
      </c>
      <c r="F1016" s="360">
        <v>15</v>
      </c>
      <c r="G1016" s="360" t="str">
        <f>CONCATENATE(A1016," ",B1016," ",C1016," ","inf+"," ",FanUpsizes!D1016," ",FanUpsizes!F1016)</f>
        <v>10ACH Percentile 1 inf+ Existing 15</v>
      </c>
      <c r="H1016" s="360">
        <v>1.1361857392574969E-2</v>
      </c>
      <c r="I1016" s="360">
        <v>0.46866326736823388</v>
      </c>
      <c r="J1016" s="360">
        <v>1.0772605451640749</v>
      </c>
      <c r="K1016" s="360">
        <v>1170.7145410517896</v>
      </c>
      <c r="L1016" s="360">
        <v>0.4582429994858182</v>
      </c>
      <c r="M1016" s="360">
        <v>1.0886436382342102</v>
      </c>
      <c r="N1016" s="360">
        <v>1.0985217150558995</v>
      </c>
      <c r="O1016" s="360">
        <v>0.46135069050554128</v>
      </c>
      <c r="P1016" s="360">
        <v>1.0772612740809215</v>
      </c>
      <c r="Q1016" s="360">
        <v>1031.883678357683</v>
      </c>
      <c r="R1016" s="360">
        <v>1803.6073155596584</v>
      </c>
      <c r="S1016" s="360">
        <v>0.44905047561434752</v>
      </c>
      <c r="T1016" s="360">
        <v>1.1099138692332227</v>
      </c>
      <c r="U1016" s="360">
        <v>1.3435926114522823</v>
      </c>
      <c r="V1016" s="360">
        <v>0.45673314920560676</v>
      </c>
      <c r="W1016" s="360">
        <v>1.0772626178835965</v>
      </c>
      <c r="X1016" s="360">
        <v>1536.8945978934482</v>
      </c>
      <c r="Y1016" s="360">
        <v>0.43669009592180519</v>
      </c>
      <c r="Z1016" s="360">
        <v>1.1693211815601772</v>
      </c>
      <c r="AA1016" s="360">
        <v>167.20762578746843</v>
      </c>
      <c r="AB1016" s="360">
        <v>0.43527699401142761</v>
      </c>
      <c r="AC1016" s="360">
        <v>1.1709797922593101</v>
      </c>
      <c r="AD1016" s="360">
        <v>1.0175341243870719</v>
      </c>
      <c r="AE1016" s="360">
        <v>0.43556870113699031</v>
      </c>
      <c r="AF1016" s="360">
        <v>1.1693217466621804</v>
      </c>
      <c r="AG1016" s="360">
        <v>157.06400991875392</v>
      </c>
      <c r="AH1016" s="360">
        <v>352.68664966896995</v>
      </c>
      <c r="AI1016" s="360">
        <v>0.4325279891417827</v>
      </c>
      <c r="AJ1016" s="360">
        <v>1.1790188805045563</v>
      </c>
      <c r="AK1016" s="360">
        <v>1.1192878260702905</v>
      </c>
      <c r="AL1016" s="360">
        <v>0.43391679356724916</v>
      </c>
      <c r="AM1016" s="360">
        <v>1.1693213533400395</v>
      </c>
      <c r="AN1016" s="360">
        <v>325.49364968987101</v>
      </c>
      <c r="AO1016" s="360">
        <f t="shared" si="45"/>
        <v>1</v>
      </c>
      <c r="AP1016" s="360">
        <f t="shared" si="46"/>
        <v>1</v>
      </c>
      <c r="AQ1016" s="360">
        <f t="shared" si="47"/>
        <v>1</v>
      </c>
    </row>
    <row r="1017" spans="1:43">
      <c r="A1017" s="360" t="s">
        <v>1077</v>
      </c>
      <c r="B1017" t="s">
        <v>1074</v>
      </c>
      <c r="C1017">
        <v>1</v>
      </c>
      <c r="D1017" t="s">
        <v>1080</v>
      </c>
      <c r="E1017" t="s">
        <v>1079</v>
      </c>
      <c r="F1017" s="360">
        <v>15</v>
      </c>
      <c r="G1017" s="360" t="str">
        <f>CONCATENATE(A1017," ",B1017," ",C1017," ","inf+"," ",FanUpsizes!D1017," ",FanUpsizes!F1017)</f>
        <v>10ACH Infiltration 1 inf+ Existing 15</v>
      </c>
      <c r="H1017" s="360">
        <v>1.1361857392574969E-2</v>
      </c>
      <c r="I1017" s="360">
        <v>0.46866326736823388</v>
      </c>
      <c r="J1017" s="360">
        <v>1.0772605451640749</v>
      </c>
      <c r="K1017" s="360">
        <v>1801.4649954670026</v>
      </c>
      <c r="L1017" s="360">
        <v>0.45111107521167632</v>
      </c>
      <c r="M1017" s="360">
        <v>1.0996407991418107</v>
      </c>
      <c r="N1017" s="360">
        <v>1.2157786660878365</v>
      </c>
      <c r="O1017" s="360">
        <v>0.45637850960309523</v>
      </c>
      <c r="P1017" s="360">
        <v>1.0772605455593989</v>
      </c>
      <c r="Q1017" s="360">
        <v>1633.5051964515624</v>
      </c>
      <c r="R1017" s="360">
        <v>2137.0059309507105</v>
      </c>
      <c r="S1017" s="360">
        <v>0.44481439978708887</v>
      </c>
      <c r="T1017" s="360">
        <v>1.1185648569937443</v>
      </c>
      <c r="U1017" s="360">
        <v>1.479609149331873</v>
      </c>
      <c r="V1017" s="360">
        <v>0.45351215921983323</v>
      </c>
      <c r="W1017" s="360">
        <v>1.0772621486372724</v>
      </c>
      <c r="X1017" s="360">
        <v>1924.6118165326636</v>
      </c>
      <c r="Y1017" s="360">
        <v>0.43669009592180519</v>
      </c>
      <c r="Z1017" s="360">
        <v>1.1693211815601772</v>
      </c>
      <c r="AA1017" s="360">
        <v>275.48338617010103</v>
      </c>
      <c r="AB1017" s="360">
        <v>0.43411867355596945</v>
      </c>
      <c r="AC1017" s="360">
        <v>1.1729084341862428</v>
      </c>
      <c r="AD1017" s="360">
        <v>1.0392637660450854</v>
      </c>
      <c r="AE1017" s="360">
        <v>0.43468595704171598</v>
      </c>
      <c r="AF1017" s="360">
        <v>1.169325018790317</v>
      </c>
      <c r="AG1017" s="360">
        <v>260.86053783679768</v>
      </c>
      <c r="AH1017" s="360">
        <v>389.53635445887869</v>
      </c>
      <c r="AI1017" s="360">
        <v>0.4319584557477063</v>
      </c>
      <c r="AJ1017" s="360">
        <v>1.1810687137515066</v>
      </c>
      <c r="AK1017" s="360">
        <v>1.1507379036441761</v>
      </c>
      <c r="AL1017" s="360">
        <v>0.43355374193515306</v>
      </c>
      <c r="AM1017" s="360">
        <v>1.1693213403503717</v>
      </c>
      <c r="AN1017" s="360">
        <v>365.82837737884756</v>
      </c>
      <c r="AO1017" s="360">
        <f t="shared" si="45"/>
        <v>1</v>
      </c>
      <c r="AP1017" s="360">
        <f t="shared" si="46"/>
        <v>1</v>
      </c>
      <c r="AQ1017" s="360">
        <f t="shared" si="47"/>
        <v>1</v>
      </c>
    </row>
    <row r="1018" spans="1:43">
      <c r="A1018" s="360" t="s">
        <v>1077</v>
      </c>
      <c r="B1018" t="s">
        <v>1076</v>
      </c>
      <c r="C1018">
        <v>1</v>
      </c>
      <c r="D1018" t="s">
        <v>1080</v>
      </c>
      <c r="E1018" t="s">
        <v>1079</v>
      </c>
      <c r="F1018" s="360">
        <v>15</v>
      </c>
      <c r="G1018" s="360" t="str">
        <f>CONCATENATE(A1018," ",B1018," ",C1018," ","inf+"," ",FanUpsizes!D1018," ",FanUpsizes!F1018)</f>
        <v>10ACH 5C 1 inf+ Existing 15</v>
      </c>
      <c r="H1018" s="360">
        <v>1.1361857392574969E-2</v>
      </c>
      <c r="I1018" s="360">
        <v>0.46866326736823388</v>
      </c>
      <c r="J1018" s="360">
        <v>1.0772605451640749</v>
      </c>
      <c r="K1018" s="360">
        <v>2250.6186672432882</v>
      </c>
      <c r="L1018" s="360">
        <v>0.4441658254655142</v>
      </c>
      <c r="M1018" s="360">
        <v>1.1164658002694718</v>
      </c>
      <c r="N1018" s="360">
        <v>1.4544886352617423</v>
      </c>
      <c r="O1018" s="360">
        <v>0.4521123912214785</v>
      </c>
      <c r="P1018" s="360">
        <v>1.0772609077305655</v>
      </c>
      <c r="Q1018" s="360">
        <v>2100.9848281836375</v>
      </c>
      <c r="R1018" s="360">
        <v>2361.5827668388615</v>
      </c>
      <c r="S1018" s="360">
        <v>0.44134177491400811</v>
      </c>
      <c r="T1018" s="360">
        <v>1.1274392377202573</v>
      </c>
      <c r="U1018" s="360">
        <v>1.6576192524133957</v>
      </c>
      <c r="V1018" s="360">
        <v>0.45099238149053228</v>
      </c>
      <c r="W1018" s="360">
        <v>1.0772632712002217</v>
      </c>
      <c r="X1018" s="360">
        <v>2218.0432251439947</v>
      </c>
      <c r="Y1018" s="360">
        <v>0.43669009592180519</v>
      </c>
      <c r="Z1018" s="360">
        <v>1.1693211815601772</v>
      </c>
      <c r="AA1018" s="360">
        <v>371.27387530854344</v>
      </c>
      <c r="AB1018" s="360">
        <v>0.43271114708284653</v>
      </c>
      <c r="AC1018" s="360">
        <v>1.1767657360772066</v>
      </c>
      <c r="AD1018" s="360">
        <v>1.087897690551491</v>
      </c>
      <c r="AE1018" s="360">
        <v>0.43375186021271039</v>
      </c>
      <c r="AF1018" s="360">
        <v>1.1693212028463398</v>
      </c>
      <c r="AG1018" s="360">
        <v>354.55113607020155</v>
      </c>
      <c r="AH1018" s="360">
        <v>415.45893862019068</v>
      </c>
      <c r="AI1018" s="360">
        <v>0.43160369208777005</v>
      </c>
      <c r="AJ1018" s="360">
        <v>1.1820609433468769</v>
      </c>
      <c r="AK1018" s="360">
        <v>1.1674451000806139</v>
      </c>
      <c r="AL1018" s="360">
        <v>0.43325866347393238</v>
      </c>
      <c r="AM1018" s="360">
        <v>1.1693216283331598</v>
      </c>
      <c r="AN1018" s="360">
        <v>397.63105310703958</v>
      </c>
      <c r="AO1018" s="360">
        <f t="shared" si="45"/>
        <v>1</v>
      </c>
      <c r="AP1018" s="360">
        <f t="shared" si="46"/>
        <v>1</v>
      </c>
      <c r="AQ1018" s="360">
        <f t="shared" si="47"/>
        <v>1</v>
      </c>
    </row>
    <row r="1019" spans="1:43">
      <c r="A1019" s="360" t="s">
        <v>1077</v>
      </c>
      <c r="B1019" t="s">
        <v>1075</v>
      </c>
      <c r="C1019">
        <v>2</v>
      </c>
      <c r="D1019" t="s">
        <v>1080</v>
      </c>
      <c r="E1019" t="s">
        <v>1079</v>
      </c>
      <c r="F1019" s="360">
        <v>15</v>
      </c>
      <c r="G1019" s="360" t="str">
        <f>CONCATENATE(A1019," ",B1019," ",C1019," ","inf+"," ",FanUpsizes!D1019," ",FanUpsizes!F1019)</f>
        <v>10ACH Percentile 2 inf+ Existing 15</v>
      </c>
      <c r="H1019" s="360">
        <v>0</v>
      </c>
      <c r="I1019" s="360">
        <v>0.55876133069761991</v>
      </c>
      <c r="J1019" s="360">
        <v>0.93268382329110244</v>
      </c>
      <c r="K1019" s="360">
        <v>0</v>
      </c>
      <c r="L1019" s="360">
        <v>0.55876133069761991</v>
      </c>
      <c r="M1019" s="360">
        <v>0.93268382329110244</v>
      </c>
      <c r="N1019" s="360" t="e">
        <v>#DIV/0!</v>
      </c>
      <c r="O1019" s="360">
        <v>0.55876133069761991</v>
      </c>
      <c r="P1019" s="360">
        <v>0.93268382329110244</v>
      </c>
      <c r="Q1019" s="360">
        <v>0</v>
      </c>
      <c r="R1019" s="360">
        <v>0</v>
      </c>
      <c r="S1019" s="360">
        <v>0.55876133069761991</v>
      </c>
      <c r="T1019" s="360">
        <v>0.93268382329110244</v>
      </c>
      <c r="U1019" s="360" t="e">
        <v>#DIV/0!</v>
      </c>
      <c r="V1019" s="360">
        <v>0.55876133069761991</v>
      </c>
      <c r="W1019" s="360">
        <v>0.93268382329110244</v>
      </c>
      <c r="X1019" s="360">
        <v>0</v>
      </c>
      <c r="Y1019" s="360">
        <v>0.55876133069761991</v>
      </c>
      <c r="Z1019" s="360">
        <v>0.93268382329110244</v>
      </c>
      <c r="AA1019" s="360">
        <v>0</v>
      </c>
      <c r="AB1019" s="360">
        <v>0.55876133069761991</v>
      </c>
      <c r="AC1019" s="360">
        <v>0.93268382329110244</v>
      </c>
      <c r="AD1019" s="360" t="e">
        <v>#DIV/0!</v>
      </c>
      <c r="AE1019" s="360">
        <v>0.55876133069761991</v>
      </c>
      <c r="AF1019" s="360">
        <v>0.93268382329110244</v>
      </c>
      <c r="AG1019" s="360">
        <v>0</v>
      </c>
      <c r="AH1019" s="360">
        <v>0</v>
      </c>
      <c r="AI1019" s="360">
        <v>0.55876133069761991</v>
      </c>
      <c r="AJ1019" s="360">
        <v>0.93268382329110244</v>
      </c>
      <c r="AK1019" s="360" t="e">
        <v>#DIV/0!</v>
      </c>
      <c r="AL1019" s="360">
        <v>0.55876133069761991</v>
      </c>
      <c r="AM1019" s="360">
        <v>0.93268382329110244</v>
      </c>
      <c r="AN1019" s="360">
        <v>0</v>
      </c>
      <c r="AO1019" s="360">
        <f t="shared" si="45"/>
        <v>1</v>
      </c>
      <c r="AP1019" s="360">
        <f t="shared" si="46"/>
        <v>0</v>
      </c>
      <c r="AQ1019" s="360">
        <f t="shared" si="47"/>
        <v>0</v>
      </c>
    </row>
    <row r="1020" spans="1:43">
      <c r="A1020" s="360" t="s">
        <v>1077</v>
      </c>
      <c r="B1020" t="s">
        <v>1074</v>
      </c>
      <c r="C1020">
        <v>2</v>
      </c>
      <c r="D1020" t="s">
        <v>1080</v>
      </c>
      <c r="E1020" t="s">
        <v>1079</v>
      </c>
      <c r="F1020" s="360">
        <v>15</v>
      </c>
      <c r="G1020" s="360" t="str">
        <f>CONCATENATE(A1020," ",B1020," ",C1020," ","inf+"," ",FanUpsizes!D1020," ",FanUpsizes!F1020)</f>
        <v>10ACH Infiltration 2 inf+ Existing 15</v>
      </c>
      <c r="H1020" s="360">
        <v>0</v>
      </c>
      <c r="I1020" s="360">
        <v>0.55876133069761991</v>
      </c>
      <c r="J1020" s="360">
        <v>0.93268382329110244</v>
      </c>
      <c r="K1020" s="360">
        <v>0</v>
      </c>
      <c r="L1020" s="360">
        <v>0.55876133069761991</v>
      </c>
      <c r="M1020" s="360">
        <v>0.93268382329110244</v>
      </c>
      <c r="N1020" s="360" t="e">
        <v>#DIV/0!</v>
      </c>
      <c r="O1020" s="360">
        <v>0.55876133069761991</v>
      </c>
      <c r="P1020" s="360">
        <v>0.93268382329110244</v>
      </c>
      <c r="Q1020" s="360">
        <v>0</v>
      </c>
      <c r="R1020" s="360">
        <v>0</v>
      </c>
      <c r="S1020" s="360">
        <v>0.55876133069761991</v>
      </c>
      <c r="T1020" s="360">
        <v>0.93268382329110244</v>
      </c>
      <c r="U1020" s="360" t="e">
        <v>#DIV/0!</v>
      </c>
      <c r="V1020" s="360">
        <v>0.55876133069761991</v>
      </c>
      <c r="W1020" s="360">
        <v>0.93268382329110244</v>
      </c>
      <c r="X1020" s="360">
        <v>0</v>
      </c>
      <c r="Y1020" s="360">
        <v>0.55876133069761991</v>
      </c>
      <c r="Z1020" s="360">
        <v>0.93268382329110244</v>
      </c>
      <c r="AA1020" s="360">
        <v>0</v>
      </c>
      <c r="AB1020" s="360">
        <v>0.55876133069761991</v>
      </c>
      <c r="AC1020" s="360">
        <v>0.93268382329110244</v>
      </c>
      <c r="AD1020" s="360" t="e">
        <v>#DIV/0!</v>
      </c>
      <c r="AE1020" s="360">
        <v>0.55876133069761991</v>
      </c>
      <c r="AF1020" s="360">
        <v>0.93268382329110244</v>
      </c>
      <c r="AG1020" s="360">
        <v>0</v>
      </c>
      <c r="AH1020" s="360">
        <v>0</v>
      </c>
      <c r="AI1020" s="360">
        <v>0.55876133069761991</v>
      </c>
      <c r="AJ1020" s="360">
        <v>0.93268382329110244</v>
      </c>
      <c r="AK1020" s="360" t="e">
        <v>#DIV/0!</v>
      </c>
      <c r="AL1020" s="360">
        <v>0.55876133069761991</v>
      </c>
      <c r="AM1020" s="360">
        <v>0.93268382329110244</v>
      </c>
      <c r="AN1020" s="360">
        <v>0</v>
      </c>
      <c r="AO1020" s="360">
        <f t="shared" si="45"/>
        <v>1</v>
      </c>
      <c r="AP1020" s="360">
        <f t="shared" si="46"/>
        <v>0</v>
      </c>
      <c r="AQ1020" s="360">
        <f t="shared" si="47"/>
        <v>0</v>
      </c>
    </row>
    <row r="1021" spans="1:43">
      <c r="A1021" s="360" t="s">
        <v>1077</v>
      </c>
      <c r="B1021" t="s">
        <v>1076</v>
      </c>
      <c r="C1021">
        <v>2</v>
      </c>
      <c r="D1021" t="s">
        <v>1080</v>
      </c>
      <c r="E1021" t="s">
        <v>1079</v>
      </c>
      <c r="F1021" s="360">
        <v>15</v>
      </c>
      <c r="G1021" s="360" t="str">
        <f>CONCATENATE(A1021," ",B1021," ",C1021," ","inf+"," ",FanUpsizes!D1021," ",FanUpsizes!F1021)</f>
        <v>10ACH 5C 2 inf+ Existing 15</v>
      </c>
      <c r="H1021" s="360">
        <v>0</v>
      </c>
      <c r="I1021" s="360">
        <v>0.55876133069761991</v>
      </c>
      <c r="J1021" s="360">
        <v>0.93268382329110244</v>
      </c>
      <c r="K1021" s="360">
        <v>0</v>
      </c>
      <c r="L1021" s="360">
        <v>0.55876133069761991</v>
      </c>
      <c r="M1021" s="360">
        <v>0.93268382329110244</v>
      </c>
      <c r="N1021" s="360" t="e">
        <v>#DIV/0!</v>
      </c>
      <c r="O1021" s="360">
        <v>0.55876133069761991</v>
      </c>
      <c r="P1021" s="360">
        <v>0.93268382329110244</v>
      </c>
      <c r="Q1021" s="360">
        <v>0</v>
      </c>
      <c r="R1021" s="360">
        <v>0</v>
      </c>
      <c r="S1021" s="360">
        <v>0.55876133069761991</v>
      </c>
      <c r="T1021" s="360">
        <v>0.93268382329110244</v>
      </c>
      <c r="U1021" s="360" t="e">
        <v>#DIV/0!</v>
      </c>
      <c r="V1021" s="360">
        <v>0.55876133069761991</v>
      </c>
      <c r="W1021" s="360">
        <v>0.93268382329110244</v>
      </c>
      <c r="X1021" s="360">
        <v>0</v>
      </c>
      <c r="Y1021" s="360">
        <v>0.55876133069761991</v>
      </c>
      <c r="Z1021" s="360">
        <v>0.93268382329110244</v>
      </c>
      <c r="AA1021" s="360">
        <v>0</v>
      </c>
      <c r="AB1021" s="360">
        <v>0.55876133069761991</v>
      </c>
      <c r="AC1021" s="360">
        <v>0.93268382329110244</v>
      </c>
      <c r="AD1021" s="360" t="e">
        <v>#DIV/0!</v>
      </c>
      <c r="AE1021" s="360">
        <v>0.55876133069761991</v>
      </c>
      <c r="AF1021" s="360">
        <v>0.93268382329110244</v>
      </c>
      <c r="AG1021" s="360">
        <v>0</v>
      </c>
      <c r="AH1021" s="360">
        <v>0</v>
      </c>
      <c r="AI1021" s="360">
        <v>0.55876133069761991</v>
      </c>
      <c r="AJ1021" s="360">
        <v>0.93268382329110244</v>
      </c>
      <c r="AK1021" s="360" t="e">
        <v>#DIV/0!</v>
      </c>
      <c r="AL1021" s="360">
        <v>0.55876133069761991</v>
      </c>
      <c r="AM1021" s="360">
        <v>0.93268382329110244</v>
      </c>
      <c r="AN1021" s="360">
        <v>0</v>
      </c>
      <c r="AO1021" s="360">
        <f t="shared" si="45"/>
        <v>1</v>
      </c>
      <c r="AP1021" s="360">
        <f t="shared" si="46"/>
        <v>0</v>
      </c>
      <c r="AQ1021" s="360">
        <f t="shared" si="47"/>
        <v>0</v>
      </c>
    </row>
    <row r="1022" spans="1:43">
      <c r="A1022" s="360" t="s">
        <v>1081</v>
      </c>
      <c r="B1022" t="s">
        <v>1075</v>
      </c>
      <c r="C1022">
        <v>1</v>
      </c>
      <c r="D1022" t="s">
        <v>1078</v>
      </c>
      <c r="E1022" t="s">
        <v>1079</v>
      </c>
      <c r="F1022" s="360">
        <v>15</v>
      </c>
      <c r="G1022" s="360" t="str">
        <f>CONCATENATE(A1022," ",B1022," ",C1022," ","inf+"," ",FanUpsizes!D1022," ",FanUpsizes!F1022)</f>
        <v>7ACH Percentile 1 inf+ New 15</v>
      </c>
      <c r="H1022" s="360">
        <v>1.4421666666666666E-2</v>
      </c>
      <c r="I1022" s="360">
        <v>0.35198449299363599</v>
      </c>
      <c r="J1022" s="360">
        <v>1.0173767090423904</v>
      </c>
      <c r="K1022" s="360">
        <v>1485.9942604019175</v>
      </c>
      <c r="L1022" s="360">
        <v>0.33875799095393572</v>
      </c>
      <c r="M1022" s="360">
        <v>1.037692876291868</v>
      </c>
      <c r="N1022" s="360">
        <v>1.1169996427577145</v>
      </c>
      <c r="O1022" s="360">
        <v>0.34347066111535812</v>
      </c>
      <c r="P1022" s="360">
        <v>1.0173774332915546</v>
      </c>
      <c r="Q1022" s="360">
        <v>1276.7253495361581</v>
      </c>
      <c r="R1022" s="360">
        <v>2289.3284613451174</v>
      </c>
      <c r="S1022" s="360">
        <v>0.3270898709873567</v>
      </c>
      <c r="T1022" s="360">
        <v>1.0730415441788936</v>
      </c>
      <c r="U1022" s="360">
        <v>1.3924936826282848</v>
      </c>
      <c r="V1022" s="360">
        <v>0.33837041899354015</v>
      </c>
      <c r="W1022" s="360">
        <v>1.0173767701874834</v>
      </c>
      <c r="X1022" s="360">
        <v>1902.6066219772708</v>
      </c>
      <c r="Y1022" s="360">
        <v>0.32038911457809782</v>
      </c>
      <c r="Z1022" s="360">
        <v>1.1161811542564315</v>
      </c>
      <c r="AA1022" s="360">
        <v>369.99950655143749</v>
      </c>
      <c r="AB1022" s="360">
        <v>0.31717059086050658</v>
      </c>
      <c r="AC1022" s="360">
        <v>1.1216708973436296</v>
      </c>
      <c r="AD1022" s="360">
        <v>1.0259255816659165</v>
      </c>
      <c r="AE1022" s="360">
        <v>0.31806252725604461</v>
      </c>
      <c r="AF1022" s="360">
        <v>1.1161812016295658</v>
      </c>
      <c r="AG1022" s="360">
        <v>337.89983914331049</v>
      </c>
      <c r="AH1022" s="360">
        <v>776.00705557976585</v>
      </c>
      <c r="AI1022" s="360">
        <v>0.31103969801671122</v>
      </c>
      <c r="AJ1022" s="360">
        <v>1.145771571222183</v>
      </c>
      <c r="AK1022" s="360">
        <v>1.1726039584085766</v>
      </c>
      <c r="AL1022" s="360">
        <v>0.31511885333370282</v>
      </c>
      <c r="AM1022" s="360">
        <v>1.1161816430353932</v>
      </c>
      <c r="AN1022" s="360">
        <v>691.95109916493629</v>
      </c>
      <c r="AO1022" s="360">
        <f t="shared" si="45"/>
        <v>1</v>
      </c>
      <c r="AP1022" s="360">
        <f t="shared" si="46"/>
        <v>1</v>
      </c>
      <c r="AQ1022" s="360">
        <f t="shared" si="47"/>
        <v>1</v>
      </c>
    </row>
    <row r="1023" spans="1:43">
      <c r="A1023" s="360" t="s">
        <v>1081</v>
      </c>
      <c r="B1023" t="s">
        <v>1074</v>
      </c>
      <c r="C1023">
        <v>1</v>
      </c>
      <c r="D1023" t="s">
        <v>1078</v>
      </c>
      <c r="E1023" t="s">
        <v>1079</v>
      </c>
      <c r="F1023" s="360">
        <v>15</v>
      </c>
      <c r="G1023" s="360" t="str">
        <f>CONCATENATE(A1023," ",B1023," ",C1023," ","inf+"," ",FanUpsizes!D1023," ",FanUpsizes!F1023)</f>
        <v>7ACH Infiltration 1 inf+ New 15</v>
      </c>
      <c r="H1023" s="360">
        <v>1.4421666666666666E-2</v>
      </c>
      <c r="I1023" s="360">
        <v>0.35198449299363599</v>
      </c>
      <c r="J1023" s="360">
        <v>1.0173767090423904</v>
      </c>
      <c r="K1023" s="360">
        <v>2172.752158507963</v>
      </c>
      <c r="L1023" s="360">
        <v>0.33113923415201563</v>
      </c>
      <c r="M1023" s="360">
        <v>1.0536249524433123</v>
      </c>
      <c r="N1023" s="360">
        <v>1.2317589394394119</v>
      </c>
      <c r="O1023" s="360">
        <v>0.33872042420802961</v>
      </c>
      <c r="P1023" s="360">
        <v>1.0173800604168415</v>
      </c>
      <c r="Q1023" s="360">
        <v>1917.3837660284735</v>
      </c>
      <c r="R1023" s="360">
        <v>2645.4129314484871</v>
      </c>
      <c r="S1023" s="360">
        <v>0.32284608978628726</v>
      </c>
      <c r="T1023" s="360">
        <v>1.0838918428775344</v>
      </c>
      <c r="U1023" s="360">
        <v>1.5101094355950557</v>
      </c>
      <c r="V1023" s="360">
        <v>0.33538189566170523</v>
      </c>
      <c r="W1023" s="360">
        <v>1.0173770541267124</v>
      </c>
      <c r="X1023" s="360">
        <v>2324.4469938518318</v>
      </c>
      <c r="Y1023" s="360">
        <v>0.32038911457809782</v>
      </c>
      <c r="Z1023" s="360">
        <v>1.1161811542564315</v>
      </c>
      <c r="AA1023" s="360">
        <v>572.01431952786618</v>
      </c>
      <c r="AB1023" s="360">
        <v>0.31498693679540746</v>
      </c>
      <c r="AC1023" s="360">
        <v>1.1267268750364181</v>
      </c>
      <c r="AD1023" s="360">
        <v>1.0521346681432791</v>
      </c>
      <c r="AE1023" s="360">
        <v>0.31656921354910339</v>
      </c>
      <c r="AF1023" s="360">
        <v>1.1161814781736525</v>
      </c>
      <c r="AG1023" s="360">
        <v>527.48921541564869</v>
      </c>
      <c r="AH1023" s="360">
        <v>838.22248393567565</v>
      </c>
      <c r="AI1023" s="360">
        <v>0.3101745540626315</v>
      </c>
      <c r="AJ1023" s="360">
        <v>1.1492225422814288</v>
      </c>
      <c r="AK1023" s="360">
        <v>1.1996633549269768</v>
      </c>
      <c r="AL1023" s="360">
        <v>0.31456785989322811</v>
      </c>
      <c r="AM1023" s="360">
        <v>1.1161812147661099</v>
      </c>
      <c r="AN1023" s="360">
        <v>765.7424898647796</v>
      </c>
      <c r="AO1023" s="360">
        <f t="shared" si="45"/>
        <v>1</v>
      </c>
      <c r="AP1023" s="360">
        <f t="shared" si="46"/>
        <v>1</v>
      </c>
      <c r="AQ1023" s="360">
        <f t="shared" si="47"/>
        <v>1</v>
      </c>
    </row>
    <row r="1024" spans="1:43">
      <c r="A1024" s="360" t="s">
        <v>1081</v>
      </c>
      <c r="B1024" t="s">
        <v>1076</v>
      </c>
      <c r="C1024">
        <v>1</v>
      </c>
      <c r="D1024" t="s">
        <v>1078</v>
      </c>
      <c r="E1024" t="s">
        <v>1079</v>
      </c>
      <c r="F1024" s="360">
        <v>15</v>
      </c>
      <c r="G1024" s="360" t="str">
        <f>CONCATENATE(A1024," ",B1024," ",C1024," ","inf+"," ",FanUpsizes!D1024," ",FanUpsizes!F1024)</f>
        <v>7ACH 5C 1 inf+ New 15</v>
      </c>
      <c r="H1024" s="360">
        <v>1.4421666666666666E-2</v>
      </c>
      <c r="I1024" s="360">
        <v>0.35198449299363599</v>
      </c>
      <c r="J1024" s="360">
        <v>1.0173767090423904</v>
      </c>
      <c r="K1024" s="360">
        <v>2856.7223730492542</v>
      </c>
      <c r="L1024" s="360">
        <v>0.32088975829488564</v>
      </c>
      <c r="M1024" s="360">
        <v>1.0862462127163528</v>
      </c>
      <c r="N1024" s="360">
        <v>1.5593678370152282</v>
      </c>
      <c r="O1024" s="360">
        <v>0.33356069790474824</v>
      </c>
      <c r="P1024" s="360">
        <v>1.0173804738489629</v>
      </c>
      <c r="Q1024" s="360">
        <v>2622.9622639514137</v>
      </c>
      <c r="R1024" s="360">
        <v>2987.398038719205</v>
      </c>
      <c r="S1024" s="360">
        <v>0.31772135185772049</v>
      </c>
      <c r="T1024" s="360">
        <v>1.1016952492109497</v>
      </c>
      <c r="U1024" s="360">
        <v>1.7600839701722766</v>
      </c>
      <c r="V1024" s="360">
        <v>0.33266547151219761</v>
      </c>
      <c r="W1024" s="360">
        <v>1.017378475003651</v>
      </c>
      <c r="X1024" s="360">
        <v>2769.0830322792976</v>
      </c>
      <c r="Y1024" s="360">
        <v>0.32038911457809782</v>
      </c>
      <c r="Z1024" s="360">
        <v>1.1161811542564315</v>
      </c>
      <c r="AA1024" s="360">
        <v>816.55555205999792</v>
      </c>
      <c r="AB1024" s="360">
        <v>0.31138014931775881</v>
      </c>
      <c r="AC1024" s="360">
        <v>1.1400484006643186</v>
      </c>
      <c r="AD1024" s="360">
        <v>1.1341004643264136</v>
      </c>
      <c r="AE1024" s="360">
        <v>0.31457162446451642</v>
      </c>
      <c r="AF1024" s="360">
        <v>1.116181267777012</v>
      </c>
      <c r="AG1024" s="360">
        <v>764.2065918054717</v>
      </c>
      <c r="AH1024" s="360">
        <v>903.43387924968295</v>
      </c>
      <c r="AI1024" s="360">
        <v>0.30925032781767797</v>
      </c>
      <c r="AJ1024" s="360">
        <v>1.1528416969598267</v>
      </c>
      <c r="AK1024" s="360">
        <v>1.2325057715069097</v>
      </c>
      <c r="AL1024" s="360">
        <v>0.31394082102989401</v>
      </c>
      <c r="AM1024" s="360">
        <v>1.1161864235398773</v>
      </c>
      <c r="AN1024" s="360">
        <v>849.99951598622476</v>
      </c>
      <c r="AO1024" s="360">
        <f t="shared" si="45"/>
        <v>1</v>
      </c>
      <c r="AP1024" s="360">
        <f t="shared" si="46"/>
        <v>1</v>
      </c>
      <c r="AQ1024" s="360">
        <f t="shared" si="47"/>
        <v>1</v>
      </c>
    </row>
    <row r="1025" spans="1:43">
      <c r="A1025" s="360" t="s">
        <v>1081</v>
      </c>
      <c r="B1025" t="s">
        <v>1075</v>
      </c>
      <c r="C1025">
        <v>2</v>
      </c>
      <c r="D1025" t="s">
        <v>1078</v>
      </c>
      <c r="E1025" t="s">
        <v>1079</v>
      </c>
      <c r="F1025" s="360">
        <v>15</v>
      </c>
      <c r="G1025" s="360" t="str">
        <f>CONCATENATE(A1025," ",B1025," ",C1025," ","inf+"," ",FanUpsizes!D1025," ",FanUpsizes!F1025)</f>
        <v>7ACH Percentile 2 inf+ New 15</v>
      </c>
      <c r="H1025" s="360">
        <v>1.4421666666666666E-2</v>
      </c>
      <c r="I1025" s="360">
        <v>0.44438451571600251</v>
      </c>
      <c r="J1025" s="360">
        <v>0.81201754169732732</v>
      </c>
      <c r="K1025" s="360">
        <v>1485.9942604020375</v>
      </c>
      <c r="L1025" s="360">
        <v>0.43115801367630902</v>
      </c>
      <c r="M1025" s="360">
        <v>0.82451005760841645</v>
      </c>
      <c r="N1025" s="360">
        <v>1.1122714006657501</v>
      </c>
      <c r="O1025" s="360">
        <v>0.4356599531367491</v>
      </c>
      <c r="P1025" s="360">
        <v>0.81201765971175188</v>
      </c>
      <c r="Q1025" s="360">
        <v>1285.182418717008</v>
      </c>
      <c r="R1025" s="360">
        <v>2289.328461345362</v>
      </c>
      <c r="S1025" s="360">
        <v>0.41948989370973061</v>
      </c>
      <c r="T1025" s="360">
        <v>0.84658430355687186</v>
      </c>
      <c r="U1025" s="360">
        <v>1.3809877399842843</v>
      </c>
      <c r="V1025" s="360">
        <v>0.43034475836636138</v>
      </c>
      <c r="W1025" s="360">
        <v>0.81201768184824918</v>
      </c>
      <c r="X1025" s="360">
        <v>1913.9433631784864</v>
      </c>
      <c r="Y1025" s="360">
        <v>0.40812466251237139</v>
      </c>
      <c r="Z1025" s="360">
        <v>0.88933631564708726</v>
      </c>
      <c r="AA1025" s="360">
        <v>291.0309882451204</v>
      </c>
      <c r="AB1025" s="360">
        <v>0.40561938141764431</v>
      </c>
      <c r="AC1025" s="360">
        <v>0.89192516322256155</v>
      </c>
      <c r="AD1025" s="360">
        <v>1.0224726300440021</v>
      </c>
      <c r="AE1025" s="360">
        <v>0.40624104254708227</v>
      </c>
      <c r="AF1025" s="360">
        <v>0.88933682463973274</v>
      </c>
      <c r="AG1025" s="360">
        <v>268.90157892672369</v>
      </c>
      <c r="AH1025" s="360">
        <v>610.4504118236232</v>
      </c>
      <c r="AI1025" s="360">
        <v>0.40082980424950015</v>
      </c>
      <c r="AJ1025" s="360">
        <v>0.90359493613856789</v>
      </c>
      <c r="AK1025" s="360">
        <v>1.1490678985915468</v>
      </c>
      <c r="AL1025" s="360">
        <v>0.40367851304128172</v>
      </c>
      <c r="AM1025" s="360">
        <v>0.8893363739821194</v>
      </c>
      <c r="AN1025" s="360">
        <v>552.96657788351922</v>
      </c>
      <c r="AO1025" s="360">
        <f t="shared" si="45"/>
        <v>1</v>
      </c>
      <c r="AP1025" s="360">
        <f t="shared" si="46"/>
        <v>1</v>
      </c>
      <c r="AQ1025" s="360">
        <f t="shared" si="47"/>
        <v>1</v>
      </c>
    </row>
    <row r="1026" spans="1:43">
      <c r="A1026" s="360" t="s">
        <v>1081</v>
      </c>
      <c r="B1026" t="s">
        <v>1074</v>
      </c>
      <c r="C1026">
        <v>2</v>
      </c>
      <c r="D1026" t="s">
        <v>1078</v>
      </c>
      <c r="E1026" t="s">
        <v>1079</v>
      </c>
      <c r="F1026" s="360">
        <v>15</v>
      </c>
      <c r="G1026" s="360" t="str">
        <f>CONCATENATE(A1026," ",B1026," ",C1026," ","inf+"," ",FanUpsizes!D1026," ",FanUpsizes!F1026)</f>
        <v>7ACH Infiltration 2 inf+ New 15</v>
      </c>
      <c r="H1026" s="360">
        <v>1.4421666666666666E-2</v>
      </c>
      <c r="I1026" s="360">
        <v>0.44438451571600251</v>
      </c>
      <c r="J1026" s="360">
        <v>0.81201754169732732</v>
      </c>
      <c r="K1026" s="360">
        <v>2689.498604662153</v>
      </c>
      <c r="L1026" s="360">
        <v>0.4162303538180015</v>
      </c>
      <c r="M1026" s="360">
        <v>0.84719562458986775</v>
      </c>
      <c r="N1026" s="360">
        <v>1.403321627920439</v>
      </c>
      <c r="O1026" s="360">
        <v>0.42640893364848792</v>
      </c>
      <c r="P1026" s="360">
        <v>0.81201758672467717</v>
      </c>
      <c r="Q1026" s="360">
        <v>2453.5053247556816</v>
      </c>
      <c r="R1026" s="360">
        <v>2957.9463793561345</v>
      </c>
      <c r="S1026" s="360">
        <v>0.40898828196162912</v>
      </c>
      <c r="T1026" s="360">
        <v>0.87019855069570118</v>
      </c>
      <c r="U1026" s="360">
        <v>1.8508177678283451</v>
      </c>
      <c r="V1026" s="360">
        <v>0.42441711312167241</v>
      </c>
      <c r="W1026" s="360">
        <v>0.81201965941947429</v>
      </c>
      <c r="X1026" s="360">
        <v>2688.5123761630603</v>
      </c>
      <c r="Y1026" s="360">
        <v>0.40812466251237139</v>
      </c>
      <c r="Z1026" s="360">
        <v>0.88933631564708726</v>
      </c>
      <c r="AA1026" s="360">
        <v>589.16154821125724</v>
      </c>
      <c r="AB1026" s="360">
        <v>0.40201737869431975</v>
      </c>
      <c r="AC1026" s="360">
        <v>0.89812381585052858</v>
      </c>
      <c r="AD1026" s="360">
        <v>1.0844037426689483</v>
      </c>
      <c r="AE1026" s="360">
        <v>0.40378729284871762</v>
      </c>
      <c r="AF1026" s="360">
        <v>0.88933638399787507</v>
      </c>
      <c r="AG1026" s="360">
        <v>554.02561717302626</v>
      </c>
      <c r="AH1026" s="360">
        <v>729.73409367715851</v>
      </c>
      <c r="AI1026" s="360">
        <v>0.39808546096385217</v>
      </c>
      <c r="AJ1026" s="360">
        <v>0.91426758316487999</v>
      </c>
      <c r="AK1026" s="360">
        <v>1.3161029257628269</v>
      </c>
      <c r="AL1026" s="360">
        <v>0.4025897178419896</v>
      </c>
      <c r="AM1026" s="360">
        <v>0.88933909319351068</v>
      </c>
      <c r="AN1026" s="360">
        <v>680.05668477779022</v>
      </c>
      <c r="AO1026" s="360">
        <f t="shared" si="45"/>
        <v>1</v>
      </c>
      <c r="AP1026" s="360">
        <f t="shared" si="46"/>
        <v>1</v>
      </c>
      <c r="AQ1026" s="360">
        <f t="shared" si="47"/>
        <v>1</v>
      </c>
    </row>
    <row r="1027" spans="1:43">
      <c r="A1027" s="360" t="s">
        <v>1081</v>
      </c>
      <c r="B1027" t="s">
        <v>1076</v>
      </c>
      <c r="C1027">
        <v>2</v>
      </c>
      <c r="D1027" t="s">
        <v>1078</v>
      </c>
      <c r="E1027" t="s">
        <v>1079</v>
      </c>
      <c r="F1027" s="360">
        <v>15</v>
      </c>
      <c r="G1027" s="360" t="str">
        <f>CONCATENATE(A1027," ",B1027," ",C1027," ","inf+"," ",FanUpsizes!D1027," ",FanUpsizes!F1027)</f>
        <v>7ACH 5C 2 inf+ New 15</v>
      </c>
      <c r="H1027" s="360">
        <v>1.4421666666666666E-2</v>
      </c>
      <c r="I1027" s="360">
        <v>0.44438451571600251</v>
      </c>
      <c r="J1027" s="360">
        <v>0.81201754169732732</v>
      </c>
      <c r="K1027" s="360">
        <v>2856.7223730496471</v>
      </c>
      <c r="L1027" s="360">
        <v>0.41328978101725855</v>
      </c>
      <c r="M1027" s="360">
        <v>0.85429163552705467</v>
      </c>
      <c r="N1027" s="360">
        <v>1.5276043869225551</v>
      </c>
      <c r="O1027" s="360">
        <v>0.42507501085498495</v>
      </c>
      <c r="P1027" s="360">
        <v>0.8120175824195649</v>
      </c>
      <c r="Q1027" s="360">
        <v>2636.2362262136389</v>
      </c>
      <c r="R1027" s="360">
        <v>3041.5582635498486</v>
      </c>
      <c r="S1027" s="360">
        <v>0.40751799556125801</v>
      </c>
      <c r="T1027" s="360">
        <v>0.87404866177645246</v>
      </c>
      <c r="U1027" s="360">
        <v>1.9652279397423638</v>
      </c>
      <c r="V1027" s="360">
        <v>0.42364837051002718</v>
      </c>
      <c r="W1027" s="360">
        <v>0.81201891510213819</v>
      </c>
      <c r="X1027" s="360">
        <v>2816.5977728786347</v>
      </c>
      <c r="Y1027" s="360">
        <v>0.40812466251237139</v>
      </c>
      <c r="Z1027" s="360">
        <v>0.88933631564708726</v>
      </c>
      <c r="AA1027" s="360">
        <v>642.30981207608954</v>
      </c>
      <c r="AB1027" s="360">
        <v>0.40111695465051705</v>
      </c>
      <c r="AC1027" s="360">
        <v>0.90062233919905976</v>
      </c>
      <c r="AD1027" s="360">
        <v>1.1131601553919943</v>
      </c>
      <c r="AE1027" s="360">
        <v>0.4033054901070196</v>
      </c>
      <c r="AF1027" s="360">
        <v>0.88933647880421263</v>
      </c>
      <c r="AG1027" s="360">
        <v>606.66115357755587</v>
      </c>
      <c r="AH1027" s="360">
        <v>744.0145322529487</v>
      </c>
      <c r="AI1027" s="360">
        <v>0.39785615415478537</v>
      </c>
      <c r="AJ1027" s="360">
        <v>0.91493490725223947</v>
      </c>
      <c r="AK1027" s="360">
        <v>1.3305549871812863</v>
      </c>
      <c r="AL1027" s="360">
        <v>0.40241177362793823</v>
      </c>
      <c r="AM1027" s="360">
        <v>0.88933637536268395</v>
      </c>
      <c r="AN1027" s="360">
        <v>702.03476328300815</v>
      </c>
      <c r="AO1027" s="360">
        <f t="shared" si="45"/>
        <v>1</v>
      </c>
      <c r="AP1027" s="360">
        <f t="shared" si="46"/>
        <v>1</v>
      </c>
      <c r="AQ1027" s="360">
        <f t="shared" si="47"/>
        <v>1</v>
      </c>
    </row>
    <row r="1028" spans="1:43">
      <c r="A1028" s="360" t="s">
        <v>1081</v>
      </c>
      <c r="B1028" t="s">
        <v>1075</v>
      </c>
      <c r="C1028">
        <v>1</v>
      </c>
      <c r="D1028" t="s">
        <v>1080</v>
      </c>
      <c r="E1028" t="s">
        <v>1079</v>
      </c>
      <c r="F1028" s="360">
        <v>15</v>
      </c>
      <c r="G1028" s="360" t="str">
        <f>CONCATENATE(A1028," ",B1028," ",C1028," ","inf+"," ",FanUpsizes!D1028," ",FanUpsizes!F1028)</f>
        <v>7ACH Percentile 1 inf+ Existing 15</v>
      </c>
      <c r="H1028" s="360">
        <v>2.5807800174802484E-2</v>
      </c>
      <c r="I1028" s="360">
        <v>0.39458566320642924</v>
      </c>
      <c r="J1028" s="360">
        <v>1.2138292121069603</v>
      </c>
      <c r="K1028" s="360">
        <v>2659.2101883754294</v>
      </c>
      <c r="L1028" s="360">
        <v>0.37091662899964817</v>
      </c>
      <c r="M1028" s="360">
        <v>1.2594880023129376</v>
      </c>
      <c r="N1028" s="360">
        <v>1.1407082373745103</v>
      </c>
      <c r="O1028" s="360">
        <v>0.38149460107178024</v>
      </c>
      <c r="P1028" s="360">
        <v>1.2138292889536415</v>
      </c>
      <c r="Q1028" s="360">
        <v>2208.7815338555515</v>
      </c>
      <c r="R1028" s="360">
        <v>4096.7894231975197</v>
      </c>
      <c r="S1028" s="360">
        <v>0.35003634411488505</v>
      </c>
      <c r="T1028" s="360">
        <v>1.330700109697647</v>
      </c>
      <c r="U1028" s="360">
        <v>1.4307540365635616</v>
      </c>
      <c r="V1028" s="360">
        <v>0.37427441524407135</v>
      </c>
      <c r="W1028" s="360">
        <v>1.2138297778047857</v>
      </c>
      <c r="X1028" s="360">
        <v>3334.1539625705141</v>
      </c>
      <c r="Y1028" s="360">
        <v>0.36077456828910559</v>
      </c>
      <c r="Z1028" s="360">
        <v>1.2989679024635241</v>
      </c>
      <c r="AA1028" s="360">
        <v>1130.8976193940041</v>
      </c>
      <c r="AB1028" s="360">
        <v>0.35078357713045005</v>
      </c>
      <c r="AC1028" s="360">
        <v>1.3208474822748222</v>
      </c>
      <c r="AD1028" s="360">
        <v>1.0478161480189538</v>
      </c>
      <c r="AE1028" s="360">
        <v>0.35509469967546931</v>
      </c>
      <c r="AF1028" s="360">
        <v>1.2989685967749747</v>
      </c>
      <c r="AG1028" s="360">
        <v>965.04471402161062</v>
      </c>
      <c r="AH1028" s="360">
        <v>2322.0900451740436</v>
      </c>
      <c r="AI1028" s="360">
        <v>0.33273994185809597</v>
      </c>
      <c r="AJ1028" s="360">
        <v>1.3987039421212073</v>
      </c>
      <c r="AK1028" s="360">
        <v>1.2942487380679519</v>
      </c>
      <c r="AL1028" s="360">
        <v>0.35063026051221413</v>
      </c>
      <c r="AM1028" s="360">
        <v>1.2989714249396251</v>
      </c>
      <c r="AN1028" s="360">
        <v>1904.3838901269557</v>
      </c>
      <c r="AO1028" s="360">
        <f t="shared" si="45"/>
        <v>1</v>
      </c>
      <c r="AP1028" s="360">
        <f t="shared" si="46"/>
        <v>1</v>
      </c>
      <c r="AQ1028" s="360">
        <f t="shared" si="47"/>
        <v>1</v>
      </c>
    </row>
    <row r="1029" spans="1:43">
      <c r="A1029" s="360" t="s">
        <v>1081</v>
      </c>
      <c r="B1029" t="s">
        <v>1074</v>
      </c>
      <c r="C1029">
        <v>1</v>
      </c>
      <c r="D1029" t="s">
        <v>1080</v>
      </c>
      <c r="E1029" t="s">
        <v>1079</v>
      </c>
      <c r="F1029" s="360">
        <v>15</v>
      </c>
      <c r="G1029" s="360" t="str">
        <f>CONCATENATE(A1029," ",B1029," ",C1029," ","inf+"," ",FanUpsizes!D1029," ",FanUpsizes!F1029)</f>
        <v>7ACH Infiltration 1 inf+ Existing 15</v>
      </c>
      <c r="H1029" s="360">
        <v>2.5807800174802484E-2</v>
      </c>
      <c r="I1029" s="360">
        <v>0.39458566320642924</v>
      </c>
      <c r="J1029" s="360">
        <v>1.2138292121069603</v>
      </c>
      <c r="K1029" s="360">
        <v>1036.1735189508724</v>
      </c>
      <c r="L1029" s="360">
        <v>0.38611612822844077</v>
      </c>
      <c r="M1029" s="360">
        <v>1.2279130950313084</v>
      </c>
      <c r="N1029" s="360">
        <v>1.0392763345682194</v>
      </c>
      <c r="O1029" s="360">
        <v>0.38964961424327216</v>
      </c>
      <c r="P1029" s="360">
        <v>1.2138296960887907</v>
      </c>
      <c r="Q1029" s="360">
        <v>846.71171405017355</v>
      </c>
      <c r="R1029" s="360">
        <v>3074.1616522944178</v>
      </c>
      <c r="S1029" s="360">
        <v>0.3625286363994964</v>
      </c>
      <c r="T1029" s="360">
        <v>1.2887171024795037</v>
      </c>
      <c r="U1029" s="360">
        <v>1.2456203950731131</v>
      </c>
      <c r="V1029" s="360">
        <v>0.37906571547648221</v>
      </c>
      <c r="W1029" s="360">
        <v>1.2138304259489423</v>
      </c>
      <c r="X1029" s="360">
        <v>2389.508053365199</v>
      </c>
      <c r="Y1029" s="360">
        <v>0.36077456828910559</v>
      </c>
      <c r="Z1029" s="360">
        <v>1.2989679024635241</v>
      </c>
      <c r="AA1029" s="360">
        <v>412.25697439601583</v>
      </c>
      <c r="AB1029" s="360">
        <v>0.35744245764419735</v>
      </c>
      <c r="AC1029" s="360">
        <v>1.3052518229649799</v>
      </c>
      <c r="AD1029" s="360">
        <v>1.0128583688504562</v>
      </c>
      <c r="AE1029" s="360">
        <v>0.35875528173663129</v>
      </c>
      <c r="AF1029" s="360">
        <v>1.2989701460058465</v>
      </c>
      <c r="AG1029" s="360">
        <v>350.62358269187411</v>
      </c>
      <c r="AH1029" s="360">
        <v>1913.3189253487515</v>
      </c>
      <c r="AI1029" s="360">
        <v>0.33962296143017701</v>
      </c>
      <c r="AJ1029" s="360">
        <v>1.3635183312973844</v>
      </c>
      <c r="AK1029" s="360">
        <v>1.1664154504012199</v>
      </c>
      <c r="AL1029" s="360">
        <v>0.35158751911979735</v>
      </c>
      <c r="AM1029" s="360">
        <v>1.2989679173410806</v>
      </c>
      <c r="AN1029" s="360">
        <v>1557.1042317051979</v>
      </c>
      <c r="AO1029" s="360">
        <f t="shared" si="45"/>
        <v>1</v>
      </c>
      <c r="AP1029" s="360">
        <f t="shared" si="46"/>
        <v>1</v>
      </c>
      <c r="AQ1029" s="360">
        <f t="shared" si="47"/>
        <v>1</v>
      </c>
    </row>
    <row r="1030" spans="1:43">
      <c r="A1030" s="360" t="s">
        <v>1081</v>
      </c>
      <c r="B1030" t="s">
        <v>1076</v>
      </c>
      <c r="C1030">
        <v>1</v>
      </c>
      <c r="D1030" t="s">
        <v>1080</v>
      </c>
      <c r="E1030" t="s">
        <v>1079</v>
      </c>
      <c r="F1030" s="360">
        <v>15</v>
      </c>
      <c r="G1030" s="360" t="str">
        <f>CONCATENATE(A1030," ",B1030," ",C1030," ","inf+"," ",FanUpsizes!D1030," ",FanUpsizes!F1030)</f>
        <v>7ACH 5C 1 inf+ Existing 15</v>
      </c>
      <c r="H1030" s="360">
        <v>2.5807800174802484E-2</v>
      </c>
      <c r="I1030" s="360">
        <v>0.39458566320642924</v>
      </c>
      <c r="J1030" s="360">
        <v>1.2138292121069603</v>
      </c>
      <c r="K1030" s="360">
        <v>5112.1497856379146</v>
      </c>
      <c r="L1030" s="360">
        <v>0.33894114457054841</v>
      </c>
      <c r="M1030" s="360">
        <v>1.3652696559601172</v>
      </c>
      <c r="N1030" s="360">
        <v>1.6766228336715947</v>
      </c>
      <c r="O1030" s="360">
        <v>0.3709997099255013</v>
      </c>
      <c r="P1030" s="360">
        <v>1.2138295214412465</v>
      </c>
      <c r="Q1030" s="360">
        <v>4590.7982818804539</v>
      </c>
      <c r="R1030" s="360">
        <v>5112.1497856379146</v>
      </c>
      <c r="S1030" s="360">
        <v>0.33894114457054841</v>
      </c>
      <c r="T1030" s="360">
        <v>1.3652696559601172</v>
      </c>
      <c r="U1030" s="360">
        <v>1.6766228336715947</v>
      </c>
      <c r="V1030" s="360">
        <v>0.3709997099255013</v>
      </c>
      <c r="W1030" s="360">
        <v>1.2138295214412465</v>
      </c>
      <c r="X1030" s="360">
        <v>4590.7982818804539</v>
      </c>
      <c r="Y1030" s="360">
        <v>0.36077456828910559</v>
      </c>
      <c r="Z1030" s="360">
        <v>1.2989679024635241</v>
      </c>
      <c r="AA1030" s="360">
        <v>2464.4693682730349</v>
      </c>
      <c r="AB1030" s="360">
        <v>0.33323500019213587</v>
      </c>
      <c r="AC1030" s="360">
        <v>1.387625926968757</v>
      </c>
      <c r="AD1030" s="360">
        <v>1.2687101331637529</v>
      </c>
      <c r="AE1030" s="360">
        <v>0.34921370319016892</v>
      </c>
      <c r="AF1030" s="360">
        <v>1.2989700288788737</v>
      </c>
      <c r="AG1030" s="360">
        <v>2189.1991812355782</v>
      </c>
      <c r="AH1030" s="360">
        <v>2464.4693682730349</v>
      </c>
      <c r="AI1030" s="360">
        <v>0.33323500019213587</v>
      </c>
      <c r="AJ1030" s="360">
        <v>1.387625926968757</v>
      </c>
      <c r="AK1030" s="360">
        <v>1.2687101331637529</v>
      </c>
      <c r="AL1030" s="360">
        <v>0.34921370319016892</v>
      </c>
      <c r="AM1030" s="360">
        <v>1.2989700288788737</v>
      </c>
      <c r="AN1030" s="360">
        <v>2189.1991812355782</v>
      </c>
      <c r="AO1030" s="360">
        <f t="shared" si="45"/>
        <v>1</v>
      </c>
      <c r="AP1030" s="360">
        <f t="shared" si="46"/>
        <v>1</v>
      </c>
      <c r="AQ1030" s="360">
        <f t="shared" si="47"/>
        <v>1</v>
      </c>
    </row>
    <row r="1031" spans="1:43">
      <c r="A1031" s="360" t="s">
        <v>1081</v>
      </c>
      <c r="B1031" t="s">
        <v>1075</v>
      </c>
      <c r="C1031">
        <v>2</v>
      </c>
      <c r="D1031" t="s">
        <v>1080</v>
      </c>
      <c r="E1031" t="s">
        <v>1079</v>
      </c>
      <c r="F1031" s="360">
        <v>15</v>
      </c>
      <c r="G1031" s="360" t="str">
        <f>CONCATENATE(A1031," ",B1031," ",C1031," ","inf+"," ",FanUpsizes!D1031," ",FanUpsizes!F1031)</f>
        <v>7ACH Percentile 2 inf+ Existing 15</v>
      </c>
      <c r="H1031" s="360">
        <v>1.5038083180649149E-2</v>
      </c>
      <c r="I1031" s="360">
        <v>0.44666376320127377</v>
      </c>
      <c r="J1031" s="360">
        <v>1.1096180222253211</v>
      </c>
      <c r="K1031" s="360">
        <v>1549.5092079433512</v>
      </c>
      <c r="L1031" s="360">
        <v>0.43287192884125647</v>
      </c>
      <c r="M1031" s="360">
        <v>1.12746088830717</v>
      </c>
      <c r="N1031" s="360">
        <v>1.1135629387363555</v>
      </c>
      <c r="O1031" s="360">
        <v>0.43762118989829635</v>
      </c>
      <c r="P1031" s="360">
        <v>1.1096180403374345</v>
      </c>
      <c r="Q1031" s="360">
        <v>1337.7053676272888</v>
      </c>
      <c r="R1031" s="360">
        <v>2387.1798333204024</v>
      </c>
      <c r="S1031" s="360">
        <v>0.42070508553008817</v>
      </c>
      <c r="T1031" s="360">
        <v>1.1588321797412302</v>
      </c>
      <c r="U1031" s="360">
        <v>1.3841252446405834</v>
      </c>
      <c r="V1031" s="360">
        <v>0.4321253996182563</v>
      </c>
      <c r="W1031" s="360">
        <v>1.1096186661574825</v>
      </c>
      <c r="X1031" s="360">
        <v>1992.526380321957</v>
      </c>
      <c r="Y1031" s="360">
        <v>0.40953324429320848</v>
      </c>
      <c r="Z1031" s="360">
        <v>1.2161615124232177</v>
      </c>
      <c r="AA1031" s="360">
        <v>315.59594861341571</v>
      </c>
      <c r="AB1031" s="360">
        <v>0.40681136996112666</v>
      </c>
      <c r="AC1031" s="360">
        <v>1.220022741401168</v>
      </c>
      <c r="AD1031" s="360">
        <v>1.0230664745147016</v>
      </c>
      <c r="AE1031" s="360">
        <v>0.40749982435278287</v>
      </c>
      <c r="AF1031" s="360">
        <v>1.2161615205707104</v>
      </c>
      <c r="AG1031" s="360">
        <v>291.02662263240552</v>
      </c>
      <c r="AH1031" s="360">
        <v>661.67782544444742</v>
      </c>
      <c r="AI1031" s="360">
        <v>0.40161579457037344</v>
      </c>
      <c r="AJ1031" s="360">
        <v>1.2373102223540224</v>
      </c>
      <c r="AK1031" s="360">
        <v>1.152776938081981</v>
      </c>
      <c r="AL1031" s="360">
        <v>0.40476150395625754</v>
      </c>
      <c r="AM1031" s="360">
        <v>1.2161619012082556</v>
      </c>
      <c r="AN1031" s="360">
        <v>597.95452706636138</v>
      </c>
      <c r="AO1031" s="360">
        <f t="shared" si="45"/>
        <v>1</v>
      </c>
      <c r="AP1031" s="360">
        <f t="shared" si="46"/>
        <v>1</v>
      </c>
      <c r="AQ1031" s="360">
        <f t="shared" si="47"/>
        <v>1</v>
      </c>
    </row>
    <row r="1032" spans="1:43">
      <c r="A1032" s="360" t="s">
        <v>1081</v>
      </c>
      <c r="B1032" t="s">
        <v>1074</v>
      </c>
      <c r="C1032">
        <v>2</v>
      </c>
      <c r="D1032" t="s">
        <v>1080</v>
      </c>
      <c r="E1032" t="s">
        <v>1079</v>
      </c>
      <c r="F1032" s="360">
        <v>15</v>
      </c>
      <c r="G1032" s="360" t="str">
        <f>CONCATENATE(A1032," ",B1032," ",C1032," ","inf+"," ",FanUpsizes!D1032," ",FanUpsizes!F1032)</f>
        <v>7ACH Infiltration 2 inf+ Existing 15</v>
      </c>
      <c r="H1032" s="360">
        <v>1.5038083180649149E-2</v>
      </c>
      <c r="I1032" s="360">
        <v>0.44666376320127377</v>
      </c>
      <c r="J1032" s="360">
        <v>1.1096180222253211</v>
      </c>
      <c r="K1032" s="360">
        <v>2050.2140447032207</v>
      </c>
      <c r="L1032" s="360">
        <v>0.42748063300277556</v>
      </c>
      <c r="M1032" s="360">
        <v>1.1365859242807899</v>
      </c>
      <c r="N1032" s="360">
        <v>1.1831236962571627</v>
      </c>
      <c r="O1032" s="360">
        <v>0.43415392344266268</v>
      </c>
      <c r="P1032" s="360">
        <v>1.1096181614366258</v>
      </c>
      <c r="Q1032" s="360">
        <v>1800.3648240410407</v>
      </c>
      <c r="R1032" s="360">
        <v>2637.4144843318868</v>
      </c>
      <c r="S1032" s="360">
        <v>0.41801260523472494</v>
      </c>
      <c r="T1032" s="360">
        <v>1.1636309234276889</v>
      </c>
      <c r="U1032" s="360">
        <v>1.4400630468967939</v>
      </c>
      <c r="V1032" s="360">
        <v>0.4299226674657044</v>
      </c>
      <c r="W1032" s="360">
        <v>1.1096204040318991</v>
      </c>
      <c r="X1032" s="360">
        <v>2295.4090936619077</v>
      </c>
      <c r="Y1032" s="360">
        <v>0.40953324429320848</v>
      </c>
      <c r="Z1032" s="360">
        <v>1.2161615124232177</v>
      </c>
      <c r="AA1032" s="360">
        <v>433.81383057687731</v>
      </c>
      <c r="AB1032" s="360">
        <v>0.40558355031170346</v>
      </c>
      <c r="AC1032" s="360">
        <v>1.2222951827560009</v>
      </c>
      <c r="AD1032" s="360">
        <v>1.0375367769325661</v>
      </c>
      <c r="AE1032" s="360">
        <v>0.40661771020749182</v>
      </c>
      <c r="AF1032" s="360">
        <v>1.2161652695578014</v>
      </c>
      <c r="AG1032" s="360">
        <v>402.28887070469466</v>
      </c>
      <c r="AH1032" s="360">
        <v>692.83049912298634</v>
      </c>
      <c r="AI1032" s="360">
        <v>0.4013077863270304</v>
      </c>
      <c r="AJ1032" s="360">
        <v>1.237882869340627</v>
      </c>
      <c r="AK1032" s="360">
        <v>1.1582518730286402</v>
      </c>
      <c r="AL1032" s="360">
        <v>0.40446754055903922</v>
      </c>
      <c r="AM1032" s="360">
        <v>1.2161616760810863</v>
      </c>
      <c r="AN1032" s="360">
        <v>636.77134658907869</v>
      </c>
      <c r="AO1032" s="360">
        <f t="shared" si="45"/>
        <v>1</v>
      </c>
      <c r="AP1032" s="360">
        <f t="shared" si="46"/>
        <v>1</v>
      </c>
      <c r="AQ1032" s="360">
        <f t="shared" si="47"/>
        <v>1</v>
      </c>
    </row>
    <row r="1033" spans="1:43">
      <c r="A1033" s="360" t="s">
        <v>1081</v>
      </c>
      <c r="B1033" t="s">
        <v>1076</v>
      </c>
      <c r="C1033">
        <v>2</v>
      </c>
      <c r="D1033" t="s">
        <v>1080</v>
      </c>
      <c r="E1033" t="s">
        <v>1079</v>
      </c>
      <c r="F1033" s="360">
        <v>15</v>
      </c>
      <c r="G1033" s="360" t="str">
        <f>CONCATENATE(A1033," ",B1033," ",C1033," ","inf+"," ",FanUpsizes!D1033," ",FanUpsizes!F1033)</f>
        <v>7ACH 5C 2 inf+ Existing 15</v>
      </c>
      <c r="H1033" s="360">
        <v>1.5038083180649149E-2</v>
      </c>
      <c r="I1033" s="360">
        <v>0.44666376320127377</v>
      </c>
      <c r="J1033" s="360">
        <v>1.1096180222253211</v>
      </c>
      <c r="K1033" s="360">
        <v>2978.8255173885204</v>
      </c>
      <c r="L1033" s="360">
        <v>0.41423996519734041</v>
      </c>
      <c r="M1033" s="360">
        <v>1.1699381870421592</v>
      </c>
      <c r="N1033" s="360">
        <v>1.5347399733782505</v>
      </c>
      <c r="O1033" s="360">
        <v>0.42671269337689721</v>
      </c>
      <c r="P1033" s="360">
        <v>1.1096188583591804</v>
      </c>
      <c r="Q1033" s="360">
        <v>2745.8058438731423</v>
      </c>
      <c r="R1033" s="360">
        <v>3101.7202206744596</v>
      </c>
      <c r="S1033" s="360">
        <v>0.41139227133200823</v>
      </c>
      <c r="T1033" s="360">
        <v>1.1815030367166326</v>
      </c>
      <c r="U1033" s="360">
        <v>1.6998956442355764</v>
      </c>
      <c r="V1033" s="360">
        <v>0.42576154310553377</v>
      </c>
      <c r="W1033" s="360">
        <v>1.1096180950538181</v>
      </c>
      <c r="X1033" s="360">
        <v>2882.745352500765</v>
      </c>
      <c r="Y1033" s="360">
        <v>0.40953324429320848</v>
      </c>
      <c r="Z1033" s="360">
        <v>1.2161615124232177</v>
      </c>
      <c r="AA1033" s="360">
        <v>696.21646944521285</v>
      </c>
      <c r="AB1033" s="360">
        <v>0.40192301337477798</v>
      </c>
      <c r="AC1033" s="360">
        <v>1.2329590407708728</v>
      </c>
      <c r="AD1033" s="360">
        <v>1.1163958583064448</v>
      </c>
      <c r="AE1033" s="360">
        <v>0.40434669486708225</v>
      </c>
      <c r="AF1033" s="360">
        <v>1.2161646113272748</v>
      </c>
      <c r="AG1033" s="360">
        <v>656.67512337169262</v>
      </c>
      <c r="AH1033" s="360">
        <v>762.7892948019379</v>
      </c>
      <c r="AI1033" s="360">
        <v>0.40037844545909029</v>
      </c>
      <c r="AJ1033" s="360">
        <v>1.2406923548900206</v>
      </c>
      <c r="AK1033" s="360">
        <v>1.1864195389003667</v>
      </c>
      <c r="AL1033" s="360">
        <v>0.40375970070300021</v>
      </c>
      <c r="AM1033" s="360">
        <v>1.2161631687462431</v>
      </c>
      <c r="AN1033" s="360">
        <v>722.86734387707838</v>
      </c>
      <c r="AO1033" s="360">
        <f t="shared" si="45"/>
        <v>1</v>
      </c>
      <c r="AP1033" s="360">
        <f t="shared" si="46"/>
        <v>1</v>
      </c>
      <c r="AQ1033" s="360">
        <f t="shared" si="47"/>
        <v>1</v>
      </c>
    </row>
    <row r="1034" spans="1:43">
      <c r="A1034" s="360" t="s">
        <v>1082</v>
      </c>
      <c r="B1034" t="s">
        <v>1075</v>
      </c>
      <c r="C1034">
        <v>1</v>
      </c>
      <c r="D1034" t="s">
        <v>1078</v>
      </c>
      <c r="E1034" t="s">
        <v>1079</v>
      </c>
      <c r="F1034" s="360">
        <v>15</v>
      </c>
      <c r="G1034" s="360" t="str">
        <f>CONCATENATE(A1034," ",B1034," ",C1034," ","inf+"," ",FanUpsizes!D1034," ",FanUpsizes!F1034)</f>
        <v>5ACH Percentile 1 inf+ New 15</v>
      </c>
      <c r="H1034" s="360">
        <v>1.9188428696287483E-2</v>
      </c>
      <c r="I1034" s="360">
        <v>0.28472413057962009</v>
      </c>
      <c r="J1034" s="360">
        <v>1.2174021783029676</v>
      </c>
      <c r="K1034" s="360">
        <v>1977.156702333192</v>
      </c>
      <c r="L1034" s="360">
        <v>0.26712590166779621</v>
      </c>
      <c r="M1034" s="360">
        <v>1.2653388679990905</v>
      </c>
      <c r="N1034" s="360">
        <v>1.1442113242373702</v>
      </c>
      <c r="O1034" s="360">
        <v>0.27522867802502693</v>
      </c>
      <c r="P1034" s="360">
        <v>1.2174026695566651</v>
      </c>
      <c r="Q1034" s="360">
        <v>1633.8478986648513</v>
      </c>
      <c r="R1034" s="360">
        <v>3046.0152046390358</v>
      </c>
      <c r="S1034" s="360">
        <v>0.25160114345688134</v>
      </c>
      <c r="T1034" s="360">
        <v>1.3394617949197258</v>
      </c>
      <c r="U1034" s="360">
        <v>1.436511247419944</v>
      </c>
      <c r="V1034" s="360">
        <v>0.27011829553487371</v>
      </c>
      <c r="W1034" s="360">
        <v>1.2174021783035822</v>
      </c>
      <c r="X1034" s="360">
        <v>2470.0990693098461</v>
      </c>
      <c r="Y1034" s="360">
        <v>0.26089474578811245</v>
      </c>
      <c r="Z1034" s="360">
        <v>1.2996026417709203</v>
      </c>
      <c r="AA1034" s="360">
        <v>871.45721517110906</v>
      </c>
      <c r="AB1034" s="360">
        <v>0.25319006831806828</v>
      </c>
      <c r="AC1034" s="360">
        <v>1.3234828971951371</v>
      </c>
      <c r="AD1034" s="360">
        <v>1.0507540422607786</v>
      </c>
      <c r="AE1034" s="360">
        <v>0.25666820360820963</v>
      </c>
      <c r="AF1034" s="360">
        <v>1.2996133922216535</v>
      </c>
      <c r="AG1034" s="360">
        <v>736.96019775329319</v>
      </c>
      <c r="AH1034" s="360">
        <v>1785.2925162270428</v>
      </c>
      <c r="AI1034" s="360">
        <v>0.23935143264858566</v>
      </c>
      <c r="AJ1034" s="360">
        <v>1.4062488265983584</v>
      </c>
      <c r="AK1034" s="360">
        <v>1.307032448340337</v>
      </c>
      <c r="AL1034" s="360">
        <v>0.25352947430558798</v>
      </c>
      <c r="AM1034" s="360">
        <v>1.2996111431407169</v>
      </c>
      <c r="AN1034" s="360">
        <v>1450.6471888376864</v>
      </c>
      <c r="AO1034" s="360">
        <f t="shared" si="45"/>
        <v>1</v>
      </c>
      <c r="AP1034" s="360">
        <f t="shared" si="46"/>
        <v>1</v>
      </c>
      <c r="AQ1034" s="360">
        <f t="shared" si="47"/>
        <v>1</v>
      </c>
    </row>
    <row r="1035" spans="1:43">
      <c r="A1035" s="360" t="s">
        <v>1082</v>
      </c>
      <c r="B1035" t="s">
        <v>1074</v>
      </c>
      <c r="C1035">
        <v>1</v>
      </c>
      <c r="D1035" t="s">
        <v>1078</v>
      </c>
      <c r="E1035" t="s">
        <v>1079</v>
      </c>
      <c r="F1035" s="360">
        <v>15</v>
      </c>
      <c r="G1035" s="360" t="str">
        <f>CONCATENATE(A1035," ",B1035," ",C1035," ","inf+"," ",FanUpsizes!D1035," ",FanUpsizes!F1035)</f>
        <v>5ACH Infiltration 1 inf+ New 15</v>
      </c>
      <c r="H1035" s="360">
        <v>1.9188428696287483E-2</v>
      </c>
      <c r="I1035" s="360">
        <v>0.28472413057962009</v>
      </c>
      <c r="J1035" s="360">
        <v>1.2174021783029676</v>
      </c>
      <c r="K1035" s="360">
        <v>525.08614622198559</v>
      </c>
      <c r="L1035" s="360">
        <v>0.28052060323274242</v>
      </c>
      <c r="M1035" s="360">
        <v>1.2269264114821146</v>
      </c>
      <c r="N1035" s="360">
        <v>1.0254917819698477</v>
      </c>
      <c r="O1035" s="360">
        <v>0.28228372174219107</v>
      </c>
      <c r="P1035" s="360">
        <v>1.2174115296327594</v>
      </c>
      <c r="Q1035" s="360">
        <v>427.40442377042007</v>
      </c>
      <c r="R1035" s="360">
        <v>2146.5066458172014</v>
      </c>
      <c r="S1035" s="360">
        <v>0.26224334298026958</v>
      </c>
      <c r="T1035" s="360">
        <v>1.2909925375904812</v>
      </c>
      <c r="U1035" s="360">
        <v>1.2312976489076515</v>
      </c>
      <c r="V1035" s="360">
        <v>0.27421765565861589</v>
      </c>
      <c r="W1035" s="360">
        <v>1.2174028370013763</v>
      </c>
      <c r="X1035" s="360">
        <v>1634.7336837845035</v>
      </c>
      <c r="Y1035" s="360">
        <v>0.26089474578811245</v>
      </c>
      <c r="Z1035" s="360">
        <v>1.2996026417709203</v>
      </c>
      <c r="AA1035" s="360">
        <v>213.26615661021197</v>
      </c>
      <c r="AB1035" s="360">
        <v>0.25920565348250701</v>
      </c>
      <c r="AC1035" s="360">
        <v>1.3039722131455722</v>
      </c>
      <c r="AD1035" s="360">
        <v>1.0085723224296859</v>
      </c>
      <c r="AE1035" s="360">
        <v>0.25988523410610054</v>
      </c>
      <c r="AF1035" s="360">
        <v>1.2996102628105464</v>
      </c>
      <c r="AG1035" s="360">
        <v>180.18323906100517</v>
      </c>
      <c r="AH1035" s="360">
        <v>1427.4333051239826</v>
      </c>
      <c r="AI1035" s="360">
        <v>0.24516268062745919</v>
      </c>
      <c r="AJ1035" s="360">
        <v>1.3662885553444</v>
      </c>
      <c r="AK1035" s="360">
        <v>1.1658418921408669</v>
      </c>
      <c r="AL1035" s="360">
        <v>0.2543776521886994</v>
      </c>
      <c r="AM1035" s="360">
        <v>1.2996038335127191</v>
      </c>
      <c r="AN1035" s="360">
        <v>1141.6155857777433</v>
      </c>
      <c r="AO1035" s="360">
        <f t="shared" si="45"/>
        <v>1</v>
      </c>
      <c r="AP1035" s="360">
        <f t="shared" si="46"/>
        <v>1</v>
      </c>
      <c r="AQ1035" s="360">
        <f t="shared" si="47"/>
        <v>1</v>
      </c>
    </row>
    <row r="1036" spans="1:43">
      <c r="A1036" s="360" t="s">
        <v>1082</v>
      </c>
      <c r="B1036" t="s">
        <v>1076</v>
      </c>
      <c r="C1036">
        <v>1</v>
      </c>
      <c r="D1036" t="s">
        <v>1078</v>
      </c>
      <c r="E1036" t="s">
        <v>1079</v>
      </c>
      <c r="F1036" s="360">
        <v>15</v>
      </c>
      <c r="G1036" s="360" t="str">
        <f>CONCATENATE(A1036," ",B1036," ",C1036," ","inf+"," ",FanUpsizes!D1036," ",FanUpsizes!F1036)</f>
        <v>5ACH 5C 1 inf+ New 15</v>
      </c>
      <c r="H1036" s="360">
        <v>1.9188428696287483E-2</v>
      </c>
      <c r="I1036" s="360">
        <v>0.28472413057962009</v>
      </c>
      <c r="J1036" s="360">
        <v>1.2174021783029676</v>
      </c>
      <c r="K1036" s="360">
        <v>3800.9485884904102</v>
      </c>
      <c r="L1036" s="360">
        <v>0.24335172103863797</v>
      </c>
      <c r="M1036" s="360">
        <v>1.3759184044776085</v>
      </c>
      <c r="N1036" s="360">
        <v>1.6884332197252452</v>
      </c>
      <c r="O1036" s="360">
        <v>0.26816253826250486</v>
      </c>
      <c r="P1036" s="360">
        <v>1.2174026708781591</v>
      </c>
      <c r="Q1036" s="360">
        <v>3401.7826565780697</v>
      </c>
      <c r="R1036" s="360">
        <v>3800.9485884904102</v>
      </c>
      <c r="S1036" s="360">
        <v>0.24335172103863797</v>
      </c>
      <c r="T1036" s="360">
        <v>1.3759184044776085</v>
      </c>
      <c r="U1036" s="360">
        <v>1.6884332197252452</v>
      </c>
      <c r="V1036" s="360">
        <v>0.26816253826250486</v>
      </c>
      <c r="W1036" s="360">
        <v>1.2174026708781591</v>
      </c>
      <c r="X1036" s="360">
        <v>3401.7826565780697</v>
      </c>
      <c r="Y1036" s="360">
        <v>0.26089474578811245</v>
      </c>
      <c r="Z1036" s="360">
        <v>1.2996026417709203</v>
      </c>
      <c r="AA1036" s="360">
        <v>1896.6889477011673</v>
      </c>
      <c r="AB1036" s="360">
        <v>0.23969101104114454</v>
      </c>
      <c r="AC1036" s="360">
        <v>1.3953578402015514</v>
      </c>
      <c r="AD1036" s="360">
        <v>1.2862841916643151</v>
      </c>
      <c r="AE1036" s="360">
        <v>0.25258036263139427</v>
      </c>
      <c r="AF1036" s="360">
        <v>1.299603010550191</v>
      </c>
      <c r="AG1036" s="360">
        <v>1673.8508319719922</v>
      </c>
      <c r="AH1036" s="360">
        <v>1896.6889477011673</v>
      </c>
      <c r="AI1036" s="360">
        <v>0.23969101104114454</v>
      </c>
      <c r="AJ1036" s="360">
        <v>1.3953578402015514</v>
      </c>
      <c r="AK1036" s="360">
        <v>1.2862841916643151</v>
      </c>
      <c r="AL1036" s="360">
        <v>0.25258036263139427</v>
      </c>
      <c r="AM1036" s="360">
        <v>1.299603010550191</v>
      </c>
      <c r="AN1036" s="360">
        <v>1673.8508319719922</v>
      </c>
      <c r="AO1036" s="360">
        <f t="shared" si="45"/>
        <v>1</v>
      </c>
      <c r="AP1036" s="360">
        <f t="shared" si="46"/>
        <v>1</v>
      </c>
      <c r="AQ1036" s="360">
        <f t="shared" si="47"/>
        <v>1</v>
      </c>
    </row>
    <row r="1037" spans="1:43">
      <c r="A1037" s="360" t="s">
        <v>1082</v>
      </c>
      <c r="B1037" t="s">
        <v>1075</v>
      </c>
      <c r="C1037">
        <v>2</v>
      </c>
      <c r="D1037" t="s">
        <v>1078</v>
      </c>
      <c r="E1037" t="s">
        <v>1079</v>
      </c>
      <c r="F1037" s="360">
        <v>15</v>
      </c>
      <c r="G1037" s="360" t="str">
        <f>CONCATENATE(A1037," ",B1037," ",C1037," ","inf+"," ",FanUpsizes!D1037," ",FanUpsizes!F1037)</f>
        <v>5ACH Percentile 2 inf+ New 15</v>
      </c>
      <c r="H1037" s="360">
        <v>1.4421666666666666E-2</v>
      </c>
      <c r="I1037" s="360">
        <v>0.33267189072359571</v>
      </c>
      <c r="J1037" s="360">
        <v>1.0674541195890224</v>
      </c>
      <c r="K1037" s="360">
        <v>1485.9942604020541</v>
      </c>
      <c r="L1037" s="360">
        <v>0.31944538868389483</v>
      </c>
      <c r="M1037" s="360">
        <v>1.091057150572212</v>
      </c>
      <c r="N1037" s="360">
        <v>1.1251567747821878</v>
      </c>
      <c r="O1037" s="360">
        <v>0.32449535900718451</v>
      </c>
      <c r="P1037" s="360">
        <v>1.0674568988705653</v>
      </c>
      <c r="Q1037" s="360">
        <v>1262.1352696498125</v>
      </c>
      <c r="R1037" s="360">
        <v>2289.3284613453329</v>
      </c>
      <c r="S1037" s="360">
        <v>0.30777726871731209</v>
      </c>
      <c r="T1037" s="360">
        <v>1.1308395103021078</v>
      </c>
      <c r="U1037" s="360">
        <v>1.4140259738580996</v>
      </c>
      <c r="V1037" s="360">
        <v>0.31971057045645429</v>
      </c>
      <c r="W1037" s="360">
        <v>1.0674543849478519</v>
      </c>
      <c r="X1037" s="360">
        <v>1881.3909753601833</v>
      </c>
      <c r="Y1037" s="360">
        <v>0.30224060380444573</v>
      </c>
      <c r="Z1037" s="360">
        <v>1.1711047235837306</v>
      </c>
      <c r="AA1037" s="360">
        <v>398.68841396828867</v>
      </c>
      <c r="AB1037" s="360">
        <v>0.29876313046065128</v>
      </c>
      <c r="AC1037" s="360">
        <v>1.1780296695169792</v>
      </c>
      <c r="AD1037" s="360">
        <v>1.0293611285303461</v>
      </c>
      <c r="AE1037" s="360">
        <v>0.29981866943630275</v>
      </c>
      <c r="AF1037" s="360">
        <v>1.1711094628180725</v>
      </c>
      <c r="AG1037" s="360">
        <v>360.12553073407764</v>
      </c>
      <c r="AH1037" s="360">
        <v>831.6783079437306</v>
      </c>
      <c r="AI1037" s="360">
        <v>0.2922226875485186</v>
      </c>
      <c r="AJ1037" s="360">
        <v>1.2069490049031051</v>
      </c>
      <c r="AK1037" s="360">
        <v>1.1908857542056031</v>
      </c>
      <c r="AL1037" s="360">
        <v>0.29691265636910497</v>
      </c>
      <c r="AM1037" s="360">
        <v>1.1711060514147547</v>
      </c>
      <c r="AN1037" s="360">
        <v>732.92038813091438</v>
      </c>
      <c r="AO1037" s="360">
        <f t="shared" si="45"/>
        <v>1</v>
      </c>
      <c r="AP1037" s="360">
        <f t="shared" si="46"/>
        <v>1</v>
      </c>
      <c r="AQ1037" s="360">
        <f t="shared" si="47"/>
        <v>1</v>
      </c>
    </row>
    <row r="1038" spans="1:43">
      <c r="A1038" s="360" t="s">
        <v>1082</v>
      </c>
      <c r="B1038" t="s">
        <v>1074</v>
      </c>
      <c r="C1038">
        <v>2</v>
      </c>
      <c r="D1038" t="s">
        <v>1078</v>
      </c>
      <c r="E1038" t="s">
        <v>1079</v>
      </c>
      <c r="F1038" s="360">
        <v>15</v>
      </c>
      <c r="G1038" s="360" t="str">
        <f>CONCATENATE(A1038," ",B1038," ",C1038," ","inf+"," ",FanUpsizes!D1038," ",FanUpsizes!F1038)</f>
        <v>5ACH Infiltration 2 inf+ New 15</v>
      </c>
      <c r="H1038" s="360">
        <v>1.4421666666666666E-2</v>
      </c>
      <c r="I1038" s="360">
        <v>0.33267189072359571</v>
      </c>
      <c r="J1038" s="360">
        <v>1.0674541195890224</v>
      </c>
      <c r="K1038" s="360">
        <v>1912.5985562066428</v>
      </c>
      <c r="L1038" s="360">
        <v>0.314882640391834</v>
      </c>
      <c r="M1038" s="360">
        <v>1.1015119990438964</v>
      </c>
      <c r="N1038" s="360">
        <v>1.1922970790790008</v>
      </c>
      <c r="O1038" s="360">
        <v>0.32176721430704214</v>
      </c>
      <c r="P1038" s="360">
        <v>1.0674541424140376</v>
      </c>
      <c r="Q1038" s="360">
        <v>1650.6852548936329</v>
      </c>
      <c r="R1038" s="360">
        <v>2492.529916986583</v>
      </c>
      <c r="S1038" s="360">
        <v>0.30581182388045297</v>
      </c>
      <c r="T1038" s="360">
        <v>1.1345893720571318</v>
      </c>
      <c r="U1038" s="360">
        <v>1.4534798179040564</v>
      </c>
      <c r="V1038" s="360">
        <v>0.31800460757074356</v>
      </c>
      <c r="W1038" s="360">
        <v>1.0674544416602436</v>
      </c>
      <c r="X1038" s="360">
        <v>2137.8665373164372</v>
      </c>
      <c r="Y1038" s="360">
        <v>0.30224060380444573</v>
      </c>
      <c r="Z1038" s="360">
        <v>1.1711047235837306</v>
      </c>
      <c r="AA1038" s="360">
        <v>530.32465357356887</v>
      </c>
      <c r="AB1038" s="360">
        <v>0.29738935361448282</v>
      </c>
      <c r="AC1038" s="360">
        <v>1.1815217338359367</v>
      </c>
      <c r="AD1038" s="360">
        <v>1.0454615250139225</v>
      </c>
      <c r="AE1038" s="360">
        <v>0.29890838488143451</v>
      </c>
      <c r="AF1038" s="360">
        <v>1.1711047877663423</v>
      </c>
      <c r="AG1038" s="360">
        <v>481.95976212287962</v>
      </c>
      <c r="AH1038" s="360">
        <v>858.80067875310533</v>
      </c>
      <c r="AI1038" s="360">
        <v>0.29211282142766387</v>
      </c>
      <c r="AJ1038" s="360">
        <v>1.2061143807551278</v>
      </c>
      <c r="AK1038" s="360">
        <v>1.1859742553205268</v>
      </c>
      <c r="AL1038" s="360">
        <v>0.29662123451120648</v>
      </c>
      <c r="AM1038" s="360">
        <v>1.1711047329629949</v>
      </c>
      <c r="AN1038" s="360">
        <v>773.53744935516397</v>
      </c>
      <c r="AO1038" s="360">
        <f t="shared" si="45"/>
        <v>1</v>
      </c>
      <c r="AP1038" s="360">
        <f t="shared" si="46"/>
        <v>1</v>
      </c>
      <c r="AQ1038" s="360">
        <f t="shared" si="47"/>
        <v>1</v>
      </c>
    </row>
    <row r="1039" spans="1:43">
      <c r="A1039" s="360" t="s">
        <v>1082</v>
      </c>
      <c r="B1039" t="s">
        <v>1076</v>
      </c>
      <c r="C1039">
        <v>2</v>
      </c>
      <c r="D1039" t="s">
        <v>1078</v>
      </c>
      <c r="E1039" t="s">
        <v>1079</v>
      </c>
      <c r="F1039" s="360">
        <v>15</v>
      </c>
      <c r="G1039" s="360" t="str">
        <f>CONCATENATE(A1039," ",B1039," ",C1039," ","inf+"," ",FanUpsizes!D1039," ",FanUpsizes!F1039)</f>
        <v>5ACH 5C 2 inf+ New 15</v>
      </c>
      <c r="H1039" s="360">
        <v>1.4421666666666666E-2</v>
      </c>
      <c r="I1039" s="360">
        <v>0.33267189072359571</v>
      </c>
      <c r="J1039" s="360">
        <v>1.0674541195890224</v>
      </c>
      <c r="K1039" s="360">
        <v>2856.7223730494115</v>
      </c>
      <c r="L1039" s="360">
        <v>0.30157715602484142</v>
      </c>
      <c r="M1039" s="360">
        <v>1.1464687338494171</v>
      </c>
      <c r="N1039" s="360">
        <v>1.6022855058306007</v>
      </c>
      <c r="O1039" s="360">
        <v>0.31529969063175572</v>
      </c>
      <c r="P1039" s="360">
        <v>1.0674543650103809</v>
      </c>
      <c r="Q1039" s="360">
        <v>2605.0269479026429</v>
      </c>
      <c r="R1039" s="360">
        <v>2964.5918254079338</v>
      </c>
      <c r="S1039" s="360">
        <v>0.29915908169695743</v>
      </c>
      <c r="T1039" s="360">
        <v>1.159107364481881</v>
      </c>
      <c r="U1039" s="360">
        <v>1.7562311203803815</v>
      </c>
      <c r="V1039" s="360">
        <v>0.31468809297965739</v>
      </c>
      <c r="W1039" s="360">
        <v>1.0674543657276692</v>
      </c>
      <c r="X1039" s="360">
        <v>2730.1366849382598</v>
      </c>
      <c r="Y1039" s="360">
        <v>0.30224060380444573</v>
      </c>
      <c r="Z1039" s="360">
        <v>1.1711047235837306</v>
      </c>
      <c r="AA1039" s="360">
        <v>876.14380647649944</v>
      </c>
      <c r="AB1039" s="360">
        <v>0.29255833006147741</v>
      </c>
      <c r="AC1039" s="360">
        <v>1.2005366617906508</v>
      </c>
      <c r="AD1039" s="360">
        <v>1.1514935925605316</v>
      </c>
      <c r="AE1039" s="360">
        <v>0.29629441982210009</v>
      </c>
      <c r="AF1039" s="360">
        <v>1.1711058950349582</v>
      </c>
      <c r="AG1039" s="360">
        <v>814.17251664020114</v>
      </c>
      <c r="AH1039" s="360">
        <v>950.85226232072773</v>
      </c>
      <c r="AI1039" s="360">
        <v>0.29087256459718258</v>
      </c>
      <c r="AJ1039" s="360">
        <v>1.2113008140248751</v>
      </c>
      <c r="AK1039" s="360">
        <v>1.2271133330549757</v>
      </c>
      <c r="AL1039" s="360">
        <v>0.29582422049427143</v>
      </c>
      <c r="AM1039" s="360">
        <v>1.1711047351820199</v>
      </c>
      <c r="AN1039" s="360">
        <v>889.29019118101746</v>
      </c>
      <c r="AO1039" s="360">
        <f t="shared" si="45"/>
        <v>1</v>
      </c>
      <c r="AP1039" s="360">
        <f t="shared" si="46"/>
        <v>1</v>
      </c>
      <c r="AQ1039" s="360">
        <f t="shared" si="47"/>
        <v>1</v>
      </c>
    </row>
    <row r="1040" spans="1:43">
      <c r="A1040" s="360" t="s">
        <v>1082</v>
      </c>
      <c r="B1040" t="s">
        <v>1075</v>
      </c>
      <c r="C1040">
        <v>1</v>
      </c>
      <c r="D1040" t="s">
        <v>1080</v>
      </c>
      <c r="E1040" t="s">
        <v>1079</v>
      </c>
      <c r="F1040" s="360">
        <v>15</v>
      </c>
      <c r="G1040" s="360" t="str">
        <f>CONCATENATE(A1040," ",B1040," ",C1040," ","inf+"," ",FanUpsizes!D1040," ",FanUpsizes!F1040)</f>
        <v>5ACH Percentile 1 inf+ Existing 15</v>
      </c>
      <c r="H1040" s="360">
        <v>3.543842869628748E-2</v>
      </c>
      <c r="I1040" s="360">
        <v>0.35134782662977682</v>
      </c>
      <c r="J1040" s="360">
        <v>1.2997115922763753</v>
      </c>
      <c r="K1040" s="360">
        <v>3651.5406199245035</v>
      </c>
      <c r="L1040" s="360">
        <v>0.31884628154008587</v>
      </c>
      <c r="M1040" s="360">
        <v>1.4032679391703549</v>
      </c>
      <c r="N1040" s="360">
        <v>1.1804988941526466</v>
      </c>
      <c r="O1040" s="360">
        <v>0.34244769014034321</v>
      </c>
      <c r="P1040" s="360">
        <v>1.299712027755759</v>
      </c>
      <c r="Q1040" s="360">
        <v>2792.4096102816975</v>
      </c>
      <c r="R1040" s="360">
        <v>5626.38029287483</v>
      </c>
      <c r="S1040" s="360">
        <v>0.2901451975474949</v>
      </c>
      <c r="T1040" s="360">
        <v>1.5372450185349462</v>
      </c>
      <c r="U1040" s="360">
        <v>1.5333525551544676</v>
      </c>
      <c r="V1040" s="360">
        <v>0.34430249613628566</v>
      </c>
      <c r="W1040" s="360">
        <v>1.299711655030499</v>
      </c>
      <c r="X1040" s="360">
        <v>4187.7575957055951</v>
      </c>
      <c r="Y1040" s="360">
        <v>0.34390833554662903</v>
      </c>
      <c r="Z1040" s="360">
        <v>1.3019358594389072</v>
      </c>
      <c r="AA1040" s="360">
        <v>2677.7417837234898</v>
      </c>
      <c r="AB1040" s="360">
        <v>0.3200516012280909</v>
      </c>
      <c r="AC1040" s="360">
        <v>1.3851350036600927</v>
      </c>
      <c r="AD1040" s="360">
        <v>1.1238191549967578</v>
      </c>
      <c r="AE1040" s="360">
        <v>0.34035103741242673</v>
      </c>
      <c r="AF1040" s="360">
        <v>1.3019360274894498</v>
      </c>
      <c r="AG1040" s="360">
        <v>1834.3824154724782</v>
      </c>
      <c r="AH1040" s="360">
        <v>5219.7713526357538</v>
      </c>
      <c r="AI1040" s="360">
        <v>0.2819205917859558</v>
      </c>
      <c r="AJ1040" s="360">
        <v>1.5824639747117002</v>
      </c>
      <c r="AK1040" s="360">
        <v>1.5839816519520264</v>
      </c>
      <c r="AL1040" s="360">
        <v>0.34677810118788077</v>
      </c>
      <c r="AM1040" s="360">
        <v>1.3019361432901333</v>
      </c>
      <c r="AN1040" s="360">
        <v>3396.0472007729277</v>
      </c>
      <c r="AO1040" s="360">
        <f t="shared" si="45"/>
        <v>1</v>
      </c>
      <c r="AP1040" s="360">
        <f t="shared" si="46"/>
        <v>1</v>
      </c>
      <c r="AQ1040" s="360">
        <f t="shared" si="47"/>
        <v>1</v>
      </c>
    </row>
    <row r="1041" spans="1:43">
      <c r="A1041" s="360" t="s">
        <v>1082</v>
      </c>
      <c r="B1041" t="s">
        <v>1074</v>
      </c>
      <c r="C1041">
        <v>1</v>
      </c>
      <c r="D1041" t="s">
        <v>1080</v>
      </c>
      <c r="E1041" t="s">
        <v>1079</v>
      </c>
      <c r="F1041" s="360">
        <v>15</v>
      </c>
      <c r="G1041" s="360" t="str">
        <f>CONCATENATE(A1041," ",B1041," ",C1041," ","inf+"," ",FanUpsizes!D1041," ",FanUpsizes!F1041)</f>
        <v>5ACH Infiltration 1 inf+ Existing 15</v>
      </c>
      <c r="H1041" s="360">
        <v>3.543842869628748E-2</v>
      </c>
      <c r="I1041" s="360">
        <v>0.35134782662977682</v>
      </c>
      <c r="J1041" s="360">
        <v>1.2997115922763753</v>
      </c>
      <c r="K1041" s="360">
        <v>0</v>
      </c>
      <c r="L1041" s="360">
        <v>0.35134782662977682</v>
      </c>
      <c r="M1041" s="360">
        <v>1.2997115922763753</v>
      </c>
      <c r="N1041" s="360">
        <v>1</v>
      </c>
      <c r="O1041" s="360">
        <v>0.35134782662977682</v>
      </c>
      <c r="P1041" s="360">
        <v>1.2997115922763753</v>
      </c>
      <c r="Q1041" s="360">
        <v>0</v>
      </c>
      <c r="R1041" s="360">
        <v>2809.4477242973649</v>
      </c>
      <c r="S1041" s="360">
        <v>0.32397456851221135</v>
      </c>
      <c r="T1041" s="360">
        <v>1.3820315355552595</v>
      </c>
      <c r="U1041" s="360">
        <v>1.1339862492548787</v>
      </c>
      <c r="V1041" s="360">
        <v>0.34200450912162794</v>
      </c>
      <c r="W1041" s="360">
        <v>1.2997117213651692</v>
      </c>
      <c r="X1041" s="360">
        <v>2063.4742201660324</v>
      </c>
      <c r="Y1041" s="360">
        <v>0.34390833554662903</v>
      </c>
      <c r="Z1041" s="360">
        <v>1.3019358594389072</v>
      </c>
      <c r="AA1041" s="360">
        <v>0</v>
      </c>
      <c r="AB1041" s="360">
        <v>0.34390833554662903</v>
      </c>
      <c r="AC1041" s="360">
        <v>1.3019358594389072</v>
      </c>
      <c r="AD1041" s="360">
        <v>1</v>
      </c>
      <c r="AE1041" s="360">
        <v>0.34390833554662903</v>
      </c>
      <c r="AF1041" s="360">
        <v>1.3019358594389072</v>
      </c>
      <c r="AG1041" s="360">
        <v>0</v>
      </c>
      <c r="AH1041" s="360">
        <v>3100.9579520891525</v>
      </c>
      <c r="AI1041" s="360">
        <v>0.313354481555986</v>
      </c>
      <c r="AJ1041" s="360">
        <v>1.412558753839074</v>
      </c>
      <c r="AK1041" s="360">
        <v>1.1674211018160865</v>
      </c>
      <c r="AL1041" s="360">
        <v>0.33951464213963256</v>
      </c>
      <c r="AM1041" s="360">
        <v>1.3019360881591233</v>
      </c>
      <c r="AN1041" s="360">
        <v>2023.6175563666914</v>
      </c>
      <c r="AO1041" s="360">
        <f t="shared" si="45"/>
        <v>1</v>
      </c>
      <c r="AP1041" s="360">
        <f t="shared" si="46"/>
        <v>0</v>
      </c>
      <c r="AQ1041" s="360">
        <f t="shared" si="47"/>
        <v>0</v>
      </c>
    </row>
    <row r="1042" spans="1:43">
      <c r="A1042" s="360" t="s">
        <v>1082</v>
      </c>
      <c r="B1042" t="s">
        <v>1076</v>
      </c>
      <c r="C1042">
        <v>1</v>
      </c>
      <c r="D1042" t="s">
        <v>1080</v>
      </c>
      <c r="E1042" t="s">
        <v>1079</v>
      </c>
      <c r="F1042" s="360">
        <v>15</v>
      </c>
      <c r="G1042" s="360" t="str">
        <f>CONCATENATE(A1042," ",B1042," ",C1042," ","inf+"," ",FanUpsizes!D1042," ",FanUpsizes!F1042)</f>
        <v>5ACH 5C 1 inf+ Existing 15</v>
      </c>
      <c r="H1042" s="360">
        <v>3.543842869628748E-2</v>
      </c>
      <c r="I1042" s="360">
        <v>0.35134782662977682</v>
      </c>
      <c r="J1042" s="360">
        <v>1.2997115922763753</v>
      </c>
      <c r="K1042" s="360">
        <v>7019.8371979009935</v>
      </c>
      <c r="L1042" s="360">
        <v>0.27493859017179506</v>
      </c>
      <c r="M1042" s="360">
        <v>1.6318690212152709</v>
      </c>
      <c r="N1042" s="360">
        <v>2.0909952209572276</v>
      </c>
      <c r="O1042" s="360">
        <v>0.38359803577650514</v>
      </c>
      <c r="P1042" s="360">
        <v>1.2997127728709004</v>
      </c>
      <c r="Q1042" s="360">
        <v>5101.3391813343706</v>
      </c>
      <c r="R1042" s="360">
        <v>7019.8371979009935</v>
      </c>
      <c r="S1042" s="360">
        <v>0.27493859017179506</v>
      </c>
      <c r="T1042" s="360">
        <v>1.6318690212152709</v>
      </c>
      <c r="U1042" s="360">
        <v>2.0909952209572276</v>
      </c>
      <c r="V1042" s="360">
        <v>0.38359803577650514</v>
      </c>
      <c r="W1042" s="360">
        <v>1.2997127728709004</v>
      </c>
      <c r="X1042" s="360">
        <v>5101.3391813343706</v>
      </c>
      <c r="Y1042" s="360">
        <v>0.34390833554662903</v>
      </c>
      <c r="Z1042" s="360">
        <v>1.3019358594389072</v>
      </c>
      <c r="AA1042" s="360">
        <v>5675.2438332676657</v>
      </c>
      <c r="AB1042" s="360">
        <v>0.28042343478983245</v>
      </c>
      <c r="AC1042" s="360">
        <v>1.5988034883992648</v>
      </c>
      <c r="AD1042" s="360">
        <v>2.0023528651854074</v>
      </c>
      <c r="AE1042" s="360">
        <v>0.3820490538084052</v>
      </c>
      <c r="AF1042" s="360">
        <v>1.3019360964938185</v>
      </c>
      <c r="AG1042" s="360">
        <v>3839.4860806996994</v>
      </c>
      <c r="AH1042" s="360">
        <v>5675.2438332676657</v>
      </c>
      <c r="AI1042" s="360">
        <v>0.28042343478983245</v>
      </c>
      <c r="AJ1042" s="360">
        <v>1.5988034883992648</v>
      </c>
      <c r="AK1042" s="360">
        <v>2.0023528651854074</v>
      </c>
      <c r="AL1042" s="360">
        <v>0.3820490538084052</v>
      </c>
      <c r="AM1042" s="360">
        <v>1.3019360964938185</v>
      </c>
      <c r="AN1042" s="360">
        <v>3839.4860806996994</v>
      </c>
      <c r="AO1042" s="360">
        <f t="shared" si="45"/>
        <v>1</v>
      </c>
      <c r="AP1042" s="360">
        <f t="shared" si="46"/>
        <v>1</v>
      </c>
      <c r="AQ1042" s="360">
        <f t="shared" si="47"/>
        <v>1</v>
      </c>
    </row>
    <row r="1043" spans="1:43">
      <c r="A1043" s="360" t="s">
        <v>1082</v>
      </c>
      <c r="B1043" t="s">
        <v>1075</v>
      </c>
      <c r="C1043">
        <v>2</v>
      </c>
      <c r="D1043" t="s">
        <v>1080</v>
      </c>
      <c r="E1043" t="s">
        <v>1079</v>
      </c>
      <c r="F1043" s="360">
        <v>15</v>
      </c>
      <c r="G1043" s="360" t="str">
        <f>CONCATENATE(A1043," ",B1043," ",C1043," ","inf+"," ",FanUpsizes!D1043," ",FanUpsizes!F1043)</f>
        <v>5ACH Percentile 2 inf+ Existing 15</v>
      </c>
      <c r="H1043" s="360">
        <v>2.7745773700463668E-2</v>
      </c>
      <c r="I1043" s="360">
        <v>0.3828108145719607</v>
      </c>
      <c r="J1043" s="360">
        <v>1.2362251892472307</v>
      </c>
      <c r="K1043" s="360">
        <v>2858.8970624733179</v>
      </c>
      <c r="L1043" s="360">
        <v>0.3573644122299614</v>
      </c>
      <c r="M1043" s="360">
        <v>1.2919909734989479</v>
      </c>
      <c r="N1043" s="360">
        <v>1.1542463297634689</v>
      </c>
      <c r="O1043" s="360">
        <v>0.37011999097675796</v>
      </c>
      <c r="P1043" s="360">
        <v>1.2362262468331093</v>
      </c>
      <c r="Q1043" s="360">
        <v>2326.9415608493946</v>
      </c>
      <c r="R1043" s="360">
        <v>4404.4277879013334</v>
      </c>
      <c r="S1043" s="360">
        <v>0.334916173507952</v>
      </c>
      <c r="T1043" s="360">
        <v>1.3745122525493914</v>
      </c>
      <c r="U1043" s="360">
        <v>1.4523586470428591</v>
      </c>
      <c r="V1043" s="360">
        <v>0.36370913834662544</v>
      </c>
      <c r="W1043" s="360">
        <v>1.2362259829741185</v>
      </c>
      <c r="X1043" s="360">
        <v>3532.9871020373776</v>
      </c>
      <c r="Y1043" s="360">
        <v>0.35299415482430402</v>
      </c>
      <c r="Z1043" s="360">
        <v>1.3089912362059812</v>
      </c>
      <c r="AA1043" s="360">
        <v>1391.0728545112352</v>
      </c>
      <c r="AB1043" s="360">
        <v>0.34067241729444359</v>
      </c>
      <c r="AC1043" s="360">
        <v>1.3396564032802696</v>
      </c>
      <c r="AD1043" s="360">
        <v>1.0604354741928623</v>
      </c>
      <c r="AE1043" s="360">
        <v>0.34696036109334066</v>
      </c>
      <c r="AF1043" s="360">
        <v>1.3089913305134298</v>
      </c>
      <c r="AG1043" s="360">
        <v>1143.5021241590616</v>
      </c>
      <c r="AH1043" s="360">
        <v>2821.2846184721325</v>
      </c>
      <c r="AI1043" s="360">
        <v>0.31905062268841761</v>
      </c>
      <c r="AJ1043" s="360">
        <v>1.4382941917110097</v>
      </c>
      <c r="AK1043" s="360">
        <v>1.3522973325763992</v>
      </c>
      <c r="AL1043" s="360">
        <v>0.34370155464237456</v>
      </c>
      <c r="AM1043" s="360">
        <v>1.3089933702833774</v>
      </c>
      <c r="AN1043" s="360">
        <v>2218.6488871232632</v>
      </c>
      <c r="AO1043" s="360">
        <f t="shared" si="45"/>
        <v>1</v>
      </c>
      <c r="AP1043" s="360">
        <f t="shared" si="46"/>
        <v>1</v>
      </c>
      <c r="AQ1043" s="360">
        <f t="shared" si="47"/>
        <v>1</v>
      </c>
    </row>
    <row r="1044" spans="1:43">
      <c r="A1044" s="360" t="s">
        <v>1082</v>
      </c>
      <c r="B1044" t="s">
        <v>1074</v>
      </c>
      <c r="C1044">
        <v>2</v>
      </c>
      <c r="D1044" t="s">
        <v>1080</v>
      </c>
      <c r="E1044" t="s">
        <v>1079</v>
      </c>
      <c r="F1044" s="360">
        <v>15</v>
      </c>
      <c r="G1044" s="360" t="str">
        <f>CONCATENATE(A1044," ",B1044," ",C1044," ","inf+"," ",FanUpsizes!D1044," ",FanUpsizes!F1044)</f>
        <v>5ACH Infiltration 2 inf+ Existing 15</v>
      </c>
      <c r="H1044" s="360">
        <v>2.7745773700463668E-2</v>
      </c>
      <c r="I1044" s="360">
        <v>0.3828108145719607</v>
      </c>
      <c r="J1044" s="360">
        <v>1.2362251892472307</v>
      </c>
      <c r="K1044" s="360">
        <v>162.76318354586681</v>
      </c>
      <c r="L1044" s="360">
        <v>0.3816068736251414</v>
      </c>
      <c r="M1044" s="360">
        <v>1.2381839848399303</v>
      </c>
      <c r="N1044" s="360">
        <v>1.0047118889264903</v>
      </c>
      <c r="O1044" s="360">
        <v>0.38210417829329124</v>
      </c>
      <c r="P1044" s="360">
        <v>1.2362253440429347</v>
      </c>
      <c r="Q1044" s="360">
        <v>133.8391629740164</v>
      </c>
      <c r="R1044" s="360">
        <v>2725.4891705079203</v>
      </c>
      <c r="S1044" s="360">
        <v>0.35417338428353773</v>
      </c>
      <c r="T1044" s="360">
        <v>1.3083498262699649</v>
      </c>
      <c r="U1044" s="360">
        <v>1.2013616508289389</v>
      </c>
      <c r="V1044" s="360">
        <v>0.37028295560632163</v>
      </c>
      <c r="W1044" s="360">
        <v>1.2362284080266275</v>
      </c>
      <c r="X1044" s="360">
        <v>2003.7347043468919</v>
      </c>
      <c r="Y1044" s="360">
        <v>0.35299415482430402</v>
      </c>
      <c r="Z1044" s="360">
        <v>1.3089912362059812</v>
      </c>
      <c r="AA1044" s="360">
        <v>69.05924426183239</v>
      </c>
      <c r="AB1044" s="360">
        <v>0.35248809785311147</v>
      </c>
      <c r="AC1044" s="360">
        <v>1.3099275742115635</v>
      </c>
      <c r="AD1044" s="360">
        <v>1.0016538055495026</v>
      </c>
      <c r="AE1044" s="360">
        <v>0.3526946387319726</v>
      </c>
      <c r="AF1044" s="360">
        <v>1.3089915608638027</v>
      </c>
      <c r="AG1044" s="360">
        <v>58.309953577935566</v>
      </c>
      <c r="AH1044" s="360">
        <v>2102.4315403081241</v>
      </c>
      <c r="AI1044" s="360">
        <v>0.33020590032105929</v>
      </c>
      <c r="AJ1044" s="360">
        <v>1.3820013357988683</v>
      </c>
      <c r="AK1044" s="360">
        <v>1.1648254872618107</v>
      </c>
      <c r="AL1044" s="360">
        <v>0.34466826174384507</v>
      </c>
      <c r="AM1044" s="360">
        <v>1.3089912504243675</v>
      </c>
      <c r="AN1044" s="360">
        <v>1612.7541089333911</v>
      </c>
      <c r="AO1044" s="360">
        <f t="shared" si="45"/>
        <v>1</v>
      </c>
      <c r="AP1044" s="360">
        <f t="shared" si="46"/>
        <v>1</v>
      </c>
      <c r="AQ1044" s="360">
        <f t="shared" si="47"/>
        <v>1</v>
      </c>
    </row>
    <row r="1045" spans="1:43">
      <c r="A1045" s="360" t="s">
        <v>1082</v>
      </c>
      <c r="B1045" t="s">
        <v>1076</v>
      </c>
      <c r="C1045">
        <v>2</v>
      </c>
      <c r="D1045" t="s">
        <v>1080</v>
      </c>
      <c r="E1045" t="s">
        <v>1079</v>
      </c>
      <c r="F1045" s="360">
        <v>15</v>
      </c>
      <c r="G1045" s="360" t="str">
        <f>CONCATENATE(A1045," ",B1045," ",C1045," ","inf+"," ",FanUpsizes!D1045," ",FanUpsizes!F1045)</f>
        <v>5ACH 5C 2 inf+ Existing 15</v>
      </c>
      <c r="H1045" s="360">
        <v>2.7745773700463668E-2</v>
      </c>
      <c r="I1045" s="360">
        <v>0.3828108145719607</v>
      </c>
      <c r="J1045" s="360">
        <v>1.2362251892472307</v>
      </c>
      <c r="K1045" s="360">
        <v>5496.0341491514027</v>
      </c>
      <c r="L1045" s="360">
        <v>0.32298780713679437</v>
      </c>
      <c r="M1045" s="360">
        <v>1.4183178009720585</v>
      </c>
      <c r="N1045" s="360">
        <v>1.7419993910135074</v>
      </c>
      <c r="O1045" s="360">
        <v>0.36411763081517834</v>
      </c>
      <c r="P1045" s="360">
        <v>1.2362253325681651</v>
      </c>
      <c r="Q1045" s="360">
        <v>4842.3864646757565</v>
      </c>
      <c r="R1045" s="360">
        <v>5496.0341491514027</v>
      </c>
      <c r="S1045" s="360">
        <v>0.32298780713679437</v>
      </c>
      <c r="T1045" s="360">
        <v>1.4183178009720585</v>
      </c>
      <c r="U1045" s="360">
        <v>1.7419993910135074</v>
      </c>
      <c r="V1045" s="360">
        <v>0.36411763081517834</v>
      </c>
      <c r="W1045" s="360">
        <v>1.2362253325681651</v>
      </c>
      <c r="X1045" s="360">
        <v>4842.3864646757565</v>
      </c>
      <c r="Y1045" s="360">
        <v>0.35299415482430402</v>
      </c>
      <c r="Z1045" s="360">
        <v>1.3089912362059812</v>
      </c>
      <c r="AA1045" s="360">
        <v>3007.7176576372449</v>
      </c>
      <c r="AB1045" s="360">
        <v>0.31936528850878687</v>
      </c>
      <c r="AC1045" s="360">
        <v>1.4284806939235426</v>
      </c>
      <c r="AD1045" s="360">
        <v>1.3517548556874646</v>
      </c>
      <c r="AE1045" s="360">
        <v>0.34312309868221658</v>
      </c>
      <c r="AF1045" s="360">
        <v>1.3089916875648142</v>
      </c>
      <c r="AG1045" s="360">
        <v>2592.2534041445037</v>
      </c>
      <c r="AH1045" s="360">
        <v>3007.7176576372449</v>
      </c>
      <c r="AI1045" s="360">
        <v>0.31936528850878687</v>
      </c>
      <c r="AJ1045" s="360">
        <v>1.4284806939235426</v>
      </c>
      <c r="AK1045" s="360">
        <v>1.3517548556874646</v>
      </c>
      <c r="AL1045" s="360">
        <v>0.34312309868221658</v>
      </c>
      <c r="AM1045" s="360">
        <v>1.3089916875648142</v>
      </c>
      <c r="AN1045" s="360">
        <v>2592.2534041445037</v>
      </c>
      <c r="AO1045" s="360">
        <f t="shared" si="45"/>
        <v>1</v>
      </c>
      <c r="AP1045" s="360">
        <f t="shared" si="46"/>
        <v>1</v>
      </c>
      <c r="AQ1045" s="360">
        <f t="shared" si="47"/>
        <v>1</v>
      </c>
    </row>
    <row r="1046" spans="1:43">
      <c r="A1046" s="360" t="s">
        <v>1083</v>
      </c>
      <c r="B1046" t="s">
        <v>1075</v>
      </c>
      <c r="C1046">
        <v>1</v>
      </c>
      <c r="D1046" t="s">
        <v>1078</v>
      </c>
      <c r="E1046" t="s">
        <v>1079</v>
      </c>
      <c r="F1046" s="360">
        <v>15</v>
      </c>
      <c r="G1046" s="360" t="str">
        <f>CONCATENATE(A1046," ",B1046," ",C1046," ","inf+"," ",FanUpsizes!D1046," ",FanUpsizes!F1046)</f>
        <v>3ACH Percentile 1 inf+ New 15</v>
      </c>
      <c r="H1046" s="360">
        <v>2.8819057217772486E-2</v>
      </c>
      <c r="I1046" s="360">
        <v>0.24662349150104876</v>
      </c>
      <c r="J1046" s="360">
        <v>1.3166897200735483</v>
      </c>
      <c r="K1046" s="360">
        <v>2969.4871338822263</v>
      </c>
      <c r="L1046" s="360">
        <v>0.22019275170631528</v>
      </c>
      <c r="M1046" s="360">
        <v>1.4674041222789753</v>
      </c>
      <c r="N1046" s="360">
        <v>1.2213534592752973</v>
      </c>
      <c r="O1046" s="360">
        <v>0.24786605218593674</v>
      </c>
      <c r="P1046" s="360">
        <v>1.3166911285520395</v>
      </c>
      <c r="Q1046" s="360">
        <v>1945.9725550656099</v>
      </c>
      <c r="R1046" s="360">
        <v>4630.3801888022645</v>
      </c>
      <c r="S1046" s="360">
        <v>0.19543685891133089</v>
      </c>
      <c r="T1046" s="360">
        <v>1.6513005191119074</v>
      </c>
      <c r="U1046" s="360">
        <v>1.717958586407462</v>
      </c>
      <c r="V1046" s="360">
        <v>0.25857633951569858</v>
      </c>
      <c r="W1046" s="360">
        <v>1.3166905707676242</v>
      </c>
      <c r="X1046" s="360">
        <v>2994.9415682548611</v>
      </c>
      <c r="Y1046" s="360">
        <v>0.25196190983585193</v>
      </c>
      <c r="Z1046" s="360">
        <v>1.278065805310169</v>
      </c>
      <c r="AA1046" s="360">
        <v>2696.5515670358136</v>
      </c>
      <c r="AB1046" s="360">
        <v>0.2278929697079799</v>
      </c>
      <c r="AC1046" s="360">
        <v>1.419846770342472</v>
      </c>
      <c r="AD1046" s="360">
        <v>1.2005191055074202</v>
      </c>
      <c r="AE1046" s="360">
        <v>0.25675946800923949</v>
      </c>
      <c r="AF1046" s="360">
        <v>1.2780696768850388</v>
      </c>
      <c r="AG1046" s="360">
        <v>1466.633926196125</v>
      </c>
      <c r="AH1046" s="360">
        <v>5087.64854897435</v>
      </c>
      <c r="AI1046" s="360">
        <v>0.19225459219674657</v>
      </c>
      <c r="AJ1046" s="360">
        <v>1.6874762284149289</v>
      </c>
      <c r="AK1046" s="360">
        <v>1.7775169560385293</v>
      </c>
      <c r="AL1046" s="360">
        <v>0.26889550160933784</v>
      </c>
      <c r="AM1046" s="360">
        <v>1.278066773303616</v>
      </c>
      <c r="AN1046" s="360">
        <v>2769.4156367821192</v>
      </c>
      <c r="AO1046" s="360">
        <f t="shared" si="45"/>
        <v>1</v>
      </c>
      <c r="AP1046" s="360">
        <f t="shared" si="46"/>
        <v>1</v>
      </c>
      <c r="AQ1046" s="360">
        <f t="shared" si="47"/>
        <v>1</v>
      </c>
    </row>
    <row r="1047" spans="1:43">
      <c r="A1047" s="360" t="s">
        <v>1083</v>
      </c>
      <c r="B1047" t="s">
        <v>1074</v>
      </c>
      <c r="C1047">
        <v>1</v>
      </c>
      <c r="D1047" t="s">
        <v>1078</v>
      </c>
      <c r="E1047" t="s">
        <v>1079</v>
      </c>
      <c r="F1047" s="360">
        <v>15</v>
      </c>
      <c r="G1047" s="360" t="str">
        <f>CONCATENATE(A1047," ",B1047," ",C1047," ","inf+"," ",FanUpsizes!D1047," ",FanUpsizes!F1047)</f>
        <v>3ACH Infiltration 1 inf+ New 15</v>
      </c>
      <c r="H1047" s="360">
        <v>2.8819057217772486E-2</v>
      </c>
      <c r="I1047" s="360">
        <v>0.24662349150104876</v>
      </c>
      <c r="J1047" s="360">
        <v>1.3166897200735483</v>
      </c>
      <c r="K1047" s="360">
        <v>0</v>
      </c>
      <c r="L1047" s="360">
        <v>0.24662349150104876</v>
      </c>
      <c r="M1047" s="360">
        <v>1.3166897200735483</v>
      </c>
      <c r="N1047" s="360">
        <v>1</v>
      </c>
      <c r="O1047" s="360">
        <v>0.24662349150104876</v>
      </c>
      <c r="P1047" s="360">
        <v>1.3166897200735483</v>
      </c>
      <c r="Q1047" s="360">
        <v>0</v>
      </c>
      <c r="R1047" s="360">
        <v>1578.2255162764432</v>
      </c>
      <c r="S1047" s="360">
        <v>0.23244899048572773</v>
      </c>
      <c r="T1047" s="360">
        <v>1.382029693555973</v>
      </c>
      <c r="U1047" s="360">
        <v>1.0827519843410844</v>
      </c>
      <c r="V1047" s="360">
        <v>0.2434405203366104</v>
      </c>
      <c r="W1047" s="360">
        <v>1.3166910087772046</v>
      </c>
      <c r="X1047" s="360">
        <v>1099.1630396026067</v>
      </c>
      <c r="Y1047" s="360">
        <v>0.25196190983585193</v>
      </c>
      <c r="Z1047" s="360">
        <v>1.278065805310169</v>
      </c>
      <c r="AA1047" s="360">
        <v>0</v>
      </c>
      <c r="AB1047" s="360">
        <v>0.25196190983585193</v>
      </c>
      <c r="AC1047" s="360">
        <v>1.278065805310169</v>
      </c>
      <c r="AD1047" s="360">
        <v>1</v>
      </c>
      <c r="AE1047" s="360">
        <v>0.25196190983585193</v>
      </c>
      <c r="AF1047" s="360">
        <v>1.278065805310169</v>
      </c>
      <c r="AG1047" s="360">
        <v>0</v>
      </c>
      <c r="AH1047" s="360">
        <v>2028.5088839707794</v>
      </c>
      <c r="AI1047" s="360">
        <v>0.23363912351018526</v>
      </c>
      <c r="AJ1047" s="360">
        <v>1.3740810565623076</v>
      </c>
      <c r="AK1047" s="360">
        <v>1.1166347074481158</v>
      </c>
      <c r="AL1047" s="360">
        <v>0.25168323216153099</v>
      </c>
      <c r="AM1047" s="360">
        <v>1.2780658049764455</v>
      </c>
      <c r="AN1047" s="360">
        <v>1163.2088328182115</v>
      </c>
      <c r="AO1047" s="360">
        <f t="shared" si="45"/>
        <v>1</v>
      </c>
      <c r="AP1047" s="360">
        <f t="shared" si="46"/>
        <v>0</v>
      </c>
      <c r="AQ1047" s="360">
        <f t="shared" si="47"/>
        <v>0</v>
      </c>
    </row>
    <row r="1048" spans="1:43">
      <c r="A1048" s="360" t="s">
        <v>1083</v>
      </c>
      <c r="B1048" t="s">
        <v>1076</v>
      </c>
      <c r="C1048">
        <v>1</v>
      </c>
      <c r="D1048" t="s">
        <v>1078</v>
      </c>
      <c r="E1048" t="s">
        <v>1079</v>
      </c>
      <c r="F1048" s="360">
        <v>15</v>
      </c>
      <c r="G1048" s="360" t="str">
        <f>CONCATENATE(A1048," ",B1048," ",C1048," ","inf+"," ",FanUpsizes!D1048," ",FanUpsizes!F1048)</f>
        <v>3ACH 5C 1 inf+ New 15</v>
      </c>
      <c r="H1048" s="360">
        <v>2.8819057217772486E-2</v>
      </c>
      <c r="I1048" s="360">
        <v>0.24662349150104876</v>
      </c>
      <c r="J1048" s="360">
        <v>1.3166897200735483</v>
      </c>
      <c r="K1048" s="360">
        <v>5714.3181663556661</v>
      </c>
      <c r="L1048" s="360">
        <v>0.18437912363061792</v>
      </c>
      <c r="M1048" s="360">
        <v>1.7904002204774143</v>
      </c>
      <c r="N1048" s="360">
        <v>3.23420966605025</v>
      </c>
      <c r="O1048" s="360">
        <v>0.37937129049600732</v>
      </c>
      <c r="P1048" s="360">
        <v>1.3166900725990742</v>
      </c>
      <c r="Q1048" s="360">
        <v>2144.7745116434539</v>
      </c>
      <c r="R1048" s="360">
        <v>5714.3181663556661</v>
      </c>
      <c r="S1048" s="360">
        <v>0.18437912363061792</v>
      </c>
      <c r="T1048" s="360">
        <v>1.7904002204774143</v>
      </c>
      <c r="U1048" s="360">
        <v>3.23420966605025</v>
      </c>
      <c r="V1048" s="360">
        <v>0.37937129049600732</v>
      </c>
      <c r="W1048" s="360">
        <v>1.3166900725990742</v>
      </c>
      <c r="X1048" s="360">
        <v>2144.7745116434539</v>
      </c>
      <c r="Y1048" s="360">
        <v>0.25196190983585193</v>
      </c>
      <c r="Z1048" s="360">
        <v>1.278065805310169</v>
      </c>
      <c r="AA1048" s="360">
        <v>5621.0536083532215</v>
      </c>
      <c r="AB1048" s="360">
        <v>0.18924227563282525</v>
      </c>
      <c r="AC1048" s="360">
        <v>1.7552727752118167</v>
      </c>
      <c r="AD1048" s="360">
        <v>3.8578081920176488</v>
      </c>
      <c r="AE1048" s="360">
        <v>0.43657942174400838</v>
      </c>
      <c r="AF1048" s="360">
        <v>1.2780665585169966</v>
      </c>
      <c r="AG1048" s="360">
        <v>1100.9317764961429</v>
      </c>
      <c r="AH1048" s="360">
        <v>5621.0536083532215</v>
      </c>
      <c r="AI1048" s="360">
        <v>0.18924227563282525</v>
      </c>
      <c r="AJ1048" s="360">
        <v>1.7552727752118167</v>
      </c>
      <c r="AK1048" s="360">
        <v>3.8578081920176488</v>
      </c>
      <c r="AL1048" s="360">
        <v>0.43657942174400838</v>
      </c>
      <c r="AM1048" s="360">
        <v>1.2780665585169966</v>
      </c>
      <c r="AN1048" s="360">
        <v>1100.9317764961429</v>
      </c>
      <c r="AO1048" s="360">
        <f t="shared" si="45"/>
        <v>1</v>
      </c>
      <c r="AP1048" s="360">
        <f t="shared" si="46"/>
        <v>1</v>
      </c>
      <c r="AQ1048" s="360">
        <f t="shared" si="47"/>
        <v>1</v>
      </c>
    </row>
    <row r="1049" spans="1:43">
      <c r="A1049" s="360" t="s">
        <v>1083</v>
      </c>
      <c r="B1049" t="s">
        <v>1075</v>
      </c>
      <c r="C1049">
        <v>2</v>
      </c>
      <c r="D1049" t="s">
        <v>1078</v>
      </c>
      <c r="E1049" t="s">
        <v>1079</v>
      </c>
      <c r="F1049" s="360">
        <v>15</v>
      </c>
      <c r="G1049" s="360" t="str">
        <f>CONCATENATE(A1049," ",B1049," ",C1049," ","inf+"," ",FanUpsizes!D1049," ",FanUpsizes!F1049)</f>
        <v>3ACH Percentile 2 inf+ New 15</v>
      </c>
      <c r="H1049" s="360">
        <v>2.4203464220278206E-2</v>
      </c>
      <c r="I1049" s="360">
        <v>0.2600689093694879</v>
      </c>
      <c r="J1049" s="360">
        <v>1.2870872614456674</v>
      </c>
      <c r="K1049" s="360">
        <v>2493.9009994112885</v>
      </c>
      <c r="L1049" s="360">
        <v>0.23787125522336758</v>
      </c>
      <c r="M1049" s="360">
        <v>1.3757871461325657</v>
      </c>
      <c r="N1049" s="360">
        <v>1.1743979371835234</v>
      </c>
      <c r="O1049" s="360">
        <v>0.25234287298078806</v>
      </c>
      <c r="P1049" s="360">
        <v>1.2870883671435018</v>
      </c>
      <c r="Q1049" s="360">
        <v>1949.1156063355293</v>
      </c>
      <c r="R1049" s="360">
        <v>3842.1134521644053</v>
      </c>
      <c r="S1049" s="360">
        <v>0.21828898843989553</v>
      </c>
      <c r="T1049" s="360">
        <v>1.4940332406808976</v>
      </c>
      <c r="U1049" s="360">
        <v>1.4965511010228223</v>
      </c>
      <c r="V1049" s="360">
        <v>0.25109674231339701</v>
      </c>
      <c r="W1049" s="360">
        <v>1.2870872667893751</v>
      </c>
      <c r="X1049" s="360">
        <v>2946.2266432528468</v>
      </c>
      <c r="Y1049" s="360">
        <v>0.24971839187875702</v>
      </c>
      <c r="Z1049" s="360">
        <v>1.3106642718542367</v>
      </c>
      <c r="AA1049" s="360">
        <v>1658.0681032463167</v>
      </c>
      <c r="AB1049" s="360">
        <v>0.23496281935251248</v>
      </c>
      <c r="AC1049" s="360">
        <v>1.376300865161552</v>
      </c>
      <c r="AD1049" s="360">
        <v>1.1034695725770249</v>
      </c>
      <c r="AE1049" s="360">
        <v>0.24600499750298929</v>
      </c>
      <c r="AF1049" s="360">
        <v>1.3106647072779323</v>
      </c>
      <c r="AG1049" s="360">
        <v>1204.2397142704995</v>
      </c>
      <c r="AH1049" s="360">
        <v>3264.5140265501768</v>
      </c>
      <c r="AI1049" s="360">
        <v>0.21081534882789554</v>
      </c>
      <c r="AJ1049" s="360">
        <v>1.5430557504362179</v>
      </c>
      <c r="AK1049" s="360">
        <v>1.5149910653734378</v>
      </c>
      <c r="AL1049" s="360">
        <v>0.24789178588328814</v>
      </c>
      <c r="AM1049" s="360">
        <v>1.3106646907169013</v>
      </c>
      <c r="AN1049" s="360">
        <v>2256.7208500339043</v>
      </c>
      <c r="AO1049" s="360">
        <f t="shared" si="45"/>
        <v>1</v>
      </c>
      <c r="AP1049" s="360">
        <f t="shared" si="46"/>
        <v>1</v>
      </c>
      <c r="AQ1049" s="360">
        <f t="shared" si="47"/>
        <v>1</v>
      </c>
    </row>
    <row r="1050" spans="1:43">
      <c r="A1050" s="360" t="s">
        <v>1083</v>
      </c>
      <c r="B1050" t="s">
        <v>1074</v>
      </c>
      <c r="C1050">
        <v>2</v>
      </c>
      <c r="D1050" t="s">
        <v>1078</v>
      </c>
      <c r="E1050" t="s">
        <v>1079</v>
      </c>
      <c r="F1050" s="360">
        <v>15</v>
      </c>
      <c r="G1050" s="360" t="str">
        <f>CONCATENATE(A1050," ",B1050," ",C1050," ","inf+"," ",FanUpsizes!D1050," ",FanUpsizes!F1050)</f>
        <v>3ACH Infiltration 2 inf+ New 15</v>
      </c>
      <c r="H1050" s="360">
        <v>2.4203464220278206E-2</v>
      </c>
      <c r="I1050" s="360">
        <v>0.2600689093694879</v>
      </c>
      <c r="J1050" s="360">
        <v>1.2870872614456674</v>
      </c>
      <c r="K1050" s="360">
        <v>0</v>
      </c>
      <c r="L1050" s="360">
        <v>0.2600689093694879</v>
      </c>
      <c r="M1050" s="360">
        <v>1.2870872614456674</v>
      </c>
      <c r="N1050" s="360">
        <v>1</v>
      </c>
      <c r="O1050" s="360">
        <v>0.2600689093694879</v>
      </c>
      <c r="P1050" s="360">
        <v>1.2870872614456674</v>
      </c>
      <c r="Q1050" s="360">
        <v>0</v>
      </c>
      <c r="R1050" s="360">
        <v>2024.476379398224</v>
      </c>
      <c r="S1050" s="360">
        <v>0.23995132938313299</v>
      </c>
      <c r="T1050" s="360">
        <v>1.3665097279927991</v>
      </c>
      <c r="U1050" s="360">
        <v>1.1489673532205549</v>
      </c>
      <c r="V1050" s="360">
        <v>0.25255098592979713</v>
      </c>
      <c r="W1050" s="360">
        <v>1.2870914884422431</v>
      </c>
      <c r="X1050" s="360">
        <v>1490.4693617371438</v>
      </c>
      <c r="Y1050" s="360">
        <v>0.24971839187875702</v>
      </c>
      <c r="Z1050" s="360">
        <v>1.3106642718542367</v>
      </c>
      <c r="AA1050" s="360">
        <v>0</v>
      </c>
      <c r="AB1050" s="360">
        <v>0.24971839187875702</v>
      </c>
      <c r="AC1050" s="360">
        <v>1.3106642718542367</v>
      </c>
      <c r="AD1050" s="360">
        <v>1</v>
      </c>
      <c r="AE1050" s="360">
        <v>0.24971839187875702</v>
      </c>
      <c r="AF1050" s="360">
        <v>1.3106642718542367</v>
      </c>
      <c r="AG1050" s="360">
        <v>0</v>
      </c>
      <c r="AH1050" s="360">
        <v>2061.3292965843234</v>
      </c>
      <c r="AI1050" s="360">
        <v>0.22896206208607653</v>
      </c>
      <c r="AJ1050" s="360">
        <v>1.410830997761656</v>
      </c>
      <c r="AK1050" s="360">
        <v>1.1667144937696976</v>
      </c>
      <c r="AL1050" s="360">
        <v>0.24543353850723604</v>
      </c>
      <c r="AM1050" s="360">
        <v>1.3106643044102948</v>
      </c>
      <c r="AN1050" s="360">
        <v>1411.5662424668374</v>
      </c>
      <c r="AO1050" s="360">
        <f t="shared" si="45"/>
        <v>1</v>
      </c>
      <c r="AP1050" s="360">
        <f t="shared" si="46"/>
        <v>0</v>
      </c>
      <c r="AQ1050" s="360">
        <f t="shared" si="47"/>
        <v>0</v>
      </c>
    </row>
    <row r="1051" spans="1:43">
      <c r="A1051" s="360" t="s">
        <v>1083</v>
      </c>
      <c r="B1051" t="s">
        <v>1076</v>
      </c>
      <c r="C1051">
        <v>2</v>
      </c>
      <c r="D1051" t="s">
        <v>1078</v>
      </c>
      <c r="E1051" t="s">
        <v>1079</v>
      </c>
      <c r="F1051" s="360">
        <v>15</v>
      </c>
      <c r="G1051" s="360" t="str">
        <f>CONCATENATE(A1051," ",B1051," ",C1051," ","inf+"," ",FanUpsizes!D1051," ",FanUpsizes!F1051)</f>
        <v>3ACH 5C 2 inf+ New 15</v>
      </c>
      <c r="H1051" s="360">
        <v>2.4203464220278206E-2</v>
      </c>
      <c r="I1051" s="360">
        <v>0.2600689093694879</v>
      </c>
      <c r="J1051" s="360">
        <v>1.2870872614456674</v>
      </c>
      <c r="K1051" s="360">
        <v>4794.3541715034826</v>
      </c>
      <c r="L1051" s="360">
        <v>0.20788351942009067</v>
      </c>
      <c r="M1051" s="360">
        <v>1.5710102409358309</v>
      </c>
      <c r="N1051" s="360">
        <v>1.9251932371611022</v>
      </c>
      <c r="O1051" s="360">
        <v>0.2660716970587147</v>
      </c>
      <c r="P1051" s="360">
        <v>1.2870873408702876</v>
      </c>
      <c r="Q1051" s="360">
        <v>3800.3953011082226</v>
      </c>
      <c r="R1051" s="360">
        <v>4794.3541715034826</v>
      </c>
      <c r="S1051" s="360">
        <v>0.20788351942009067</v>
      </c>
      <c r="T1051" s="360">
        <v>1.5710102409358309</v>
      </c>
      <c r="U1051" s="360">
        <v>1.9251932371611022</v>
      </c>
      <c r="V1051" s="360">
        <v>0.2660716970587147</v>
      </c>
      <c r="W1051" s="360">
        <v>1.2870873408702876</v>
      </c>
      <c r="X1051" s="360">
        <v>3800.3953011082226</v>
      </c>
      <c r="Y1051" s="360">
        <v>0.24971839187875702</v>
      </c>
      <c r="Z1051" s="360">
        <v>1.3106642718542367</v>
      </c>
      <c r="AA1051" s="360">
        <v>3528.5980391484645</v>
      </c>
      <c r="AB1051" s="360">
        <v>0.21024702016318683</v>
      </c>
      <c r="AC1051" s="360">
        <v>1.5475972274106506</v>
      </c>
      <c r="AD1051" s="360">
        <v>1.7187807858776349</v>
      </c>
      <c r="AE1051" s="360">
        <v>0.25824419972686208</v>
      </c>
      <c r="AF1051" s="360">
        <v>1.310664571978843</v>
      </c>
      <c r="AG1051" s="360">
        <v>2667.242830997171</v>
      </c>
      <c r="AH1051" s="360">
        <v>3528.5980391484645</v>
      </c>
      <c r="AI1051" s="360">
        <v>0.21024702016318683</v>
      </c>
      <c r="AJ1051" s="360">
        <v>1.5475972274106506</v>
      </c>
      <c r="AK1051" s="360">
        <v>1.7187807858776349</v>
      </c>
      <c r="AL1051" s="360">
        <v>0.25824419972686208</v>
      </c>
      <c r="AM1051" s="360">
        <v>1.310664571978843</v>
      </c>
      <c r="AN1051" s="360">
        <v>2667.242830997171</v>
      </c>
      <c r="AO1051" s="360">
        <f t="shared" si="45"/>
        <v>1</v>
      </c>
      <c r="AP1051" s="360">
        <f t="shared" si="46"/>
        <v>1</v>
      </c>
      <c r="AQ1051" s="360">
        <f t="shared" si="47"/>
        <v>1</v>
      </c>
    </row>
    <row r="1052" spans="1:43">
      <c r="A1052" s="360" t="s">
        <v>1083</v>
      </c>
      <c r="B1052" t="s">
        <v>1075</v>
      </c>
      <c r="C1052">
        <v>1</v>
      </c>
      <c r="D1052" t="s">
        <v>1080</v>
      </c>
      <c r="E1052" t="s">
        <v>1079</v>
      </c>
      <c r="F1052" s="360">
        <v>15</v>
      </c>
      <c r="G1052" s="360" t="str">
        <f>CONCATENATE(A1052," ",B1052," ",C1052," ","inf+"," ",FanUpsizes!D1052," ",FanUpsizes!F1052)</f>
        <v>3ACH Percentile 1 inf+ Existing 15</v>
      </c>
      <c r="H1052" s="360">
        <v>4.506905721777249E-2</v>
      </c>
      <c r="I1052" s="360">
        <v>0.33834243790071428</v>
      </c>
      <c r="J1052" s="360">
        <v>1.2995380033877157</v>
      </c>
      <c r="K1052" s="360">
        <v>4646.2701488103821</v>
      </c>
      <c r="L1052" s="360">
        <v>0.29698390821894571</v>
      </c>
      <c r="M1052" s="360">
        <v>1.5618022798412836</v>
      </c>
      <c r="N1052" s="360">
        <v>1.3427119690354177</v>
      </c>
      <c r="O1052" s="360">
        <v>0.38189083435549492</v>
      </c>
      <c r="P1052" s="360">
        <v>1.2995383918172714</v>
      </c>
      <c r="Q1052" s="360">
        <v>902.25087117953922</v>
      </c>
      <c r="R1052" s="360">
        <v>8048.0608098596203</v>
      </c>
      <c r="S1052" s="360">
        <v>0.24457649024583661</v>
      </c>
      <c r="T1052" s="360">
        <v>1.8860552736862415</v>
      </c>
      <c r="U1052" s="360">
        <v>2.1263574964145766</v>
      </c>
      <c r="V1052" s="360">
        <v>0.42292872792147634</v>
      </c>
      <c r="W1052" s="360">
        <v>1.299538015480878</v>
      </c>
      <c r="X1052" s="360">
        <v>2819.7018718737104</v>
      </c>
      <c r="Y1052" s="360">
        <v>0.35944257123850482</v>
      </c>
      <c r="Z1052" s="360">
        <v>1.2246082997255019</v>
      </c>
      <c r="AA1052" s="360">
        <v>5434.2233868593867</v>
      </c>
      <c r="AB1052" s="360">
        <v>0.31087269998803235</v>
      </c>
      <c r="AC1052" s="360">
        <v>1.5067158541824877</v>
      </c>
      <c r="AD1052" s="360">
        <v>1.44207732880491</v>
      </c>
      <c r="AE1052" s="360">
        <v>0.41708745589257507</v>
      </c>
      <c r="AF1052" s="360">
        <v>1.2246095779808679</v>
      </c>
      <c r="AG1052" s="360">
        <v>805.33506949278194</v>
      </c>
      <c r="AH1052" s="360">
        <v>9752.148461077566</v>
      </c>
      <c r="AI1052" s="360">
        <v>0.247037002845853</v>
      </c>
      <c r="AJ1052" s="360">
        <v>1.8771288951135781</v>
      </c>
      <c r="AK1052" s="360">
        <v>2.2508392864696218</v>
      </c>
      <c r="AL1052" s="360">
        <v>0.45639590494504428</v>
      </c>
      <c r="AM1052" s="360">
        <v>1.2246099137447486</v>
      </c>
      <c r="AN1052" s="360">
        <v>2938.8558612080869</v>
      </c>
      <c r="AO1052" s="360">
        <f t="shared" si="45"/>
        <v>1</v>
      </c>
      <c r="AP1052" s="360">
        <f t="shared" si="46"/>
        <v>1</v>
      </c>
      <c r="AQ1052" s="360">
        <f t="shared" si="47"/>
        <v>1</v>
      </c>
    </row>
    <row r="1053" spans="1:43">
      <c r="A1053" s="360" t="s">
        <v>1083</v>
      </c>
      <c r="B1053" t="s">
        <v>1074</v>
      </c>
      <c r="C1053">
        <v>1</v>
      </c>
      <c r="D1053" t="s">
        <v>1080</v>
      </c>
      <c r="E1053" t="s">
        <v>1079</v>
      </c>
      <c r="F1053" s="360">
        <v>15</v>
      </c>
      <c r="G1053" s="360" t="str">
        <f>CONCATENATE(A1053," ",B1053," ",C1053," ","inf+"," ",FanUpsizes!D1053," ",FanUpsizes!F1053)</f>
        <v>3ACH Infiltration 1 inf+ Existing 15</v>
      </c>
      <c r="H1053" s="360">
        <v>4.506905721777249E-2</v>
      </c>
      <c r="I1053" s="360">
        <v>0.33834243790071428</v>
      </c>
      <c r="J1053" s="360">
        <v>1.2995380033877157</v>
      </c>
      <c r="K1053" s="360">
        <v>0</v>
      </c>
      <c r="L1053" s="360">
        <v>0.33834243790071428</v>
      </c>
      <c r="M1053" s="360">
        <v>1.2995380033877157</v>
      </c>
      <c r="N1053" s="360">
        <v>1</v>
      </c>
      <c r="O1053" s="360">
        <v>0.33834243790071428</v>
      </c>
      <c r="P1053" s="360">
        <v>1.2995380033877157</v>
      </c>
      <c r="Q1053" s="360">
        <v>0</v>
      </c>
      <c r="R1053" s="360">
        <v>46.791082002323847</v>
      </c>
      <c r="S1053" s="360">
        <v>0.33801017056974497</v>
      </c>
      <c r="T1053" s="360">
        <v>1.3007023373355491</v>
      </c>
      <c r="U1053" s="360">
        <v>1.0010422278971849</v>
      </c>
      <c r="V1053" s="360">
        <v>0.33830814685589206</v>
      </c>
      <c r="W1053" s="360">
        <v>1.2995429445666553</v>
      </c>
      <c r="X1053" s="360">
        <v>30.760393477136763</v>
      </c>
      <c r="Y1053" s="360">
        <v>0.35944257123850482</v>
      </c>
      <c r="Z1053" s="360">
        <v>1.2246082997255019</v>
      </c>
      <c r="AA1053" s="360">
        <v>0</v>
      </c>
      <c r="AB1053" s="360">
        <v>0.35944257123850482</v>
      </c>
      <c r="AC1053" s="360">
        <v>1.2246082997255019</v>
      </c>
      <c r="AD1053" s="360">
        <v>1</v>
      </c>
      <c r="AE1053" s="360">
        <v>0.35944257123850482</v>
      </c>
      <c r="AF1053" s="360">
        <v>1.2246082997255019</v>
      </c>
      <c r="AG1053" s="360">
        <v>0</v>
      </c>
      <c r="AH1053" s="360">
        <v>68.368433448870178</v>
      </c>
      <c r="AI1053" s="360">
        <v>0.35895591003831195</v>
      </c>
      <c r="AJ1053" s="360">
        <v>1.2263882269481372</v>
      </c>
      <c r="AK1053" s="360">
        <v>1.0016796607972398</v>
      </c>
      <c r="AL1053" s="360">
        <v>0.35947305950800762</v>
      </c>
      <c r="AM1053" s="360">
        <v>1.2246119470277435</v>
      </c>
      <c r="AN1053" s="360">
        <v>37.779888584447619</v>
      </c>
      <c r="AO1053" s="360">
        <f t="shared" si="45"/>
        <v>1</v>
      </c>
      <c r="AP1053" s="360">
        <f t="shared" si="46"/>
        <v>0</v>
      </c>
      <c r="AQ1053" s="360">
        <f t="shared" si="47"/>
        <v>0</v>
      </c>
    </row>
    <row r="1054" spans="1:43">
      <c r="A1054" s="360" t="s">
        <v>1083</v>
      </c>
      <c r="B1054" t="s">
        <v>1076</v>
      </c>
      <c r="C1054">
        <v>1</v>
      </c>
      <c r="D1054" t="s">
        <v>1080</v>
      </c>
      <c r="E1054" t="s">
        <v>1079</v>
      </c>
      <c r="F1054" s="360">
        <v>15</v>
      </c>
      <c r="G1054" s="360" t="str">
        <f>CONCATENATE(A1054," ",B1054," ",C1054," ","inf+"," ",FanUpsizes!D1054," ",FanUpsizes!F1054)</f>
        <v>3ACH 5C 1 inf+ Existing 15</v>
      </c>
      <c r="H1054" s="360">
        <v>4.506905721777249E-2</v>
      </c>
      <c r="I1054" s="360">
        <v>0.33834243790071428</v>
      </c>
      <c r="J1054" s="360">
        <v>1.2995380033877157</v>
      </c>
      <c r="K1054" s="360">
        <v>9544.3681826729444</v>
      </c>
      <c r="L1054" s="360">
        <v>0.23199632701718373</v>
      </c>
      <c r="M1054" s="360">
        <v>2.1408919366804668</v>
      </c>
      <c r="N1054" s="360">
        <v>8.8752688583479937</v>
      </c>
      <c r="O1054" s="360">
        <v>1.3207983636544867</v>
      </c>
      <c r="P1054" s="360">
        <v>1.5662270108033165</v>
      </c>
      <c r="Q1054" s="360">
        <v>-10456.830383464585</v>
      </c>
      <c r="R1054" s="360">
        <v>9544.3681826729444</v>
      </c>
      <c r="S1054" s="360">
        <v>0.23199632701718373</v>
      </c>
      <c r="T1054" s="360">
        <v>2.1408919366804668</v>
      </c>
      <c r="U1054" s="360">
        <v>8.8752688583479937</v>
      </c>
      <c r="V1054" s="360">
        <v>1.3207983636544867</v>
      </c>
      <c r="W1054" s="360">
        <v>1.5662270108033165</v>
      </c>
      <c r="X1054" s="360">
        <v>-10456.830383464585</v>
      </c>
      <c r="Y1054" s="360">
        <v>0.35944257123850482</v>
      </c>
      <c r="Z1054" s="360">
        <v>1.2246082997255019</v>
      </c>
      <c r="AA1054" s="360">
        <v>11061.94305113952</v>
      </c>
      <c r="AB1054" s="360">
        <v>0.23660751511117994</v>
      </c>
      <c r="AC1054" s="360">
        <v>2.1199631015724933</v>
      </c>
      <c r="AD1054" s="360">
        <v>8.8752688583479937</v>
      </c>
      <c r="AE1054" s="360">
        <v>1.3213740752186334</v>
      </c>
      <c r="AF1054" s="360">
        <v>1.5661907988188637</v>
      </c>
      <c r="AG1054" s="360">
        <v>-8844.9199914639175</v>
      </c>
      <c r="AH1054" s="360">
        <v>11061.94305113952</v>
      </c>
      <c r="AI1054" s="360">
        <v>0.23660751511117994</v>
      </c>
      <c r="AJ1054" s="360">
        <v>2.1199631015724933</v>
      </c>
      <c r="AK1054" s="360">
        <v>8.8752688583479937</v>
      </c>
      <c r="AL1054" s="360">
        <v>1.3213740752186334</v>
      </c>
      <c r="AM1054" s="360">
        <v>1.5661907988188637</v>
      </c>
      <c r="AN1054" s="360">
        <v>-8844.9199914639175</v>
      </c>
      <c r="AO1054" s="360">
        <f t="shared" si="45"/>
        <v>0</v>
      </c>
      <c r="AP1054" s="360">
        <f t="shared" si="46"/>
        <v>1</v>
      </c>
      <c r="AQ1054" s="360">
        <f t="shared" si="47"/>
        <v>1</v>
      </c>
    </row>
    <row r="1055" spans="1:43">
      <c r="A1055" s="360" t="s">
        <v>1083</v>
      </c>
      <c r="B1055" t="s">
        <v>1075</v>
      </c>
      <c r="C1055">
        <v>2</v>
      </c>
      <c r="D1055" t="s">
        <v>1080</v>
      </c>
      <c r="E1055" t="s">
        <v>1079</v>
      </c>
      <c r="F1055" s="360">
        <v>15</v>
      </c>
      <c r="G1055" s="360" t="str">
        <f>CONCATENATE(A1055," ",B1055," ",C1055," ","inf+"," ",FanUpsizes!D1055," ",FanUpsizes!F1055)</f>
        <v>3ACH Percentile 2 inf+ Existing 15</v>
      </c>
      <c r="H1055" s="360">
        <v>4.0453464220278207E-2</v>
      </c>
      <c r="I1055" s="360">
        <v>0.33633039157395145</v>
      </c>
      <c r="J1055" s="360">
        <v>1.3225349709442311</v>
      </c>
      <c r="K1055" s="360">
        <v>4168.2849170029085</v>
      </c>
      <c r="L1055" s="360">
        <v>0.2992294212499686</v>
      </c>
      <c r="M1055" s="360">
        <v>1.4918662641065268</v>
      </c>
      <c r="N1055" s="360">
        <v>1.2423245911847944</v>
      </c>
      <c r="O1055" s="360">
        <v>0.34360637106067371</v>
      </c>
      <c r="P1055" s="360">
        <v>1.3225355747291108</v>
      </c>
      <c r="Q1055" s="360">
        <v>2481.047366515972</v>
      </c>
      <c r="R1055" s="360">
        <v>6551.9501866972114</v>
      </c>
      <c r="S1055" s="360">
        <v>0.26334841303172335</v>
      </c>
      <c r="T1055" s="360">
        <v>1.6942338154797634</v>
      </c>
      <c r="U1055" s="360">
        <v>1.8035656396944413</v>
      </c>
      <c r="V1055" s="360">
        <v>0.36394616647203459</v>
      </c>
      <c r="W1055" s="360">
        <v>1.322535342711102</v>
      </c>
      <c r="X1055" s="360">
        <v>3936.2307531813826</v>
      </c>
      <c r="Y1055" s="360">
        <v>0.34702982445654024</v>
      </c>
      <c r="Z1055" s="360">
        <v>1.2742813160518225</v>
      </c>
      <c r="AA1055" s="360">
        <v>3988.8066524855094</v>
      </c>
      <c r="AB1055" s="360">
        <v>0.31141478271314366</v>
      </c>
      <c r="AC1055" s="360">
        <v>1.4390604375158829</v>
      </c>
      <c r="AD1055" s="360">
        <v>1.2359490447562478</v>
      </c>
      <c r="AE1055" s="360">
        <v>0.35972387429487124</v>
      </c>
      <c r="AF1055" s="360">
        <v>1.2742814411549677</v>
      </c>
      <c r="AG1055" s="360">
        <v>1917.3766556017022</v>
      </c>
      <c r="AH1055" s="360">
        <v>7445.1471015609204</v>
      </c>
      <c r="AI1055" s="360">
        <v>0.25999849856348112</v>
      </c>
      <c r="AJ1055" s="360">
        <v>1.726650119426407</v>
      </c>
      <c r="AK1055" s="360">
        <v>1.8567068246235796</v>
      </c>
      <c r="AL1055" s="360">
        <v>0.38052053213885523</v>
      </c>
      <c r="AM1055" s="360">
        <v>1.274281420728687</v>
      </c>
      <c r="AN1055" s="360">
        <v>3735.9524880692825</v>
      </c>
      <c r="AO1055" s="360">
        <f t="shared" si="45"/>
        <v>1</v>
      </c>
      <c r="AP1055" s="360">
        <f t="shared" si="46"/>
        <v>1</v>
      </c>
      <c r="AQ1055" s="360">
        <f t="shared" si="47"/>
        <v>1</v>
      </c>
    </row>
    <row r="1056" spans="1:43">
      <c r="A1056" s="360" t="s">
        <v>1083</v>
      </c>
      <c r="B1056" t="s">
        <v>1074</v>
      </c>
      <c r="C1056">
        <v>2</v>
      </c>
      <c r="D1056" t="s">
        <v>1080</v>
      </c>
      <c r="E1056" t="s">
        <v>1079</v>
      </c>
      <c r="F1056" s="360">
        <v>15</v>
      </c>
      <c r="G1056" s="360" t="str">
        <f>CONCATENATE(A1056," ",B1056," ",C1056," ","inf+"," ",FanUpsizes!D1056," ",FanUpsizes!F1056)</f>
        <v>3ACH Infiltration 2 inf+ Existing 15</v>
      </c>
      <c r="H1056" s="360">
        <v>4.0453464220278207E-2</v>
      </c>
      <c r="I1056" s="360">
        <v>0.33633039157395145</v>
      </c>
      <c r="J1056" s="360">
        <v>1.3225349709442311</v>
      </c>
      <c r="K1056" s="360">
        <v>0</v>
      </c>
      <c r="L1056" s="360">
        <v>0.33633039157395145</v>
      </c>
      <c r="M1056" s="360">
        <v>1.3225349709442311</v>
      </c>
      <c r="N1056" s="360">
        <v>1</v>
      </c>
      <c r="O1056" s="360">
        <v>0.33633039157395145</v>
      </c>
      <c r="P1056" s="360">
        <v>1.3225349709442311</v>
      </c>
      <c r="Q1056" s="360">
        <v>0</v>
      </c>
      <c r="R1056" s="360">
        <v>1660.8134246838392</v>
      </c>
      <c r="S1056" s="360">
        <v>0.32195525676996534</v>
      </c>
      <c r="T1056" s="360">
        <v>1.3719796675548688</v>
      </c>
      <c r="U1056" s="360">
        <v>1.058643648080045</v>
      </c>
      <c r="V1056" s="360">
        <v>0.33350434265173634</v>
      </c>
      <c r="W1056" s="360">
        <v>1.3225365872092634</v>
      </c>
      <c r="X1056" s="360">
        <v>1134.9247129141659</v>
      </c>
      <c r="Y1056" s="360">
        <v>0.34702982445654024</v>
      </c>
      <c r="Z1056" s="360">
        <v>1.2742813160518225</v>
      </c>
      <c r="AA1056" s="360">
        <v>0</v>
      </c>
      <c r="AB1056" s="360">
        <v>0.34702982445654024</v>
      </c>
      <c r="AC1056" s="360">
        <v>1.2742813160518225</v>
      </c>
      <c r="AD1056" s="360">
        <v>1</v>
      </c>
      <c r="AE1056" s="360">
        <v>0.34702982445654024</v>
      </c>
      <c r="AF1056" s="360">
        <v>1.2742813160518225</v>
      </c>
      <c r="AG1056" s="360">
        <v>0</v>
      </c>
      <c r="AH1056" s="360">
        <v>2197.2770570296398</v>
      </c>
      <c r="AI1056" s="360">
        <v>0.32792812466408205</v>
      </c>
      <c r="AJ1056" s="360">
        <v>1.3480123024953414</v>
      </c>
      <c r="AK1056" s="360">
        <v>1.0837582722820898</v>
      </c>
      <c r="AL1056" s="360">
        <v>0.34731805244298997</v>
      </c>
      <c r="AM1056" s="360">
        <v>1.2742813353700779</v>
      </c>
      <c r="AN1056" s="360">
        <v>1208.9859384251426</v>
      </c>
      <c r="AO1056" s="360">
        <f t="shared" si="45"/>
        <v>1</v>
      </c>
      <c r="AP1056" s="360">
        <f t="shared" si="46"/>
        <v>0</v>
      </c>
      <c r="AQ1056" s="360">
        <f t="shared" si="47"/>
        <v>0</v>
      </c>
    </row>
    <row r="1057" spans="1:43">
      <c r="A1057" s="360" t="s">
        <v>1083</v>
      </c>
      <c r="B1057" t="s">
        <v>1076</v>
      </c>
      <c r="C1057">
        <v>2</v>
      </c>
      <c r="D1057" t="s">
        <v>1080</v>
      </c>
      <c r="E1057" t="s">
        <v>1079</v>
      </c>
      <c r="F1057" s="360">
        <v>15</v>
      </c>
      <c r="G1057" s="360" t="str">
        <f>CONCATENATE(A1057," ",B1057," ",C1057," ","inf+"," ",FanUpsizes!D1057," ",FanUpsizes!F1057)</f>
        <v>3ACH 5C 2 inf+ Existing 15</v>
      </c>
      <c r="H1057" s="360">
        <v>4.0453464220278207E-2</v>
      </c>
      <c r="I1057" s="360">
        <v>0.33633039157395145</v>
      </c>
      <c r="J1057" s="360">
        <v>1.3225349709442311</v>
      </c>
      <c r="K1057" s="360">
        <v>8044.6183662356216</v>
      </c>
      <c r="L1057" s="360">
        <v>0.24853589659234487</v>
      </c>
      <c r="M1057" s="360">
        <v>1.8502716589721049</v>
      </c>
      <c r="N1057" s="360">
        <v>4.6594627513759068</v>
      </c>
      <c r="O1057" s="360">
        <v>0.6995664754739479</v>
      </c>
      <c r="P1057" s="360">
        <v>1.3225350386528683</v>
      </c>
      <c r="Q1057" s="360">
        <v>-228.06877436839727</v>
      </c>
      <c r="R1057" s="360">
        <v>8044.6183662356216</v>
      </c>
      <c r="S1057" s="360">
        <v>0.24853589659234487</v>
      </c>
      <c r="T1057" s="360">
        <v>1.8502716589721049</v>
      </c>
      <c r="U1057" s="360">
        <v>4.6594627513759068</v>
      </c>
      <c r="V1057" s="360">
        <v>0.6995664754739479</v>
      </c>
      <c r="W1057" s="360">
        <v>1.3225350386528683</v>
      </c>
      <c r="X1057" s="360">
        <v>-228.06877436839727</v>
      </c>
      <c r="Y1057" s="360">
        <v>0.34702982445654024</v>
      </c>
      <c r="Z1057" s="360">
        <v>1.2742813160518225</v>
      </c>
      <c r="AA1057" s="360">
        <v>8262.2629903492598</v>
      </c>
      <c r="AB1057" s="360">
        <v>0.2549612128900271</v>
      </c>
      <c r="AC1057" s="360">
        <v>1.8177075398353377</v>
      </c>
      <c r="AD1057" s="360">
        <v>6.791744392276982</v>
      </c>
      <c r="AE1057" s="360">
        <v>0.96577898441438648</v>
      </c>
      <c r="AF1057" s="360">
        <v>1.274281325049577</v>
      </c>
      <c r="AG1057" s="360">
        <v>-4762.668668875287</v>
      </c>
      <c r="AH1057" s="360">
        <v>8262.2629903492598</v>
      </c>
      <c r="AI1057" s="360">
        <v>0.2549612128900271</v>
      </c>
      <c r="AJ1057" s="360">
        <v>1.8177075398353377</v>
      </c>
      <c r="AK1057" s="360">
        <v>6.791744392276982</v>
      </c>
      <c r="AL1057" s="360">
        <v>0.96577898441438648</v>
      </c>
      <c r="AM1057" s="360">
        <v>1.274281325049577</v>
      </c>
      <c r="AN1057" s="360">
        <v>-4762.668668875287</v>
      </c>
      <c r="AO1057" s="360">
        <f t="shared" si="45"/>
        <v>1</v>
      </c>
      <c r="AP1057" s="360">
        <f t="shared" si="46"/>
        <v>1</v>
      </c>
      <c r="AQ1057" s="360">
        <f t="shared" si="47"/>
        <v>1</v>
      </c>
    </row>
    <row r="1058" spans="1:43">
      <c r="A1058" s="360" t="s">
        <v>1084</v>
      </c>
      <c r="B1058" t="s">
        <v>1075</v>
      </c>
      <c r="C1058">
        <v>1</v>
      </c>
      <c r="D1058" t="s">
        <v>1078</v>
      </c>
      <c r="E1058" t="s">
        <v>1079</v>
      </c>
      <c r="F1058" s="360">
        <v>15</v>
      </c>
      <c r="G1058" s="360" t="str">
        <f>CONCATENATE(A1058," ",B1058," ",C1058," ","inf+"," ",FanUpsizes!D1058," ",FanUpsizes!F1058)</f>
        <v>1.5ACH Percentile 1 inf+ New 15</v>
      </c>
      <c r="H1058" s="360">
        <v>3.6042028608886244E-2</v>
      </c>
      <c r="I1058" s="360">
        <v>0.26603256112815638</v>
      </c>
      <c r="J1058" s="360">
        <v>1.2002506490837666</v>
      </c>
      <c r="K1058" s="360">
        <v>4808.9203097625896</v>
      </c>
      <c r="L1058" s="360">
        <v>0.22300481179863521</v>
      </c>
      <c r="M1058" s="360">
        <v>1.680989253938266</v>
      </c>
      <c r="N1058" s="360">
        <v>1.9161285440016553</v>
      </c>
      <c r="O1058" s="360">
        <v>0.40614302493900001</v>
      </c>
      <c r="P1058" s="360">
        <v>1.2002508683923079</v>
      </c>
      <c r="Q1058" s="360">
        <v>-3286.4628070022754</v>
      </c>
      <c r="R1058" s="360">
        <v>8592.2247119838739</v>
      </c>
      <c r="S1058" s="360">
        <v>0.16708795106935961</v>
      </c>
      <c r="T1058" s="360">
        <v>2.1892300464525167</v>
      </c>
      <c r="U1058" s="360">
        <v>3.0969324786615342</v>
      </c>
      <c r="V1058" s="360">
        <v>0.46158129387407276</v>
      </c>
      <c r="W1058" s="360">
        <v>1.2002531821914082</v>
      </c>
      <c r="X1058" s="360">
        <v>-1379.1409839483035</v>
      </c>
      <c r="Y1058" s="360">
        <v>0.2746741486503122</v>
      </c>
      <c r="Z1058" s="360">
        <v>1.1629649796910273</v>
      </c>
      <c r="AA1058" s="360">
        <v>5251.5866664255936</v>
      </c>
      <c r="AB1058" s="360">
        <v>0.22771450191831999</v>
      </c>
      <c r="AC1058" s="360">
        <v>1.6566502555988656</v>
      </c>
      <c r="AD1058" s="360">
        <v>2.0470727566760134</v>
      </c>
      <c r="AE1058" s="360">
        <v>0.43465321020233039</v>
      </c>
      <c r="AF1058" s="360">
        <v>1.1629651504891085</v>
      </c>
      <c r="AG1058" s="360">
        <v>-3858.1596026531174</v>
      </c>
      <c r="AH1058" s="360">
        <v>8993.9951001370082</v>
      </c>
      <c r="AI1058" s="360">
        <v>0.17268643329524724</v>
      </c>
      <c r="AJ1058" s="360">
        <v>2.1143449713456048</v>
      </c>
      <c r="AK1058" s="360">
        <v>3.3009963578922195</v>
      </c>
      <c r="AL1058" s="360">
        <v>0.49303422166206162</v>
      </c>
      <c r="AM1058" s="360">
        <v>1.1629659850864611</v>
      </c>
      <c r="AN1058" s="360">
        <v>-1812.9016511310156</v>
      </c>
      <c r="AO1058" s="360">
        <f t="shared" si="45"/>
        <v>1</v>
      </c>
      <c r="AP1058" s="360">
        <f t="shared" si="46"/>
        <v>1</v>
      </c>
      <c r="AQ1058" s="360">
        <f t="shared" si="47"/>
        <v>1</v>
      </c>
    </row>
    <row r="1059" spans="1:43">
      <c r="A1059" s="360" t="s">
        <v>1084</v>
      </c>
      <c r="B1059" t="s">
        <v>1074</v>
      </c>
      <c r="C1059">
        <v>1</v>
      </c>
      <c r="D1059" t="s">
        <v>1078</v>
      </c>
      <c r="E1059" t="s">
        <v>1079</v>
      </c>
      <c r="F1059" s="360">
        <v>15</v>
      </c>
      <c r="G1059" s="360" t="str">
        <f>CONCATENATE(A1059," ",B1059," ",C1059," ","inf+"," ",FanUpsizes!D1059," ",FanUpsizes!F1059)</f>
        <v>1.5ACH Infiltration 1 inf+ New 15</v>
      </c>
      <c r="H1059" s="360">
        <v>3.6042028608886244E-2</v>
      </c>
      <c r="I1059" s="360">
        <v>0.26603256112815638</v>
      </c>
      <c r="J1059" s="360">
        <v>1.2002506490837666</v>
      </c>
      <c r="K1059" s="360">
        <v>0</v>
      </c>
      <c r="L1059" s="360">
        <v>0.26603256112815638</v>
      </c>
      <c r="M1059" s="360">
        <v>1.2002506490837666</v>
      </c>
      <c r="N1059" s="360">
        <v>1</v>
      </c>
      <c r="O1059" s="360">
        <v>0.26603256112815638</v>
      </c>
      <c r="P1059" s="360">
        <v>1.2002506490837666</v>
      </c>
      <c r="Q1059" s="360">
        <v>0</v>
      </c>
      <c r="R1059" s="360">
        <v>0</v>
      </c>
      <c r="S1059" s="360">
        <v>0.26603256112815638</v>
      </c>
      <c r="T1059" s="360">
        <v>1.2002506490837666</v>
      </c>
      <c r="U1059" s="360">
        <v>1</v>
      </c>
      <c r="V1059" s="360">
        <v>0.26603256112815638</v>
      </c>
      <c r="W1059" s="360">
        <v>1.2002506490837666</v>
      </c>
      <c r="X1059" s="360">
        <v>0</v>
      </c>
      <c r="Y1059" s="360">
        <v>0.2746741486503122</v>
      </c>
      <c r="Z1059" s="360">
        <v>1.1629649796910273</v>
      </c>
      <c r="AA1059" s="360">
        <v>0</v>
      </c>
      <c r="AB1059" s="360">
        <v>0.2746741486503122</v>
      </c>
      <c r="AC1059" s="360">
        <v>1.1629649796910273</v>
      </c>
      <c r="AD1059" s="360">
        <v>1</v>
      </c>
      <c r="AE1059" s="360">
        <v>0.2746741486503122</v>
      </c>
      <c r="AF1059" s="360">
        <v>1.1629649796910273</v>
      </c>
      <c r="AG1059" s="360">
        <v>0</v>
      </c>
      <c r="AH1059" s="360">
        <v>0</v>
      </c>
      <c r="AI1059" s="360">
        <v>0.2746741486503122</v>
      </c>
      <c r="AJ1059" s="360">
        <v>1.1629649796910273</v>
      </c>
      <c r="AK1059" s="360">
        <v>1</v>
      </c>
      <c r="AL1059" s="360">
        <v>0.2746741486503122</v>
      </c>
      <c r="AM1059" s="360">
        <v>1.1629649796910273</v>
      </c>
      <c r="AN1059" s="360">
        <v>0</v>
      </c>
      <c r="AO1059" s="360">
        <f t="shared" si="45"/>
        <v>1</v>
      </c>
      <c r="AP1059" s="360">
        <f t="shared" si="46"/>
        <v>0</v>
      </c>
      <c r="AQ1059" s="360">
        <f t="shared" si="47"/>
        <v>0</v>
      </c>
    </row>
    <row r="1060" spans="1:43">
      <c r="A1060" s="360" t="s">
        <v>1084</v>
      </c>
      <c r="B1060" t="s">
        <v>1076</v>
      </c>
      <c r="C1060">
        <v>1</v>
      </c>
      <c r="D1060" t="s">
        <v>1078</v>
      </c>
      <c r="E1060" t="s">
        <v>1079</v>
      </c>
      <c r="F1060" s="360">
        <v>15</v>
      </c>
      <c r="G1060" s="360" t="str">
        <f>CONCATENATE(A1060," ",B1060," ",C1060," ","inf+"," ",FanUpsizes!D1060," ",FanUpsizes!F1060)</f>
        <v>1.5ACH 5C 1 inf+ New 15</v>
      </c>
      <c r="H1060" s="360">
        <v>3.6042028608886244E-2</v>
      </c>
      <c r="I1060" s="360">
        <v>0.26603256112815638</v>
      </c>
      <c r="J1060" s="360">
        <v>1.2002506490837666</v>
      </c>
      <c r="K1060" s="360">
        <v>9788.6021713292248</v>
      </c>
      <c r="L1060" s="360">
        <v>0.15728016030475195</v>
      </c>
      <c r="M1060" s="360">
        <v>2.7199105671618167</v>
      </c>
      <c r="N1060" s="360">
        <v>11.098154444652405</v>
      </c>
      <c r="O1060" s="360">
        <v>1.2741202802453206</v>
      </c>
      <c r="P1060" s="360">
        <v>2.1219289170136371</v>
      </c>
      <c r="Q1060" s="360">
        <v>-10726.347930102645</v>
      </c>
      <c r="R1060" s="360">
        <v>9788.6021713292248</v>
      </c>
      <c r="S1060" s="360">
        <v>0.15728016030475195</v>
      </c>
      <c r="T1060" s="360">
        <v>2.7199105671618167</v>
      </c>
      <c r="U1060" s="360">
        <v>11.098154444652405</v>
      </c>
      <c r="V1060" s="360">
        <v>1.2741202802453206</v>
      </c>
      <c r="W1060" s="360">
        <v>2.1219289170136371</v>
      </c>
      <c r="X1060" s="360">
        <v>-10726.347930102645</v>
      </c>
      <c r="Y1060" s="360">
        <v>0.2746741486503122</v>
      </c>
      <c r="Z1060" s="360">
        <v>1.1629649796910273</v>
      </c>
      <c r="AA1060" s="360">
        <v>10478.592829291938</v>
      </c>
      <c r="AB1060" s="360">
        <v>0.15885414538631434</v>
      </c>
      <c r="AC1060" s="360">
        <v>2.7103280063278805</v>
      </c>
      <c r="AD1060" s="360">
        <v>11.098154444652405</v>
      </c>
      <c r="AE1060" s="360">
        <v>1.2742642556704518</v>
      </c>
      <c r="AF1060" s="360">
        <v>2.1219215603071131</v>
      </c>
      <c r="AG1060" s="360">
        <v>-10003.847918024527</v>
      </c>
      <c r="AH1060" s="360">
        <v>10478.592829291938</v>
      </c>
      <c r="AI1060" s="360">
        <v>0.15885414538631434</v>
      </c>
      <c r="AJ1060" s="360">
        <v>2.7103280063278805</v>
      </c>
      <c r="AK1060" s="360">
        <v>11.098154444652405</v>
      </c>
      <c r="AL1060" s="360">
        <v>1.2742642556704518</v>
      </c>
      <c r="AM1060" s="360">
        <v>2.1219215603071131</v>
      </c>
      <c r="AN1060" s="360">
        <v>-10003.847918024527</v>
      </c>
      <c r="AO1060" s="360">
        <f t="shared" si="45"/>
        <v>0</v>
      </c>
      <c r="AP1060" s="360">
        <f t="shared" si="46"/>
        <v>1</v>
      </c>
      <c r="AQ1060" s="360">
        <f t="shared" si="47"/>
        <v>1</v>
      </c>
    </row>
    <row r="1061" spans="1:43">
      <c r="A1061" s="360" t="s">
        <v>1084</v>
      </c>
      <c r="B1061" t="s">
        <v>1075</v>
      </c>
      <c r="C1061">
        <v>2</v>
      </c>
      <c r="D1061" t="s">
        <v>1078</v>
      </c>
      <c r="E1061" t="s">
        <v>1079</v>
      </c>
      <c r="F1061" s="360">
        <v>15</v>
      </c>
      <c r="G1061" s="360" t="str">
        <f>CONCATENATE(A1061," ",B1061," ",C1061," ","inf+"," ",FanUpsizes!D1061," ",FanUpsizes!F1061)</f>
        <v>1.5ACH Percentile 2 inf+ New 15</v>
      </c>
      <c r="H1061" s="360">
        <v>3.3734232110139102E-2</v>
      </c>
      <c r="I1061" s="360">
        <v>0.24979109099133209</v>
      </c>
      <c r="J1061" s="360">
        <v>1.2784589462587981</v>
      </c>
      <c r="K1061" s="360">
        <v>3646.8194611426943</v>
      </c>
      <c r="L1061" s="360">
        <v>0.21720775876741943</v>
      </c>
      <c r="M1061" s="360">
        <v>1.5924235856627058</v>
      </c>
      <c r="N1061" s="360">
        <v>1.4376299301513982</v>
      </c>
      <c r="O1061" s="360">
        <v>0.2988544639931357</v>
      </c>
      <c r="P1061" s="360">
        <v>1.2784590012093655</v>
      </c>
      <c r="Q1061" s="360">
        <v>36.66742966585003</v>
      </c>
      <c r="R1061" s="360">
        <v>6553.805363331252</v>
      </c>
      <c r="S1061" s="360">
        <v>0.17308302782941842</v>
      </c>
      <c r="T1061" s="360">
        <v>1.9768739904722983</v>
      </c>
      <c r="U1061" s="360">
        <v>2.2903821804707731</v>
      </c>
      <c r="V1061" s="360">
        <v>0.33341172842618527</v>
      </c>
      <c r="W1061" s="360">
        <v>1.278458955375231</v>
      </c>
      <c r="X1061" s="360">
        <v>1524.5638815859429</v>
      </c>
      <c r="Y1061" s="360">
        <v>0.26446843767961575</v>
      </c>
      <c r="Z1061" s="360">
        <v>1.2088679637053472</v>
      </c>
      <c r="AA1061" s="360">
        <v>4350.0693892736799</v>
      </c>
      <c r="AB1061" s="360">
        <v>0.22558077404366353</v>
      </c>
      <c r="AC1061" s="360">
        <v>1.5470252742160735</v>
      </c>
      <c r="AD1061" s="360">
        <v>1.5571896602222006</v>
      </c>
      <c r="AE1061" s="360">
        <v>0.32685840218751461</v>
      </c>
      <c r="AF1061" s="360">
        <v>1.2088739830476272</v>
      </c>
      <c r="AG1061" s="360">
        <v>-83.282790357796912</v>
      </c>
      <c r="AH1061" s="360">
        <v>7679.9832943532938</v>
      </c>
      <c r="AI1061" s="360">
        <v>0.17645786167460614</v>
      </c>
      <c r="AJ1061" s="360">
        <v>1.9470010493122132</v>
      </c>
      <c r="AK1061" s="360">
        <v>2.4588836340113818</v>
      </c>
      <c r="AL1061" s="360">
        <v>0.36195151775993872</v>
      </c>
      <c r="AM1061" s="360">
        <v>1.2088681653395963</v>
      </c>
      <c r="AN1061" s="360">
        <v>1555.9730001928942</v>
      </c>
      <c r="AO1061" s="360">
        <f t="shared" ref="AO1061:AO1081" si="48">IF(ROUND(P1061,3)=ROUND(J1061,3),1,0)</f>
        <v>1</v>
      </c>
      <c r="AP1061" s="360">
        <f t="shared" ref="AP1061:AP1081" si="49">IF(O1061&gt;L1061,1,0)</f>
        <v>1</v>
      </c>
      <c r="AQ1061" s="360">
        <f t="shared" ref="AQ1061:AQ1081" si="50">IF(I1061&gt;L1061,1,0)</f>
        <v>1</v>
      </c>
    </row>
    <row r="1062" spans="1:43">
      <c r="A1062" s="360" t="s">
        <v>1084</v>
      </c>
      <c r="B1062" t="s">
        <v>1074</v>
      </c>
      <c r="C1062">
        <v>2</v>
      </c>
      <c r="D1062" t="s">
        <v>1078</v>
      </c>
      <c r="E1062" t="s">
        <v>1079</v>
      </c>
      <c r="F1062" s="360">
        <v>15</v>
      </c>
      <c r="G1062" s="360" t="str">
        <f>CONCATENATE(A1062," ",B1062," ",C1062," ","inf+"," ",FanUpsizes!D1062," ",FanUpsizes!F1062)</f>
        <v>1.5ACH Infiltration 2 inf+ New 15</v>
      </c>
      <c r="H1062" s="360">
        <v>3.3734232110139102E-2</v>
      </c>
      <c r="I1062" s="360">
        <v>0.24979109099133209</v>
      </c>
      <c r="J1062" s="360">
        <v>1.2784589462587981</v>
      </c>
      <c r="K1062" s="360">
        <v>0</v>
      </c>
      <c r="L1062" s="360">
        <v>0.24979109099133209</v>
      </c>
      <c r="M1062" s="360">
        <v>1.2784589462587981</v>
      </c>
      <c r="N1062" s="360">
        <v>1</v>
      </c>
      <c r="O1062" s="360">
        <v>0.24979109099133209</v>
      </c>
      <c r="P1062" s="360">
        <v>1.2784589462587981</v>
      </c>
      <c r="Q1062" s="360">
        <v>0</v>
      </c>
      <c r="R1062" s="360">
        <v>0</v>
      </c>
      <c r="S1062" s="360">
        <v>0.24979109099133209</v>
      </c>
      <c r="T1062" s="360">
        <v>1.2784589462587981</v>
      </c>
      <c r="U1062" s="360">
        <v>1</v>
      </c>
      <c r="V1062" s="360">
        <v>0.24979109099133209</v>
      </c>
      <c r="W1062" s="360">
        <v>1.2784589462587981</v>
      </c>
      <c r="X1062" s="360">
        <v>0</v>
      </c>
      <c r="Y1062" s="360">
        <v>0.26446843767961575</v>
      </c>
      <c r="Z1062" s="360">
        <v>1.2088679637053472</v>
      </c>
      <c r="AA1062" s="360">
        <v>0</v>
      </c>
      <c r="AB1062" s="360">
        <v>0.26446843767961575</v>
      </c>
      <c r="AC1062" s="360">
        <v>1.2088679637053472</v>
      </c>
      <c r="AD1062" s="360">
        <v>1</v>
      </c>
      <c r="AE1062" s="360">
        <v>0.26446843767961575</v>
      </c>
      <c r="AF1062" s="360">
        <v>1.2088679637053472</v>
      </c>
      <c r="AG1062" s="360">
        <v>0</v>
      </c>
      <c r="AH1062" s="360">
        <v>0</v>
      </c>
      <c r="AI1062" s="360">
        <v>0.26446843767961575</v>
      </c>
      <c r="AJ1062" s="360">
        <v>1.2088679637053472</v>
      </c>
      <c r="AK1062" s="360">
        <v>1</v>
      </c>
      <c r="AL1062" s="360">
        <v>0.26446843767961575</v>
      </c>
      <c r="AM1062" s="360">
        <v>1.2088679637053472</v>
      </c>
      <c r="AN1062" s="360">
        <v>0</v>
      </c>
      <c r="AO1062" s="360">
        <f t="shared" si="48"/>
        <v>1</v>
      </c>
      <c r="AP1062" s="360">
        <f t="shared" si="49"/>
        <v>0</v>
      </c>
      <c r="AQ1062" s="360">
        <f t="shared" si="50"/>
        <v>0</v>
      </c>
    </row>
    <row r="1063" spans="1:43">
      <c r="A1063" s="360" t="s">
        <v>1084</v>
      </c>
      <c r="B1063" t="s">
        <v>1076</v>
      </c>
      <c r="C1063">
        <v>2</v>
      </c>
      <c r="D1063" t="s">
        <v>1078</v>
      </c>
      <c r="E1063" t="s">
        <v>1079</v>
      </c>
      <c r="F1063" s="360">
        <v>15</v>
      </c>
      <c r="G1063" s="360" t="str">
        <f>CONCATENATE(A1063," ",B1063," ",C1063," ","inf+"," ",FanUpsizes!D1063," ",FanUpsizes!F1063)</f>
        <v>1.5ACH 5C 2 inf+ New 15</v>
      </c>
      <c r="H1063" s="360">
        <v>3.3734232110139102E-2</v>
      </c>
      <c r="I1063" s="360">
        <v>0.24979109099133209</v>
      </c>
      <c r="J1063" s="360">
        <v>1.2784589462587981</v>
      </c>
      <c r="K1063" s="360">
        <v>7647.1537151346965</v>
      </c>
      <c r="L1063" s="360">
        <v>0.16424401452883908</v>
      </c>
      <c r="M1063" s="360">
        <v>2.2884501607024266</v>
      </c>
      <c r="N1063" s="360">
        <v>11.857391586505884</v>
      </c>
      <c r="O1063" s="360">
        <v>1.2880225470667643</v>
      </c>
      <c r="P1063" s="360">
        <v>1.679056072867519</v>
      </c>
      <c r="Q1063" s="360">
        <v>-12996.155080083088</v>
      </c>
      <c r="R1063" s="360">
        <v>7647.1537151346965</v>
      </c>
      <c r="S1063" s="360">
        <v>0.16424401452883908</v>
      </c>
      <c r="T1063" s="360">
        <v>2.2884501607024266</v>
      </c>
      <c r="U1063" s="360">
        <v>11.857391586505884</v>
      </c>
      <c r="V1063" s="360">
        <v>1.2880225470667643</v>
      </c>
      <c r="W1063" s="360">
        <v>1.679056072867519</v>
      </c>
      <c r="X1063" s="360">
        <v>-12996.155080083088</v>
      </c>
      <c r="Y1063" s="360">
        <v>0.26446843767961575</v>
      </c>
      <c r="Z1063" s="360">
        <v>1.2088679637053472</v>
      </c>
      <c r="AA1063" s="360">
        <v>8783.6189596338791</v>
      </c>
      <c r="AB1063" s="360">
        <v>0.1671150514865235</v>
      </c>
      <c r="AC1063" s="360">
        <v>2.2704940374414533</v>
      </c>
      <c r="AD1063" s="360">
        <v>11.857391586505884</v>
      </c>
      <c r="AE1063" s="360">
        <v>1.2882839978811085</v>
      </c>
      <c r="AF1063" s="360">
        <v>1.679043436309511</v>
      </c>
      <c r="AG1063" s="360">
        <v>-11800.00495063454</v>
      </c>
      <c r="AH1063" s="360">
        <v>8783.6189596338791</v>
      </c>
      <c r="AI1063" s="360">
        <v>0.1671150514865235</v>
      </c>
      <c r="AJ1063" s="360">
        <v>2.2704940374414533</v>
      </c>
      <c r="AK1063" s="360">
        <v>11.857391586505884</v>
      </c>
      <c r="AL1063" s="360">
        <v>1.2882839978811085</v>
      </c>
      <c r="AM1063" s="360">
        <v>1.679043436309511</v>
      </c>
      <c r="AN1063" s="360">
        <v>-11800.00495063454</v>
      </c>
      <c r="AO1063" s="360">
        <f t="shared" si="48"/>
        <v>0</v>
      </c>
      <c r="AP1063" s="360">
        <f t="shared" si="49"/>
        <v>1</v>
      </c>
      <c r="AQ1063" s="360">
        <f t="shared" si="50"/>
        <v>1</v>
      </c>
    </row>
    <row r="1064" spans="1:43">
      <c r="A1064" s="360" t="s">
        <v>1084</v>
      </c>
      <c r="B1064" t="s">
        <v>1075</v>
      </c>
      <c r="C1064">
        <v>1</v>
      </c>
      <c r="D1064" t="s">
        <v>1080</v>
      </c>
      <c r="E1064" t="s">
        <v>1079</v>
      </c>
      <c r="F1064" s="360">
        <v>15</v>
      </c>
      <c r="G1064" s="360" t="str">
        <f>CONCATENATE(A1064," ",B1064," ",C1064," ","inf+"," ",FanUpsizes!D1064," ",FanUpsizes!F1064)</f>
        <v>1.5ACH Percentile 1 inf+ Existing 15</v>
      </c>
      <c r="H1064" s="360">
        <v>5.2292028608886244E-2</v>
      </c>
      <c r="I1064" s="360">
        <v>0.38595859147516481</v>
      </c>
      <c r="J1064" s="360">
        <v>1.1380783365155835</v>
      </c>
      <c r="K1064" s="360">
        <v>8141.4000072714252</v>
      </c>
      <c r="L1064" s="360">
        <v>0.3131317635789887</v>
      </c>
      <c r="M1064" s="360">
        <v>1.8847307386702181</v>
      </c>
      <c r="N1064" s="360">
        <v>4.3025627069432177</v>
      </c>
      <c r="O1064" s="360">
        <v>1.271012709069645</v>
      </c>
      <c r="P1064" s="360">
        <v>1.1380783865613646</v>
      </c>
      <c r="Q1064" s="360">
        <v>-34200.031875591769</v>
      </c>
      <c r="R1064" s="360">
        <v>13919.008080369093</v>
      </c>
      <c r="S1064" s="360">
        <v>0.22857242404039818</v>
      </c>
      <c r="T1064" s="360">
        <v>2.4394003296998785</v>
      </c>
      <c r="U1064" s="360">
        <v>7.0222815552647564</v>
      </c>
      <c r="V1064" s="360">
        <v>1.4656493996289846</v>
      </c>
      <c r="W1064" s="360">
        <v>1.138078470417685</v>
      </c>
      <c r="X1064" s="360">
        <v>-28466.965840962654</v>
      </c>
      <c r="Y1064" s="360">
        <v>0.39199469972099688</v>
      </c>
      <c r="Z1064" s="360">
        <v>1.1206699962577023</v>
      </c>
      <c r="AA1064" s="360">
        <v>8451.9271377626719</v>
      </c>
      <c r="AB1064" s="360">
        <v>0.31641022062325269</v>
      </c>
      <c r="AC1064" s="360">
        <v>1.8730562876587058</v>
      </c>
      <c r="AD1064" s="360">
        <v>4.6577914498872062</v>
      </c>
      <c r="AE1064" s="360">
        <v>1.3747533203653133</v>
      </c>
      <c r="AF1064" s="360">
        <v>1.1206700303079149</v>
      </c>
      <c r="AG1064" s="360">
        <v>-38289.373574123754</v>
      </c>
      <c r="AH1064" s="360">
        <v>14055.822212227304</v>
      </c>
      <c r="AI1064" s="360">
        <v>0.23420168117893883</v>
      </c>
      <c r="AJ1064" s="360">
        <v>2.3761775266836835</v>
      </c>
      <c r="AK1064" s="360">
        <v>7.5987026390185894</v>
      </c>
      <c r="AL1064" s="360">
        <v>1.5848319961351405</v>
      </c>
      <c r="AM1064" s="360">
        <v>1.1206699975712739</v>
      </c>
      <c r="AN1064" s="360">
        <v>-32067.753344993518</v>
      </c>
      <c r="AO1064" s="360">
        <f t="shared" si="48"/>
        <v>1</v>
      </c>
      <c r="AP1064" s="360">
        <f t="shared" si="49"/>
        <v>1</v>
      </c>
      <c r="AQ1064" s="360">
        <f t="shared" si="50"/>
        <v>1</v>
      </c>
    </row>
    <row r="1065" spans="1:43">
      <c r="A1065" s="360" t="s">
        <v>1084</v>
      </c>
      <c r="B1065" t="s">
        <v>1074</v>
      </c>
      <c r="C1065">
        <v>1</v>
      </c>
      <c r="D1065" t="s">
        <v>1080</v>
      </c>
      <c r="E1065" t="s">
        <v>1079</v>
      </c>
      <c r="F1065" s="360">
        <v>15</v>
      </c>
      <c r="G1065" s="360" t="str">
        <f>CONCATENATE(A1065," ",B1065," ",C1065," ","inf+"," ",FanUpsizes!D1065," ",FanUpsizes!F1065)</f>
        <v>1.5ACH Infiltration 1 inf+ Existing 15</v>
      </c>
      <c r="H1065" s="360">
        <v>5.2292028608886244E-2</v>
      </c>
      <c r="I1065" s="360">
        <v>0.38595859147516481</v>
      </c>
      <c r="J1065" s="360">
        <v>1.1380783365155835</v>
      </c>
      <c r="K1065" s="360">
        <v>0</v>
      </c>
      <c r="L1065" s="360">
        <v>0.38595859147516481</v>
      </c>
      <c r="M1065" s="360">
        <v>1.1380783365155835</v>
      </c>
      <c r="N1065" s="360">
        <v>1</v>
      </c>
      <c r="O1065" s="360">
        <v>0.38595859147516481</v>
      </c>
      <c r="P1065" s="360">
        <v>1.1380783365155835</v>
      </c>
      <c r="Q1065" s="360">
        <v>0</v>
      </c>
      <c r="R1065" s="360">
        <v>0</v>
      </c>
      <c r="S1065" s="360">
        <v>0.38595859147516481</v>
      </c>
      <c r="T1065" s="360">
        <v>1.1380783365155835</v>
      </c>
      <c r="U1065" s="360">
        <v>1</v>
      </c>
      <c r="V1065" s="360">
        <v>0.38595859147516481</v>
      </c>
      <c r="W1065" s="360">
        <v>1.1380783365155835</v>
      </c>
      <c r="X1065" s="360">
        <v>0</v>
      </c>
      <c r="Y1065" s="360">
        <v>0.39199469972099688</v>
      </c>
      <c r="Z1065" s="360">
        <v>1.1206699962577023</v>
      </c>
      <c r="AA1065" s="360">
        <v>0</v>
      </c>
      <c r="AB1065" s="360">
        <v>0.39199469972099688</v>
      </c>
      <c r="AC1065" s="360">
        <v>1.1206699962577023</v>
      </c>
      <c r="AD1065" s="360">
        <v>1</v>
      </c>
      <c r="AE1065" s="360">
        <v>0.39199469972099688</v>
      </c>
      <c r="AF1065" s="360">
        <v>1.1206699962577023</v>
      </c>
      <c r="AG1065" s="360">
        <v>0</v>
      </c>
      <c r="AH1065" s="360">
        <v>0</v>
      </c>
      <c r="AI1065" s="360">
        <v>0.39199469972099688</v>
      </c>
      <c r="AJ1065" s="360">
        <v>1.1206699962577023</v>
      </c>
      <c r="AK1065" s="360">
        <v>1</v>
      </c>
      <c r="AL1065" s="360">
        <v>0.39199469972099688</v>
      </c>
      <c r="AM1065" s="360">
        <v>1.1206699962577023</v>
      </c>
      <c r="AN1065" s="360">
        <v>0</v>
      </c>
      <c r="AO1065" s="360">
        <f t="shared" si="48"/>
        <v>1</v>
      </c>
      <c r="AP1065" s="360">
        <f t="shared" si="49"/>
        <v>0</v>
      </c>
      <c r="AQ1065" s="360">
        <f t="shared" si="50"/>
        <v>0</v>
      </c>
    </row>
    <row r="1066" spans="1:43">
      <c r="A1066" s="360" t="s">
        <v>1084</v>
      </c>
      <c r="B1066" t="s">
        <v>1076</v>
      </c>
      <c r="C1066">
        <v>1</v>
      </c>
      <c r="D1066" t="s">
        <v>1080</v>
      </c>
      <c r="E1066" t="s">
        <v>1079</v>
      </c>
      <c r="F1066" s="360">
        <v>15</v>
      </c>
      <c r="G1066" s="360" t="str">
        <f>CONCATENATE(A1066," ",B1066," ",C1066," ","inf+"," ",FanUpsizes!D1066," ",FanUpsizes!F1066)</f>
        <v>1.5ACH 5C 1 inf+ Existing 15</v>
      </c>
      <c r="H1066" s="360">
        <v>5.2292028608886244E-2</v>
      </c>
      <c r="I1066" s="360">
        <v>0.38595859147516481</v>
      </c>
      <c r="J1066" s="360">
        <v>1.1380783365155835</v>
      </c>
      <c r="K1066" s="360">
        <v>16189.115431687533</v>
      </c>
      <c r="L1066" s="360">
        <v>0.2071416895909528</v>
      </c>
      <c r="M1066" s="360">
        <v>3.4666220863899446</v>
      </c>
      <c r="N1066" s="360">
        <v>7.6493494446690109</v>
      </c>
      <c r="O1066" s="360">
        <v>1.2741202802453206</v>
      </c>
      <c r="P1066" s="360">
        <v>2.918379634799062</v>
      </c>
      <c r="Q1066" s="360">
        <v>-3409.8833075955145</v>
      </c>
      <c r="R1066" s="360">
        <v>16189.115431687533</v>
      </c>
      <c r="S1066" s="360">
        <v>0.2071416895909528</v>
      </c>
      <c r="T1066" s="360">
        <v>3.4666220863899446</v>
      </c>
      <c r="U1066" s="360">
        <v>7.6493494446690109</v>
      </c>
      <c r="V1066" s="360">
        <v>1.2741202802453206</v>
      </c>
      <c r="W1066" s="360">
        <v>2.918379634799062</v>
      </c>
      <c r="X1066" s="360">
        <v>-3409.8833075955145</v>
      </c>
      <c r="Y1066" s="360">
        <v>0.39199469972099688</v>
      </c>
      <c r="Z1066" s="360">
        <v>1.1206699962577023</v>
      </c>
      <c r="AA1066" s="360">
        <v>16671.956043123271</v>
      </c>
      <c r="AB1066" s="360">
        <v>0.20823617977915052</v>
      </c>
      <c r="AC1066" s="360">
        <v>3.4620058190397547</v>
      </c>
      <c r="AD1066" s="360">
        <v>7.6493494446690109</v>
      </c>
      <c r="AE1066" s="360">
        <v>1.2742642556704518</v>
      </c>
      <c r="AF1066" s="360">
        <v>2.9183695149705553</v>
      </c>
      <c r="AG1066" s="360">
        <v>-2905.4856195980246</v>
      </c>
      <c r="AH1066" s="360">
        <v>16671.956043123271</v>
      </c>
      <c r="AI1066" s="360">
        <v>0.20823617977915052</v>
      </c>
      <c r="AJ1066" s="360">
        <v>3.4620058190397547</v>
      </c>
      <c r="AK1066" s="360">
        <v>7.6493494446690109</v>
      </c>
      <c r="AL1066" s="360">
        <v>1.2742642556704518</v>
      </c>
      <c r="AM1066" s="360">
        <v>2.9183695149705553</v>
      </c>
      <c r="AN1066" s="360">
        <v>-2905.4856195980246</v>
      </c>
      <c r="AO1066" s="360">
        <f t="shared" si="48"/>
        <v>0</v>
      </c>
      <c r="AP1066" s="360">
        <f t="shared" si="49"/>
        <v>1</v>
      </c>
      <c r="AQ1066" s="360">
        <f t="shared" si="50"/>
        <v>1</v>
      </c>
    </row>
    <row r="1067" spans="1:43">
      <c r="A1067" s="360" t="s">
        <v>1084</v>
      </c>
      <c r="B1067" t="s">
        <v>1075</v>
      </c>
      <c r="C1067">
        <v>2</v>
      </c>
      <c r="D1067" t="s">
        <v>1080</v>
      </c>
      <c r="E1067" t="s">
        <v>1079</v>
      </c>
      <c r="F1067" s="360">
        <v>15</v>
      </c>
      <c r="G1067" s="360" t="str">
        <f>CONCATENATE(A1067," ",B1067," ",C1067," ","inf+"," ",FanUpsizes!D1067," ",FanUpsizes!F1067)</f>
        <v>1.5ACH Percentile 2 inf+ Existing 15</v>
      </c>
      <c r="H1067" s="360">
        <v>4.9984232110139103E-2</v>
      </c>
      <c r="I1067" s="360">
        <v>0.36893724798074906</v>
      </c>
      <c r="J1067" s="360">
        <v>1.1905663286503108</v>
      </c>
      <c r="K1067" s="360">
        <v>6911.7327950737845</v>
      </c>
      <c r="L1067" s="360">
        <v>0.3070995308862432</v>
      </c>
      <c r="M1067" s="360">
        <v>1.7286036221323742</v>
      </c>
      <c r="N1067" s="360">
        <v>2.2005306077832247</v>
      </c>
      <c r="O1067" s="360">
        <v>0.63992997112780226</v>
      </c>
      <c r="P1067" s="360">
        <v>1.1905663757495035</v>
      </c>
      <c r="Q1067" s="360">
        <v>-7800.5678602153939</v>
      </c>
      <c r="R1067" s="360">
        <v>12264.527213497284</v>
      </c>
      <c r="S1067" s="360">
        <v>0.22831648567625021</v>
      </c>
      <c r="T1067" s="360">
        <v>2.251200337269657</v>
      </c>
      <c r="U1067" s="360">
        <v>3.5575015567297128</v>
      </c>
      <c r="V1067" s="360">
        <v>0.72840285233900526</v>
      </c>
      <c r="W1067" s="360">
        <v>1.1905664243779308</v>
      </c>
      <c r="X1067" s="360">
        <v>-4768.9224590894346</v>
      </c>
      <c r="Y1067" s="360">
        <v>0.37961346709760568</v>
      </c>
      <c r="Z1067" s="360">
        <v>1.1574519884088217</v>
      </c>
      <c r="AA1067" s="360">
        <v>7447.8502484348755</v>
      </c>
      <c r="AB1067" s="360">
        <v>0.31301363203194188</v>
      </c>
      <c r="AC1067" s="360">
        <v>1.707097241560795</v>
      </c>
      <c r="AD1067" s="360">
        <v>2.3636141823774883</v>
      </c>
      <c r="AE1067" s="360">
        <v>0.68768063272958624</v>
      </c>
      <c r="AF1067" s="360">
        <v>1.1574520023811876</v>
      </c>
      <c r="AG1067" s="360">
        <v>-9063.5132076761165</v>
      </c>
      <c r="AH1067" s="360">
        <v>12672.795964548939</v>
      </c>
      <c r="AI1067" s="360">
        <v>0.23623275551368034</v>
      </c>
      <c r="AJ1067" s="360">
        <v>2.1709660319227813</v>
      </c>
      <c r="AK1067" s="360">
        <v>3.8154719185013541</v>
      </c>
      <c r="AL1067" s="360">
        <v>0.78181861544803188</v>
      </c>
      <c r="AM1067" s="360">
        <v>1.1574529402330855</v>
      </c>
      <c r="AN1067" s="360">
        <v>-5799.7929831337942</v>
      </c>
      <c r="AO1067" s="360">
        <f t="shared" si="48"/>
        <v>1</v>
      </c>
      <c r="AP1067" s="360">
        <f t="shared" si="49"/>
        <v>1</v>
      </c>
      <c r="AQ1067" s="360">
        <f t="shared" si="50"/>
        <v>1</v>
      </c>
    </row>
    <row r="1068" spans="1:43">
      <c r="A1068" s="360" t="s">
        <v>1084</v>
      </c>
      <c r="B1068" t="s">
        <v>1074</v>
      </c>
      <c r="C1068">
        <v>2</v>
      </c>
      <c r="D1068" t="s">
        <v>1080</v>
      </c>
      <c r="E1068" t="s">
        <v>1079</v>
      </c>
      <c r="F1068" s="360">
        <v>15</v>
      </c>
      <c r="G1068" s="360" t="str">
        <f>CONCATENATE(A1068," ",B1068," ",C1068," ","inf+"," ",FanUpsizes!D1068," ",FanUpsizes!F1068)</f>
        <v>1.5ACH Infiltration 2 inf+ Existing 15</v>
      </c>
      <c r="H1068" s="360">
        <v>4.9984232110139103E-2</v>
      </c>
      <c r="I1068" s="360">
        <v>0.36893724798074906</v>
      </c>
      <c r="J1068" s="360">
        <v>1.1905663286503108</v>
      </c>
      <c r="K1068" s="360">
        <v>0</v>
      </c>
      <c r="L1068" s="360">
        <v>0.36893724798074906</v>
      </c>
      <c r="M1068" s="360">
        <v>1.1905663286503108</v>
      </c>
      <c r="N1068" s="360">
        <v>1</v>
      </c>
      <c r="O1068" s="360">
        <v>0.36893724798074906</v>
      </c>
      <c r="P1068" s="360">
        <v>1.1905663286503108</v>
      </c>
      <c r="Q1068" s="360">
        <v>0</v>
      </c>
      <c r="R1068" s="360">
        <v>0</v>
      </c>
      <c r="S1068" s="360">
        <v>0.36893724798074906</v>
      </c>
      <c r="T1068" s="360">
        <v>1.1905663286503108</v>
      </c>
      <c r="U1068" s="360">
        <v>1</v>
      </c>
      <c r="V1068" s="360">
        <v>0.36893724798074906</v>
      </c>
      <c r="W1068" s="360">
        <v>1.1905663286503108</v>
      </c>
      <c r="X1068" s="360">
        <v>0</v>
      </c>
      <c r="Y1068" s="360">
        <v>0.37961346709760568</v>
      </c>
      <c r="Z1068" s="360">
        <v>1.1574519884088217</v>
      </c>
      <c r="AA1068" s="360">
        <v>0</v>
      </c>
      <c r="AB1068" s="360">
        <v>0.37961346709760568</v>
      </c>
      <c r="AC1068" s="360">
        <v>1.1574519884088217</v>
      </c>
      <c r="AD1068" s="360">
        <v>1</v>
      </c>
      <c r="AE1068" s="360">
        <v>0.37961346709760568</v>
      </c>
      <c r="AF1068" s="360">
        <v>1.1574519884088217</v>
      </c>
      <c r="AG1068" s="360">
        <v>0</v>
      </c>
      <c r="AH1068" s="360">
        <v>0</v>
      </c>
      <c r="AI1068" s="360">
        <v>0.37961346709760568</v>
      </c>
      <c r="AJ1068" s="360">
        <v>1.1574519884088217</v>
      </c>
      <c r="AK1068" s="360">
        <v>1</v>
      </c>
      <c r="AL1068" s="360">
        <v>0.37961346709760568</v>
      </c>
      <c r="AM1068" s="360">
        <v>1.1574519884088217</v>
      </c>
      <c r="AN1068" s="360">
        <v>0</v>
      </c>
      <c r="AO1068" s="360">
        <f t="shared" si="48"/>
        <v>1</v>
      </c>
      <c r="AP1068" s="360">
        <f t="shared" si="49"/>
        <v>0</v>
      </c>
      <c r="AQ1068" s="360">
        <f t="shared" si="50"/>
        <v>0</v>
      </c>
    </row>
    <row r="1069" spans="1:43">
      <c r="A1069" s="360" t="s">
        <v>1084</v>
      </c>
      <c r="B1069" t="s">
        <v>1076</v>
      </c>
      <c r="C1069">
        <v>2</v>
      </c>
      <c r="D1069" t="s">
        <v>1080</v>
      </c>
      <c r="E1069" t="s">
        <v>1079</v>
      </c>
      <c r="F1069" s="360">
        <v>15</v>
      </c>
      <c r="G1069" s="360" t="str">
        <f>CONCATENATE(A1069," ",B1069," ",C1069," ","inf+"," ",FanUpsizes!D1069," ",FanUpsizes!F1069)</f>
        <v>1.5ACH 5C 2 inf+ Existing 15</v>
      </c>
      <c r="H1069" s="360">
        <v>4.9984232110139103E-2</v>
      </c>
      <c r="I1069" s="360">
        <v>0.36893724798074906</v>
      </c>
      <c r="J1069" s="360">
        <v>1.1905663286503108</v>
      </c>
      <c r="K1069" s="360">
        <v>13972.488434288976</v>
      </c>
      <c r="L1069" s="360">
        <v>0.21396664718309871</v>
      </c>
      <c r="M1069" s="360">
        <v>2.8591415580937327</v>
      </c>
      <c r="N1069" s="360">
        <v>8.002523658233045</v>
      </c>
      <c r="O1069" s="360">
        <v>1.2880225470667643</v>
      </c>
      <c r="P1069" s="360">
        <v>2.3092801948041268</v>
      </c>
      <c r="Q1069" s="360">
        <v>-5756.591622428863</v>
      </c>
      <c r="R1069" s="360">
        <v>13972.488434288976</v>
      </c>
      <c r="S1069" s="360">
        <v>0.21396664718309871</v>
      </c>
      <c r="T1069" s="360">
        <v>2.8591415580937327</v>
      </c>
      <c r="U1069" s="360">
        <v>8.002523658233045</v>
      </c>
      <c r="V1069" s="360">
        <v>1.2880225470667643</v>
      </c>
      <c r="W1069" s="360">
        <v>2.3092801948041268</v>
      </c>
      <c r="X1069" s="360">
        <v>-5756.591622428863</v>
      </c>
      <c r="Y1069" s="360">
        <v>0.37961346709760568</v>
      </c>
      <c r="Z1069" s="360">
        <v>1.1574519884088217</v>
      </c>
      <c r="AA1069" s="360">
        <v>14812.137264238365</v>
      </c>
      <c r="AB1069" s="360">
        <v>0.21602812902124943</v>
      </c>
      <c r="AC1069" s="360">
        <v>2.8504735260228604</v>
      </c>
      <c r="AD1069" s="360">
        <v>8.002523658233045</v>
      </c>
      <c r="AE1069" s="360">
        <v>1.2882839978811085</v>
      </c>
      <c r="AF1069" s="360">
        <v>2.3092628120522747</v>
      </c>
      <c r="AG1069" s="360">
        <v>-4876.7516206068249</v>
      </c>
      <c r="AH1069" s="360">
        <v>14812.137264238365</v>
      </c>
      <c r="AI1069" s="360">
        <v>0.21602812902124943</v>
      </c>
      <c r="AJ1069" s="360">
        <v>2.8504735260228604</v>
      </c>
      <c r="AK1069" s="360">
        <v>8.002523658233045</v>
      </c>
      <c r="AL1069" s="360">
        <v>1.2882839978811085</v>
      </c>
      <c r="AM1069" s="360">
        <v>2.3092628120522747</v>
      </c>
      <c r="AN1069" s="360">
        <v>-4876.7516206068249</v>
      </c>
      <c r="AO1069" s="360">
        <f t="shared" si="48"/>
        <v>0</v>
      </c>
      <c r="AP1069" s="360">
        <f t="shared" si="49"/>
        <v>1</v>
      </c>
      <c r="AQ1069" s="360">
        <f t="shared" si="50"/>
        <v>1</v>
      </c>
    </row>
    <row r="1070" spans="1:43">
      <c r="A1070" s="360" t="s">
        <v>1085</v>
      </c>
      <c r="B1070" t="s">
        <v>1075</v>
      </c>
      <c r="C1070">
        <v>1</v>
      </c>
      <c r="D1070" t="s">
        <v>1078</v>
      </c>
      <c r="E1070" t="s">
        <v>1079</v>
      </c>
      <c r="F1070" s="360">
        <v>15</v>
      </c>
      <c r="G1070" s="360" t="str">
        <f>CONCATENATE(A1070," ",B1070," ",C1070," ","inf+"," ",FanUpsizes!D1070," ",FanUpsizes!F1070)</f>
        <v>0.6ACH Percentile 1 inf+ New 15</v>
      </c>
      <c r="H1070" s="360">
        <v>4.0375811443554496E-2</v>
      </c>
      <c r="I1070" s="360">
        <v>0.29800701424255482</v>
      </c>
      <c r="J1070" s="360">
        <v>1.0715257137241683</v>
      </c>
      <c r="K1070" s="360">
        <v>7248.158032095419</v>
      </c>
      <c r="L1070" s="360">
        <v>0.23318352868346126</v>
      </c>
      <c r="M1070" s="360">
        <v>2.3835356832650056</v>
      </c>
      <c r="N1070" s="360">
        <v>9.9069216369608135</v>
      </c>
      <c r="O1070" s="360">
        <v>2.2278664379893001</v>
      </c>
      <c r="P1070" s="360">
        <v>1.4713739877867023</v>
      </c>
      <c r="Q1070" s="360">
        <v>-80923.269669728223</v>
      </c>
      <c r="R1070" s="360">
        <v>11712.47269822477</v>
      </c>
      <c r="S1070" s="360">
        <v>0.16784991328930365</v>
      </c>
      <c r="T1070" s="360">
        <v>2.9984166600683966</v>
      </c>
      <c r="U1070" s="360">
        <v>9.9069216369608135</v>
      </c>
      <c r="V1070" s="360">
        <v>1.5806114300201006</v>
      </c>
      <c r="W1070" s="360">
        <v>1.5370833574035663</v>
      </c>
      <c r="X1070" s="360">
        <v>-36695.654109649498</v>
      </c>
      <c r="Y1070" s="360">
        <v>0.29926808403424332</v>
      </c>
      <c r="Z1070" s="360">
        <v>1.0670208423775625</v>
      </c>
      <c r="AA1070" s="360">
        <v>7313.2053006069536</v>
      </c>
      <c r="AB1070" s="360">
        <v>0.23386701557237127</v>
      </c>
      <c r="AC1070" s="360">
        <v>2.3799595653927939</v>
      </c>
      <c r="AD1070" s="360">
        <v>9.9069216369608135</v>
      </c>
      <c r="AE1070" s="360">
        <v>2.2279355830571936</v>
      </c>
      <c r="AF1070" s="360">
        <v>1.4713704949893449</v>
      </c>
      <c r="AG1070" s="360">
        <v>-80821.259913556685</v>
      </c>
      <c r="AH1070" s="360">
        <v>11738.943172286703</v>
      </c>
      <c r="AI1070" s="360">
        <v>0.16905393623902701</v>
      </c>
      <c r="AJ1070" s="360">
        <v>2.9773035432736297</v>
      </c>
      <c r="AK1070" s="360">
        <v>9.9069216369608135</v>
      </c>
      <c r="AL1070" s="360">
        <v>1.5807339839227985</v>
      </c>
      <c r="AM1070" s="360">
        <v>1.5370571440308134</v>
      </c>
      <c r="AN1070" s="360">
        <v>-36597.606007190494</v>
      </c>
      <c r="AO1070" s="360">
        <f t="shared" si="48"/>
        <v>0</v>
      </c>
      <c r="AP1070" s="360">
        <f t="shared" si="49"/>
        <v>1</v>
      </c>
      <c r="AQ1070" s="360">
        <f t="shared" si="50"/>
        <v>1</v>
      </c>
    </row>
    <row r="1071" spans="1:43">
      <c r="A1071" s="360" t="s">
        <v>1085</v>
      </c>
      <c r="B1071" t="s">
        <v>1074</v>
      </c>
      <c r="C1071">
        <v>1</v>
      </c>
      <c r="D1071" t="s">
        <v>1078</v>
      </c>
      <c r="E1071" t="s">
        <v>1079</v>
      </c>
      <c r="F1071" s="360">
        <v>15</v>
      </c>
      <c r="G1071" s="360" t="str">
        <f>CONCATENATE(A1071," ",B1071," ",C1071," ","inf+"," ",FanUpsizes!D1071," ",FanUpsizes!F1071)</f>
        <v>0.6ACH Infiltration 1 inf+ New 15</v>
      </c>
      <c r="H1071" s="360">
        <v>4.0375811443554496E-2</v>
      </c>
      <c r="I1071" s="360">
        <v>0.29800701424255482</v>
      </c>
      <c r="J1071" s="360">
        <v>1.0715257137241683</v>
      </c>
      <c r="K1071" s="360">
        <v>0</v>
      </c>
      <c r="L1071" s="360">
        <v>0.29800701424255482</v>
      </c>
      <c r="M1071" s="360">
        <v>1.0715257137241683</v>
      </c>
      <c r="N1071" s="360">
        <v>1</v>
      </c>
      <c r="O1071" s="360">
        <v>0.29800701424255482</v>
      </c>
      <c r="P1071" s="360">
        <v>1.0715257137241683</v>
      </c>
      <c r="Q1071" s="360">
        <v>0</v>
      </c>
      <c r="R1071" s="360">
        <v>0</v>
      </c>
      <c r="S1071" s="360">
        <v>0.29800701424255482</v>
      </c>
      <c r="T1071" s="360">
        <v>1.0715257137241683</v>
      </c>
      <c r="U1071" s="360">
        <v>1</v>
      </c>
      <c r="V1071" s="360">
        <v>0.29800701424255482</v>
      </c>
      <c r="W1071" s="360">
        <v>1.0715257137241683</v>
      </c>
      <c r="X1071" s="360">
        <v>0</v>
      </c>
      <c r="Y1071" s="360">
        <v>0.29926808403424332</v>
      </c>
      <c r="Z1071" s="360">
        <v>1.0670208423775625</v>
      </c>
      <c r="AA1071" s="360">
        <v>0</v>
      </c>
      <c r="AB1071" s="360">
        <v>0.29926808403424332</v>
      </c>
      <c r="AC1071" s="360">
        <v>1.0670208423775625</v>
      </c>
      <c r="AD1071" s="360">
        <v>1</v>
      </c>
      <c r="AE1071" s="360">
        <v>0.29926808403424332</v>
      </c>
      <c r="AF1071" s="360">
        <v>1.0670208423775625</v>
      </c>
      <c r="AG1071" s="360">
        <v>0</v>
      </c>
      <c r="AH1071" s="360">
        <v>0</v>
      </c>
      <c r="AI1071" s="360">
        <v>0.29926808403424332</v>
      </c>
      <c r="AJ1071" s="360">
        <v>1.0670208423775625</v>
      </c>
      <c r="AK1071" s="360">
        <v>1</v>
      </c>
      <c r="AL1071" s="360">
        <v>0.29926808403424332</v>
      </c>
      <c r="AM1071" s="360">
        <v>1.0670208423775625</v>
      </c>
      <c r="AN1071" s="360">
        <v>0</v>
      </c>
      <c r="AO1071" s="360">
        <f t="shared" si="48"/>
        <v>1</v>
      </c>
      <c r="AP1071" s="360">
        <f t="shared" si="49"/>
        <v>0</v>
      </c>
      <c r="AQ1071" s="360">
        <f t="shared" si="50"/>
        <v>0</v>
      </c>
    </row>
    <row r="1072" spans="1:43">
      <c r="A1072" s="360" t="s">
        <v>1085</v>
      </c>
      <c r="B1072" t="s">
        <v>1076</v>
      </c>
      <c r="C1072">
        <v>1</v>
      </c>
      <c r="D1072" t="s">
        <v>1078</v>
      </c>
      <c r="E1072" t="s">
        <v>1079</v>
      </c>
      <c r="F1072" s="360">
        <v>15</v>
      </c>
      <c r="G1072" s="360" t="str">
        <f>CONCATENATE(A1072," ",B1072," ",C1072," ","inf+"," ",FanUpsizes!D1072," ",FanUpsizes!F1072)</f>
        <v>0.6ACH 5C 1 inf+ New 15</v>
      </c>
      <c r="H1072" s="360">
        <v>4.0375811443554496E-2</v>
      </c>
      <c r="I1072" s="360">
        <v>0.29800701424255482</v>
      </c>
      <c r="J1072" s="360">
        <v>1.0715257137241683</v>
      </c>
      <c r="K1072" s="360">
        <v>14141.304122341135</v>
      </c>
      <c r="L1072" s="360">
        <v>0.14256867010697286</v>
      </c>
      <c r="M1072" s="360">
        <v>5.5045335372089195</v>
      </c>
      <c r="N1072" s="360">
        <v>9.9069216369608135</v>
      </c>
      <c r="O1072" s="360">
        <v>1.2461134301998278</v>
      </c>
      <c r="P1072" s="360">
        <v>4.8537622439924588</v>
      </c>
      <c r="Q1072" s="360">
        <v>-6129.3672399937368</v>
      </c>
      <c r="R1072" s="360">
        <v>14141.304122341135</v>
      </c>
      <c r="S1072" s="360">
        <v>0.14256867010697286</v>
      </c>
      <c r="T1072" s="360">
        <v>5.5045335372089195</v>
      </c>
      <c r="U1072" s="360">
        <v>9.9069216369608135</v>
      </c>
      <c r="V1072" s="360">
        <v>1.2461134301998278</v>
      </c>
      <c r="W1072" s="360">
        <v>4.8537622439924588</v>
      </c>
      <c r="X1072" s="360">
        <v>-6129.3672399937368</v>
      </c>
      <c r="Y1072" s="360">
        <v>0.29926808403424332</v>
      </c>
      <c r="Z1072" s="360">
        <v>1.0670208423775625</v>
      </c>
      <c r="AA1072" s="360">
        <v>14242.308208796823</v>
      </c>
      <c r="AB1072" s="360">
        <v>0.14279651910861071</v>
      </c>
      <c r="AC1072" s="360">
        <v>5.5029906636687631</v>
      </c>
      <c r="AD1072" s="360">
        <v>9.9069216369608135</v>
      </c>
      <c r="AE1072" s="360">
        <v>1.2461364684066891</v>
      </c>
      <c r="AF1072" s="360">
        <v>4.8537608551949232</v>
      </c>
      <c r="AG1072" s="360">
        <v>-6023.7186705154663</v>
      </c>
      <c r="AH1072" s="360">
        <v>14242.308208796823</v>
      </c>
      <c r="AI1072" s="360">
        <v>0.14279651910861071</v>
      </c>
      <c r="AJ1072" s="360">
        <v>5.5029906636687631</v>
      </c>
      <c r="AK1072" s="360">
        <v>9.9069216369608135</v>
      </c>
      <c r="AL1072" s="360">
        <v>1.2461364684066891</v>
      </c>
      <c r="AM1072" s="360">
        <v>4.8537608551949232</v>
      </c>
      <c r="AN1072" s="360">
        <v>-6023.7186705154663</v>
      </c>
      <c r="AO1072" s="360">
        <f t="shared" si="48"/>
        <v>0</v>
      </c>
      <c r="AP1072" s="360">
        <f t="shared" si="49"/>
        <v>1</v>
      </c>
      <c r="AQ1072" s="360">
        <f t="shared" si="50"/>
        <v>1</v>
      </c>
    </row>
    <row r="1073" spans="1:43">
      <c r="A1073" s="360" t="s">
        <v>1085</v>
      </c>
      <c r="B1073" t="s">
        <v>1075</v>
      </c>
      <c r="C1073">
        <v>2</v>
      </c>
      <c r="D1073" t="s">
        <v>1078</v>
      </c>
      <c r="E1073" t="s">
        <v>1079</v>
      </c>
      <c r="F1073" s="360">
        <v>15</v>
      </c>
      <c r="G1073" s="360" t="str">
        <f>CONCATENATE(A1073," ",B1073," ",C1073," ","inf+"," ",FanUpsizes!D1073," ",FanUpsizes!F1073)</f>
        <v>0.6ACH Percentile 2 inf+ New 15</v>
      </c>
      <c r="H1073" s="360">
        <v>3.9452692844055642E-2</v>
      </c>
      <c r="I1073" s="360">
        <v>0.29119363247278668</v>
      </c>
      <c r="J1073" s="360">
        <v>1.0965861698559862</v>
      </c>
      <c r="K1073" s="360">
        <v>6756.0264344625502</v>
      </c>
      <c r="L1073" s="360">
        <v>0.23076812381059553</v>
      </c>
      <c r="M1073" s="360">
        <v>2.1295595284919444</v>
      </c>
      <c r="N1073" s="360">
        <v>10.138724917487306</v>
      </c>
      <c r="O1073" s="360">
        <v>2.2305711806267681</v>
      </c>
      <c r="P1073" s="360">
        <v>1.2237917241579039</v>
      </c>
      <c r="Q1073" s="360">
        <v>-81641.728326123834</v>
      </c>
      <c r="R1073" s="360">
        <v>11118.200553115943</v>
      </c>
      <c r="S1073" s="360">
        <v>0.16692910256859453</v>
      </c>
      <c r="T1073" s="360">
        <v>2.7200870743713543</v>
      </c>
      <c r="U1073" s="360">
        <v>10.138724917487306</v>
      </c>
      <c r="V1073" s="360">
        <v>1.5833161726575162</v>
      </c>
      <c r="W1073" s="360">
        <v>1.2871928174357818</v>
      </c>
      <c r="X1073" s="360">
        <v>-37414.112766044935</v>
      </c>
      <c r="Y1073" s="360">
        <v>0.29339325457091731</v>
      </c>
      <c r="Z1073" s="360">
        <v>1.0883934436858038</v>
      </c>
      <c r="AA1073" s="360">
        <v>6867.0004858907569</v>
      </c>
      <c r="AB1073" s="360">
        <v>0.23198223450327368</v>
      </c>
      <c r="AC1073" s="360">
        <v>2.1233812327785651</v>
      </c>
      <c r="AD1073" s="360">
        <v>10.138724917487306</v>
      </c>
      <c r="AE1073" s="360">
        <v>2.2306914220601493</v>
      </c>
      <c r="AF1073" s="360">
        <v>1.2237858992147161</v>
      </c>
      <c r="AG1073" s="360">
        <v>-81466.082294495267</v>
      </c>
      <c r="AH1073" s="360">
        <v>11162.907749644028</v>
      </c>
      <c r="AI1073" s="360">
        <v>0.16904033644440575</v>
      </c>
      <c r="AJ1073" s="360">
        <v>2.6852778409854343</v>
      </c>
      <c r="AK1073" s="360">
        <v>10.138724917487306</v>
      </c>
      <c r="AL1073" s="360">
        <v>1.5835276081662983</v>
      </c>
      <c r="AM1073" s="360">
        <v>1.2871505000750136</v>
      </c>
      <c r="AN1073" s="360">
        <v>-37245.213730220625</v>
      </c>
      <c r="AO1073" s="360">
        <f t="shared" si="48"/>
        <v>0</v>
      </c>
      <c r="AP1073" s="360">
        <f t="shared" si="49"/>
        <v>1</v>
      </c>
      <c r="AQ1073" s="360">
        <f t="shared" si="50"/>
        <v>1</v>
      </c>
    </row>
    <row r="1074" spans="1:43">
      <c r="A1074" s="360" t="s">
        <v>1085</v>
      </c>
      <c r="B1074" t="s">
        <v>1074</v>
      </c>
      <c r="C1074">
        <v>2</v>
      </c>
      <c r="D1074" t="s">
        <v>1078</v>
      </c>
      <c r="E1074" t="s">
        <v>1079</v>
      </c>
      <c r="F1074" s="360">
        <v>15</v>
      </c>
      <c r="G1074" s="360" t="str">
        <f>CONCATENATE(A1074," ",B1074," ",C1074," ","inf+"," ",FanUpsizes!D1074," ",FanUpsizes!F1074)</f>
        <v>0.6ACH Infiltration 2 inf+ New 15</v>
      </c>
      <c r="H1074" s="360">
        <v>3.9452692844055642E-2</v>
      </c>
      <c r="I1074" s="360">
        <v>0.29119363247278668</v>
      </c>
      <c r="J1074" s="360">
        <v>1.0965861698559862</v>
      </c>
      <c r="K1074" s="360">
        <v>0</v>
      </c>
      <c r="L1074" s="360">
        <v>0.29119363247278668</v>
      </c>
      <c r="M1074" s="360">
        <v>1.0965861698559862</v>
      </c>
      <c r="N1074" s="360">
        <v>1</v>
      </c>
      <c r="O1074" s="360">
        <v>0.29119363247278668</v>
      </c>
      <c r="P1074" s="360">
        <v>1.0965861698559862</v>
      </c>
      <c r="Q1074" s="360">
        <v>0</v>
      </c>
      <c r="R1074" s="360">
        <v>0</v>
      </c>
      <c r="S1074" s="360">
        <v>0.29119363247278668</v>
      </c>
      <c r="T1074" s="360">
        <v>1.0965861698559862</v>
      </c>
      <c r="U1074" s="360">
        <v>1</v>
      </c>
      <c r="V1074" s="360">
        <v>0.29119363247278668</v>
      </c>
      <c r="W1074" s="360">
        <v>1.0965861698559862</v>
      </c>
      <c r="X1074" s="360">
        <v>0</v>
      </c>
      <c r="Y1074" s="360">
        <v>0.29339325457091731</v>
      </c>
      <c r="Z1074" s="360">
        <v>1.0883934436858038</v>
      </c>
      <c r="AA1074" s="360">
        <v>0</v>
      </c>
      <c r="AB1074" s="360">
        <v>0.29339325457091731</v>
      </c>
      <c r="AC1074" s="360">
        <v>1.0883934436858038</v>
      </c>
      <c r="AD1074" s="360">
        <v>1</v>
      </c>
      <c r="AE1074" s="360">
        <v>0.29339325457091731</v>
      </c>
      <c r="AF1074" s="360">
        <v>1.0883934436858038</v>
      </c>
      <c r="AG1074" s="360">
        <v>0</v>
      </c>
      <c r="AH1074" s="360">
        <v>0</v>
      </c>
      <c r="AI1074" s="360">
        <v>0.29339325457091731</v>
      </c>
      <c r="AJ1074" s="360">
        <v>1.0883934436858038</v>
      </c>
      <c r="AK1074" s="360">
        <v>1</v>
      </c>
      <c r="AL1074" s="360">
        <v>0.29339325457091731</v>
      </c>
      <c r="AM1074" s="360">
        <v>1.0883934436858038</v>
      </c>
      <c r="AN1074" s="360">
        <v>0</v>
      </c>
      <c r="AO1074" s="360">
        <f t="shared" si="48"/>
        <v>1</v>
      </c>
      <c r="AP1074" s="360">
        <f>IF(O1074&gt;L1074,1,0)</f>
        <v>0</v>
      </c>
      <c r="AQ1074" s="360">
        <f t="shared" si="50"/>
        <v>0</v>
      </c>
    </row>
    <row r="1075" spans="1:43">
      <c r="A1075" s="360" t="s">
        <v>1085</v>
      </c>
      <c r="B1075" t="s">
        <v>1076</v>
      </c>
      <c r="C1075">
        <v>2</v>
      </c>
      <c r="D1075" t="s">
        <v>1078</v>
      </c>
      <c r="E1075" t="s">
        <v>1079</v>
      </c>
      <c r="F1075" s="360">
        <v>15</v>
      </c>
      <c r="G1075" s="360" t="str">
        <f>CONCATENATE(A1075," ",B1075," ",C1075," ","inf+"," ",FanUpsizes!D1075," ",FanUpsizes!F1075)</f>
        <v>0.6ACH 5C 2 inf+ New 15</v>
      </c>
      <c r="H1075" s="360">
        <v>3.9452692844055642E-2</v>
      </c>
      <c r="I1075" s="360">
        <v>0.29119363247278668</v>
      </c>
      <c r="J1075" s="360">
        <v>1.0965861698559862</v>
      </c>
      <c r="K1075" s="360">
        <v>13254.325842048065</v>
      </c>
      <c r="L1075" s="360">
        <v>0.14529689003126547</v>
      </c>
      <c r="M1075" s="360">
        <v>4.4638772866507539</v>
      </c>
      <c r="N1075" s="360">
        <v>10.138724917487306</v>
      </c>
      <c r="O1075" s="360">
        <v>1.2516743369283849</v>
      </c>
      <c r="P1075" s="360">
        <v>3.8393442174042822</v>
      </c>
      <c r="Q1075" s="360">
        <v>-7068.3782654534743</v>
      </c>
      <c r="R1075" s="360">
        <v>13254.325842048065</v>
      </c>
      <c r="S1075" s="360">
        <v>0.14529689003126547</v>
      </c>
      <c r="T1075" s="360">
        <v>4.4638772866507539</v>
      </c>
      <c r="U1075" s="360">
        <v>10.138724917487306</v>
      </c>
      <c r="V1075" s="360">
        <v>1.2516743369283849</v>
      </c>
      <c r="W1075" s="360">
        <v>3.8393442174042822</v>
      </c>
      <c r="X1075" s="360">
        <v>-7068.3782654534743</v>
      </c>
      <c r="Y1075" s="360">
        <v>0.29339325457091731</v>
      </c>
      <c r="Z1075" s="360">
        <v>1.0883934436858038</v>
      </c>
      <c r="AA1075" s="360">
        <v>13427.670195851118</v>
      </c>
      <c r="AB1075" s="360">
        <v>0.14571966009733212</v>
      </c>
      <c r="AC1075" s="360">
        <v>4.4611996024645348</v>
      </c>
      <c r="AD1075" s="360">
        <v>10.138724917487306</v>
      </c>
      <c r="AE1075" s="360">
        <v>1.2517161764183251</v>
      </c>
      <c r="AF1075" s="360">
        <v>3.8393418549856007</v>
      </c>
      <c r="AG1075" s="360">
        <v>-6886.5521272121096</v>
      </c>
      <c r="AH1075" s="360">
        <v>13427.670195851118</v>
      </c>
      <c r="AI1075" s="360">
        <v>0.14571966009733212</v>
      </c>
      <c r="AJ1075" s="360">
        <v>4.4611996024645348</v>
      </c>
      <c r="AK1075" s="360">
        <v>10.138724917487306</v>
      </c>
      <c r="AL1075" s="360">
        <v>1.2517161764183251</v>
      </c>
      <c r="AM1075" s="360">
        <v>3.8393418549856007</v>
      </c>
      <c r="AN1075" s="360">
        <v>-6886.5521272121096</v>
      </c>
      <c r="AO1075" s="360">
        <f t="shared" si="48"/>
        <v>0</v>
      </c>
      <c r="AP1075" s="360">
        <f t="shared" si="49"/>
        <v>1</v>
      </c>
      <c r="AQ1075" s="360">
        <f t="shared" si="50"/>
        <v>1</v>
      </c>
    </row>
    <row r="1076" spans="1:43">
      <c r="A1076" s="360" t="s">
        <v>1085</v>
      </c>
      <c r="B1076" t="s">
        <v>1075</v>
      </c>
      <c r="C1076">
        <v>1</v>
      </c>
      <c r="D1076" t="s">
        <v>1080</v>
      </c>
      <c r="E1076" t="s">
        <v>1079</v>
      </c>
      <c r="F1076" s="360">
        <v>15</v>
      </c>
      <c r="G1076" s="360" t="str">
        <f>CONCATENATE(A1076," ",B1076," ",C1076," ","inf+"," ",FanUpsizes!D1076," ",FanUpsizes!F1076)</f>
        <v>0.6ACH Percentile 1 inf+ Existing 15</v>
      </c>
      <c r="H1076" s="360">
        <v>5.6625811443554497E-2</v>
      </c>
      <c r="I1076" s="360">
        <v>0.41794550732307967</v>
      </c>
      <c r="J1076" s="360">
        <v>1.0510054158083875</v>
      </c>
      <c r="K1076" s="360">
        <v>10581.498284640949</v>
      </c>
      <c r="L1076" s="360">
        <v>0.32331538940823396</v>
      </c>
      <c r="M1076" s="360">
        <v>2.8801043314824755</v>
      </c>
      <c r="N1076" s="360">
        <v>7.0639164332104327</v>
      </c>
      <c r="O1076" s="360">
        <v>2.2278664379893001</v>
      </c>
      <c r="P1076" s="360">
        <v>2.0239240076070462</v>
      </c>
      <c r="Q1076" s="360">
        <v>-73605.810034373717</v>
      </c>
      <c r="R1076" s="360">
        <v>16842.559832898613</v>
      </c>
      <c r="S1076" s="360">
        <v>0.23168703931531281</v>
      </c>
      <c r="T1076" s="360">
        <v>3.5082727433521956</v>
      </c>
      <c r="U1076" s="360">
        <v>7.0639164332104327</v>
      </c>
      <c r="V1076" s="360">
        <v>1.5806114300201006</v>
      </c>
      <c r="W1076" s="360">
        <v>2.1142989342725094</v>
      </c>
      <c r="X1076" s="360">
        <v>-29378.194474295022</v>
      </c>
      <c r="Y1076" s="360">
        <v>0.41884603572359425</v>
      </c>
      <c r="Z1076" s="360">
        <v>1.0487487571319363</v>
      </c>
      <c r="AA1076" s="360">
        <v>10627.971185491564</v>
      </c>
      <c r="AB1076" s="360">
        <v>0.32380327448765883</v>
      </c>
      <c r="AC1076" s="360">
        <v>2.8782673467639808</v>
      </c>
      <c r="AD1076" s="360">
        <v>7.0639164332104336</v>
      </c>
      <c r="AE1076" s="360">
        <v>2.2279355830571936</v>
      </c>
      <c r="AF1076" s="360">
        <v>2.0239192033944993</v>
      </c>
      <c r="AG1076" s="360">
        <v>-73534.140238683438</v>
      </c>
      <c r="AH1076" s="360">
        <v>16861.291674707976</v>
      </c>
      <c r="AI1076" s="360">
        <v>0.23254908395713594</v>
      </c>
      <c r="AJ1076" s="360">
        <v>3.4969161303953569</v>
      </c>
      <c r="AK1076" s="360">
        <v>7.0639164332104336</v>
      </c>
      <c r="AL1076" s="360">
        <v>1.5807339839227985</v>
      </c>
      <c r="AM1076" s="360">
        <v>2.114262885600918</v>
      </c>
      <c r="AN1076" s="360">
        <v>-29310.486332317261</v>
      </c>
      <c r="AO1076" s="360">
        <f t="shared" si="48"/>
        <v>0</v>
      </c>
      <c r="AP1076" s="360">
        <f t="shared" si="49"/>
        <v>1</v>
      </c>
      <c r="AQ1076" s="360">
        <f t="shared" si="50"/>
        <v>1</v>
      </c>
    </row>
    <row r="1077" spans="1:43">
      <c r="A1077" s="360" t="s">
        <v>1085</v>
      </c>
      <c r="B1077" t="s">
        <v>1074</v>
      </c>
      <c r="C1077">
        <v>1</v>
      </c>
      <c r="D1077" t="s">
        <v>1080</v>
      </c>
      <c r="E1077" t="s">
        <v>1079</v>
      </c>
      <c r="F1077" s="360">
        <v>15</v>
      </c>
      <c r="G1077" s="360" t="str">
        <f>CONCATENATE(A1077," ",B1077," ",C1077," ","inf+"," ",FanUpsizes!D1077," ",FanUpsizes!F1077)</f>
        <v>0.6ACH Infiltration 1 inf+ Existing 15</v>
      </c>
      <c r="H1077" s="360">
        <v>5.6625811443554497E-2</v>
      </c>
      <c r="I1077" s="360">
        <v>0.41794550732307967</v>
      </c>
      <c r="J1077" s="360">
        <v>1.0510054158083875</v>
      </c>
      <c r="K1077" s="360">
        <v>0</v>
      </c>
      <c r="L1077" s="360">
        <v>0.41794550732307967</v>
      </c>
      <c r="M1077" s="360">
        <v>1.0510054158083875</v>
      </c>
      <c r="N1077" s="360">
        <v>1</v>
      </c>
      <c r="O1077" s="360">
        <v>0.41794550732307967</v>
      </c>
      <c r="P1077" s="360">
        <v>1.0510054158083875</v>
      </c>
      <c r="Q1077" s="360">
        <v>0</v>
      </c>
      <c r="R1077" s="360">
        <v>0</v>
      </c>
      <c r="S1077" s="360">
        <v>0.41794550732307967</v>
      </c>
      <c r="T1077" s="360">
        <v>1.0510054158083875</v>
      </c>
      <c r="U1077" s="360">
        <v>1</v>
      </c>
      <c r="V1077" s="360">
        <v>0.41794550732307967</v>
      </c>
      <c r="W1077" s="360">
        <v>1.0510054158083875</v>
      </c>
      <c r="X1077" s="360">
        <v>0</v>
      </c>
      <c r="Y1077" s="360">
        <v>0.41884603572359425</v>
      </c>
      <c r="Z1077" s="360">
        <v>1.0487487571319363</v>
      </c>
      <c r="AA1077" s="360">
        <v>0</v>
      </c>
      <c r="AB1077" s="360">
        <v>0.41884603572359425</v>
      </c>
      <c r="AC1077" s="360">
        <v>1.0487487571319363</v>
      </c>
      <c r="AD1077" s="360">
        <v>1</v>
      </c>
      <c r="AE1077" s="360">
        <v>0.41884603572359425</v>
      </c>
      <c r="AF1077" s="360">
        <v>1.0487487571319363</v>
      </c>
      <c r="AG1077" s="360">
        <v>0</v>
      </c>
      <c r="AH1077" s="360">
        <v>0</v>
      </c>
      <c r="AI1077" s="360">
        <v>0.41884603572359425</v>
      </c>
      <c r="AJ1077" s="360">
        <v>1.0487487571319363</v>
      </c>
      <c r="AK1077" s="360">
        <v>1</v>
      </c>
      <c r="AL1077" s="360">
        <v>0.41884603572359425</v>
      </c>
      <c r="AM1077" s="360">
        <v>1.0487487571319363</v>
      </c>
      <c r="AN1077" s="360">
        <v>0</v>
      </c>
      <c r="AO1077" s="360">
        <f t="shared" si="48"/>
        <v>1</v>
      </c>
      <c r="AP1077" s="360">
        <f t="shared" si="49"/>
        <v>0</v>
      </c>
      <c r="AQ1077" s="360">
        <f t="shared" si="50"/>
        <v>0</v>
      </c>
    </row>
    <row r="1078" spans="1:43">
      <c r="A1078" s="360" t="s">
        <v>1085</v>
      </c>
      <c r="B1078" t="s">
        <v>1076</v>
      </c>
      <c r="C1078">
        <v>1</v>
      </c>
      <c r="D1078" t="s">
        <v>1080</v>
      </c>
      <c r="E1078" t="s">
        <v>1079</v>
      </c>
      <c r="F1078" s="360">
        <v>15</v>
      </c>
      <c r="G1078" s="360" t="str">
        <f>CONCATENATE(A1078," ",B1078," ",C1078," ","inf+"," ",FanUpsizes!D1078," ",FanUpsizes!F1078)</f>
        <v>0.6ACH 5C 1 inf+ Existing 15</v>
      </c>
      <c r="H1078" s="360">
        <v>5.6625811443554497E-2</v>
      </c>
      <c r="I1078" s="360">
        <v>0.41794550732307967</v>
      </c>
      <c r="J1078" s="360">
        <v>1.0510054158083875</v>
      </c>
      <c r="K1078" s="360">
        <v>20542.811994383563</v>
      </c>
      <c r="L1078" s="360">
        <v>0.19243350935344991</v>
      </c>
      <c r="M1078" s="360">
        <v>7.2846638409703335</v>
      </c>
      <c r="N1078" s="360">
        <v>7.0639164332104336</v>
      </c>
      <c r="O1078" s="360">
        <v>1.2461134301998278</v>
      </c>
      <c r="P1078" s="360">
        <v>6.6755330863933606</v>
      </c>
      <c r="Q1078" s="360">
        <v>1188.0923953607421</v>
      </c>
      <c r="R1078" s="360">
        <v>20542.811994383563</v>
      </c>
      <c r="S1078" s="360">
        <v>0.19243350935344991</v>
      </c>
      <c r="T1078" s="360">
        <v>7.2846638409703335</v>
      </c>
      <c r="U1078" s="360">
        <v>7.0639164332104336</v>
      </c>
      <c r="V1078" s="360">
        <v>1.2461134301998278</v>
      </c>
      <c r="W1078" s="360">
        <v>6.6755330863933606</v>
      </c>
      <c r="X1078" s="360">
        <v>1188.0923953607421</v>
      </c>
      <c r="Y1078" s="360">
        <v>0.41884603572359425</v>
      </c>
      <c r="Z1078" s="360">
        <v>1.0487487571319363</v>
      </c>
      <c r="AA1078" s="360">
        <v>20614.95583335005</v>
      </c>
      <c r="AB1078" s="360">
        <v>0.19259610939836913</v>
      </c>
      <c r="AC1078" s="360">
        <v>7.2838678087740014</v>
      </c>
      <c r="AD1078" s="360">
        <v>7.0639164332104336</v>
      </c>
      <c r="AE1078" s="360">
        <v>1.2461364684066891</v>
      </c>
      <c r="AF1078" s="360">
        <v>6.6755311759750464</v>
      </c>
      <c r="AG1078" s="360">
        <v>1263.4010043577682</v>
      </c>
      <c r="AH1078" s="360">
        <v>20614.95583335005</v>
      </c>
      <c r="AI1078" s="360">
        <v>0.19259610939836913</v>
      </c>
      <c r="AJ1078" s="360">
        <v>7.2838678087740014</v>
      </c>
      <c r="AK1078" s="360">
        <v>7.0639164332104336</v>
      </c>
      <c r="AL1078" s="360">
        <v>1.2461364684066891</v>
      </c>
      <c r="AM1078" s="360">
        <v>6.6755311759750464</v>
      </c>
      <c r="AN1078" s="360">
        <v>1263.4010043577682</v>
      </c>
      <c r="AO1078" s="360">
        <f t="shared" si="48"/>
        <v>0</v>
      </c>
      <c r="AP1078" s="360">
        <f t="shared" si="49"/>
        <v>1</v>
      </c>
      <c r="AQ1078" s="360">
        <f t="shared" si="50"/>
        <v>1</v>
      </c>
    </row>
    <row r="1079" spans="1:43">
      <c r="A1079" s="360" t="s">
        <v>1085</v>
      </c>
      <c r="B1079" t="s">
        <v>1075</v>
      </c>
      <c r="C1079">
        <v>2</v>
      </c>
      <c r="D1079" t="s">
        <v>1080</v>
      </c>
      <c r="E1079" t="s">
        <v>1079</v>
      </c>
      <c r="F1079" s="360">
        <v>15</v>
      </c>
      <c r="G1079" s="360" t="str">
        <f>CONCATENATE(A1079," ",B1079," ",C1079," ","inf+"," ",FanUpsizes!D1079," ",FanUpsizes!F1079)</f>
        <v>0.6ACH Percentile 2 inf+ Existing 15</v>
      </c>
      <c r="H1079" s="360">
        <v>5.5702692844055643E-2</v>
      </c>
      <c r="I1079" s="360">
        <v>0.41113212555321915</v>
      </c>
      <c r="J1079" s="360">
        <v>1.0684170902249888</v>
      </c>
      <c r="K1079" s="360">
        <v>10089.36668700818</v>
      </c>
      <c r="L1079" s="360">
        <v>0.32089998453529262</v>
      </c>
      <c r="M1079" s="360">
        <v>2.5294724083185329</v>
      </c>
      <c r="N1079" s="360">
        <v>7.1809813776837244</v>
      </c>
      <c r="O1079" s="360">
        <v>2.2305711806267681</v>
      </c>
      <c r="P1079" s="360">
        <v>1.6833521836133167</v>
      </c>
      <c r="Q1079" s="360">
        <v>-74324.268690769342</v>
      </c>
      <c r="R1079" s="360">
        <v>16248.359898928287</v>
      </c>
      <c r="S1079" s="360">
        <v>0.2307653672835864</v>
      </c>
      <c r="T1079" s="360">
        <v>3.1315419952713457</v>
      </c>
      <c r="U1079" s="360">
        <v>7.1809813776837244</v>
      </c>
      <c r="V1079" s="360">
        <v>1.5833161726575162</v>
      </c>
      <c r="W1079" s="360">
        <v>1.7705522528931019</v>
      </c>
      <c r="X1079" s="360">
        <v>-30096.653130690444</v>
      </c>
      <c r="Y1079" s="360">
        <v>0.41269425505113522</v>
      </c>
      <c r="Z1079" s="360">
        <v>1.0643807943389991</v>
      </c>
      <c r="AA1079" s="360">
        <v>10168.243447783323</v>
      </c>
      <c r="AB1079" s="360">
        <v>0.3217616729859033</v>
      </c>
      <c r="AC1079" s="360">
        <v>2.5263462587233869</v>
      </c>
      <c r="AD1079" s="360">
        <v>7.1809813776837244</v>
      </c>
      <c r="AE1079" s="360">
        <v>2.2306914220601493</v>
      </c>
      <c r="AF1079" s="360">
        <v>1.6833441716096893</v>
      </c>
      <c r="AG1079" s="360">
        <v>-74201.548179103469</v>
      </c>
      <c r="AH1079" s="360">
        <v>16279.529824414203</v>
      </c>
      <c r="AI1079" s="360">
        <v>0.23227235569268001</v>
      </c>
      <c r="AJ1079" s="360">
        <v>3.1129232770475328</v>
      </c>
      <c r="AK1079" s="360">
        <v>7.1809813776837244</v>
      </c>
      <c r="AL1079" s="360">
        <v>1.5835276081662983</v>
      </c>
      <c r="AM1079" s="360">
        <v>1.7704940578789938</v>
      </c>
      <c r="AN1079" s="360">
        <v>-29980.679614828809</v>
      </c>
      <c r="AO1079" s="360">
        <f t="shared" si="48"/>
        <v>0</v>
      </c>
      <c r="AP1079" s="360">
        <f t="shared" si="49"/>
        <v>1</v>
      </c>
      <c r="AQ1079" s="360">
        <f t="shared" si="50"/>
        <v>1</v>
      </c>
    </row>
    <row r="1080" spans="1:43">
      <c r="A1080" s="360" t="s">
        <v>1085</v>
      </c>
      <c r="B1080" t="s">
        <v>1074</v>
      </c>
      <c r="C1080">
        <v>2</v>
      </c>
      <c r="D1080" t="s">
        <v>1080</v>
      </c>
      <c r="E1080" t="s">
        <v>1079</v>
      </c>
      <c r="F1080" s="360">
        <v>15</v>
      </c>
      <c r="G1080" s="360" t="str">
        <f>CONCATENATE(A1080," ",B1080," ",C1080," ","inf+"," ",FanUpsizes!D1080," ",FanUpsizes!F1080)</f>
        <v>0.6ACH Infiltration 2 inf+ Existing 15</v>
      </c>
      <c r="H1080" s="360">
        <v>5.5702692844055643E-2</v>
      </c>
      <c r="I1080" s="360">
        <v>0.41113212555321915</v>
      </c>
      <c r="J1080" s="360">
        <v>1.0684170902249888</v>
      </c>
      <c r="K1080" s="360">
        <v>0</v>
      </c>
      <c r="L1080" s="360">
        <v>0.41113212555321915</v>
      </c>
      <c r="M1080" s="360">
        <v>1.0684170902249888</v>
      </c>
      <c r="N1080" s="360">
        <v>1</v>
      </c>
      <c r="O1080" s="360">
        <v>0.41113212555321915</v>
      </c>
      <c r="P1080" s="360">
        <v>1.0684170902249888</v>
      </c>
      <c r="Q1080" s="360">
        <v>0</v>
      </c>
      <c r="R1080" s="360">
        <v>0</v>
      </c>
      <c r="S1080" s="360">
        <v>0.41113212555321915</v>
      </c>
      <c r="T1080" s="360">
        <v>1.0684170902249888</v>
      </c>
      <c r="U1080" s="360">
        <v>1</v>
      </c>
      <c r="V1080" s="360">
        <v>0.41113212555321915</v>
      </c>
      <c r="W1080" s="360">
        <v>1.0684170902249888</v>
      </c>
      <c r="X1080" s="360">
        <v>0</v>
      </c>
      <c r="Y1080" s="360">
        <v>0.41269425505113522</v>
      </c>
      <c r="Z1080" s="360">
        <v>1.0643807943389991</v>
      </c>
      <c r="AA1080" s="360">
        <v>0</v>
      </c>
      <c r="AB1080" s="360">
        <v>0.41269425505113522</v>
      </c>
      <c r="AC1080" s="360">
        <v>1.0643807943389991</v>
      </c>
      <c r="AD1080" s="360">
        <v>1</v>
      </c>
      <c r="AE1080" s="360">
        <v>0.41269425505113522</v>
      </c>
      <c r="AF1080" s="360">
        <v>1.0643807943389991</v>
      </c>
      <c r="AG1080" s="360">
        <v>0</v>
      </c>
      <c r="AH1080" s="360">
        <v>0</v>
      </c>
      <c r="AI1080" s="360">
        <v>0.41269425505113522</v>
      </c>
      <c r="AJ1080" s="360">
        <v>1.0643807943389991</v>
      </c>
      <c r="AK1080" s="360">
        <v>1</v>
      </c>
      <c r="AL1080" s="360">
        <v>0.41269425505113522</v>
      </c>
      <c r="AM1080" s="360">
        <v>1.0643807943389991</v>
      </c>
      <c r="AN1080" s="360">
        <v>0</v>
      </c>
      <c r="AO1080" s="360">
        <f t="shared" si="48"/>
        <v>1</v>
      </c>
      <c r="AP1080" s="360">
        <f t="shared" si="49"/>
        <v>0</v>
      </c>
      <c r="AQ1080" s="360">
        <f t="shared" si="50"/>
        <v>0</v>
      </c>
    </row>
    <row r="1081" spans="1:43">
      <c r="A1081" s="360" t="s">
        <v>1085</v>
      </c>
      <c r="B1081" t="s">
        <v>1076</v>
      </c>
      <c r="C1081">
        <v>2</v>
      </c>
      <c r="D1081" t="s">
        <v>1080</v>
      </c>
      <c r="E1081" t="s">
        <v>1079</v>
      </c>
      <c r="F1081" s="360">
        <v>15</v>
      </c>
      <c r="G1081" s="360" t="str">
        <f>CONCATENATE(A1081," ",B1081," ",C1081," ","inf+"," ",FanUpsizes!D1081," ",FanUpsizes!F1081)</f>
        <v>0.6ACH 5C 2 inf+ Existing 15</v>
      </c>
      <c r="H1081" s="360">
        <v>5.5702692844055643E-2</v>
      </c>
      <c r="I1081" s="360">
        <v>0.41113212555321915</v>
      </c>
      <c r="J1081" s="360">
        <v>1.0684170902249888</v>
      </c>
      <c r="K1081" s="360">
        <v>19655.833714090502</v>
      </c>
      <c r="L1081" s="360">
        <v>0.1951617292777309</v>
      </c>
      <c r="M1081" s="360">
        <v>5.8636533867856135</v>
      </c>
      <c r="N1081" s="360">
        <v>7.1809813776837244</v>
      </c>
      <c r="O1081" s="360">
        <v>1.2516743369283849</v>
      </c>
      <c r="P1081" s="360">
        <v>5.2803867502750537</v>
      </c>
      <c r="Q1081" s="360">
        <v>249.08136990101315</v>
      </c>
      <c r="R1081" s="360">
        <v>19655.833714090502</v>
      </c>
      <c r="S1081" s="360">
        <v>0.1951617292777309</v>
      </c>
      <c r="T1081" s="360">
        <v>5.8636533867856135</v>
      </c>
      <c r="U1081" s="360">
        <v>7.1809813776837244</v>
      </c>
      <c r="V1081" s="360">
        <v>1.2516743369283849</v>
      </c>
      <c r="W1081" s="360">
        <v>5.2803867502750537</v>
      </c>
      <c r="X1081" s="360">
        <v>249.08136990101315</v>
      </c>
      <c r="Y1081" s="360">
        <v>0.41269425505113522</v>
      </c>
      <c r="Z1081" s="360">
        <v>1.0643807943389991</v>
      </c>
      <c r="AA1081" s="360">
        <v>19778.987815923712</v>
      </c>
      <c r="AB1081" s="360">
        <v>0.19546167204514711</v>
      </c>
      <c r="AC1081" s="360">
        <v>5.8622909380345609</v>
      </c>
      <c r="AD1081" s="360">
        <v>7.1809813776837244</v>
      </c>
      <c r="AE1081" s="360">
        <v>1.2517161764183251</v>
      </c>
      <c r="AF1081" s="360">
        <v>5.2803835005509967</v>
      </c>
      <c r="AG1081" s="360">
        <v>377.98198817970399</v>
      </c>
      <c r="AH1081" s="360">
        <v>19778.987815923712</v>
      </c>
      <c r="AI1081" s="360">
        <v>0.19546167204514711</v>
      </c>
      <c r="AJ1081" s="360">
        <v>5.8622909380345609</v>
      </c>
      <c r="AK1081" s="360">
        <v>7.1809813776837244</v>
      </c>
      <c r="AL1081" s="360">
        <v>1.2517161764183251</v>
      </c>
      <c r="AM1081" s="360">
        <v>5.2803835005509967</v>
      </c>
      <c r="AN1081" s="360">
        <v>377.98198817970399</v>
      </c>
      <c r="AO1081" s="360">
        <f t="shared" si="48"/>
        <v>0</v>
      </c>
      <c r="AP1081" s="360">
        <f t="shared" si="49"/>
        <v>1</v>
      </c>
      <c r="AQ1081" s="360">
        <f t="shared" si="50"/>
        <v>1</v>
      </c>
    </row>
  </sheetData>
  <autoFilter ref="A1:AN1081"/>
  <conditionalFormatting sqref="O2:O146">
    <cfRule type="cellIs" dxfId="1" priority="3" operator="lessThan">
      <formula>1</formula>
    </cfRule>
  </conditionalFormatting>
  <conditionalFormatting sqref="AO3:AQ1081">
    <cfRule type="cellIs" dxfId="0" priority="2" operator="equal">
      <formula>0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35</vt:i4>
      </vt:variant>
    </vt:vector>
  </HeadingPairs>
  <TitlesOfParts>
    <vt:vector size="49" baseType="lpstr">
      <vt:lpstr>mainINPUT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Heat - Cool</vt:lpstr>
      <vt:lpstr>Weather</vt:lpstr>
      <vt:lpstr>Output</vt:lpstr>
      <vt:lpstr>Venting Cutoff Humidity Ratio</vt:lpstr>
      <vt:lpstr>FanUpsizes</vt:lpstr>
      <vt:lpstr>A_ceilingSI</vt:lpstr>
      <vt:lpstr>A_houseFT</vt:lpstr>
      <vt:lpstr>A_houseSI</vt:lpstr>
      <vt:lpstr>A_wall</vt:lpstr>
      <vt:lpstr>A_windowSI</vt:lpstr>
      <vt:lpstr>Airtightness</vt:lpstr>
      <vt:lpstr>C_flueSI</vt:lpstr>
      <vt:lpstr>Attic!C_name</vt:lpstr>
      <vt:lpstr>C_name</vt:lpstr>
      <vt:lpstr>C_no</vt:lpstr>
      <vt:lpstr>FanSize</vt:lpstr>
      <vt:lpstr>H_attic.ventSI</vt:lpstr>
      <vt:lpstr>H_flueSI</vt:lpstr>
      <vt:lpstr>H_peak</vt:lpstr>
      <vt:lpstr>H_soffitSI</vt:lpstr>
      <vt:lpstr>L_houseSI</vt:lpstr>
      <vt:lpstr>n</vt:lpstr>
      <vt:lpstr>Navent</vt:lpstr>
      <vt:lpstr>Nbedrooms</vt:lpstr>
      <vt:lpstr>Nfan</vt:lpstr>
      <vt:lpstr>Nflue</vt:lpstr>
      <vt:lpstr>Noccupants</vt:lpstr>
      <vt:lpstr>Output!output</vt:lpstr>
      <vt:lpstr>output_11</vt:lpstr>
      <vt:lpstr>overhang</vt:lpstr>
      <vt:lpstr>planareaSI</vt:lpstr>
      <vt:lpstr>rho_air</vt:lpstr>
      <vt:lpstr>RIVEC_fans</vt:lpstr>
      <vt:lpstr>storeys</vt:lpstr>
      <vt:lpstr>mainINPUT!Stories</vt:lpstr>
      <vt:lpstr>stories</vt:lpstr>
      <vt:lpstr>Type</vt:lpstr>
      <vt:lpstr>V_houseSI</vt:lpstr>
      <vt:lpstr>W_houseSI</vt:lpstr>
      <vt:lpstr>ws</vt:lpstr>
    </vt:vector>
  </TitlesOfParts>
  <Company>BYG.DTU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Author</cp:lastModifiedBy>
  <dcterms:created xsi:type="dcterms:W3CDTF">2009-09-29T23:43:02Z</dcterms:created>
  <dcterms:modified xsi:type="dcterms:W3CDTF">2015-09-03T23:19:52Z</dcterms:modified>
</cp:coreProperties>
</file>