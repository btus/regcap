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1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1st_floor">Geometry!$D$9</definedName>
    <definedName name="A_2nd_floor">Geometry!$D$10</definedName>
    <definedName name="A_atticSI">Geometry!#REF!</definedName>
    <definedName name="A_ceilingSI">Geometry!$D$30</definedName>
    <definedName name="A_doors_SI">Geometry!$D$18</definedName>
    <definedName name="A_houseFT">Geometry!$B$8</definedName>
    <definedName name="A_houseSI">Geometry!$D$8</definedName>
    <definedName name="A_roofdeckSI">Geometry!$D$40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ASHRAEver">Parametrics!$C$56</definedName>
    <definedName name="AtticAirtightness">Parametrics!$C$71</definedName>
    <definedName name="AtticType">Parametrics!$C$84</definedName>
    <definedName name="BalancedFan">[1]Inputs!$C$142</definedName>
    <definedName name="BaseName">Parametrics!$K$4</definedName>
    <definedName name="BatchFileName">Parametrics!$K$2</definedName>
    <definedName name="C_Attic">Attic!$D$14</definedName>
    <definedName name="C_name" localSheetId="10">Parametrics!$K$4</definedName>
    <definedName name="C_name">Parametrics!$K$4</definedName>
    <definedName name="C_no">Parametrics!#REF!</definedName>
    <definedName name="CeilingLeakage">Parametrics!$C$79</definedName>
    <definedName name="Crawl">Inputs!$C$144</definedName>
    <definedName name="DehumidType">Parametrics!$C$40</definedName>
    <definedName name="DuctLeakage">Parametrics!$C$66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Leakage!$B$6</definedName>
    <definedName name="n_Attic">Attic!$D$13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Geometry!$D$39</definedName>
    <definedName name="planareaSI">Geometry!$D$9</definedName>
    <definedName name="Qtot">Fans!$L$2</definedName>
    <definedName name="RaisedFloorSI">[1]Geometry!$D$12</definedName>
    <definedName name="rho_air">Leakage!$D$33</definedName>
    <definedName name="RIVEC_fans">Fans!$M$17:$Q$36</definedName>
    <definedName name="RvalConv">UA!$A$25</definedName>
    <definedName name="Stories" localSheetId="3">Parametrics!$C$12</definedName>
    <definedName name="Stories">Geometry!$D$5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8" i="16" l="1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7" i="16"/>
  <c r="L23" i="16"/>
  <c r="AC14" i="5"/>
  <c r="C84" i="15"/>
  <c r="C85" i="15"/>
  <c r="C86" i="15"/>
  <c r="C87" i="15"/>
  <c r="C83" i="15"/>
  <c r="B6" i="6"/>
  <c r="C65" i="15"/>
  <c r="C64" i="15"/>
  <c r="C62" i="15"/>
  <c r="C61" i="15"/>
  <c r="C59" i="15"/>
  <c r="C58" i="15"/>
  <c r="C56" i="15"/>
  <c r="C55" i="15"/>
  <c r="C53" i="15"/>
  <c r="C52" i="15"/>
  <c r="D29" i="2"/>
  <c r="D8" i="2"/>
  <c r="D16" i="2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B7" i="3"/>
  <c r="D34" i="2"/>
  <c r="B4" i="3"/>
  <c r="D11" i="7"/>
  <c r="V4" i="3"/>
  <c r="V6" i="3"/>
  <c r="B14" i="3"/>
  <c r="B17" i="3"/>
  <c r="B27" i="3"/>
  <c r="B28" i="3"/>
  <c r="B18" i="3"/>
  <c r="B29" i="3"/>
  <c r="B33" i="3"/>
  <c r="C15" i="15"/>
  <c r="B32" i="3"/>
  <c r="C14" i="1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C8" i="1"/>
  <c r="B3" i="3"/>
  <c r="C27" i="3"/>
  <c r="C28" i="3"/>
  <c r="C29" i="3"/>
  <c r="C30" i="3"/>
  <c r="C3" i="3"/>
  <c r="C4" i="3"/>
  <c r="C17" i="3"/>
  <c r="C21" i="3"/>
  <c r="C24" i="3"/>
  <c r="D3" i="3"/>
  <c r="D4" i="3"/>
  <c r="D17" i="3"/>
  <c r="D21" i="3"/>
  <c r="D24" i="3"/>
  <c r="E3" i="3"/>
  <c r="E4" i="3"/>
  <c r="E17" i="3"/>
  <c r="E21" i="3"/>
  <c r="E24" i="3"/>
  <c r="F3" i="3"/>
  <c r="F4" i="3"/>
  <c r="F17" i="3"/>
  <c r="F21" i="3"/>
  <c r="F24" i="3"/>
  <c r="G3" i="3"/>
  <c r="G4" i="3"/>
  <c r="G17" i="3"/>
  <c r="G21" i="3"/>
  <c r="G24" i="3"/>
  <c r="H3" i="3"/>
  <c r="H4" i="3"/>
  <c r="H17" i="3"/>
  <c r="H21" i="3"/>
  <c r="H24" i="3"/>
  <c r="I3" i="3"/>
  <c r="I4" i="3"/>
  <c r="I17" i="3"/>
  <c r="I21" i="3"/>
  <c r="I24" i="3"/>
  <c r="J3" i="3"/>
  <c r="J4" i="3"/>
  <c r="J17" i="3"/>
  <c r="J21" i="3"/>
  <c r="J24" i="3"/>
  <c r="K3" i="3"/>
  <c r="K4" i="3"/>
  <c r="K17" i="3"/>
  <c r="K21" i="3"/>
  <c r="K24" i="3"/>
  <c r="L3" i="3"/>
  <c r="L4" i="3"/>
  <c r="L17" i="3"/>
  <c r="L21" i="3"/>
  <c r="L24" i="3"/>
  <c r="M3" i="3"/>
  <c r="M4" i="3"/>
  <c r="M17" i="3"/>
  <c r="M21" i="3"/>
  <c r="M24" i="3"/>
  <c r="N3" i="3"/>
  <c r="N4" i="3"/>
  <c r="N17" i="3"/>
  <c r="N21" i="3"/>
  <c r="N24" i="3"/>
  <c r="O3" i="3"/>
  <c r="O4" i="3"/>
  <c r="O17" i="3"/>
  <c r="O21" i="3"/>
  <c r="O24" i="3"/>
  <c r="P3" i="3"/>
  <c r="P4" i="3"/>
  <c r="P17" i="3"/>
  <c r="P21" i="3"/>
  <c r="P24" i="3"/>
  <c r="Q3" i="3"/>
  <c r="Q4" i="3"/>
  <c r="Q17" i="3"/>
  <c r="Q21" i="3"/>
  <c r="Q24" i="3"/>
  <c r="B21" i="3"/>
  <c r="B24" i="3"/>
  <c r="T4" i="3"/>
  <c r="T6" i="3"/>
  <c r="T5" i="3"/>
  <c r="V9" i="3"/>
  <c r="U9" i="3"/>
  <c r="U4" i="3"/>
  <c r="U5" i="3"/>
  <c r="U6" i="3"/>
  <c r="V5" i="3"/>
  <c r="D11" i="8"/>
  <c r="B22" i="3"/>
  <c r="D13" i="8"/>
  <c r="D14" i="8"/>
  <c r="C22" i="3"/>
  <c r="D81" i="1"/>
  <c r="D22" i="3"/>
  <c r="E81" i="1"/>
  <c r="E22" i="3"/>
  <c r="F81" i="1"/>
  <c r="F22" i="3"/>
  <c r="G81" i="1"/>
  <c r="G22" i="3"/>
  <c r="H81" i="1"/>
  <c r="H22" i="3"/>
  <c r="I81" i="1"/>
  <c r="I22" i="3"/>
  <c r="J81" i="1"/>
  <c r="J22" i="3"/>
  <c r="K81" i="1"/>
  <c r="K22" i="3"/>
  <c r="L81" i="1"/>
  <c r="L22" i="3"/>
  <c r="M81" i="1"/>
  <c r="M22" i="3"/>
  <c r="N81" i="1"/>
  <c r="N22" i="3"/>
  <c r="O81" i="1"/>
  <c r="O22" i="3"/>
  <c r="P81" i="1"/>
  <c r="P22" i="3"/>
  <c r="Q81" i="1"/>
  <c r="Q22" i="3"/>
  <c r="R81" i="1"/>
  <c r="S81" i="1"/>
  <c r="C81" i="1"/>
  <c r="C81" i="15"/>
  <c r="C82" i="15"/>
  <c r="C18" i="3"/>
  <c r="D7" i="1"/>
  <c r="D18" i="3"/>
  <c r="E7" i="1"/>
  <c r="E18" i="3"/>
  <c r="F7" i="1"/>
  <c r="F18" i="3"/>
  <c r="G7" i="1"/>
  <c r="G18" i="3"/>
  <c r="H7" i="1"/>
  <c r="H18" i="3"/>
  <c r="I7" i="1"/>
  <c r="I18" i="3"/>
  <c r="J7" i="1"/>
  <c r="J18" i="3"/>
  <c r="K7" i="1"/>
  <c r="K18" i="3"/>
  <c r="L7" i="1"/>
  <c r="L18" i="3"/>
  <c r="M7" i="1"/>
  <c r="M18" i="3"/>
  <c r="N7" i="1"/>
  <c r="N18" i="3"/>
  <c r="O7" i="1"/>
  <c r="O18" i="3"/>
  <c r="P7" i="1"/>
  <c r="P18" i="3"/>
  <c r="Q7" i="1"/>
  <c r="Q18" i="3"/>
  <c r="R7" i="1"/>
  <c r="S7" i="1"/>
  <c r="C7" i="1"/>
  <c r="C7" i="15"/>
  <c r="D27" i="2"/>
  <c r="D12" i="2"/>
  <c r="D40" i="2"/>
  <c r="B10" i="3"/>
  <c r="B11" i="3"/>
  <c r="B12" i="3"/>
  <c r="B5" i="3"/>
  <c r="D5" i="2"/>
  <c r="D9" i="2"/>
  <c r="D10" i="2"/>
  <c r="D30" i="2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C111" i="1"/>
  <c r="C111" i="15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77" i="1"/>
  <c r="C77" i="1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C2" i="15"/>
  <c r="D32" i="2"/>
  <c r="C101" i="15"/>
  <c r="C92" i="15"/>
  <c r="D10" i="8"/>
  <c r="C99" i="15"/>
  <c r="C95" i="15"/>
  <c r="D108" i="1"/>
  <c r="D109" i="1"/>
  <c r="E108" i="1"/>
  <c r="E109" i="1"/>
  <c r="F108" i="1"/>
  <c r="F109" i="1"/>
  <c r="G108" i="1"/>
  <c r="G109" i="1"/>
  <c r="H108" i="1"/>
  <c r="H109" i="1"/>
  <c r="I108" i="1"/>
  <c r="I109" i="1"/>
  <c r="J108" i="1"/>
  <c r="J109" i="1"/>
  <c r="K108" i="1"/>
  <c r="K109" i="1"/>
  <c r="L108" i="1"/>
  <c r="L109" i="1"/>
  <c r="M108" i="1"/>
  <c r="M109" i="1"/>
  <c r="N108" i="1"/>
  <c r="N109" i="1"/>
  <c r="O108" i="1"/>
  <c r="O109" i="1"/>
  <c r="P108" i="1"/>
  <c r="P109" i="1"/>
  <c r="Q108" i="1"/>
  <c r="Q109" i="1"/>
  <c r="R108" i="1"/>
  <c r="R109" i="1"/>
  <c r="S108" i="1"/>
  <c r="S109" i="1"/>
  <c r="C108" i="1"/>
  <c r="C109" i="1"/>
  <c r="C108" i="15"/>
  <c r="C109" i="1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C27" i="5"/>
  <c r="AC28" i="5"/>
  <c r="AC29" i="5"/>
  <c r="AC30" i="5"/>
  <c r="AC26" i="5"/>
  <c r="AC18" i="5"/>
  <c r="K27" i="8"/>
  <c r="K26" i="8"/>
  <c r="B9" i="6"/>
  <c r="B22" i="7"/>
  <c r="B23" i="7"/>
  <c r="L2" i="6"/>
  <c r="B10" i="6"/>
  <c r="B38" i="10"/>
  <c r="B44" i="10"/>
  <c r="B45" i="10"/>
  <c r="B46" i="10"/>
  <c r="B48" i="10"/>
  <c r="D18" i="2"/>
  <c r="C9" i="5"/>
  <c r="B29" i="10"/>
  <c r="B80" i="10"/>
  <c r="B32" i="10"/>
  <c r="B82" i="10"/>
  <c r="D17" i="2"/>
  <c r="B103" i="10"/>
  <c r="B105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43" i="10"/>
  <c r="C7" i="5"/>
  <c r="B30" i="10"/>
  <c r="B11" i="2"/>
  <c r="B31" i="10"/>
  <c r="B33" i="10"/>
  <c r="B34" i="10"/>
  <c r="B118" i="10"/>
  <c r="B124" i="10"/>
  <c r="B129" i="10"/>
  <c r="B131" i="10"/>
  <c r="B133" i="10"/>
  <c r="B134" i="10"/>
  <c r="B135" i="10"/>
  <c r="B132" i="10"/>
  <c r="B137" i="10"/>
  <c r="B138" i="10"/>
  <c r="B139" i="10"/>
  <c r="B141" i="10"/>
  <c r="C9" i="6"/>
  <c r="C10" i="6"/>
  <c r="C38" i="10"/>
  <c r="C44" i="10"/>
  <c r="C45" i="10"/>
  <c r="C46" i="10"/>
  <c r="C48" i="10"/>
  <c r="C29" i="10"/>
  <c r="C80" i="10"/>
  <c r="C32" i="10"/>
  <c r="C82" i="10"/>
  <c r="C103" i="10"/>
  <c r="C105" i="10"/>
  <c r="C107" i="10"/>
  <c r="C111" i="10"/>
  <c r="C112" i="10"/>
  <c r="C117" i="10"/>
  <c r="C49" i="10"/>
  <c r="C120" i="10"/>
  <c r="C123" i="10"/>
  <c r="C128" i="10"/>
  <c r="C130" i="10"/>
  <c r="C39" i="10"/>
  <c r="C40" i="10"/>
  <c r="C41" i="10"/>
  <c r="C43" i="10"/>
  <c r="C30" i="10"/>
  <c r="C31" i="10"/>
  <c r="C33" i="10"/>
  <c r="C34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9" i="6"/>
  <c r="D10" i="6"/>
  <c r="D38" i="10"/>
  <c r="D44" i="10"/>
  <c r="D45" i="10"/>
  <c r="D46" i="10"/>
  <c r="D48" i="10"/>
  <c r="D29" i="10"/>
  <c r="D80" i="10"/>
  <c r="D32" i="10"/>
  <c r="D82" i="10"/>
  <c r="D103" i="10"/>
  <c r="D105" i="10"/>
  <c r="D107" i="10"/>
  <c r="D111" i="10"/>
  <c r="D112" i="10"/>
  <c r="D117" i="10"/>
  <c r="D49" i="10"/>
  <c r="D120" i="10"/>
  <c r="D123" i="10"/>
  <c r="D128" i="10"/>
  <c r="D130" i="10"/>
  <c r="D39" i="10"/>
  <c r="D40" i="10"/>
  <c r="D41" i="10"/>
  <c r="D43" i="10"/>
  <c r="D30" i="10"/>
  <c r="D31" i="10"/>
  <c r="D33" i="10"/>
  <c r="D34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9" i="6"/>
  <c r="E10" i="6"/>
  <c r="E38" i="10"/>
  <c r="E44" i="10"/>
  <c r="E45" i="10"/>
  <c r="E46" i="10"/>
  <c r="E48" i="10"/>
  <c r="E29" i="10"/>
  <c r="E80" i="10"/>
  <c r="E32" i="10"/>
  <c r="E82" i="10"/>
  <c r="E103" i="10"/>
  <c r="E105" i="10"/>
  <c r="E107" i="10"/>
  <c r="E111" i="10"/>
  <c r="E112" i="10"/>
  <c r="E117" i="10"/>
  <c r="E49" i="10"/>
  <c r="E120" i="10"/>
  <c r="E123" i="10"/>
  <c r="E128" i="10"/>
  <c r="E130" i="10"/>
  <c r="E39" i="10"/>
  <c r="E40" i="10"/>
  <c r="E41" i="10"/>
  <c r="E43" i="10"/>
  <c r="E30" i="10"/>
  <c r="E31" i="10"/>
  <c r="E33" i="10"/>
  <c r="E34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9" i="6"/>
  <c r="F10" i="6"/>
  <c r="F38" i="10"/>
  <c r="F44" i="10"/>
  <c r="F45" i="10"/>
  <c r="F46" i="10"/>
  <c r="F48" i="10"/>
  <c r="F29" i="10"/>
  <c r="F80" i="10"/>
  <c r="F32" i="10"/>
  <c r="F82" i="10"/>
  <c r="F103" i="10"/>
  <c r="F105" i="10"/>
  <c r="F107" i="10"/>
  <c r="F111" i="10"/>
  <c r="F112" i="10"/>
  <c r="F117" i="10"/>
  <c r="F49" i="10"/>
  <c r="F120" i="10"/>
  <c r="F123" i="10"/>
  <c r="F128" i="10"/>
  <c r="F130" i="10"/>
  <c r="F39" i="10"/>
  <c r="F40" i="10"/>
  <c r="F41" i="10"/>
  <c r="F43" i="10"/>
  <c r="F30" i="10"/>
  <c r="F31" i="10"/>
  <c r="F33" i="10"/>
  <c r="F34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9" i="6"/>
  <c r="G10" i="6"/>
  <c r="G38" i="10"/>
  <c r="G44" i="10"/>
  <c r="G45" i="10"/>
  <c r="G46" i="10"/>
  <c r="G48" i="10"/>
  <c r="G29" i="10"/>
  <c r="G80" i="10"/>
  <c r="G32" i="10"/>
  <c r="G82" i="10"/>
  <c r="G103" i="10"/>
  <c r="G105" i="10"/>
  <c r="G107" i="10"/>
  <c r="G111" i="10"/>
  <c r="G112" i="10"/>
  <c r="G117" i="10"/>
  <c r="G49" i="10"/>
  <c r="G120" i="10"/>
  <c r="G123" i="10"/>
  <c r="G128" i="10"/>
  <c r="G130" i="10"/>
  <c r="G39" i="10"/>
  <c r="G40" i="10"/>
  <c r="G41" i="10"/>
  <c r="G43" i="10"/>
  <c r="G30" i="10"/>
  <c r="G31" i="10"/>
  <c r="G33" i="10"/>
  <c r="G34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9" i="6"/>
  <c r="H10" i="6"/>
  <c r="H38" i="10"/>
  <c r="H44" i="10"/>
  <c r="H45" i="10"/>
  <c r="H46" i="10"/>
  <c r="H48" i="10"/>
  <c r="H29" i="10"/>
  <c r="H80" i="10"/>
  <c r="H32" i="10"/>
  <c r="H82" i="10"/>
  <c r="H103" i="10"/>
  <c r="H105" i="10"/>
  <c r="H107" i="10"/>
  <c r="H111" i="10"/>
  <c r="H112" i="10"/>
  <c r="H117" i="10"/>
  <c r="H49" i="10"/>
  <c r="H120" i="10"/>
  <c r="H123" i="10"/>
  <c r="H128" i="10"/>
  <c r="H130" i="10"/>
  <c r="H39" i="10"/>
  <c r="H40" i="10"/>
  <c r="H41" i="10"/>
  <c r="H43" i="10"/>
  <c r="H30" i="10"/>
  <c r="H31" i="10"/>
  <c r="H33" i="10"/>
  <c r="H34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9" i="6"/>
  <c r="I10" i="6"/>
  <c r="I38" i="10"/>
  <c r="I44" i="10"/>
  <c r="I45" i="10"/>
  <c r="I46" i="10"/>
  <c r="I48" i="10"/>
  <c r="I29" i="10"/>
  <c r="I80" i="10"/>
  <c r="I32" i="10"/>
  <c r="I82" i="10"/>
  <c r="I103" i="10"/>
  <c r="I105" i="10"/>
  <c r="I107" i="10"/>
  <c r="I111" i="10"/>
  <c r="I112" i="10"/>
  <c r="I117" i="10"/>
  <c r="I49" i="10"/>
  <c r="I120" i="10"/>
  <c r="I123" i="10"/>
  <c r="I128" i="10"/>
  <c r="I130" i="10"/>
  <c r="I39" i="10"/>
  <c r="I40" i="10"/>
  <c r="I41" i="10"/>
  <c r="I43" i="10"/>
  <c r="I30" i="10"/>
  <c r="I31" i="10"/>
  <c r="I33" i="10"/>
  <c r="I34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9" i="6"/>
  <c r="J10" i="6"/>
  <c r="J38" i="10"/>
  <c r="J44" i="10"/>
  <c r="J45" i="10"/>
  <c r="J46" i="10"/>
  <c r="J48" i="10"/>
  <c r="J29" i="10"/>
  <c r="J80" i="10"/>
  <c r="J32" i="10"/>
  <c r="J82" i="10"/>
  <c r="J103" i="10"/>
  <c r="J105" i="10"/>
  <c r="J107" i="10"/>
  <c r="J111" i="10"/>
  <c r="J112" i="10"/>
  <c r="J117" i="10"/>
  <c r="J49" i="10"/>
  <c r="J120" i="10"/>
  <c r="J123" i="10"/>
  <c r="J128" i="10"/>
  <c r="J130" i="10"/>
  <c r="J39" i="10"/>
  <c r="J40" i="10"/>
  <c r="J41" i="10"/>
  <c r="J43" i="10"/>
  <c r="J30" i="10"/>
  <c r="J31" i="10"/>
  <c r="J33" i="10"/>
  <c r="J34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9" i="6"/>
  <c r="K10" i="6"/>
  <c r="K38" i="10"/>
  <c r="K44" i="10"/>
  <c r="K45" i="10"/>
  <c r="K46" i="10"/>
  <c r="K48" i="10"/>
  <c r="K29" i="10"/>
  <c r="K80" i="10"/>
  <c r="K32" i="10"/>
  <c r="K82" i="10"/>
  <c r="K103" i="10"/>
  <c r="K105" i="10"/>
  <c r="K107" i="10"/>
  <c r="K111" i="10"/>
  <c r="K112" i="10"/>
  <c r="K117" i="10"/>
  <c r="K49" i="10"/>
  <c r="K120" i="10"/>
  <c r="K123" i="10"/>
  <c r="K128" i="10"/>
  <c r="K130" i="10"/>
  <c r="K39" i="10"/>
  <c r="K40" i="10"/>
  <c r="K41" i="10"/>
  <c r="K43" i="10"/>
  <c r="K30" i="10"/>
  <c r="K31" i="10"/>
  <c r="K33" i="10"/>
  <c r="K34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9" i="6"/>
  <c r="L10" i="6"/>
  <c r="L38" i="10"/>
  <c r="L44" i="10"/>
  <c r="L45" i="10"/>
  <c r="L46" i="10"/>
  <c r="L48" i="10"/>
  <c r="L29" i="10"/>
  <c r="L80" i="10"/>
  <c r="L32" i="10"/>
  <c r="L82" i="10"/>
  <c r="L103" i="10"/>
  <c r="L105" i="10"/>
  <c r="L107" i="10"/>
  <c r="L111" i="10"/>
  <c r="L112" i="10"/>
  <c r="L117" i="10"/>
  <c r="L49" i="10"/>
  <c r="L120" i="10"/>
  <c r="L123" i="10"/>
  <c r="L128" i="10"/>
  <c r="L130" i="10"/>
  <c r="L39" i="10"/>
  <c r="L40" i="10"/>
  <c r="L41" i="10"/>
  <c r="L43" i="10"/>
  <c r="L30" i="10"/>
  <c r="L31" i="10"/>
  <c r="L33" i="10"/>
  <c r="L34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9" i="6"/>
  <c r="M10" i="6"/>
  <c r="M38" i="10"/>
  <c r="M44" i="10"/>
  <c r="M45" i="10"/>
  <c r="M46" i="10"/>
  <c r="M48" i="10"/>
  <c r="M29" i="10"/>
  <c r="M80" i="10"/>
  <c r="M32" i="10"/>
  <c r="M82" i="10"/>
  <c r="M103" i="10"/>
  <c r="M105" i="10"/>
  <c r="M107" i="10"/>
  <c r="M111" i="10"/>
  <c r="M112" i="10"/>
  <c r="M117" i="10"/>
  <c r="M49" i="10"/>
  <c r="M120" i="10"/>
  <c r="M123" i="10"/>
  <c r="M128" i="10"/>
  <c r="M130" i="10"/>
  <c r="M39" i="10"/>
  <c r="M40" i="10"/>
  <c r="M41" i="10"/>
  <c r="M43" i="10"/>
  <c r="M30" i="10"/>
  <c r="M31" i="10"/>
  <c r="M33" i="10"/>
  <c r="M34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9" i="6"/>
  <c r="N10" i="6"/>
  <c r="N38" i="10"/>
  <c r="N44" i="10"/>
  <c r="N45" i="10"/>
  <c r="N46" i="10"/>
  <c r="N48" i="10"/>
  <c r="N29" i="10"/>
  <c r="N80" i="10"/>
  <c r="N32" i="10"/>
  <c r="N82" i="10"/>
  <c r="N103" i="10"/>
  <c r="N105" i="10"/>
  <c r="N107" i="10"/>
  <c r="N111" i="10"/>
  <c r="N112" i="10"/>
  <c r="N117" i="10"/>
  <c r="N49" i="10"/>
  <c r="N120" i="10"/>
  <c r="N123" i="10"/>
  <c r="N128" i="10"/>
  <c r="N130" i="10"/>
  <c r="N39" i="10"/>
  <c r="N40" i="10"/>
  <c r="N41" i="10"/>
  <c r="N43" i="10"/>
  <c r="N30" i="10"/>
  <c r="N31" i="10"/>
  <c r="N33" i="10"/>
  <c r="N34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9" i="6"/>
  <c r="O10" i="6"/>
  <c r="O38" i="10"/>
  <c r="O44" i="10"/>
  <c r="O45" i="10"/>
  <c r="O46" i="10"/>
  <c r="O48" i="10"/>
  <c r="O29" i="10"/>
  <c r="O80" i="10"/>
  <c r="O32" i="10"/>
  <c r="O82" i="10"/>
  <c r="O103" i="10"/>
  <c r="O105" i="10"/>
  <c r="O107" i="10"/>
  <c r="O111" i="10"/>
  <c r="O112" i="10"/>
  <c r="O117" i="10"/>
  <c r="O49" i="10"/>
  <c r="O120" i="10"/>
  <c r="O123" i="10"/>
  <c r="O128" i="10"/>
  <c r="O130" i="10"/>
  <c r="O39" i="10"/>
  <c r="O40" i="10"/>
  <c r="O41" i="10"/>
  <c r="O43" i="10"/>
  <c r="O30" i="10"/>
  <c r="O31" i="10"/>
  <c r="O33" i="10"/>
  <c r="O34" i="10"/>
  <c r="O118" i="10"/>
  <c r="O124" i="10"/>
  <c r="O129" i="10"/>
  <c r="O131" i="10"/>
  <c r="O133" i="10"/>
  <c r="O134" i="10"/>
  <c r="O135" i="10"/>
  <c r="O132" i="10"/>
  <c r="O137" i="10"/>
  <c r="O138" i="10"/>
  <c r="O139" i="10"/>
  <c r="O141" i="10"/>
  <c r="P9" i="6"/>
  <c r="P10" i="6"/>
  <c r="P38" i="10"/>
  <c r="P44" i="10"/>
  <c r="P45" i="10"/>
  <c r="P46" i="10"/>
  <c r="P48" i="10"/>
  <c r="P29" i="10"/>
  <c r="P80" i="10"/>
  <c r="P32" i="10"/>
  <c r="P82" i="10"/>
  <c r="P103" i="10"/>
  <c r="P105" i="10"/>
  <c r="P107" i="10"/>
  <c r="P111" i="10"/>
  <c r="P112" i="10"/>
  <c r="P117" i="10"/>
  <c r="P49" i="10"/>
  <c r="P120" i="10"/>
  <c r="P123" i="10"/>
  <c r="P128" i="10"/>
  <c r="P130" i="10"/>
  <c r="P39" i="10"/>
  <c r="P40" i="10"/>
  <c r="P41" i="10"/>
  <c r="P43" i="10"/>
  <c r="P30" i="10"/>
  <c r="P31" i="10"/>
  <c r="P33" i="10"/>
  <c r="P34" i="10"/>
  <c r="P118" i="10"/>
  <c r="P124" i="10"/>
  <c r="P129" i="10"/>
  <c r="P131" i="10"/>
  <c r="P133" i="10"/>
  <c r="P134" i="10"/>
  <c r="P135" i="10"/>
  <c r="P132" i="10"/>
  <c r="P137" i="10"/>
  <c r="P138" i="10"/>
  <c r="P139" i="10"/>
  <c r="P141" i="10"/>
  <c r="Q9" i="6"/>
  <c r="Q10" i="6"/>
  <c r="Q38" i="10"/>
  <c r="Q44" i="10"/>
  <c r="Q45" i="10"/>
  <c r="Q46" i="10"/>
  <c r="Q48" i="10"/>
  <c r="Q29" i="10"/>
  <c r="Q80" i="10"/>
  <c r="Q32" i="10"/>
  <c r="Q82" i="10"/>
  <c r="Q103" i="10"/>
  <c r="Q105" i="10"/>
  <c r="Q107" i="10"/>
  <c r="Q111" i="10"/>
  <c r="Q112" i="10"/>
  <c r="Q117" i="10"/>
  <c r="Q49" i="10"/>
  <c r="Q120" i="10"/>
  <c r="Q123" i="10"/>
  <c r="Q128" i="10"/>
  <c r="Q130" i="10"/>
  <c r="Q39" i="10"/>
  <c r="Q40" i="10"/>
  <c r="Q41" i="10"/>
  <c r="Q43" i="10"/>
  <c r="Q30" i="10"/>
  <c r="Q31" i="10"/>
  <c r="Q33" i="10"/>
  <c r="Q34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C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B142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C76" i="10"/>
  <c r="C77" i="10"/>
  <c r="C78" i="10"/>
  <c r="B78" i="10"/>
  <c r="B77" i="10"/>
  <c r="B76" i="10"/>
  <c r="Q24" i="10"/>
  <c r="Q95" i="10"/>
  <c r="Q97" i="10"/>
  <c r="Q99" i="10"/>
  <c r="Q23" i="10"/>
  <c r="P24" i="10"/>
  <c r="P95" i="10"/>
  <c r="P97" i="10"/>
  <c r="P99" i="10"/>
  <c r="P23" i="10"/>
  <c r="O24" i="10"/>
  <c r="O95" i="10"/>
  <c r="O97" i="10"/>
  <c r="O99" i="10"/>
  <c r="O23" i="10"/>
  <c r="N24" i="10"/>
  <c r="N95" i="10"/>
  <c r="N97" i="10"/>
  <c r="N99" i="10"/>
  <c r="N23" i="10"/>
  <c r="M24" i="10"/>
  <c r="M95" i="10"/>
  <c r="M97" i="10"/>
  <c r="M99" i="10"/>
  <c r="M23" i="10"/>
  <c r="L24" i="10"/>
  <c r="L95" i="10"/>
  <c r="L97" i="10"/>
  <c r="L99" i="10"/>
  <c r="L23" i="10"/>
  <c r="K24" i="10"/>
  <c r="K95" i="10"/>
  <c r="K97" i="10"/>
  <c r="K99" i="10"/>
  <c r="K23" i="10"/>
  <c r="J24" i="10"/>
  <c r="J95" i="10"/>
  <c r="J97" i="10"/>
  <c r="J99" i="10"/>
  <c r="J23" i="10"/>
  <c r="I24" i="10"/>
  <c r="I95" i="10"/>
  <c r="I97" i="10"/>
  <c r="I99" i="10"/>
  <c r="I23" i="10"/>
  <c r="H24" i="10"/>
  <c r="H95" i="10"/>
  <c r="H97" i="10"/>
  <c r="H99" i="10"/>
  <c r="H23" i="10"/>
  <c r="G24" i="10"/>
  <c r="G95" i="10"/>
  <c r="G97" i="10"/>
  <c r="G99" i="10"/>
  <c r="G23" i="10"/>
  <c r="F24" i="10"/>
  <c r="F95" i="10"/>
  <c r="F97" i="10"/>
  <c r="F99" i="10"/>
  <c r="F23" i="10"/>
  <c r="E24" i="10"/>
  <c r="E95" i="10"/>
  <c r="E97" i="10"/>
  <c r="E99" i="10"/>
  <c r="E23" i="10"/>
  <c r="D24" i="10"/>
  <c r="D95" i="10"/>
  <c r="D97" i="10"/>
  <c r="D99" i="10"/>
  <c r="D23" i="10"/>
  <c r="C24" i="10"/>
  <c r="C95" i="10"/>
  <c r="C97" i="10"/>
  <c r="C99" i="10"/>
  <c r="C23" i="10"/>
  <c r="B24" i="10"/>
  <c r="B95" i="10"/>
  <c r="B97" i="10"/>
  <c r="B99" i="10"/>
  <c r="B23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F60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S14" i="10"/>
  <c r="S10" i="10"/>
  <c r="S9" i="10"/>
  <c r="D19" i="9"/>
  <c r="D18" i="9"/>
  <c r="D7" i="2"/>
  <c r="D6" i="2"/>
  <c r="D46" i="2"/>
  <c r="D21" i="8"/>
  <c r="D45" i="2"/>
  <c r="D20" i="8"/>
  <c r="D44" i="2"/>
  <c r="D19" i="8"/>
  <c r="D43" i="2"/>
  <c r="D18" i="8"/>
  <c r="C87" i="16"/>
  <c r="C86" i="16"/>
  <c r="C85" i="16"/>
  <c r="C82" i="16"/>
  <c r="C81" i="16"/>
  <c r="C80" i="16"/>
  <c r="C77" i="16"/>
  <c r="C76" i="16"/>
  <c r="C75" i="16"/>
  <c r="C74" i="16"/>
  <c r="C73" i="16"/>
  <c r="C72" i="16"/>
  <c r="C69" i="16"/>
  <c r="C68" i="16"/>
  <c r="C67" i="16"/>
  <c r="B34" i="8"/>
  <c r="B35" i="8"/>
  <c r="B36" i="8"/>
  <c r="B41" i="8"/>
  <c r="B37" i="8"/>
  <c r="B38" i="8"/>
  <c r="B40" i="8"/>
  <c r="B39" i="8"/>
  <c r="D34" i="8"/>
  <c r="C26" i="8"/>
  <c r="C29" i="8"/>
  <c r="C28" i="8"/>
  <c r="C31" i="8"/>
  <c r="C30" i="8"/>
  <c r="C27" i="8"/>
  <c r="D23" i="8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C64" i="16"/>
  <c r="C63" i="16"/>
  <c r="C62" i="16"/>
  <c r="C61" i="16"/>
  <c r="C60" i="16"/>
  <c r="C59" i="16"/>
  <c r="C58" i="16"/>
  <c r="C57" i="16"/>
  <c r="B106" i="6"/>
  <c r="Q106" i="6"/>
  <c r="Q117" i="6"/>
  <c r="Q138" i="6"/>
  <c r="Q150" i="6"/>
  <c r="P106" i="6"/>
  <c r="P117" i="6"/>
  <c r="P138" i="6"/>
  <c r="P150" i="6"/>
  <c r="O106" i="6"/>
  <c r="O117" i="6"/>
  <c r="O138" i="6"/>
  <c r="O150" i="6"/>
  <c r="N106" i="6"/>
  <c r="N117" i="6"/>
  <c r="N138" i="6"/>
  <c r="N150" i="6"/>
  <c r="M106" i="6"/>
  <c r="M117" i="6"/>
  <c r="M138" i="6"/>
  <c r="M150" i="6"/>
  <c r="L106" i="6"/>
  <c r="L117" i="6"/>
  <c r="L138" i="6"/>
  <c r="L150" i="6"/>
  <c r="K106" i="6"/>
  <c r="K117" i="6"/>
  <c r="K138" i="6"/>
  <c r="K150" i="6"/>
  <c r="J106" i="6"/>
  <c r="J117" i="6"/>
  <c r="J138" i="6"/>
  <c r="J150" i="6"/>
  <c r="I106" i="6"/>
  <c r="I117" i="6"/>
  <c r="I138" i="6"/>
  <c r="I150" i="6"/>
  <c r="H106" i="6"/>
  <c r="H117" i="6"/>
  <c r="H138" i="6"/>
  <c r="H150" i="6"/>
  <c r="G106" i="6"/>
  <c r="G117" i="6"/>
  <c r="G138" i="6"/>
  <c r="G150" i="6"/>
  <c r="F106" i="6"/>
  <c r="F117" i="6"/>
  <c r="F138" i="6"/>
  <c r="F150" i="6"/>
  <c r="E106" i="6"/>
  <c r="E117" i="6"/>
  <c r="E138" i="6"/>
  <c r="E150" i="6"/>
  <c r="D106" i="6"/>
  <c r="D117" i="6"/>
  <c r="D138" i="6"/>
  <c r="D150" i="6"/>
  <c r="C106" i="6"/>
  <c r="C117" i="6"/>
  <c r="C138" i="6"/>
  <c r="C150" i="6"/>
  <c r="B150" i="6"/>
  <c r="B105" i="6"/>
  <c r="Q105" i="6"/>
  <c r="Q116" i="6"/>
  <c r="Q137" i="6"/>
  <c r="Q149" i="6"/>
  <c r="P105" i="6"/>
  <c r="P116" i="6"/>
  <c r="P137" i="6"/>
  <c r="P149" i="6"/>
  <c r="O105" i="6"/>
  <c r="O116" i="6"/>
  <c r="O137" i="6"/>
  <c r="O149" i="6"/>
  <c r="N105" i="6"/>
  <c r="N116" i="6"/>
  <c r="N137" i="6"/>
  <c r="N149" i="6"/>
  <c r="M105" i="6"/>
  <c r="M116" i="6"/>
  <c r="M137" i="6"/>
  <c r="M149" i="6"/>
  <c r="L105" i="6"/>
  <c r="L116" i="6"/>
  <c r="L137" i="6"/>
  <c r="L149" i="6"/>
  <c r="K105" i="6"/>
  <c r="K116" i="6"/>
  <c r="K137" i="6"/>
  <c r="K149" i="6"/>
  <c r="J105" i="6"/>
  <c r="J116" i="6"/>
  <c r="J137" i="6"/>
  <c r="J149" i="6"/>
  <c r="I105" i="6"/>
  <c r="I116" i="6"/>
  <c r="I137" i="6"/>
  <c r="I149" i="6"/>
  <c r="H105" i="6"/>
  <c r="H116" i="6"/>
  <c r="H137" i="6"/>
  <c r="H149" i="6"/>
  <c r="G105" i="6"/>
  <c r="G116" i="6"/>
  <c r="G137" i="6"/>
  <c r="G149" i="6"/>
  <c r="F105" i="6"/>
  <c r="F116" i="6"/>
  <c r="F137" i="6"/>
  <c r="F149" i="6"/>
  <c r="E105" i="6"/>
  <c r="E116" i="6"/>
  <c r="E137" i="6"/>
  <c r="E149" i="6"/>
  <c r="D105" i="6"/>
  <c r="D116" i="6"/>
  <c r="D137" i="6"/>
  <c r="D149" i="6"/>
  <c r="C105" i="6"/>
  <c r="C116" i="6"/>
  <c r="C137" i="6"/>
  <c r="C149" i="6"/>
  <c r="B149" i="6"/>
  <c r="B104" i="6"/>
  <c r="Q104" i="6"/>
  <c r="Q115" i="6"/>
  <c r="Q136" i="6"/>
  <c r="Q148" i="6"/>
  <c r="P104" i="6"/>
  <c r="P115" i="6"/>
  <c r="P136" i="6"/>
  <c r="P148" i="6"/>
  <c r="O104" i="6"/>
  <c r="O115" i="6"/>
  <c r="O136" i="6"/>
  <c r="O148" i="6"/>
  <c r="N104" i="6"/>
  <c r="N115" i="6"/>
  <c r="N136" i="6"/>
  <c r="N148" i="6"/>
  <c r="M104" i="6"/>
  <c r="M115" i="6"/>
  <c r="M136" i="6"/>
  <c r="M148" i="6"/>
  <c r="L104" i="6"/>
  <c r="L115" i="6"/>
  <c r="L136" i="6"/>
  <c r="L148" i="6"/>
  <c r="K104" i="6"/>
  <c r="K115" i="6"/>
  <c r="K136" i="6"/>
  <c r="K148" i="6"/>
  <c r="J104" i="6"/>
  <c r="J115" i="6"/>
  <c r="J136" i="6"/>
  <c r="J148" i="6"/>
  <c r="I104" i="6"/>
  <c r="I115" i="6"/>
  <c r="I136" i="6"/>
  <c r="I148" i="6"/>
  <c r="H104" i="6"/>
  <c r="H115" i="6"/>
  <c r="H136" i="6"/>
  <c r="H148" i="6"/>
  <c r="G104" i="6"/>
  <c r="G115" i="6"/>
  <c r="G136" i="6"/>
  <c r="G148" i="6"/>
  <c r="F104" i="6"/>
  <c r="F115" i="6"/>
  <c r="F136" i="6"/>
  <c r="F148" i="6"/>
  <c r="E104" i="6"/>
  <c r="E115" i="6"/>
  <c r="E136" i="6"/>
  <c r="E148" i="6"/>
  <c r="D104" i="6"/>
  <c r="D115" i="6"/>
  <c r="D136" i="6"/>
  <c r="D148" i="6"/>
  <c r="C104" i="6"/>
  <c r="C115" i="6"/>
  <c r="C136" i="6"/>
  <c r="C148" i="6"/>
  <c r="B148" i="6"/>
  <c r="B103" i="6"/>
  <c r="Q103" i="6"/>
  <c r="Q114" i="6"/>
  <c r="Q135" i="6"/>
  <c r="Q147" i="6"/>
  <c r="P103" i="6"/>
  <c r="P114" i="6"/>
  <c r="P135" i="6"/>
  <c r="P147" i="6"/>
  <c r="O103" i="6"/>
  <c r="O114" i="6"/>
  <c r="O135" i="6"/>
  <c r="O147" i="6"/>
  <c r="N103" i="6"/>
  <c r="N114" i="6"/>
  <c r="N135" i="6"/>
  <c r="N147" i="6"/>
  <c r="M103" i="6"/>
  <c r="M114" i="6"/>
  <c r="M135" i="6"/>
  <c r="M147" i="6"/>
  <c r="L103" i="6"/>
  <c r="L114" i="6"/>
  <c r="L135" i="6"/>
  <c r="L147" i="6"/>
  <c r="K103" i="6"/>
  <c r="K114" i="6"/>
  <c r="K135" i="6"/>
  <c r="K147" i="6"/>
  <c r="J103" i="6"/>
  <c r="J114" i="6"/>
  <c r="J135" i="6"/>
  <c r="J147" i="6"/>
  <c r="I103" i="6"/>
  <c r="I114" i="6"/>
  <c r="I135" i="6"/>
  <c r="I147" i="6"/>
  <c r="H103" i="6"/>
  <c r="H114" i="6"/>
  <c r="H135" i="6"/>
  <c r="H147" i="6"/>
  <c r="G103" i="6"/>
  <c r="G114" i="6"/>
  <c r="G135" i="6"/>
  <c r="G147" i="6"/>
  <c r="F103" i="6"/>
  <c r="F114" i="6"/>
  <c r="F135" i="6"/>
  <c r="F147" i="6"/>
  <c r="E103" i="6"/>
  <c r="E114" i="6"/>
  <c r="E135" i="6"/>
  <c r="E147" i="6"/>
  <c r="D103" i="6"/>
  <c r="D114" i="6"/>
  <c r="D135" i="6"/>
  <c r="D147" i="6"/>
  <c r="C103" i="6"/>
  <c r="C114" i="6"/>
  <c r="C135" i="6"/>
  <c r="C147" i="6"/>
  <c r="B147" i="6"/>
  <c r="B102" i="6"/>
  <c r="Q102" i="6"/>
  <c r="Q113" i="6"/>
  <c r="Q134" i="6"/>
  <c r="Q146" i="6"/>
  <c r="P102" i="6"/>
  <c r="P113" i="6"/>
  <c r="P134" i="6"/>
  <c r="P146" i="6"/>
  <c r="O102" i="6"/>
  <c r="O113" i="6"/>
  <c r="O134" i="6"/>
  <c r="O146" i="6"/>
  <c r="N102" i="6"/>
  <c r="N113" i="6"/>
  <c r="N134" i="6"/>
  <c r="N146" i="6"/>
  <c r="M102" i="6"/>
  <c r="M113" i="6"/>
  <c r="M134" i="6"/>
  <c r="M146" i="6"/>
  <c r="L102" i="6"/>
  <c r="L113" i="6"/>
  <c r="L134" i="6"/>
  <c r="L146" i="6"/>
  <c r="K102" i="6"/>
  <c r="K113" i="6"/>
  <c r="K134" i="6"/>
  <c r="K146" i="6"/>
  <c r="J102" i="6"/>
  <c r="J113" i="6"/>
  <c r="J134" i="6"/>
  <c r="J146" i="6"/>
  <c r="I102" i="6"/>
  <c r="I113" i="6"/>
  <c r="I134" i="6"/>
  <c r="I146" i="6"/>
  <c r="H102" i="6"/>
  <c r="H113" i="6"/>
  <c r="H134" i="6"/>
  <c r="H146" i="6"/>
  <c r="G102" i="6"/>
  <c r="G113" i="6"/>
  <c r="G134" i="6"/>
  <c r="G146" i="6"/>
  <c r="F102" i="6"/>
  <c r="F113" i="6"/>
  <c r="F134" i="6"/>
  <c r="F146" i="6"/>
  <c r="E102" i="6"/>
  <c r="E113" i="6"/>
  <c r="E134" i="6"/>
  <c r="E146" i="6"/>
  <c r="D102" i="6"/>
  <c r="D113" i="6"/>
  <c r="D134" i="6"/>
  <c r="D146" i="6"/>
  <c r="C102" i="6"/>
  <c r="C113" i="6"/>
  <c r="C134" i="6"/>
  <c r="C146" i="6"/>
  <c r="B146" i="6"/>
  <c r="B101" i="6"/>
  <c r="Q101" i="6"/>
  <c r="Q112" i="6"/>
  <c r="Q133" i="6"/>
  <c r="Q145" i="6"/>
  <c r="P101" i="6"/>
  <c r="P112" i="6"/>
  <c r="P133" i="6"/>
  <c r="P145" i="6"/>
  <c r="O101" i="6"/>
  <c r="O112" i="6"/>
  <c r="O133" i="6"/>
  <c r="O145" i="6"/>
  <c r="N101" i="6"/>
  <c r="N112" i="6"/>
  <c r="N133" i="6"/>
  <c r="N145" i="6"/>
  <c r="M101" i="6"/>
  <c r="M112" i="6"/>
  <c r="M133" i="6"/>
  <c r="M145" i="6"/>
  <c r="L101" i="6"/>
  <c r="L112" i="6"/>
  <c r="L133" i="6"/>
  <c r="L145" i="6"/>
  <c r="K101" i="6"/>
  <c r="K112" i="6"/>
  <c r="K133" i="6"/>
  <c r="K145" i="6"/>
  <c r="J101" i="6"/>
  <c r="J112" i="6"/>
  <c r="J133" i="6"/>
  <c r="J145" i="6"/>
  <c r="I101" i="6"/>
  <c r="I112" i="6"/>
  <c r="I133" i="6"/>
  <c r="I145" i="6"/>
  <c r="H101" i="6"/>
  <c r="H112" i="6"/>
  <c r="H133" i="6"/>
  <c r="H145" i="6"/>
  <c r="G101" i="6"/>
  <c r="G112" i="6"/>
  <c r="G133" i="6"/>
  <c r="G145" i="6"/>
  <c r="F101" i="6"/>
  <c r="F112" i="6"/>
  <c r="F133" i="6"/>
  <c r="F145" i="6"/>
  <c r="E101" i="6"/>
  <c r="E112" i="6"/>
  <c r="E133" i="6"/>
  <c r="E145" i="6"/>
  <c r="D101" i="6"/>
  <c r="D112" i="6"/>
  <c r="D133" i="6"/>
  <c r="D145" i="6"/>
  <c r="C101" i="6"/>
  <c r="C112" i="6"/>
  <c r="C133" i="6"/>
  <c r="C145" i="6"/>
  <c r="B145" i="6"/>
  <c r="G141" i="6"/>
  <c r="Q118" i="6"/>
  <c r="Q139" i="6"/>
  <c r="P118" i="6"/>
  <c r="P139" i="6"/>
  <c r="O118" i="6"/>
  <c r="O139" i="6"/>
  <c r="N118" i="6"/>
  <c r="N139" i="6"/>
  <c r="M118" i="6"/>
  <c r="M139" i="6"/>
  <c r="L118" i="6"/>
  <c r="L139" i="6"/>
  <c r="K118" i="6"/>
  <c r="K139" i="6"/>
  <c r="J118" i="6"/>
  <c r="J139" i="6"/>
  <c r="I118" i="6"/>
  <c r="I139" i="6"/>
  <c r="H118" i="6"/>
  <c r="H139" i="6"/>
  <c r="G118" i="6"/>
  <c r="G139" i="6"/>
  <c r="F118" i="6"/>
  <c r="F139" i="6"/>
  <c r="E118" i="6"/>
  <c r="E139" i="6"/>
  <c r="D118" i="6"/>
  <c r="D139" i="6"/>
  <c r="C118" i="6"/>
  <c r="C139" i="6"/>
  <c r="B138" i="6"/>
  <c r="B137" i="6"/>
  <c r="B136" i="6"/>
  <c r="B135" i="6"/>
  <c r="B134" i="6"/>
  <c r="B133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B117" i="6"/>
  <c r="B116" i="6"/>
  <c r="B115" i="6"/>
  <c r="B114" i="6"/>
  <c r="B113" i="6"/>
  <c r="B112" i="6"/>
  <c r="C94" i="6"/>
  <c r="B94" i="6"/>
  <c r="C93" i="6"/>
  <c r="B93" i="6"/>
  <c r="C92" i="6"/>
  <c r="B92" i="6"/>
  <c r="H91" i="6"/>
  <c r="C91" i="6"/>
  <c r="H90" i="6"/>
  <c r="C90" i="6"/>
  <c r="H89" i="6"/>
  <c r="C89" i="6"/>
  <c r="H63" i="6"/>
  <c r="J63" i="6"/>
  <c r="H64" i="6"/>
  <c r="J64" i="6"/>
  <c r="H65" i="6"/>
  <c r="J65" i="6"/>
  <c r="H75" i="6"/>
  <c r="J75" i="6"/>
  <c r="H76" i="6"/>
  <c r="J76" i="6"/>
  <c r="H84" i="6"/>
  <c r="J84" i="6"/>
  <c r="H86" i="6"/>
  <c r="J86" i="6"/>
  <c r="J88" i="6"/>
  <c r="C86" i="6"/>
  <c r="H85" i="6"/>
  <c r="C85" i="6"/>
  <c r="C84" i="6"/>
  <c r="H83" i="6"/>
  <c r="C83" i="6"/>
  <c r="H82" i="6"/>
  <c r="C82" i="6"/>
  <c r="H81" i="6"/>
  <c r="C81" i="6"/>
  <c r="H80" i="6"/>
  <c r="C80" i="6"/>
  <c r="H79" i="6"/>
  <c r="C79" i="6"/>
  <c r="C76" i="6"/>
  <c r="C75" i="6"/>
  <c r="H74" i="6"/>
  <c r="C74" i="6"/>
  <c r="H73" i="6"/>
  <c r="C73" i="6"/>
  <c r="H72" i="6"/>
  <c r="C72" i="6"/>
  <c r="H71" i="6"/>
  <c r="C71" i="6"/>
  <c r="Q70" i="6"/>
  <c r="E53" i="6"/>
  <c r="H53" i="6"/>
  <c r="O70" i="6"/>
  <c r="P70" i="6"/>
  <c r="H68" i="6"/>
  <c r="C68" i="6"/>
  <c r="H67" i="6"/>
  <c r="C67" i="6"/>
  <c r="H66" i="6"/>
  <c r="C66" i="6"/>
  <c r="C65" i="6"/>
  <c r="C64" i="6"/>
  <c r="C63" i="6"/>
  <c r="Q61" i="6"/>
  <c r="O61" i="6"/>
  <c r="P61" i="6"/>
  <c r="Q60" i="6"/>
  <c r="O60" i="6"/>
  <c r="P60" i="6"/>
  <c r="H59" i="6"/>
  <c r="C59" i="6"/>
  <c r="H58" i="6"/>
  <c r="C58" i="6"/>
  <c r="Q57" i="6"/>
  <c r="O57" i="6"/>
  <c r="P57" i="6"/>
  <c r="Q56" i="6"/>
  <c r="O56" i="6"/>
  <c r="P56" i="6"/>
  <c r="Q55" i="6"/>
  <c r="O55" i="6"/>
  <c r="P55" i="6"/>
  <c r="Q54" i="6"/>
  <c r="O54" i="6"/>
  <c r="P54" i="6"/>
  <c r="E54" i="6"/>
  <c r="L54" i="6"/>
  <c r="K54" i="6"/>
  <c r="H54" i="6"/>
  <c r="C54" i="6"/>
  <c r="Q53" i="6"/>
  <c r="O53" i="6"/>
  <c r="P53" i="6"/>
  <c r="L53" i="6"/>
  <c r="K53" i="6"/>
  <c r="I53" i="6"/>
  <c r="C53" i="6"/>
  <c r="Q52" i="6"/>
  <c r="O52" i="6"/>
  <c r="P52" i="6"/>
  <c r="E52" i="6"/>
  <c r="L52" i="6"/>
  <c r="K52" i="6"/>
  <c r="I52" i="6"/>
  <c r="H52" i="6"/>
  <c r="C52" i="6"/>
  <c r="Q51" i="6"/>
  <c r="O51" i="6"/>
  <c r="P51" i="6"/>
  <c r="E51" i="6"/>
  <c r="L51" i="6"/>
  <c r="K51" i="6"/>
  <c r="I51" i="6"/>
  <c r="H51" i="6"/>
  <c r="C51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6" i="6"/>
  <c r="B8" i="2"/>
  <c r="L5" i="6"/>
  <c r="O5" i="6"/>
  <c r="N5" i="6"/>
  <c r="M5" i="6"/>
  <c r="K5" i="6"/>
  <c r="J5" i="6"/>
  <c r="I5" i="6"/>
  <c r="B5" i="6"/>
  <c r="L4" i="6"/>
  <c r="O4" i="6"/>
  <c r="N4" i="6"/>
  <c r="M4" i="6"/>
  <c r="K4" i="6"/>
  <c r="J4" i="6"/>
  <c r="I4" i="6"/>
  <c r="L3" i="6"/>
  <c r="O3" i="6"/>
  <c r="N3" i="6"/>
  <c r="M3" i="6"/>
  <c r="K3" i="6"/>
  <c r="J3" i="6"/>
  <c r="I3" i="6"/>
  <c r="O2" i="6"/>
  <c r="N2" i="6"/>
  <c r="M2" i="6"/>
  <c r="K2" i="6"/>
  <c r="J2" i="6"/>
  <c r="I2" i="6"/>
  <c r="C80" i="1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C76" i="1"/>
  <c r="C76" i="15"/>
  <c r="C75" i="15"/>
  <c r="C74" i="15"/>
  <c r="C73" i="15"/>
  <c r="AC13" i="5"/>
  <c r="C41" i="1"/>
  <c r="D11" i="2"/>
  <c r="B13" i="5"/>
  <c r="C40" i="1"/>
  <c r="AC12" i="5"/>
  <c r="C39" i="1"/>
  <c r="C40" i="15"/>
  <c r="C41" i="15"/>
  <c r="C39" i="1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39" i="3"/>
  <c r="B40" i="3"/>
  <c r="B41" i="3"/>
  <c r="B38" i="3"/>
  <c r="B34" i="3"/>
  <c r="B35" i="3"/>
  <c r="B36" i="3"/>
  <c r="B37" i="3"/>
  <c r="B96" i="3"/>
  <c r="B97" i="3"/>
  <c r="B98" i="3"/>
  <c r="C98" i="3"/>
  <c r="D98" i="3"/>
  <c r="E98" i="3"/>
  <c r="C97" i="3"/>
  <c r="D97" i="3"/>
  <c r="E97" i="3"/>
  <c r="C96" i="3"/>
  <c r="D96" i="3"/>
  <c r="E96" i="3"/>
  <c r="C95" i="3"/>
  <c r="D95" i="3"/>
  <c r="E95" i="3"/>
  <c r="H92" i="3"/>
  <c r="H91" i="3"/>
  <c r="H94" i="3"/>
  <c r="H93" i="3"/>
  <c r="C91" i="3"/>
  <c r="D91" i="3"/>
  <c r="E91" i="3"/>
  <c r="C90" i="3"/>
  <c r="D90" i="3"/>
  <c r="E90" i="3"/>
  <c r="C89" i="3"/>
  <c r="D89" i="3"/>
  <c r="E89" i="3"/>
  <c r="C88" i="3"/>
  <c r="D88" i="3"/>
  <c r="E88" i="3"/>
  <c r="AC87" i="3"/>
  <c r="AD87" i="3"/>
  <c r="AF87" i="3"/>
  <c r="AE87" i="3"/>
  <c r="H84" i="3"/>
  <c r="H86" i="3"/>
  <c r="H85" i="3"/>
  <c r="H87" i="3"/>
  <c r="AC86" i="3"/>
  <c r="AD86" i="3"/>
  <c r="AF86" i="3"/>
  <c r="AE86" i="3"/>
  <c r="AC85" i="3"/>
  <c r="AD85" i="3"/>
  <c r="AF85" i="3"/>
  <c r="AE85" i="3"/>
  <c r="AC84" i="3"/>
  <c r="AD84" i="3"/>
  <c r="AF84" i="3"/>
  <c r="AE84" i="3"/>
  <c r="D80" i="3"/>
  <c r="AC83" i="3"/>
  <c r="AD83" i="3"/>
  <c r="AF83" i="3"/>
  <c r="AE83" i="3"/>
  <c r="M83" i="3"/>
  <c r="AC82" i="3"/>
  <c r="AD82" i="3"/>
  <c r="AF82" i="3"/>
  <c r="AE82" i="3"/>
  <c r="AG77" i="3"/>
  <c r="AG78" i="3"/>
  <c r="AG80" i="3"/>
  <c r="AF77" i="3"/>
  <c r="AF78" i="3"/>
  <c r="AF80" i="3"/>
  <c r="AE77" i="3"/>
  <c r="AE78" i="3"/>
  <c r="AE80" i="3"/>
  <c r="AD77" i="3"/>
  <c r="AD78" i="3"/>
  <c r="AD80" i="3"/>
  <c r="AC77" i="3"/>
  <c r="AC78" i="3"/>
  <c r="AC80" i="3"/>
  <c r="AB77" i="3"/>
  <c r="AB78" i="3"/>
  <c r="AB80" i="3"/>
  <c r="AG79" i="3"/>
  <c r="AF79" i="3"/>
  <c r="AE79" i="3"/>
  <c r="AD79" i="3"/>
  <c r="AC79" i="3"/>
  <c r="AB79" i="3"/>
  <c r="Y77" i="3"/>
  <c r="Y78" i="3"/>
  <c r="Y79" i="3"/>
  <c r="U77" i="3"/>
  <c r="U78" i="3"/>
  <c r="U79" i="3"/>
  <c r="Q77" i="3"/>
  <c r="Q78" i="3"/>
  <c r="Q79" i="3"/>
  <c r="M76" i="3"/>
  <c r="M77" i="3"/>
  <c r="M78" i="3"/>
  <c r="D33" i="2"/>
  <c r="D35" i="2"/>
  <c r="D36" i="2"/>
  <c r="D37" i="2"/>
  <c r="D38" i="2"/>
  <c r="D39" i="2"/>
  <c r="D13" i="2"/>
  <c r="D14" i="2"/>
  <c r="D15" i="2"/>
  <c r="D19" i="2"/>
  <c r="D20" i="2"/>
  <c r="D21" i="2"/>
  <c r="D22" i="2"/>
  <c r="D23" i="2"/>
  <c r="D24" i="2"/>
  <c r="D25" i="2"/>
  <c r="D26" i="2"/>
  <c r="D28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9" i="2"/>
  <c r="B10" i="2"/>
  <c r="B12" i="2"/>
  <c r="B13" i="2"/>
  <c r="B5" i="2"/>
  <c r="L66" i="2"/>
  <c r="D66" i="2"/>
  <c r="L65" i="2"/>
  <c r="D65" i="2"/>
  <c r="L58" i="2"/>
  <c r="D58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D51" i="16"/>
  <c r="S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D50" i="1"/>
  <c r="C50" i="1"/>
  <c r="C50" i="15"/>
  <c r="C12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C129" i="1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C135" i="1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46" i="16"/>
  <c r="K25" i="16"/>
  <c r="D45" i="16"/>
  <c r="C54" i="16"/>
  <c r="C49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13" i="15"/>
  <c r="C91" i="15"/>
  <c r="C90" i="15"/>
  <c r="C89" i="15"/>
  <c r="C88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94" i="15"/>
  <c r="C79" i="15"/>
  <c r="D12" i="7"/>
  <c r="C78" i="15"/>
  <c r="C37" i="15"/>
  <c r="C36" i="15"/>
  <c r="C35" i="15"/>
  <c r="C33" i="15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C58" i="1"/>
  <c r="J8" i="9"/>
  <c r="Y14" i="9"/>
  <c r="S114" i="1"/>
  <c r="S115" i="1"/>
  <c r="Y16" i="9"/>
  <c r="S116" i="1"/>
  <c r="S117" i="1"/>
  <c r="S137" i="1"/>
  <c r="S140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64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5" i="1"/>
  <c r="C53" i="1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B13" i="9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F115" i="1"/>
  <c r="F114" i="1"/>
  <c r="I14" i="9"/>
  <c r="Q14" i="9"/>
  <c r="AB14" i="9"/>
  <c r="AC16" i="9"/>
  <c r="L117" i="1"/>
  <c r="W14" i="9"/>
  <c r="O14" i="9"/>
  <c r="N116" i="1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6" i="1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80" i="1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D33" i="4"/>
  <c r="D32" i="4"/>
  <c r="D31" i="4"/>
  <c r="B20" i="7"/>
  <c r="C20" i="7"/>
  <c r="C19" i="7"/>
  <c r="C36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84" i="3"/>
  <c r="Q6" i="3"/>
  <c r="P6" i="3"/>
  <c r="O6" i="3"/>
  <c r="N6" i="3"/>
  <c r="L6" i="3"/>
  <c r="K6" i="3"/>
  <c r="J6" i="3"/>
  <c r="I6" i="3"/>
  <c r="H6" i="3"/>
  <c r="G6" i="3"/>
  <c r="F6" i="3"/>
  <c r="E6" i="3"/>
  <c r="D6" i="3"/>
  <c r="C6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C8" i="15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6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8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8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<sst xmlns="http://schemas.openxmlformats.org/spreadsheetml/2006/main" count="3168" uniqueCount="1471">
  <si>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</si>
  <si>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</si>
  <si>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</si>
  <si>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</si>
  <si>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</si>
  <si>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</si>
  <si>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</si>
  <si>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</si>
  <si>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</si>
  <si>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</si>
  <si>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</si>
  <si>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</si>
  <si>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</si>
  <si>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</si>
  <si>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</si>
  <si>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</si>
  <si>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</si>
  <si>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</si>
  <si>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</si>
  <si>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</si>
  <si>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</si>
  <si>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</si>
  <si>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</si>
  <si>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</si>
  <si>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</si>
  <si>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</si>
  <si>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</si>
  <si>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</si>
  <si>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</si>
  <si>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</si>
  <si>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</si>
  <si>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</si>
  <si>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</si>
  <si>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</si>
  <si>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</si>
  <si>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</si>
  <si>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</si>
  <si>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</si>
  <si>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</si>
  <si>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</si>
  <si>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</si>
  <si>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</si>
  <si>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</si>
  <si>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</si>
  <si>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</si>
  <si>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</si>
  <si>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</si>
  <si>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</si>
  <si>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</si>
  <si>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</si>
  <si>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</si>
  <si>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</si>
  <si>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</si>
  <si>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</si>
  <si>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</si>
  <si>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</si>
  <si>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</si>
  <si>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</si>
  <si>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</si>
  <si>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</si>
  <si>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</si>
  <si>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</si>
  <si>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</si>
  <si>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</si>
  <si>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</si>
  <si>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</si>
  <si>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</si>
  <si>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</si>
  <si>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</si>
  <si>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</si>
  <si>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</si>
  <si>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</si>
  <si>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</si>
  <si>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</si>
  <si>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</si>
  <si>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</si>
  <si>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</si>
  <si>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</si>
  <si>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</si>
  <si>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</si>
  <si>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</si>
  <si>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</si>
  <si>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</si>
  <si>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</si>
  <si>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</si>
  <si>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</si>
  <si>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</si>
  <si>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</si>
  <si>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</si>
  <si>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</si>
  <si>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</si>
  <si>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</si>
  <si>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</si>
  <si>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</si>
  <si>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</si>
  <si>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</si>
  <si>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</si>
  <si>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</si>
  <si>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</si>
  <si>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</si>
  <si>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</si>
  <si>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</si>
  <si>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</si>
  <si>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</si>
  <si>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</si>
  <si>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</si>
  <si>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</si>
  <si>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</si>
  <si>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</si>
  <si>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</si>
  <si>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</si>
  <si>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</si>
  <si>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</si>
  <si>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</si>
  <si>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</si>
  <si>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</si>
  <si>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</si>
  <si>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</si>
  <si>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</si>
  <si>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</si>
  <si>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</si>
  <si>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</si>
  <si>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</si>
  <si>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</si>
  <si>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</si>
  <si>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</si>
  <si>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</si>
  <si>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</si>
  <si>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</si>
  <si>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</si>
  <si>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</si>
  <si>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</si>
  <si>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</si>
  <si>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</si>
  <si>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</si>
  <si>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</si>
  <si>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</si>
  <si>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</si>
  <si>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</si>
  <si>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</si>
  <si>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</si>
  <si>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</si>
  <si>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</si>
  <si>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</si>
  <si>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</si>
  <si>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</si>
  <si>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</si>
  <si>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</si>
  <si>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</si>
  <si>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</si>
  <si>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</si>
  <si>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</si>
  <si>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</si>
  <si>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</si>
  <si>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</si>
  <si>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</si>
  <si>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</si>
  <si>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</si>
  <si>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</si>
  <si>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</si>
  <si>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</si>
  <si>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</si>
  <si>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</si>
  <si>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</si>
  <si>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</si>
  <si>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</si>
  <si>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</si>
  <si>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</si>
  <si>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</si>
  <si>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</si>
  <si>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</si>
  <si>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</si>
  <si>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</si>
  <si>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</si>
  <si>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</si>
  <si>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</si>
  <si>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</si>
  <si>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</si>
  <si>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</si>
  <si>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</si>
  <si>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</si>
  <si>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</si>
  <si>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</si>
  <si>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</si>
  <si>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</si>
  <si>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</si>
  <si>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</si>
  <si>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</si>
  <si>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</si>
  <si>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</si>
  <si>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</si>
  <si>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</si>
  <si>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</si>
  <si>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</si>
  <si>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</si>
  <si>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</si>
  <si>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</si>
  <si>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</si>
  <si>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</si>
  <si>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</si>
  <si>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</si>
  <si>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</si>
  <si>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</si>
  <si>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</si>
  <si>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</si>
  <si>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</si>
  <si>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</si>
  <si>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</si>
  <si>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</si>
  <si>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</si>
  <si>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</si>
  <si>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</si>
  <si>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</si>
  <si>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</si>
  <si>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</si>
  <si>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</si>
  <si>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</si>
  <si>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</si>
  <si>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</si>
  <si>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</si>
  <si>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</si>
  <si>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</si>
  <si>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</si>
  <si>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</si>
  <si>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</si>
  <si>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</si>
  <si>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</si>
  <si>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</si>
  <si>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</si>
  <si>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</si>
  <si>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</si>
  <si>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</si>
  <si>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</si>
  <si>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</si>
  <si>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</si>
  <si>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</si>
  <si>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</si>
  <si>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</si>
  <si>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</si>
  <si>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</si>
  <si>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</si>
  <si>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</si>
  <si>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</si>
  <si>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</si>
  <si>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</si>
  <si>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</si>
  <si>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</si>
  <si>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</si>
  <si>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</si>
  <si>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</si>
  <si>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</si>
  <si>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</si>
  <si>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</si>
  <si>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</si>
  <si>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</si>
  <si>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</si>
  <si>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</si>
  <si>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</si>
  <si>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</si>
  <si>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</si>
  <si>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</si>
  <si>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</si>
  <si>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</si>
  <si>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</si>
  <si>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</si>
  <si>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</si>
  <si>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</si>
  <si>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</si>
  <si>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</si>
  <si>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</si>
  <si>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</si>
  <si>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</si>
  <si>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</si>
  <si>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</si>
  <si>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</si>
  <si>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</si>
  <si>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</si>
  <si>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</si>
  <si>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</si>
  <si>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</si>
  <si>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</si>
  <si>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</si>
  <si>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</si>
  <si>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</si>
  <si>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</si>
  <si>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</si>
  <si>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</si>
  <si>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</si>
  <si>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</si>
  <si>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</si>
  <si>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</si>
  <si>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</si>
  <si>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</si>
  <si>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</si>
  <si>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</si>
  <si>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</si>
  <si>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</si>
  <si>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</si>
  <si>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</si>
  <si>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</si>
  <si>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</si>
  <si>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</si>
  <si>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</si>
  <si>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</si>
  <si>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</si>
  <si>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</si>
  <si>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</si>
  <si>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</si>
  <si>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</si>
  <si>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</si>
  <si>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</si>
  <si>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</si>
  <si>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</si>
  <si>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</si>
  <si>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</si>
  <si>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</si>
  <si>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</si>
  <si>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</si>
  <si>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</si>
  <si>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</si>
  <si>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</si>
  <si>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</si>
  <si>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</si>
  <si>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</si>
  <si>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</si>
  <si>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</si>
  <si>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</si>
  <si>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</si>
  <si>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</si>
  <si>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</si>
  <si>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</si>
  <si>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</si>
  <si>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</si>
  <si>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</si>
  <si>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</si>
  <si>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</si>
  <si>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</si>
  <si>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</si>
  <si>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</si>
  <si>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</si>
  <si>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</si>
  <si>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</si>
  <si>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</si>
  <si>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</si>
  <si>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</si>
  <si>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</si>
  <si>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</si>
  <si>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</si>
  <si>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</si>
  <si>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</si>
  <si>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</si>
  <si>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</si>
  <si>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</si>
  <si>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</si>
  <si>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</si>
  <si>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</si>
  <si>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</si>
  <si>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</si>
  <si>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</si>
  <si>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</si>
  <si>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</si>
  <si>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</si>
  <si>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</si>
  <si>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</si>
  <si>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</si>
  <si>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</si>
  <si>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</si>
  <si>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</si>
  <si>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</si>
  <si>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</si>
  <si>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</si>
  <si>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</si>
  <si>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</si>
  <si>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</si>
  <si>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</si>
  <si>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</si>
  <si>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</si>
  <si>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</si>
  <si>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</si>
  <si>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</si>
  <si>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</si>
  <si>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</si>
  <si>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</si>
  <si>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</si>
  <si>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</si>
  <si>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</si>
  <si>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</si>
  <si>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</si>
  <si>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</si>
  <si>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</si>
  <si>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</si>
  <si>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</si>
  <si>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</si>
  <si>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</si>
  <si>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</si>
  <si>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</si>
  <si>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</si>
  <si>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</si>
  <si>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</si>
  <si>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</si>
  <si>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</si>
  <si>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</si>
  <si>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</si>
  <si>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</si>
  <si>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</si>
  <si>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</si>
  <si>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</si>
  <si>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</si>
  <si>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</si>
  <si>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</si>
  <si>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</si>
  <si>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</si>
  <si>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</si>
  <si>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</si>
  <si>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</si>
  <si>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</si>
  <si>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</si>
  <si>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</si>
  <si>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</si>
  <si>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</si>
  <si>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</si>
  <si>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</si>
  <si>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</si>
  <si>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</si>
  <si>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</si>
  <si>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</si>
  <si>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</si>
  <si>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</si>
  <si>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</si>
  <si>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</si>
  <si>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</si>
  <si>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</si>
  <si>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</si>
  <si>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</si>
  <si>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</si>
  <si>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</si>
  <si>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</si>
  <si>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</si>
  <si>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</si>
  <si>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</si>
  <si>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</si>
  <si>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</si>
  <si>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</si>
  <si>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</si>
  <si>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</si>
  <si>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</si>
  <si>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</si>
  <si>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</si>
  <si>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</si>
  <si>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</si>
  <si>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</si>
  <si>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</si>
  <si>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</si>
  <si>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</si>
  <si>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</si>
  <si>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</si>
  <si>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</si>
  <si>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</si>
  <si>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</si>
  <si>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</si>
  <si>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</si>
  <si>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</si>
  <si>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</si>
  <si>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</si>
  <si>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</si>
  <si>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</si>
  <si>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</si>
  <si>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</si>
  <si>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</si>
  <si>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</si>
  <si>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</si>
  <si>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</si>
  <si>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</si>
  <si>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</si>
  <si>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</si>
  <si>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</si>
  <si>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</si>
  <si>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</si>
  <si>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</si>
  <si>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</si>
  <si>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</si>
  <si>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</si>
  <si>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</si>
  <si>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</si>
  <si>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</si>
  <si>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</si>
  <si>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</si>
  <si>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</si>
  <si>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</si>
  <si>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</si>
  <si>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</si>
  <si>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</si>
  <si>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</si>
  <si>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</si>
  <si>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</si>
  <si>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</si>
  <si>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</si>
  <si>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</si>
  <si>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</si>
  <si>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</si>
  <si>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</si>
  <si>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</si>
  <si>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</si>
  <si>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</si>
  <si>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</si>
  <si>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</si>
  <si>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</si>
  <si>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</si>
  <si>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</si>
  <si>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</si>
  <si>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</si>
  <si>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</si>
  <si>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</si>
  <si>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</si>
  <si>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</si>
  <si>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</si>
  <si>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</si>
  <si>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</si>
  <si>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</si>
  <si>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</si>
  <si>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</si>
  <si>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</si>
  <si>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</si>
  <si>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</si>
  <si>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</si>
  <si>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</si>
  <si>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</si>
  <si>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</si>
  <si>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</si>
  <si>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</si>
  <si>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</si>
  <si>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</si>
  <si>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</si>
  <si>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</si>
  <si>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</si>
  <si>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</si>
  <si>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</si>
  <si>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</si>
  <si>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</si>
  <si>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</si>
  <si>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</si>
  <si>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</si>
  <si>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</si>
  <si>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</si>
  <si>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</si>
  <si>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</si>
  <si>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</si>
  <si>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</si>
  <si>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</si>
  <si>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</si>
  <si>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</si>
  <si>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</si>
  <si>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</si>
  <si>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</si>
  <si>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</si>
  <si>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</si>
  <si>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</si>
  <si>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</si>
  <si>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</si>
  <si>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</si>
  <si>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</si>
  <si>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</si>
  <si>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</si>
  <si>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</si>
  <si>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</si>
  <si>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</si>
  <si>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</si>
  <si>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</si>
  <si>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</si>
  <si>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</si>
  <si>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</si>
  <si>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</si>
  <si>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</si>
  <si>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</si>
  <si>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</si>
  <si>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</si>
  <si>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</si>
  <si>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</si>
  <si>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</si>
  <si>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</si>
  <si>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</si>
  <si>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</si>
  <si>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</si>
  <si>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</si>
  <si>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</si>
  <si>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</si>
  <si>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</si>
  <si>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</si>
  <si>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</si>
  <si>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</si>
  <si>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</si>
  <si>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</si>
  <si>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</si>
  <si>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</si>
  <si>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</si>
  <si>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</si>
  <si>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</si>
  <si>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</si>
  <si>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</si>
  <si>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</si>
  <si>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</si>
  <si>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</si>
  <si>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</si>
  <si>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</si>
  <si>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</si>
  <si>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</si>
  <si>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</si>
  <si>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</si>
  <si>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</si>
  <si>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</si>
  <si>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</si>
  <si>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</si>
  <si>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</si>
  <si>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</si>
  <si>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</si>
  <si>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</si>
  <si>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</si>
  <si>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</si>
  <si>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</si>
  <si>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</si>
  <si>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</si>
  <si>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</si>
  <si>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</si>
  <si>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</si>
  <si>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</si>
  <si>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</si>
  <si>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</si>
  <si>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</si>
  <si>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</si>
  <si>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</si>
  <si>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</si>
  <si>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</si>
  <si>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</si>
  <si>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</si>
  <si>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</si>
  <si>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</si>
  <si>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</si>
  <si>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</si>
  <si>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</si>
  <si>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</si>
  <si>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</si>
  <si>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</si>
  <si>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</si>
  <si>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</si>
  <si>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</si>
  <si>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</si>
  <si>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</si>
  <si>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</si>
  <si>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</si>
  <si>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</si>
  <si>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</si>
  <si>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</si>
  <si>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</si>
  <si>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</si>
  <si>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</si>
  <si>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</si>
  <si>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</si>
  <si>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</si>
  <si>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</si>
  <si>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</si>
  <si>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</si>
  <si>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</si>
  <si>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</si>
  <si>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</si>
  <si>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</si>
  <si>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</si>
  <si>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</si>
  <si>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</si>
  <si>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</si>
  <si>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</si>
  <si>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</si>
  <si>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</si>
  <si>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</si>
  <si>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</si>
  <si>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</si>
  <si>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</si>
  <si>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</si>
  <si>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</si>
  <si>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</si>
  <si>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</si>
  <si>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</si>
  <si>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</si>
  <si>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</si>
  <si>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</si>
  <si>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</si>
  <si>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</si>
  <si>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</si>
  <si>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</si>
  <si>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</si>
  <si>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</si>
  <si>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</si>
  <si>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</si>
  <si>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</si>
  <si>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</si>
  <si>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</si>
  <si>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</si>
  <si>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</si>
  <si>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</si>
  <si>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</si>
  <si>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</si>
  <si>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</si>
  <si>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</si>
  <si>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</si>
  <si>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</si>
  <si>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</si>
  <si>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</si>
  <si>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</si>
  <si>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</si>
  <si>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</si>
  <si>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</si>
  <si>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</si>
  <si>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</si>
  <si>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</si>
  <si>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</si>
  <si>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</si>
  <si>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</si>
  <si>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</si>
  <si>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</si>
  <si>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</si>
  <si>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</si>
  <si>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</si>
  <si>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</si>
  <si>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</si>
  <si>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</si>
  <si>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</si>
  <si>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</si>
  <si>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</si>
  <si>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</si>
  <si>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</si>
  <si>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</si>
  <si>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</si>
  <si>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</si>
  <si>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</si>
  <si>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</si>
  <si>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</si>
  <si>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</si>
  <si>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</si>
  <si>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</si>
  <si>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</si>
  <si>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</si>
  <si>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</si>
  <si>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</si>
  <si>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</si>
  <si>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</si>
  <si>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</si>
  <si>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</si>
  <si>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</si>
  <si>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</si>
  <si>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</si>
  <si>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</si>
  <si>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</si>
  <si>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</si>
  <si>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</si>
  <si>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</si>
  <si>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</si>
  <si>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</si>
  <si>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</si>
  <si>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</si>
  <si>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</si>
  <si>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</si>
  <si>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</si>
  <si>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</si>
  <si>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</si>
  <si>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</si>
  <si>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</si>
  <si>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</si>
  <si>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</si>
  <si>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</si>
  <si>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</si>
  <si>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</si>
  <si>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</si>
  <si>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</si>
  <si>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</si>
  <si>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</si>
  <si>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</si>
  <si>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</si>
  <si>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</si>
  <si>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</si>
  <si>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</si>
  <si>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</si>
  <si>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</si>
  <si>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</si>
  <si>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</si>
  <si>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</si>
  <si>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</si>
  <si>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</si>
  <si>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</si>
  <si>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</si>
  <si>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</si>
  <si>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</si>
  <si>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</si>
  <si>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</si>
  <si>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</si>
  <si>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</si>
  <si>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</si>
  <si>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</si>
  <si>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</si>
  <si>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</si>
  <si>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</si>
  <si>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</si>
  <si>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</si>
  <si>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</si>
  <si>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</si>
  <si>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</si>
  <si>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</si>
  <si>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</si>
  <si>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</si>
  <si>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</si>
  <si>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</si>
  <si>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</si>
  <si>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</si>
  <si>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</si>
  <si>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</si>
  <si>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</si>
  <si>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</si>
  <si>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</si>
  <si>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</si>
  <si>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</si>
  <si>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</si>
  <si>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</si>
  <si>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</si>
  <si>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</si>
  <si>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</si>
  <si>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</si>
  <si>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</si>
  <si>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</si>
  <si>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</si>
  <si>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</si>
  <si>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</si>
  <si>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</si>
  <si>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</si>
  <si>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</si>
  <si>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</si>
  <si>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</si>
  <si>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</si>
  <si>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</si>
  <si>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</si>
  <si>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</si>
  <si>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</si>
  <si>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</si>
  <si>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</si>
  <si>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</si>
  <si>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</si>
  <si>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</si>
  <si>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</si>
  <si>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</si>
  <si>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</si>
  <si>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</si>
  <si>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</si>
  <si>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</si>
  <si>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</si>
  <si>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</si>
  <si>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</si>
  <si>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</si>
  <si>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</si>
  <si>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</si>
  <si>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</si>
  <si>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</si>
  <si>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</si>
  <si>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</si>
  <si>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</si>
  <si>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</si>
  <si>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</si>
  <si>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</si>
  <si>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</si>
  <si>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</si>
  <si>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</si>
  <si>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</si>
  <si>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</si>
  <si>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</si>
  <si>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</si>
  <si>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</si>
  <si>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</si>
  <si>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</si>
  <si>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</si>
  <si>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</si>
  <si>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</si>
  <si>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</si>
  <si>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</si>
  <si>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</si>
  <si>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</si>
  <si>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</si>
  <si>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</si>
  <si>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</si>
  <si>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</si>
  <si>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</si>
  <si>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</si>
  <si>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</si>
  <si>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</si>
  <si>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</si>
  <si>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</si>
  <si>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</si>
  <si>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</si>
  <si>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</si>
  <si>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</si>
  <si>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</si>
  <si>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</si>
  <si>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</si>
  <si>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</si>
  <si>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</si>
  <si>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</si>
  <si>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</si>
  <si>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</si>
  <si>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</si>
  <si>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</si>
  <si>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</si>
  <si>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</si>
  <si>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</si>
  <si>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</si>
  <si>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</si>
  <si>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</si>
  <si>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</si>
  <si>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</si>
  <si>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</si>
  <si>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</si>
  <si>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</si>
  <si>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</si>
  <si>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</si>
  <si>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</si>
  <si>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</si>
  <si>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</si>
  <si>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</si>
  <si>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</si>
  <si>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</si>
  <si>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</si>
  <si>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</si>
  <si>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</si>
  <si>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</si>
  <si>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</si>
  <si>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</si>
  <si>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</si>
  <si>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</si>
  <si>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</si>
  <si>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</si>
  <si>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</si>
  <si>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</si>
  <si>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</si>
  <si>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</si>
  <si>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</si>
  <si>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</si>
  <si>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</si>
  <si>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</si>
  <si>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</si>
  <si>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</si>
  <si>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</si>
  <si>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</si>
  <si>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</si>
  <si>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</si>
  <si>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</si>
  <si>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</si>
  <si>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</si>
  <si>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</si>
  <si>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</si>
  <si>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</si>
  <si>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</si>
  <si>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</si>
  <si>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</si>
  <si>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</si>
  <si>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</si>
  <si>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</si>
  <si>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</si>
  <si>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</si>
  <si>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</si>
  <si>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</si>
  <si>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</si>
  <si>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</si>
  <si>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</si>
  <si>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</si>
  <si>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</si>
  <si>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</si>
  <si>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</si>
  <si>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</si>
  <si>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</si>
  <si>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</si>
  <si>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</si>
  <si>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</si>
  <si>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</si>
  <si>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</si>
  <si>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</si>
  <si>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</si>
  <si>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</si>
  <si>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</si>
  <si>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</si>
  <si>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</si>
  <si>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</si>
  <si>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</si>
  <si>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</si>
  <si>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</si>
  <si>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</si>
  <si>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</si>
  <si>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</si>
  <si>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</si>
  <si>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</si>
  <si>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</si>
  <si>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</si>
  <si>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</si>
  <si>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</si>
  <si>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</si>
  <si>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</si>
  <si>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</si>
  <si>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</si>
  <si>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</si>
  <si>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</si>
  <si>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</si>
  <si>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</si>
  <si>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</si>
  <si>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</si>
  <si>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</si>
  <si>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</si>
  <si>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</si>
  <si>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</si>
  <si>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</si>
  <si>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</si>
  <si>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</si>
  <si>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</si>
  <si>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</si>
  <si>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</si>
  <si>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</si>
  <si>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</si>
  <si>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</si>
  <si>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</si>
  <si>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</si>
  <si>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</si>
  <si>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</si>
  <si>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</si>
  <si>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</si>
  <si>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</si>
  <si>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</si>
  <si>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</si>
  <si>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</si>
  <si>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</si>
  <si>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</si>
  <si>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</si>
  <si>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</si>
  <si>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</si>
  <si>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</si>
  <si>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</si>
  <si>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</si>
  <si>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</si>
  <si>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</si>
  <si>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</si>
  <si>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</si>
  <si>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</si>
  <si>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</si>
  <si>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</si>
  <si>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</si>
  <si>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</si>
  <si>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</si>
  <si>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</si>
  <si>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</si>
  <si>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</si>
  <si>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</si>
  <si>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</si>
  <si>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</si>
  <si>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</si>
  <si>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</si>
  <si>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</si>
  <si>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</si>
  <si>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</si>
  <si>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</si>
  <si>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</si>
  <si>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</si>
  <si>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</si>
  <si>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</si>
  <si>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</si>
  <si>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</si>
  <si>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</si>
  <si>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</si>
  <si>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</si>
  <si>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</si>
  <si>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</si>
  <si>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</si>
  <si>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</si>
  <si>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</si>
  <si>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</si>
  <si>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</si>
  <si>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</si>
  <si>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</si>
  <si>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</si>
  <si>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</si>
  <si>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</si>
  <si>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</si>
  <si>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</si>
  <si>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</si>
  <si>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</si>
  <si>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</si>
  <si>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</si>
  <si>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</si>
  <si>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</si>
  <si>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</si>
  <si>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</si>
  <si>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</si>
  <si>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</si>
  <si>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</si>
  <si>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</si>
  <si>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</si>
  <si>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</si>
  <si>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</si>
  <si>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</si>
  <si>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</si>
  <si>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</si>
  <si>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</si>
  <si>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</si>
  <si>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</si>
  <si>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</si>
  <si>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</si>
  <si>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</si>
  <si>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</si>
  <si>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</si>
  <si>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</si>
  <si>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</si>
  <si>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</si>
  <si>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</si>
  <si>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</si>
  <si>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</si>
  <si>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</si>
  <si>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</si>
  <si>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</si>
  <si>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</si>
  <si>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</si>
  <si>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</si>
  <si>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</si>
  <si>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</si>
  <si>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</si>
  <si>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</si>
  <si>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</si>
  <si>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</si>
  <si>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</si>
  <si>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</si>
  <si>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</si>
  <si>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</si>
  <si>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</si>
  <si>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</si>
  <si>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</si>
  <si>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</si>
  <si>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</si>
  <si>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</si>
  <si>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</si>
  <si>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</si>
  <si>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</si>
  <si>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</si>
  <si>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</si>
  <si>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</si>
  <si>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</si>
  <si>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</si>
  <si>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</si>
  <si>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</si>
  <si>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</si>
  <si>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</si>
  <si>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</si>
  <si>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</si>
  <si>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</si>
  <si>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</si>
  <si>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</si>
  <si>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</si>
  <si>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</si>
  <si>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</si>
  <si>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</si>
  <si>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</si>
  <si>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</si>
  <si>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</si>
  <si>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</si>
  <si>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</si>
  <si>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</si>
  <si>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</si>
  <si>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</si>
  <si>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</si>
  <si>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</si>
  <si>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</si>
  <si>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</si>
  <si>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</si>
  <si>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</si>
  <si>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</si>
  <si>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</si>
  <si>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</si>
  <si>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</si>
  <si>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</si>
  <si>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</si>
  <si>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</si>
  <si>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</si>
  <si>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</si>
  <si>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</si>
  <si>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</si>
  <si>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</si>
  <si>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</si>
  <si>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</si>
  <si>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</si>
  <si>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</si>
  <si>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</si>
  <si>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</si>
  <si>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</si>
  <si>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</si>
  <si>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</si>
  <si>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</si>
  <si>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</si>
  <si>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</si>
  <si>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</si>
  <si>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</si>
  <si>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</si>
  <si>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</si>
  <si>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</si>
  <si>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</si>
  <si>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</si>
  <si>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</si>
  <si>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</si>
  <si>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</si>
  <si>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</si>
  <si>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</si>
  <si>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</si>
  <si>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</si>
  <si>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</si>
  <si>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</si>
  <si>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</si>
  <si>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</si>
  <si>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</si>
  <si>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</si>
  <si>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</si>
  <si>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</si>
  <si>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</si>
  <si>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</si>
  <si>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</si>
  <si>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</si>
  <si>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</si>
  <si>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</si>
  <si>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</si>
  <si>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</si>
  <si>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</si>
  <si>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</si>
  <si>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</si>
  <si>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</si>
  <si>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</si>
  <si>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</si>
  <si>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</si>
  <si>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</si>
  <si>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</si>
  <si>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</si>
  <si>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</si>
  <si>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</si>
  <si>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</si>
  <si>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</si>
  <si>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</si>
  <si>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</si>
  <si>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</si>
  <si>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</si>
  <si>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</si>
  <si>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</si>
  <si>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</si>
  <si>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</si>
  <si>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</si>
  <si>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</si>
  <si>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</si>
  <si>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</si>
  <si>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</si>
  <si>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</si>
  <si>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</si>
  <si>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</si>
  <si>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</si>
  <si>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</si>
  <si>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</si>
  <si>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</si>
  <si>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</si>
  <si>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</si>
  <si>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</si>
  <si>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</si>
  <si>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</si>
  <si>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</si>
  <si>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</si>
  <si>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</si>
  <si>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</si>
  <si>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</si>
  <si>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</si>
  <si>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</si>
  <si>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</si>
  <si>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</si>
  <si>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</si>
  <si>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</si>
  <si>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</si>
  <si>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</si>
  <si>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</si>
  <si>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</si>
  <si>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</si>
  <si>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</si>
  <si>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</si>
  <si>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</si>
  <si>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</si>
  <si>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</si>
  <si>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</si>
  <si>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</si>
  <si>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</si>
  <si>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</si>
  <si>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</si>
  <si>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</si>
  <si>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</si>
  <si>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</si>
  <si>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</si>
  <si>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</si>
  <si>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</si>
  <si>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</si>
  <si>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</si>
  <si>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</si>
  <si>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</si>
  <si>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</si>
  <si>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</si>
  <si>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</si>
  <si>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</si>
  <si>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</si>
  <si>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</si>
  <si>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</si>
  <si>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</si>
  <si>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</si>
  <si>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</si>
  <si>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</si>
  <si>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</si>
  <si>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</si>
  <si>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</si>
  <si>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</si>
  <si>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</si>
  <si>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</si>
  <si>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</si>
  <si>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</si>
  <si>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</si>
  <si>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</si>
  <si>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</si>
  <si>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</si>
  <si>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</si>
  <si>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</si>
  <si>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</si>
  <si>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</si>
  <si>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</si>
  <si>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</si>
  <si>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</si>
  <si>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</si>
  <si>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</si>
  <si>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</si>
  <si>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</si>
  <si>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</si>
  <si>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</si>
  <si>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</si>
  <si>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</si>
  <si>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</si>
  <si>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</si>
  <si>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</si>
  <si>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</si>
  <si>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</si>
  <si>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</si>
  <si>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</si>
  <si>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</si>
  <si>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</si>
  <si>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</si>
  <si>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</si>
  <si>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</si>
  <si>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</si>
  <si>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</si>
  <si>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</si>
  <si>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</si>
  <si>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</si>
  <si>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</si>
  <si>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</si>
  <si>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</si>
  <si>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</si>
  <si>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</si>
  <si>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</si>
  <si>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</si>
  <si>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</si>
  <si>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</si>
  <si>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</si>
  <si>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</si>
  <si>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</si>
  <si>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</si>
  <si>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</si>
  <si>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</si>
  <si>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</si>
  <si>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</si>
  <si>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</si>
  <si>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</si>
  <si>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</si>
  <si>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</si>
  <si>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</si>
  <si>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</si>
  <si>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</si>
  <si>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</si>
  <si>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</si>
  <si>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</si>
  <si>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</si>
  <si>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</si>
  <si>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</si>
  <si>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</si>
  <si>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</si>
  <si>
    <t>ASHRAE 62.2 VERSION</t>
  </si>
  <si>
    <t>% 62.2</t>
  </si>
  <si>
    <t>2013/2016</t>
  </si>
  <si>
    <t>Total Ventilation Rate (l/s)</t>
  </si>
  <si>
    <t>OLD REFERENCE MATERIALS</t>
  </si>
  <si>
    <t>622Version</t>
  </si>
  <si>
    <t>2019PropPhi</t>
  </si>
  <si>
    <t>2010noInf</t>
  </si>
  <si>
    <t>2013Inf</t>
  </si>
  <si>
    <t>2013noInf</t>
  </si>
  <si>
    <t>2016InfPhi</t>
  </si>
  <si>
    <t>None</t>
  </si>
  <si>
    <t>2019Prop</t>
  </si>
  <si>
    <t>BuilderPractice</t>
  </si>
  <si>
    <t>CALIFORNIA CLIMATES</t>
  </si>
  <si>
    <t>Representative City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</si>
  <si>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</si>
  <si>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</si>
  <si>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</si>
  <si>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</si>
  <si>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</si>
  <si>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</si>
  <si>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</si>
  <si>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</si>
  <si>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</si>
  <si>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</si>
  <si>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</si>
  <si>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</si>
  <si>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</si>
  <si>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</si>
  <si>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</si>
  <si>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</si>
  <si>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wsf</t>
  </si>
  <si>
    <t>99% DB temp</t>
  </si>
  <si>
    <t>1% DB temp</t>
  </si>
  <si>
    <t>Design Data Source:</t>
  </si>
  <si>
    <t>https://articles.extension.org/sites/default/files/7.%20Outdoor_Design_Conditions_508.pdf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</si>
  <si>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</si>
  <si>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</si>
  <si>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</si>
  <si>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</si>
  <si>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</si>
  <si>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</si>
  <si>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</si>
  <si>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</si>
  <si>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</si>
  <si>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</si>
  <si>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</si>
  <si>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</si>
  <si>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</si>
  <si>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</si>
  <si>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</si>
  <si>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</si>
  <si>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A_attic, builderVents</t>
  </si>
  <si>
    <t>This is the purposeful, builder-installed vent area that must be 1:300</t>
  </si>
  <si>
    <t>A_attic, envLeakage (AL4)</t>
  </si>
  <si>
    <t>This is the estimated background attic envelope leakage (not including the ceililng interface), NOT the builder installed vents</t>
  </si>
  <si>
    <t>Factor used in orifice flow estimate of attic leakage coefficient, D14</t>
  </si>
  <si>
    <t>These determine the orientation for the A_attic, envLeakage (AL4) background attic leakage area. Orientation affects wind driven flow.</t>
  </si>
  <si>
    <t>DuctLeakage</t>
  </si>
  <si>
    <t>CeilingLeakage</t>
  </si>
  <si>
    <t xml:space="preserve">House + Attic =  </t>
  </si>
  <si>
    <t>Derive ELA based on combined house+attic air volumes, then apply an airtightness level (1,3, or 5 ACH50)</t>
  </si>
  <si>
    <t>Calculate ELA for house as if attic were vented. Calculate commensurate ELA for attic. Each with respective airtightness (1,3 or 5). Remove ceiling leakage from attic C/ELA.</t>
  </si>
  <si>
    <t>AtticType</t>
  </si>
  <si>
    <t>Vented</t>
  </si>
  <si>
    <t>HPA</t>
  </si>
  <si>
    <t>Sealed</t>
  </si>
  <si>
    <t>REGCAP_FanSchedule_1stShift.txt</t>
  </si>
  <si>
    <t>tstat_T24.txt</t>
  </si>
  <si>
    <t>A_ceilingSI</t>
  </si>
  <si>
    <t>Total Surface Area, House</t>
  </si>
  <si>
    <t>SumCheck</t>
  </si>
  <si>
    <t>Attic Surface Area Fraction</t>
  </si>
  <si>
    <t>House Surface Area Fraction</t>
  </si>
  <si>
    <t>Surface area of sloped roof, gross wall area, and raised floor.</t>
  </si>
  <si>
    <t>Surface Areas</t>
  </si>
  <si>
    <t>AtticLeakageFraction</t>
  </si>
  <si>
    <t>50% of house ELA</t>
  </si>
  <si>
    <t>Ceiling ELA</t>
  </si>
  <si>
    <t>Reference Ceiling Leaks, 50% ceiling fraction, added to sealed attic cases</t>
  </si>
  <si>
    <t>CheckSum</t>
  </si>
  <si>
    <t>Attics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</si>
</sst>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  <font>
      <sz val="11"/>
      <color rgb="FF00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6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27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41" fillId="0" borderId="49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41" fillId="0" borderId="50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0" fontId="0" fillId="0" borderId="0" xfId="0" applyNumberFormat="1"/>
    <xf numFmtId="0" fontId="5" fillId="0" borderId="34" xfId="4" applyNumberFormat="1" applyFont="1" applyBorder="1"/>
    <xf numFmtId="0" fontId="5" fillId="0" borderId="0" xfId="4" applyFont="1" applyFill="1" applyBorder="1"/>
    <xf numFmtId="0" fontId="5" fillId="0" borderId="34" xfId="4" applyFont="1" applyFill="1" applyBorder="1"/>
    <xf numFmtId="0" fontId="74" fillId="0" borderId="0" xfId="0" applyFont="1"/>
    <xf numFmtId="49" fontId="0" fillId="0" borderId="0" xfId="0" applyNumberFormat="1"/>
    <xf numFmtId="165" fontId="5" fillId="41" borderId="0" xfId="4" applyNumberFormat="1" applyFill="1"/>
    <xf numFmtId="167" fontId="30" fillId="41" borderId="0" xfId="1" applyNumberFormat="1" applyFont="1" applyFill="1"/>
    <xf numFmtId="0" fontId="5" fillId="0" borderId="51" xfId="4" applyFont="1" applyBorder="1"/>
    <xf numFmtId="0" fontId="75" fillId="0" borderId="0" xfId="0" applyFont="1"/>
    <xf numFmtId="167" fontId="8" fillId="46" borderId="0" xfId="5" applyNumberFormat="1" applyFill="1" applyBorder="1" applyAlignment="1" applyProtection="1">
      <alignment horizontal="right"/>
    </xf>
    <xf numFmtId="169" fontId="5" fillId="0" borderId="0" xfId="4" applyNumberFormat="1" applyFont="1"/>
  </cellXfs>
  <cellStyles count="362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  <row r="137">
          <cell r="C137">
            <v>1</v>
          </cell>
        </row>
        <row r="142">
          <cell r="C142">
            <v>0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</sheetData>
      <sheetData sheetId="5">
        <row r="4">
          <cell r="B4">
            <v>3.2435091989063344E-2</v>
          </cell>
        </row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H63">
            <v>0.5</v>
          </cell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>
        <row r="2">
          <cell r="L2">
            <v>43.263500000000001</v>
          </cell>
        </row>
        <row r="101">
          <cell r="C101">
            <v>31.535528038736892</v>
          </cell>
          <cell r="D101">
            <v>32.304687259193891</v>
          </cell>
          <cell r="E101">
            <v>33.073846479650889</v>
          </cell>
          <cell r="F101">
            <v>35.381324141021885</v>
          </cell>
          <cell r="G101">
            <v>36.919642581935875</v>
          </cell>
          <cell r="H101">
            <v>46.149553227419851</v>
          </cell>
          <cell r="I101">
            <v>38.457961022849872</v>
          </cell>
          <cell r="J101">
            <v>41.53459790467786</v>
          </cell>
          <cell r="K101">
            <v>42.303757125134858</v>
          </cell>
          <cell r="L101">
            <v>46.149553227419851</v>
          </cell>
          <cell r="M101">
            <v>43.072916345591864</v>
          </cell>
          <cell r="N101">
            <v>46.918712447876842</v>
          </cell>
          <cell r="O101">
            <v>48.45703088879084</v>
          </cell>
          <cell r="P101">
            <v>53.841145431989816</v>
          </cell>
          <cell r="Q101">
            <v>53.841145431989816</v>
          </cell>
        </row>
        <row r="102">
          <cell r="C102">
            <v>22.07486962711582</v>
          </cell>
          <cell r="D102">
            <v>22.613281081435716</v>
          </cell>
          <cell r="E102">
            <v>23.151692535755618</v>
          </cell>
          <cell r="F102">
            <v>24.766926898715308</v>
          </cell>
          <cell r="G102">
            <v>25.843749807355106</v>
          </cell>
          <cell r="H102">
            <v>32.304687259193884</v>
          </cell>
          <cell r="I102">
            <v>26.920572715994901</v>
          </cell>
          <cell r="J102">
            <v>29.074218533274493</v>
          </cell>
          <cell r="K102">
            <v>29.612629987594396</v>
          </cell>
          <cell r="L102">
            <v>32.304687259193884</v>
          </cell>
          <cell r="M102">
            <v>30.151041441914291</v>
          </cell>
          <cell r="N102">
            <v>32.843098713513783</v>
          </cell>
          <cell r="O102">
            <v>33.919921622153574</v>
          </cell>
          <cell r="P102">
            <v>37.688801802392859</v>
          </cell>
          <cell r="Q102">
            <v>37.688801802392859</v>
          </cell>
        </row>
        <row r="103">
          <cell r="C103">
            <v>15.767764019368446</v>
          </cell>
          <cell r="D103">
            <v>16.152343629596945</v>
          </cell>
          <cell r="E103">
            <v>16.536923239825445</v>
          </cell>
          <cell r="F103">
            <v>17.690662070510943</v>
          </cell>
          <cell r="G103">
            <v>18.459821290967938</v>
          </cell>
          <cell r="H103">
            <v>23.074776613709925</v>
          </cell>
          <cell r="I103">
            <v>19.228980511424936</v>
          </cell>
          <cell r="J103">
            <v>20.76729895233893</v>
          </cell>
          <cell r="K103">
            <v>21.151878562567429</v>
          </cell>
          <cell r="L103">
            <v>23.074776613709925</v>
          </cell>
          <cell r="M103">
            <v>21.536458172795932</v>
          </cell>
          <cell r="N103">
            <v>23.459356223938421</v>
          </cell>
          <cell r="O103">
            <v>24.22851544439542</v>
          </cell>
          <cell r="P103">
            <v>26.920572715994908</v>
          </cell>
          <cell r="Q103">
            <v>26.920572715994908</v>
          </cell>
        </row>
        <row r="104">
          <cell r="C104">
            <v>9.4606584116210666</v>
          </cell>
          <cell r="D104">
            <v>9.6914061777581662</v>
          </cell>
          <cell r="E104">
            <v>9.9221539438952657</v>
          </cell>
          <cell r="F104">
            <v>10.614397242306563</v>
          </cell>
          <cell r="G104">
            <v>11.075892774580762</v>
          </cell>
          <cell r="H104">
            <v>13.844865968225951</v>
          </cell>
          <cell r="I104">
            <v>11.537388306854959</v>
          </cell>
          <cell r="J104">
            <v>12.460379371403356</v>
          </cell>
          <cell r="K104">
            <v>12.691127137540457</v>
          </cell>
          <cell r="L104">
            <v>13.844865968225951</v>
          </cell>
          <cell r="M104">
            <v>12.921874903677555</v>
          </cell>
          <cell r="N104">
            <v>14.075613734363051</v>
          </cell>
          <cell r="O104">
            <v>14.53710926663725</v>
          </cell>
          <cell r="P104">
            <v>16.152343629596942</v>
          </cell>
          <cell r="Q104">
            <v>16.152343629596942</v>
          </cell>
        </row>
        <row r="105">
          <cell r="C105">
            <v>4.7303292058105333</v>
          </cell>
          <cell r="D105">
            <v>4.8457030888790831</v>
          </cell>
          <cell r="E105">
            <v>4.9610769719476329</v>
          </cell>
          <cell r="F105">
            <v>5.3071986211532813</v>
          </cell>
          <cell r="G105">
            <v>5.5379463872903809</v>
          </cell>
          <cell r="H105">
            <v>6.9224329841129757</v>
          </cell>
          <cell r="I105">
            <v>5.7686941534274796</v>
          </cell>
          <cell r="J105">
            <v>6.2301896857016779</v>
          </cell>
          <cell r="K105">
            <v>6.3455635687702285</v>
          </cell>
          <cell r="L105">
            <v>6.9224329841129757</v>
          </cell>
          <cell r="M105">
            <v>6.4609374518387774</v>
          </cell>
          <cell r="N105">
            <v>7.0378068671815255</v>
          </cell>
          <cell r="O105">
            <v>7.2685546333186251</v>
          </cell>
          <cell r="P105">
            <v>8.0761718147984709</v>
          </cell>
          <cell r="Q105">
            <v>8.0761718147984709</v>
          </cell>
        </row>
        <row r="106">
          <cell r="C106">
            <v>1.8921316823242129</v>
          </cell>
          <cell r="D106">
            <v>1.9382812355516326</v>
          </cell>
          <cell r="E106">
            <v>1.9844307887790527</v>
          </cell>
          <cell r="F106">
            <v>2.1228794484613123</v>
          </cell>
          <cell r="G106">
            <v>2.2151785549161516</v>
          </cell>
          <cell r="H106">
            <v>2.7689731936451896</v>
          </cell>
          <cell r="I106">
            <v>2.3074776613709913</v>
          </cell>
          <cell r="J106">
            <v>2.4920758742806708</v>
          </cell>
          <cell r="K106">
            <v>2.5382254275080909</v>
          </cell>
          <cell r="L106">
            <v>2.7689731936451896</v>
          </cell>
          <cell r="M106">
            <v>2.5843749807355105</v>
          </cell>
          <cell r="N106">
            <v>2.8151227468726097</v>
          </cell>
          <cell r="O106">
            <v>2.907421853327449</v>
          </cell>
          <cell r="P106">
            <v>3.2304687259193874</v>
          </cell>
          <cell r="Q106">
            <v>3.2304687259193874</v>
          </cell>
        </row>
      </sheetData>
      <sheetData sheetId="9"/>
      <sheetData sheetId="10">
        <row r="27">
          <cell r="C27">
            <v>15.239999512320015</v>
          </cell>
        </row>
      </sheetData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">
          <cell r="B1">
            <v>0.37901531243731801</v>
          </cell>
        </row>
        <row r="16">
          <cell r="D16">
            <v>3</v>
          </cell>
        </row>
        <row r="25">
          <cell r="B25">
            <v>0.41</v>
          </cell>
          <cell r="C25">
            <v>0.42</v>
          </cell>
          <cell r="D25">
            <v>0.43</v>
          </cell>
          <cell r="E25">
            <v>0.46</v>
          </cell>
          <cell r="F25">
            <v>0.48</v>
          </cell>
          <cell r="G25">
            <v>0.6</v>
          </cell>
          <cell r="H25">
            <v>0.5</v>
          </cell>
          <cell r="I25">
            <v>0.54</v>
          </cell>
          <cell r="J25">
            <v>0.55000000000000004</v>
          </cell>
          <cell r="K25">
            <v>0.6</v>
          </cell>
          <cell r="L25">
            <v>0.56000000000000005</v>
          </cell>
          <cell r="M25">
            <v>0.61</v>
          </cell>
          <cell r="N25">
            <v>0.63</v>
          </cell>
          <cell r="O25">
            <v>0.7</v>
          </cell>
          <cell r="P25">
            <v>0.7</v>
          </cell>
        </row>
        <row r="46">
          <cell r="B46">
            <v>33</v>
          </cell>
          <cell r="C46">
            <v>29</v>
          </cell>
          <cell r="D46">
            <v>36</v>
          </cell>
          <cell r="E46">
            <v>38</v>
          </cell>
          <cell r="F46">
            <v>35</v>
          </cell>
          <cell r="G46">
            <v>45</v>
          </cell>
          <cell r="H46">
            <v>44</v>
          </cell>
          <cell r="I46">
            <v>37</v>
          </cell>
          <cell r="J46">
            <v>41</v>
          </cell>
          <cell r="K46">
            <v>35</v>
          </cell>
          <cell r="L46">
            <v>32</v>
          </cell>
          <cell r="M46">
            <v>32</v>
          </cell>
          <cell r="N46">
            <v>32</v>
          </cell>
          <cell r="O46">
            <v>24</v>
          </cell>
          <cell r="P46">
            <v>35</v>
          </cell>
          <cell r="Q46">
            <v>24</v>
          </cell>
        </row>
        <row r="47">
          <cell r="B47">
            <v>69</v>
          </cell>
          <cell r="C47">
            <v>96</v>
          </cell>
          <cell r="D47">
            <v>80</v>
          </cell>
          <cell r="E47">
            <v>89</v>
          </cell>
          <cell r="F47">
            <v>82</v>
          </cell>
          <cell r="G47">
            <v>81</v>
          </cell>
          <cell r="H47">
            <v>82</v>
          </cell>
          <cell r="I47">
            <v>91</v>
          </cell>
          <cell r="J47">
            <v>95</v>
          </cell>
          <cell r="K47">
            <v>99</v>
          </cell>
          <cell r="L47">
            <v>102</v>
          </cell>
          <cell r="M47">
            <v>97</v>
          </cell>
          <cell r="N47">
            <v>101</v>
          </cell>
          <cell r="O47">
            <v>98</v>
          </cell>
          <cell r="P47">
            <v>110</v>
          </cell>
          <cell r="Q47">
            <v>81</v>
          </cell>
        </row>
        <row r="49">
          <cell r="B49">
            <v>5</v>
          </cell>
          <cell r="C49">
            <v>0</v>
          </cell>
          <cell r="D49">
            <v>1</v>
          </cell>
          <cell r="E49">
            <v>1</v>
          </cell>
          <cell r="F49">
            <v>-7</v>
          </cell>
          <cell r="G49">
            <v>8</v>
          </cell>
          <cell r="H49">
            <v>33</v>
          </cell>
          <cell r="I49">
            <v>19</v>
          </cell>
          <cell r="J49">
            <v>7</v>
          </cell>
          <cell r="K49">
            <v>-9</v>
          </cell>
          <cell r="L49">
            <v>-4</v>
          </cell>
          <cell r="M49">
            <v>-1</v>
          </cell>
          <cell r="N49">
            <v>3</v>
          </cell>
          <cell r="O49">
            <v>-18</v>
          </cell>
          <cell r="P49">
            <v>-11</v>
          </cell>
          <cell r="Q49">
            <v>-28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workbookViewId="0">
      <selection activeCell="D12" sqref="D12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57" t="s">
        <v>1076</v>
      </c>
    </row>
    <row r="3" spans="1:2">
      <c r="A3" s="252" t="s">
        <v>1077</v>
      </c>
      <c r="B3" s="151" t="s">
        <v>1308</v>
      </c>
    </row>
    <row r="4" spans="1:2">
      <c r="A4" s="252" t="s">
        <v>1079</v>
      </c>
      <c r="B4" s="359">
        <v>42891</v>
      </c>
    </row>
    <row r="5" spans="1:2" ht="15" thickBot="1"/>
    <row r="6" spans="1:2">
      <c r="A6" s="350" t="s">
        <v>3</v>
      </c>
      <c r="B6" s="360" t="s">
        <v>0</v>
      </c>
    </row>
    <row r="7" spans="1:2">
      <c r="A7" s="339" t="s">
        <v>1147</v>
      </c>
      <c r="B7" s="341" t="s">
        <v>1148</v>
      </c>
    </row>
    <row r="8" spans="1:2" s="214" customFormat="1">
      <c r="A8" s="339" t="s">
        <v>926</v>
      </c>
      <c r="B8" s="341" t="s">
        <v>1092</v>
      </c>
    </row>
    <row r="9" spans="1:2">
      <c r="A9" s="339" t="s">
        <v>1080</v>
      </c>
      <c r="B9" s="341" t="s">
        <v>1093</v>
      </c>
    </row>
    <row r="10" spans="1:2">
      <c r="A10" s="339" t="s">
        <v>1081</v>
      </c>
      <c r="B10" s="341" t="s">
        <v>1094</v>
      </c>
    </row>
    <row r="11" spans="1:2">
      <c r="A11" s="339" t="s">
        <v>14</v>
      </c>
      <c r="B11" s="341" t="s">
        <v>1095</v>
      </c>
    </row>
    <row r="12" spans="1:2">
      <c r="A12" s="339" t="s">
        <v>7</v>
      </c>
      <c r="B12" s="341" t="s">
        <v>1096</v>
      </c>
    </row>
    <row r="13" spans="1:2">
      <c r="A13" s="339" t="s">
        <v>22</v>
      </c>
      <c r="B13" s="341" t="s">
        <v>1097</v>
      </c>
    </row>
    <row r="14" spans="1:2">
      <c r="A14" s="339" t="s">
        <v>45</v>
      </c>
      <c r="B14" s="341" t="s">
        <v>1098</v>
      </c>
    </row>
    <row r="15" spans="1:2">
      <c r="A15" s="339" t="s">
        <v>50</v>
      </c>
      <c r="B15" s="341" t="s">
        <v>1099</v>
      </c>
    </row>
    <row r="16" spans="1:2">
      <c r="A16" s="339" t="s">
        <v>314</v>
      </c>
      <c r="B16" s="341" t="s">
        <v>1100</v>
      </c>
    </row>
    <row r="17" spans="1:4">
      <c r="A17" s="339" t="s">
        <v>72</v>
      </c>
      <c r="B17" s="341" t="s">
        <v>1101</v>
      </c>
    </row>
    <row r="18" spans="1:4">
      <c r="A18" s="339" t="s">
        <v>99</v>
      </c>
      <c r="B18" s="341" t="s">
        <v>1102</v>
      </c>
    </row>
    <row r="19" spans="1:4">
      <c r="A19" s="339" t="s">
        <v>1103</v>
      </c>
      <c r="B19" s="341" t="s">
        <v>1104</v>
      </c>
    </row>
    <row r="20" spans="1:4">
      <c r="A20" s="339" t="s">
        <v>1049</v>
      </c>
      <c r="B20" s="341" t="s">
        <v>1105</v>
      </c>
    </row>
    <row r="21" spans="1:4">
      <c r="A21" s="339" t="s">
        <v>1133</v>
      </c>
      <c r="B21" s="341" t="s">
        <v>1106</v>
      </c>
    </row>
    <row r="22" spans="1:4" ht="15" thickBot="1">
      <c r="A22" s="342" t="s">
        <v>1072</v>
      </c>
      <c r="B22" s="345" t="s">
        <v>1107</v>
      </c>
    </row>
    <row r="24" spans="1:4" ht="18">
      <c r="A24" s="272" t="s">
        <v>1082</v>
      </c>
    </row>
    <row r="25" spans="1:4">
      <c r="A25">
        <v>1</v>
      </c>
      <c r="B25" t="s">
        <v>1123</v>
      </c>
    </row>
    <row r="26" spans="1:4">
      <c r="A26">
        <v>2</v>
      </c>
      <c r="B26" t="s">
        <v>1124</v>
      </c>
    </row>
    <row r="27" spans="1:4">
      <c r="A27">
        <v>3</v>
      </c>
      <c r="B27" t="s">
        <v>1125</v>
      </c>
    </row>
    <row r="28" spans="1:4">
      <c r="A28">
        <v>4</v>
      </c>
      <c r="B28" t="s">
        <v>1126</v>
      </c>
    </row>
    <row r="29" spans="1:4" ht="18">
      <c r="A29" s="272" t="s">
        <v>1083</v>
      </c>
    </row>
    <row r="30" spans="1:4">
      <c r="A30" s="361" t="s">
        <v>1077</v>
      </c>
      <c r="B30" s="361" t="s">
        <v>0</v>
      </c>
      <c r="C30" s="361" t="s">
        <v>1079</v>
      </c>
      <c r="D30" s="361" t="s">
        <v>1084</v>
      </c>
    </row>
    <row r="31" spans="1:4">
      <c r="A31" t="s">
        <v>1078</v>
      </c>
      <c r="B31" t="s">
        <v>1127</v>
      </c>
      <c r="C31" s="358">
        <v>42465</v>
      </c>
      <c r="D31" t="s">
        <v>1085</v>
      </c>
    </row>
    <row r="32" spans="1:4">
      <c r="A32" t="s">
        <v>1146</v>
      </c>
      <c r="B32" s="332" t="s">
        <v>1155</v>
      </c>
      <c r="C32" s="405">
        <v>42585</v>
      </c>
      <c r="D32" t="s">
        <v>1149</v>
      </c>
    </row>
    <row r="33" spans="1:4">
      <c r="A33" s="214" t="s">
        <v>1156</v>
      </c>
      <c r="B33" s="332" t="s">
        <v>1157</v>
      </c>
      <c r="C33" s="405">
        <v>42605</v>
      </c>
      <c r="D33" t="s">
        <v>1085</v>
      </c>
    </row>
    <row r="34" spans="1:4" ht="28">
      <c r="B34" s="332" t="s">
        <v>1158</v>
      </c>
      <c r="C34" s="405">
        <v>42710</v>
      </c>
      <c r="D34" t="s">
        <v>1149</v>
      </c>
    </row>
    <row r="35" spans="1:4" ht="28">
      <c r="B35" s="332" t="s">
        <v>1180</v>
      </c>
      <c r="C35" s="405">
        <v>42710</v>
      </c>
      <c r="D35" t="s">
        <v>1149</v>
      </c>
    </row>
    <row r="36" spans="1:4" ht="28">
      <c r="B36" s="332" t="s">
        <v>1185</v>
      </c>
      <c r="C36" s="405">
        <v>42711</v>
      </c>
      <c r="D36" t="s">
        <v>1149</v>
      </c>
    </row>
    <row r="37" spans="1:4" ht="28">
      <c r="A37" t="s">
        <v>1188</v>
      </c>
      <c r="B37" s="332" t="s">
        <v>1187</v>
      </c>
      <c r="C37" s="405">
        <v>42717</v>
      </c>
      <c r="D37" t="s">
        <v>1149</v>
      </c>
    </row>
    <row r="38" spans="1:4">
      <c r="B38" s="332" t="s">
        <v>1196</v>
      </c>
      <c r="C38" s="405">
        <v>42723</v>
      </c>
      <c r="D38" t="s">
        <v>1149</v>
      </c>
    </row>
    <row r="39" spans="1:4" ht="28">
      <c r="B39" s="332" t="s">
        <v>1197</v>
      </c>
      <c r="C39" s="405">
        <v>42723</v>
      </c>
      <c r="D39" t="s">
        <v>1149</v>
      </c>
    </row>
    <row r="40" spans="1:4" ht="28">
      <c r="B40" s="332" t="s">
        <v>1202</v>
      </c>
      <c r="C40" s="405">
        <v>42723</v>
      </c>
      <c r="D40" t="s">
        <v>1149</v>
      </c>
    </row>
    <row r="41" spans="1:4" ht="28">
      <c r="B41" s="332" t="s">
        <v>1204</v>
      </c>
      <c r="C41" s="405">
        <v>42723</v>
      </c>
      <c r="D41" s="214" t="s">
        <v>1149</v>
      </c>
    </row>
    <row r="42" spans="1:4" ht="28">
      <c r="B42" s="332" t="s">
        <v>1205</v>
      </c>
      <c r="C42" s="405">
        <v>42723</v>
      </c>
      <c r="D42" s="214" t="s">
        <v>1149</v>
      </c>
    </row>
    <row r="43" spans="1:4">
      <c r="B43" s="332" t="s">
        <v>1208</v>
      </c>
    </row>
    <row r="44" spans="1:4">
      <c r="B44" s="332" t="s">
        <v>1209</v>
      </c>
      <c r="C44" s="405">
        <v>42739</v>
      </c>
      <c r="D44" t="s">
        <v>1149</v>
      </c>
    </row>
    <row r="45" spans="1:4">
      <c r="B45" s="332" t="s">
        <v>1270</v>
      </c>
      <c r="C45" s="405">
        <v>42753</v>
      </c>
      <c r="D45" t="s">
        <v>1149</v>
      </c>
    </row>
    <row r="46" spans="1:4" ht="42">
      <c r="A46" t="s">
        <v>1308</v>
      </c>
      <c r="B46" s="332" t="s">
        <v>1321</v>
      </c>
      <c r="C46" s="405">
        <v>42891</v>
      </c>
      <c r="D46" t="s">
        <v>1085</v>
      </c>
    </row>
    <row r="47" spans="1:4">
      <c r="B47" s="332" t="s">
        <v>1322</v>
      </c>
      <c r="C47" s="405">
        <v>43122</v>
      </c>
      <c r="D47" t="s">
        <v>1149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87"/>
  <sheetViews>
    <sheetView tabSelected="1" workbookViewId="0">
      <selection activeCell="G27" sqref="G27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72" t="s">
        <v>926</v>
      </c>
      <c r="B1" s="214"/>
      <c r="C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</row>
    <row r="2" spans="1:17" ht="15">
      <c r="A2" s="273" t="s">
        <v>787</v>
      </c>
      <c r="B2" s="269"/>
      <c r="C2" s="270" t="s">
        <v>789</v>
      </c>
      <c r="E2" s="273" t="s">
        <v>1189</v>
      </c>
      <c r="F2" s="269"/>
      <c r="G2" s="270">
        <v>1</v>
      </c>
      <c r="I2" s="252" t="s">
        <v>925</v>
      </c>
      <c r="J2" s="214"/>
      <c r="K2" s="278" t="s">
        <v>1320</v>
      </c>
      <c r="M2" s="214"/>
    </row>
    <row r="3" spans="1:17" ht="15" thickBot="1">
      <c r="A3" s="263" t="s">
        <v>788</v>
      </c>
      <c r="B3" s="276"/>
      <c r="C3" s="264" t="str">
        <f>IF(B3&lt;&gt;"",A3,"")</f>
        <v/>
      </c>
      <c r="E3" s="263">
        <v>0</v>
      </c>
      <c r="F3" s="276"/>
      <c r="G3" s="264" t="str">
        <f t="shared" ref="G3:G23" si="0">IF(F3&lt;&gt;"",E3,"")</f>
        <v/>
      </c>
      <c r="H3" t="s">
        <v>1191</v>
      </c>
      <c r="J3" s="214"/>
      <c r="M3" s="214"/>
    </row>
    <row r="4" spans="1:17" ht="15" thickBot="1">
      <c r="A4" s="263" t="s">
        <v>792</v>
      </c>
      <c r="B4" s="276" t="s">
        <v>927</v>
      </c>
      <c r="C4" s="264" t="str">
        <f>IF(B4&lt;&gt;"",A4,"")</f>
        <v>Med</v>
      </c>
      <c r="E4" s="263">
        <v>1</v>
      </c>
      <c r="F4" s="276" t="s">
        <v>927</v>
      </c>
      <c r="G4" s="264">
        <f t="shared" si="0"/>
        <v>1</v>
      </c>
      <c r="H4" t="s">
        <v>1192</v>
      </c>
      <c r="I4" s="280" t="s">
        <v>928</v>
      </c>
      <c r="J4" s="274"/>
      <c r="K4" s="275" t="s">
        <v>1470</v>
      </c>
      <c r="M4" s="214"/>
      <c r="N4" s="214"/>
    </row>
    <row r="5" spans="1:17" ht="15" thickBot="1">
      <c r="A5" s="265" t="s">
        <v>789</v>
      </c>
      <c r="B5" s="277" t="s">
        <v>927</v>
      </c>
      <c r="C5" s="266" t="str">
        <f>IF(B5&lt;&gt;"",A5,"")</f>
        <v>Large</v>
      </c>
      <c r="E5" s="263">
        <v>2</v>
      </c>
      <c r="F5" s="276"/>
      <c r="G5" s="264" t="str">
        <f t="shared" si="0"/>
        <v/>
      </c>
      <c r="H5" t="s">
        <v>1193</v>
      </c>
      <c r="M5" s="214"/>
      <c r="N5" s="214"/>
    </row>
    <row r="6" spans="1:17" ht="15" thickBot="1">
      <c r="E6" s="267">
        <v>3</v>
      </c>
      <c r="F6" s="276"/>
      <c r="G6" s="264" t="str">
        <f t="shared" si="0"/>
        <v/>
      </c>
      <c r="H6" t="s">
        <v>1194</v>
      </c>
      <c r="I6" s="350" t="s">
        <v>929</v>
      </c>
      <c r="J6" s="351"/>
      <c r="K6" s="351"/>
      <c r="L6" s="352" t="s">
        <v>924</v>
      </c>
      <c r="M6" s="214"/>
      <c r="N6" s="5"/>
    </row>
    <row r="7" spans="1:17" ht="15">
      <c r="A7" s="273" t="s">
        <v>791</v>
      </c>
      <c r="B7" s="269"/>
      <c r="C7" s="270" t="s">
        <v>794</v>
      </c>
      <c r="E7" s="267">
        <v>4</v>
      </c>
      <c r="F7" s="276"/>
      <c r="G7" s="264" t="str">
        <f t="shared" si="0"/>
        <v/>
      </c>
      <c r="H7" t="s">
        <v>1195</v>
      </c>
      <c r="I7" s="281">
        <f>InputFiles!C1</f>
        <v>1</v>
      </c>
      <c r="J7" s="276" t="s">
        <v>927</v>
      </c>
      <c r="K7" s="18">
        <f t="shared" ref="K7:K23" si="1">IF(J7&lt;&gt;"",I7,"")</f>
        <v>1</v>
      </c>
      <c r="L7" s="353" t="str">
        <f>IF(J7&lt;&gt;"",BaseName &amp;"_"&amp; IF(ISNUMBER(I7),I7,LEFT(I7,1)) &amp; "_" &amp; HomeSize &amp; "_" &amp; OccDensity &amp; "_" &amp; Airtightness &amp; "_" &amp; DuctLeakage &amp; "_" &amp; AtticAirtightness &amp; "_" &amp; CeilingLeakage &amp; "_" &amp; AtticType,"")</f>
        <v>Attics_1_Large_High_5_5_0.2_High_Sealed</v>
      </c>
      <c r="M7" s="112"/>
      <c r="N7" s="5"/>
    </row>
    <row r="8" spans="1:17">
      <c r="A8" s="263" t="s">
        <v>793</v>
      </c>
      <c r="B8" s="276" t="s">
        <v>927</v>
      </c>
      <c r="C8" s="264" t="str">
        <f>IF(B8&lt;&gt;"",A8,"")</f>
        <v>Low</v>
      </c>
      <c r="E8" s="267">
        <v>5</v>
      </c>
      <c r="F8" s="276"/>
      <c r="G8" s="264" t="str">
        <f t="shared" si="0"/>
        <v/>
      </c>
      <c r="I8" s="281">
        <f>InputFiles!D1</f>
        <v>2</v>
      </c>
      <c r="J8" s="276"/>
      <c r="K8" s="18" t="str">
        <f t="shared" si="1"/>
        <v/>
      </c>
      <c r="L8" s="353" t="str">
        <f>IF(J8&lt;&gt;"",BaseName &amp;"_"&amp; IF(ISNUMBER(I8),I8,LEFT(I8,1)) &amp; "_" &amp; HomeSize &amp; "_" &amp; OccDensity &amp; "_" &amp; Airtightness &amp; "_" &amp; DuctLeakage &amp; "_" &amp; AtticAirtightness &amp; "_" &amp; CeilingLeakage &amp; "_" &amp; AtticType,"")</f>
        <v/>
      </c>
      <c r="M8" s="112"/>
      <c r="N8" s="5"/>
    </row>
    <row r="9" spans="1:17">
      <c r="A9" s="263" t="s">
        <v>792</v>
      </c>
      <c r="B9" s="276" t="s">
        <v>927</v>
      </c>
      <c r="C9" s="264" t="str">
        <f>IF(B9&lt;&gt;"",A9,"")</f>
        <v>Med</v>
      </c>
      <c r="E9" s="267">
        <v>6</v>
      </c>
      <c r="F9" s="276"/>
      <c r="G9" s="264" t="str">
        <f t="shared" si="0"/>
        <v/>
      </c>
      <c r="I9" s="281">
        <f>InputFiles!E1</f>
        <v>3</v>
      </c>
      <c r="J9" s="276" t="s">
        <v>927</v>
      </c>
      <c r="K9" s="18">
        <f t="shared" si="1"/>
        <v>3</v>
      </c>
      <c r="L9" s="353" t="str">
        <f>IF(J9&lt;&gt;"",BaseName &amp;"_"&amp; IF(ISNUMBER(I9),I9,LEFT(I9,1)) &amp; "_" &amp; HomeSize &amp; "_" &amp; OccDensity &amp; "_" &amp; Airtightness &amp; "_" &amp; DuctLeakage &amp; "_" &amp; AtticAirtightness &amp; "_" &amp; CeilingLeakage &amp; "_" &amp; AtticType,"")</f>
        <v>Attics_3_Large_High_5_5_0.2_High_Sealed</v>
      </c>
      <c r="M9" s="112"/>
      <c r="N9" s="5"/>
    </row>
    <row r="10" spans="1:17" ht="15" thickBot="1">
      <c r="A10" s="265" t="s">
        <v>794</v>
      </c>
      <c r="B10" s="277" t="s">
        <v>927</v>
      </c>
      <c r="C10" s="266" t="str">
        <f>IF(B10&lt;&gt;"",A10,"")</f>
        <v>High</v>
      </c>
      <c r="E10" s="267">
        <v>7</v>
      </c>
      <c r="F10" s="276"/>
      <c r="G10" s="264" t="str">
        <f t="shared" si="0"/>
        <v/>
      </c>
      <c r="I10" s="281">
        <f>InputFiles!F1</f>
        <v>4</v>
      </c>
      <c r="J10" s="276"/>
      <c r="K10" s="18" t="str">
        <f t="shared" si="1"/>
        <v/>
      </c>
      <c r="L10" s="353" t="str">
        <f>IF(J10&lt;&gt;"",BaseName &amp;"_"&amp; IF(ISNUMBER(I10),I10,LEFT(I10,1)) &amp; "_" &amp; HomeSize &amp; "_" &amp; OccDensity &amp; "_" &amp; Airtightness &amp; "_" &amp; DuctLeakage &amp; "_" &amp; AtticAirtightness &amp; "_" &amp; CeilingLeakage &amp; "_" &amp; AtticType,"")</f>
        <v/>
      </c>
      <c r="M10" s="112"/>
      <c r="N10" s="5"/>
    </row>
    <row r="11" spans="1:17" ht="15" thickBot="1">
      <c r="E11" s="267">
        <v>8</v>
      </c>
      <c r="F11" s="276"/>
      <c r="G11" s="264" t="str">
        <f t="shared" si="0"/>
        <v/>
      </c>
      <c r="I11" s="281">
        <f>InputFiles!G1</f>
        <v>5</v>
      </c>
      <c r="J11" s="276"/>
      <c r="K11" s="18" t="str">
        <f t="shared" si="1"/>
        <v/>
      </c>
      <c r="L11" s="353" t="str">
        <f>IF(J11&lt;&gt;"",BaseName &amp;"_"&amp; IF(ISNUMBER(I11),I11,LEFT(I11,1)) &amp; "_" &amp; HomeSize &amp; "_" &amp; OccDensity &amp; "_" &amp; Airtightness &amp; "_" &amp; DuctLeakage &amp; "_" &amp; AtticAirtightness &amp; "_" &amp; CeilingLeakage &amp; "_" &amp; AtticType,"")</f>
        <v/>
      </c>
      <c r="M11" s="112"/>
      <c r="N11" s="5"/>
    </row>
    <row r="12" spans="1:17" ht="15">
      <c r="A12" s="273" t="s">
        <v>779</v>
      </c>
      <c r="B12" s="269"/>
      <c r="C12" s="270">
        <v>1</v>
      </c>
      <c r="E12" s="267">
        <v>9</v>
      </c>
      <c r="F12" s="276"/>
      <c r="G12" s="264" t="str">
        <f t="shared" si="0"/>
        <v/>
      </c>
      <c r="I12" s="281">
        <f>InputFiles!H1</f>
        <v>6</v>
      </c>
      <c r="J12" s="276"/>
      <c r="K12" s="18" t="str">
        <f t="shared" si="1"/>
        <v/>
      </c>
      <c r="L12" s="353" t="str">
        <f>IF(J12&lt;&gt;"",BaseName &amp;"_"&amp; IF(ISNUMBER(I12),I12,LEFT(I12,1)) &amp; "_" &amp; HomeSize &amp; "_" &amp; OccDensity &amp; "_" &amp; Airtightness &amp; "_" &amp; DuctLeakage &amp; "_" &amp; AtticAirtightness &amp; "_" &amp; CeilingLeakage &amp; "_" &amp; AtticType,"")</f>
        <v/>
      </c>
      <c r="M12" s="112"/>
      <c r="N12" s="5"/>
    </row>
    <row r="13" spans="1:17">
      <c r="A13" s="263">
        <v>1</v>
      </c>
      <c r="B13" s="276"/>
      <c r="C13" s="264" t="str">
        <f>IF(B13&lt;&gt;"",A13,"")</f>
        <v/>
      </c>
      <c r="E13" s="267">
        <v>10</v>
      </c>
      <c r="F13" s="276"/>
      <c r="G13" s="264" t="str">
        <f t="shared" si="0"/>
        <v/>
      </c>
      <c r="I13" s="281">
        <f>InputFiles!I1</f>
        <v>7</v>
      </c>
      <c r="J13" s="276"/>
      <c r="K13" s="18" t="str">
        <f t="shared" si="1"/>
        <v/>
      </c>
      <c r="L13" s="353" t="str">
        <f>IF(J13&lt;&gt;"",BaseName &amp;"_"&amp; IF(ISNUMBER(I13),I13,LEFT(I13,1)) &amp; "_" &amp; HomeSize &amp; "_" &amp; OccDensity &amp; "_" &amp; Airtightness &amp; "_" &amp; DuctLeakage &amp; "_" &amp; AtticAirtightness &amp; "_" &amp; CeilingLeakage &amp; "_" &amp; AtticType,"")</f>
        <v/>
      </c>
      <c r="M13" s="112"/>
      <c r="N13" s="5"/>
    </row>
    <row r="14" spans="1:17">
      <c r="A14" s="263">
        <v>2</v>
      </c>
      <c r="B14" s="276"/>
      <c r="C14" s="264" t="str">
        <f>IF(B14&lt;&gt;"",A14,"")</f>
        <v/>
      </c>
      <c r="E14" s="267">
        <v>11</v>
      </c>
      <c r="F14" s="276"/>
      <c r="G14" s="264" t="str">
        <f t="shared" si="0"/>
        <v/>
      </c>
      <c r="I14" s="281">
        <f>InputFiles!J1</f>
        <v>8</v>
      </c>
      <c r="J14" s="276"/>
      <c r="K14" s="18" t="str">
        <f t="shared" si="1"/>
        <v/>
      </c>
      <c r="L14" s="353" t="str">
        <f>IF(J14&lt;&gt;"",BaseName &amp;"_"&amp; IF(ISNUMBER(I14),I14,LEFT(I14,1)) &amp; "_" &amp; HomeSize &amp; "_" &amp; OccDensity &amp; "_" &amp; Airtightness &amp; "_" &amp; DuctLeakage &amp; "_" &amp; AtticAirtightness &amp; "_" &amp; CeilingLeakage &amp; "_" &amp; AtticType,"")</f>
        <v/>
      </c>
      <c r="M14" s="112"/>
      <c r="N14" s="5"/>
    </row>
    <row r="15" spans="1:17" ht="15" thickBot="1">
      <c r="A15" s="265"/>
      <c r="B15" s="277"/>
      <c r="C15" s="266"/>
      <c r="E15" s="267">
        <v>12</v>
      </c>
      <c r="F15" s="276"/>
      <c r="G15" s="264" t="str">
        <f t="shared" si="0"/>
        <v/>
      </c>
      <c r="I15" s="281">
        <f>InputFiles!K1</f>
        <v>9</v>
      </c>
      <c r="J15" s="276"/>
      <c r="K15" s="18" t="str">
        <f t="shared" si="1"/>
        <v/>
      </c>
      <c r="L15" s="353" t="str">
        <f>IF(J15&lt;&gt;"",BaseName &amp;"_"&amp; IF(ISNUMBER(I15),I15,LEFT(I15,1)) &amp; "_" &amp; HomeSize &amp; "_" &amp; OccDensity &amp; "_" &amp; Airtightness &amp; "_" &amp; DuctLeakage &amp; "_" &amp; AtticAirtightness &amp; "_" &amp; CeilingLeakage &amp; "_" &amp; AtticType,"")</f>
        <v/>
      </c>
      <c r="M15" s="112"/>
      <c r="N15" s="5"/>
    </row>
    <row r="16" spans="1:17" ht="15" thickBot="1">
      <c r="E16" s="267">
        <v>13</v>
      </c>
      <c r="F16" s="276"/>
      <c r="G16" s="264" t="str">
        <f t="shared" si="0"/>
        <v/>
      </c>
      <c r="I16" s="281">
        <f>InputFiles!L1</f>
        <v>10</v>
      </c>
      <c r="J16" s="276" t="s">
        <v>927</v>
      </c>
      <c r="K16" s="18">
        <f t="shared" si="1"/>
        <v>10</v>
      </c>
      <c r="L16" s="353" t="str">
        <f>IF(J16&lt;&gt;"",BaseName &amp;"_"&amp; IF(ISNUMBER(I16),I16,LEFT(I16,1)) &amp; "_" &amp; HomeSize &amp; "_" &amp; OccDensity &amp; "_" &amp; Airtightness &amp; "_" &amp; DuctLeakage &amp; "_" &amp; AtticAirtightness &amp; "_" &amp; CeilingLeakage &amp; "_" &amp; AtticType,"")</f>
        <v>Attics_10_Large_High_5_5_0.2_High_Sealed</v>
      </c>
      <c r="M16" s="112"/>
      <c r="N16" s="5"/>
    </row>
    <row r="17" spans="1:17" ht="15">
      <c r="A17" s="273" t="s">
        <v>801</v>
      </c>
      <c r="B17" s="269"/>
      <c r="C17" s="270">
        <v>1</v>
      </c>
      <c r="E17" s="267">
        <v>14</v>
      </c>
      <c r="F17" s="276"/>
      <c r="G17" s="264" t="str">
        <f t="shared" si="0"/>
        <v/>
      </c>
      <c r="I17" s="281">
        <f>InputFiles!M1</f>
        <v>11</v>
      </c>
      <c r="J17" s="276"/>
      <c r="K17" s="18" t="str">
        <f t="shared" si="1"/>
        <v/>
      </c>
      <c r="L17" s="353" t="str">
        <f>IF(J17&lt;&gt;"",BaseName &amp;"_"&amp; IF(ISNUMBER(I17),I17,LEFT(I17,1)) &amp; "_" &amp; HomeSize &amp; "_" &amp; OccDensity &amp; "_" &amp; Airtightness &amp; "_" &amp; DuctLeakage &amp; "_" &amp; AtticAirtightness &amp; "_" &amp; CeilingLeakage &amp; "_" &amp; AtticType,"")</f>
        <v/>
      </c>
      <c r="M17" s="112"/>
      <c r="N17" s="5"/>
    </row>
    <row r="18" spans="1:17">
      <c r="A18" s="263">
        <v>0</v>
      </c>
      <c r="B18" s="276"/>
      <c r="C18" s="264" t="str">
        <f>IF(B18&lt;&gt;"",A18,"")</f>
        <v/>
      </c>
      <c r="E18" s="267">
        <v>15</v>
      </c>
      <c r="F18" s="276"/>
      <c r="G18" s="264" t="str">
        <f t="shared" si="0"/>
        <v/>
      </c>
      <c r="I18" s="281">
        <f>InputFiles!N1</f>
        <v>12</v>
      </c>
      <c r="J18" s="276" t="s">
        <v>927</v>
      </c>
      <c r="K18" s="18">
        <f t="shared" si="1"/>
        <v>12</v>
      </c>
      <c r="L18" s="353" t="str">
        <f>IF(J18&lt;&gt;"",BaseName &amp;"_"&amp; IF(ISNUMBER(I18),I18,LEFT(I18,1)) &amp; "_" &amp; HomeSize &amp; "_" &amp; OccDensity &amp; "_" &amp; Airtightness &amp; "_" &amp; DuctLeakage &amp; "_" &amp; AtticAirtightness &amp; "_" &amp; CeilingLeakage &amp; "_" &amp; AtticType,"")</f>
        <v>Attics_12_Large_High_5_5_0.2_High_Sealed</v>
      </c>
      <c r="M18" s="112"/>
      <c r="N18" s="5"/>
    </row>
    <row r="19" spans="1:17">
      <c r="A19" s="263">
        <v>0.5</v>
      </c>
      <c r="B19" s="276"/>
      <c r="C19" s="264" t="str">
        <f>IF(B19&lt;&gt;"",A19,"")</f>
        <v/>
      </c>
      <c r="E19" s="267">
        <v>16</v>
      </c>
      <c r="F19" s="276"/>
      <c r="G19" s="264" t="str">
        <f t="shared" si="0"/>
        <v/>
      </c>
      <c r="I19" s="281">
        <f>InputFiles!O1</f>
        <v>13</v>
      </c>
      <c r="J19" s="276" t="s">
        <v>927</v>
      </c>
      <c r="K19" s="18">
        <f t="shared" si="1"/>
        <v>13</v>
      </c>
      <c r="L19" s="353" t="str">
        <f>IF(J19&lt;&gt;"",BaseName &amp;"_"&amp; IF(ISNUMBER(I19),I19,LEFT(I19,1)) &amp; "_" &amp; HomeSize &amp; "_" &amp; OccDensity &amp; "_" &amp; Airtightness &amp; "_" &amp; DuctLeakage &amp; "_" &amp; AtticAirtightness &amp; "_" &amp; CeilingLeakage &amp; "_" &amp; AtticType,"")</f>
        <v>Attics_13_Large_High_5_5_0.2_High_Sealed</v>
      </c>
      <c r="M19" s="112"/>
      <c r="N19" s="5"/>
    </row>
    <row r="20" spans="1:17" ht="15" thickBot="1">
      <c r="A20" s="265">
        <v>1</v>
      </c>
      <c r="B20" s="277" t="s">
        <v>927</v>
      </c>
      <c r="C20" s="271">
        <f>IF(B20&lt;&gt;"",A20,"")</f>
        <v>1</v>
      </c>
      <c r="E20" s="267">
        <v>17</v>
      </c>
      <c r="F20" s="276"/>
      <c r="G20" s="264" t="str">
        <f t="shared" si="0"/>
        <v/>
      </c>
      <c r="I20" s="281">
        <f>InputFiles!P1</f>
        <v>14</v>
      </c>
      <c r="J20" s="276"/>
      <c r="K20" s="18" t="str">
        <f t="shared" si="1"/>
        <v/>
      </c>
      <c r="L20" s="353" t="str">
        <f>IF(J20&lt;&gt;"",BaseName &amp;"_"&amp; IF(ISNUMBER(I20),I20,LEFT(I20,1)) &amp; "_" &amp; HomeSize &amp; "_" &amp; OccDensity &amp; "_" &amp; Airtightness &amp; "_" &amp; DuctLeakage &amp; "_" &amp; AtticAirtightness &amp; "_" &amp; CeilingLeakage &amp; "_" &amp; AtticType,"")</f>
        <v/>
      </c>
      <c r="M20" s="112"/>
      <c r="N20" s="5"/>
    </row>
    <row r="21" spans="1:17" ht="15" thickBot="1">
      <c r="E21" s="267">
        <v>18</v>
      </c>
      <c r="F21" s="276"/>
      <c r="G21" s="264" t="str">
        <f t="shared" si="0"/>
        <v/>
      </c>
      <c r="I21" s="281">
        <f>InputFiles!Q1</f>
        <v>15</v>
      </c>
      <c r="J21" s="276"/>
      <c r="K21" s="18" t="str">
        <f t="shared" si="1"/>
        <v/>
      </c>
      <c r="L21" s="353" t="str">
        <f>IF(J21&lt;&gt;"",BaseName &amp;"_"&amp; IF(ISNUMBER(I21),I21,LEFT(I21,1)) &amp; "_" &amp; HomeSize &amp; "_" &amp; OccDensity &amp; "_" &amp; Airtightness &amp; "_" &amp; DuctLeakage &amp; "_" &amp; AtticAirtightness &amp; "_" &amp; CeilingLeakage &amp; "_" &amp; AtticType,"")</f>
        <v/>
      </c>
      <c r="M21" s="112"/>
      <c r="N21" s="5"/>
    </row>
    <row r="22" spans="1:17" ht="15">
      <c r="A22" s="273" t="s">
        <v>909</v>
      </c>
      <c r="B22" s="269"/>
      <c r="C22" s="270" t="s">
        <v>1073</v>
      </c>
      <c r="E22" s="267">
        <v>19</v>
      </c>
      <c r="F22" s="276"/>
      <c r="G22" s="264" t="str">
        <f t="shared" si="0"/>
        <v/>
      </c>
      <c r="I22" s="281">
        <f>InputFiles!R1</f>
        <v>16</v>
      </c>
      <c r="J22" s="276" t="s">
        <v>927</v>
      </c>
      <c r="K22" s="18">
        <f t="shared" si="1"/>
        <v>16</v>
      </c>
      <c r="L22" s="353" t="str">
        <f>IF(J22&lt;&gt;"",BaseName &amp;"_"&amp; IF(ISNUMBER(I22),I22,LEFT(I22,1)) &amp; "_" &amp; HomeSize &amp; "_" &amp; OccDensity &amp; "_" &amp; Airtightness &amp; "_" &amp; DuctLeakage &amp; "_" &amp; AtticAirtightness &amp; "_" &amp; CeilingLeakage &amp; "_" &amp; AtticType,"")</f>
        <v>Attics_16_Large_High_5_5_0.2_High_Sealed</v>
      </c>
      <c r="M22" s="112"/>
      <c r="N22" s="5"/>
    </row>
    <row r="23" spans="1:17" ht="15" thickBot="1">
      <c r="A23" s="263" t="s">
        <v>783</v>
      </c>
      <c r="B23" s="276" t="s">
        <v>927</v>
      </c>
      <c r="C23" s="264" t="str">
        <f>IF(B23&lt;&gt;"",A23,"")</f>
        <v>new</v>
      </c>
      <c r="E23" s="268">
        <v>20</v>
      </c>
      <c r="F23" s="277"/>
      <c r="G23" s="266" t="str">
        <f t="shared" si="0"/>
        <v/>
      </c>
      <c r="I23" s="282">
        <f>InputFiles!S1</f>
        <v>17</v>
      </c>
      <c r="J23" s="277"/>
      <c r="K23" s="354" t="str">
        <f t="shared" si="1"/>
        <v/>
      </c>
      <c r="L23" s="353" t="str">
        <f>IF(J23&lt;&gt;"",BaseName &amp; IF(ISNUMBER(I23),I23,LEFT(I23,1)) &amp; "_" &amp; HomeSize &amp; "_" &amp; OccDensity &amp; "_" &amp; Airtightness &amp; "_" &amp; DuctLeakage &amp; "_" &amp; AtticAirtightness &amp; "_" &amp; CeilingLeakage &amp; "_" &amp; AtticType,"")</f>
        <v/>
      </c>
      <c r="M23" s="112"/>
      <c r="N23" s="5"/>
    </row>
    <row r="24" spans="1:17" ht="15" thickBot="1">
      <c r="A24" s="263" t="s">
        <v>784</v>
      </c>
      <c r="B24" s="276"/>
      <c r="C24" s="264" t="str">
        <f>IF(B24&lt;&gt;"",A24,"")</f>
        <v/>
      </c>
      <c r="F24" s="112"/>
      <c r="G24" s="5"/>
      <c r="H24" s="12"/>
      <c r="J24" s="112"/>
      <c r="K24" s="2"/>
      <c r="M24" s="112"/>
      <c r="N24" s="5"/>
      <c r="P24" s="112"/>
      <c r="Q24" s="5"/>
    </row>
    <row r="25" spans="1:17" ht="15" thickBot="1">
      <c r="A25" s="265"/>
      <c r="B25" s="277"/>
      <c r="C25" s="271" t="str">
        <f>IF(B25&lt;&gt;"",A25,"")</f>
        <v/>
      </c>
      <c r="F25" s="214"/>
      <c r="I25" s="280" t="s">
        <v>1050</v>
      </c>
      <c r="J25" s="355"/>
      <c r="K25" s="356">
        <f>COUNTA(B3:B5)*COUNTA(B8:B10)*COUNTA(B13:B14)*COUNTA(B18:B20) * COUNTA(B28:B33)*COUNTA(B36:B38)*COUNTA(F3:F23)*COUNTA(J7:J23)*COUNTA(B46:B49)*COUNTA(B52:B54)</f>
        <v>0</v>
      </c>
      <c r="M25" s="214"/>
      <c r="P25" s="214"/>
    </row>
    <row r="26" spans="1:17" ht="15" thickBot="1">
      <c r="F26" s="214"/>
      <c r="J26" s="214"/>
      <c r="M26" s="214"/>
      <c r="P26" s="214"/>
    </row>
    <row r="27" spans="1:17" ht="15">
      <c r="A27" s="273" t="s">
        <v>930</v>
      </c>
      <c r="B27" s="269"/>
      <c r="C27" s="270">
        <v>5</v>
      </c>
      <c r="F27" s="214"/>
      <c r="M27" s="214"/>
      <c r="P27" s="214"/>
    </row>
    <row r="28" spans="1:17">
      <c r="A28" s="263">
        <v>10</v>
      </c>
      <c r="B28" s="283"/>
      <c r="C28" s="264" t="str">
        <f t="shared" ref="C28:C33" si="2">IF(B28&lt;&gt;"",A28,"")</f>
        <v/>
      </c>
      <c r="F28" s="214"/>
      <c r="J28" s="214"/>
      <c r="M28" s="214"/>
      <c r="P28" s="214"/>
    </row>
    <row r="29" spans="1:17">
      <c r="A29" s="263">
        <v>7</v>
      </c>
      <c r="B29" s="284"/>
      <c r="C29" s="264" t="str">
        <f t="shared" si="2"/>
        <v/>
      </c>
      <c r="F29" s="214"/>
      <c r="J29" s="214"/>
      <c r="M29" s="214"/>
      <c r="P29" s="214"/>
    </row>
    <row r="30" spans="1:17">
      <c r="A30" s="263">
        <v>5</v>
      </c>
      <c r="B30" s="284" t="s">
        <v>927</v>
      </c>
      <c r="C30" s="264">
        <f t="shared" si="2"/>
        <v>5</v>
      </c>
      <c r="F30" s="214"/>
      <c r="J30" s="214"/>
      <c r="M30" s="214"/>
      <c r="P30" s="214"/>
    </row>
    <row r="31" spans="1:17">
      <c r="A31" s="263">
        <v>3</v>
      </c>
      <c r="B31" s="284" t="s">
        <v>927</v>
      </c>
      <c r="C31" s="264">
        <f t="shared" si="2"/>
        <v>3</v>
      </c>
      <c r="F31" s="214"/>
      <c r="J31" s="214"/>
      <c r="M31" s="214"/>
      <c r="P31" s="214"/>
    </row>
    <row r="32" spans="1:17">
      <c r="A32" s="263">
        <v>1</v>
      </c>
      <c r="B32" s="284" t="s">
        <v>927</v>
      </c>
      <c r="C32" s="264">
        <f t="shared" si="2"/>
        <v>1</v>
      </c>
      <c r="F32" s="214"/>
      <c r="J32" s="214"/>
      <c r="M32" s="214"/>
      <c r="P32" s="214"/>
    </row>
    <row r="33" spans="1:16" ht="15" thickBot="1">
      <c r="A33" s="265">
        <v>0.6</v>
      </c>
      <c r="B33" s="285"/>
      <c r="C33" s="266" t="str">
        <f t="shared" si="2"/>
        <v/>
      </c>
      <c r="F33" s="214"/>
      <c r="J33" s="214"/>
      <c r="M33" s="214"/>
      <c r="P33" s="214"/>
    </row>
    <row r="34" spans="1:16" ht="15" thickBot="1"/>
    <row r="35" spans="1:16" ht="15">
      <c r="A35" s="273" t="s">
        <v>809</v>
      </c>
      <c r="B35" s="269"/>
      <c r="C35" s="270" t="s">
        <v>1203</v>
      </c>
    </row>
    <row r="36" spans="1:16">
      <c r="A36" s="263" t="s">
        <v>807</v>
      </c>
      <c r="B36" s="276"/>
      <c r="C36" s="264" t="str">
        <f>IF(B36&lt;&gt;"",A36,"")</f>
        <v/>
      </c>
    </row>
    <row r="37" spans="1:16">
      <c r="A37" s="263" t="s">
        <v>808</v>
      </c>
      <c r="B37" s="276"/>
      <c r="C37" s="264" t="str">
        <f>IF(B37&lt;&gt;"",A37,"")</f>
        <v/>
      </c>
    </row>
    <row r="38" spans="1:16" ht="15" thickBot="1">
      <c r="A38" s="265" t="s">
        <v>1203</v>
      </c>
      <c r="B38" s="277" t="s">
        <v>927</v>
      </c>
      <c r="C38" s="266" t="str">
        <f>IF(B38&lt;&gt;"",A38,"")</f>
        <v>Simple Exhaust</v>
      </c>
    </row>
    <row r="39" spans="1:16" ht="15" thickBot="1"/>
    <row r="40" spans="1:16" ht="15">
      <c r="A40" s="273" t="s">
        <v>1072</v>
      </c>
      <c r="B40" s="269"/>
      <c r="C40" s="270" t="s">
        <v>1145</v>
      </c>
    </row>
    <row r="41" spans="1:16">
      <c r="A41" s="263" t="s">
        <v>1053</v>
      </c>
      <c r="B41" s="276"/>
      <c r="C41" s="264" t="str">
        <f>IF(B41&lt;&gt;"",A41,"")</f>
        <v/>
      </c>
    </row>
    <row r="42" spans="1:16">
      <c r="A42" s="263" t="s">
        <v>1145</v>
      </c>
      <c r="B42" s="276" t="s">
        <v>927</v>
      </c>
      <c r="C42" s="264" t="str">
        <f>IF(B42&lt;&gt;"",A42,"")</f>
        <v>No</v>
      </c>
    </row>
    <row r="43" spans="1:16" ht="15" thickBot="1">
      <c r="A43" s="265"/>
      <c r="B43" s="277"/>
      <c r="C43" s="266" t="str">
        <f>IF(B43&lt;&gt;"",A43,"")</f>
        <v/>
      </c>
    </row>
    <row r="44" spans="1:16" ht="15" thickBot="1"/>
    <row r="45" spans="1:16" ht="15">
      <c r="A45" s="273" t="s">
        <v>1198</v>
      </c>
      <c r="B45" s="269"/>
      <c r="C45" s="270" t="s">
        <v>866</v>
      </c>
      <c r="D45" t="str">
        <f>IF(occSchedule="occ_full.txt","Full",IF(occSchedule="occ_1stShift.txt","1st",IF(occSchedule="occ_3rdShift.txt","3rd","1stExt")))</f>
        <v>Full</v>
      </c>
    </row>
    <row r="46" spans="1:16">
      <c r="A46" s="263" t="s">
        <v>866</v>
      </c>
      <c r="B46" s="283" t="s">
        <v>927</v>
      </c>
      <c r="C46" s="264" t="str">
        <f>IF(B46&lt;&gt;"",A46,"")</f>
        <v>occ_full.txt</v>
      </c>
    </row>
    <row r="47" spans="1:16">
      <c r="A47" s="263" t="s">
        <v>1199</v>
      </c>
      <c r="B47" s="284"/>
      <c r="C47" s="264" t="str">
        <f t="shared" ref="C47:C48" si="3">IF(B47&lt;&gt;"",A47,"")</f>
        <v/>
      </c>
    </row>
    <row r="48" spans="1:16">
      <c r="A48" s="263" t="s">
        <v>1200</v>
      </c>
      <c r="B48" s="284"/>
      <c r="C48" s="264" t="str">
        <f t="shared" si="3"/>
        <v/>
      </c>
    </row>
    <row r="49" spans="1:4" s="214" customFormat="1" ht="15" thickBot="1">
      <c r="A49" s="265" t="s">
        <v>1211</v>
      </c>
      <c r="B49" s="285"/>
      <c r="C49" s="266" t="str">
        <f t="shared" ref="C49" si="4">IF(B49&lt;&gt;"",A49,"")</f>
        <v/>
      </c>
    </row>
    <row r="50" spans="1:4" ht="15" thickBot="1">
      <c r="A50" s="18"/>
      <c r="B50" s="423"/>
      <c r="C50" s="18"/>
    </row>
    <row r="51" spans="1:4" ht="15">
      <c r="A51" s="273" t="s">
        <v>1201</v>
      </c>
      <c r="B51" s="269"/>
      <c r="C51" s="270" t="s">
        <v>1456</v>
      </c>
      <c r="D51" t="str">
        <f>IF(fanSchedule="REGCAP_FanSchedule_1stShift.txt", "1st",IF(fanSchedule="REGCAP_FanSchedule_3rdShift.txt","3rd", "1stExt"))</f>
        <v>1st</v>
      </c>
    </row>
    <row r="52" spans="1:4">
      <c r="A52" s="263" t="s">
        <v>1456</v>
      </c>
      <c r="B52" s="283" t="s">
        <v>927</v>
      </c>
      <c r="C52" s="264" t="str">
        <f>IF(B52&lt;&gt;"",A52,"")</f>
        <v>REGCAP_FanSchedule_1stShift.txt</v>
      </c>
    </row>
    <row r="53" spans="1:4">
      <c r="A53" s="523" t="s">
        <v>1210</v>
      </c>
      <c r="B53" s="284"/>
      <c r="C53" s="264" t="str">
        <f>IF(B53&lt;&gt;"",A53,"")</f>
        <v/>
      </c>
    </row>
    <row r="54" spans="1:4" ht="15" thickBot="1">
      <c r="A54" s="18" t="s">
        <v>1212</v>
      </c>
      <c r="B54" s="285"/>
      <c r="C54" s="266" t="str">
        <f>IF(B54&lt;&gt;"",A54,"")</f>
        <v/>
      </c>
    </row>
    <row r="55" spans="1:4" ht="15" thickBot="1"/>
    <row r="56" spans="1:4" ht="15">
      <c r="A56" s="273" t="s">
        <v>1393</v>
      </c>
      <c r="B56" s="269"/>
      <c r="C56" s="270" t="s">
        <v>1398</v>
      </c>
    </row>
    <row r="57" spans="1:4">
      <c r="A57" s="515" t="s">
        <v>1395</v>
      </c>
      <c r="B57" s="214"/>
      <c r="C57" s="516" t="str">
        <f t="shared" ref="C57:C64" si="5">IF(B57&lt;&gt;"",A57,"")</f>
        <v/>
      </c>
    </row>
    <row r="58" spans="1:4">
      <c r="A58" s="517" t="s">
        <v>1396</v>
      </c>
      <c r="B58" s="214"/>
      <c r="C58" s="264" t="str">
        <f t="shared" si="5"/>
        <v/>
      </c>
    </row>
    <row r="59" spans="1:4">
      <c r="A59" s="214" t="s">
        <v>1397</v>
      </c>
      <c r="B59" s="214"/>
      <c r="C59" s="264" t="str">
        <f t="shared" si="5"/>
        <v/>
      </c>
    </row>
    <row r="60" spans="1:4">
      <c r="A60" s="214" t="s">
        <v>1398</v>
      </c>
      <c r="B60" s="214" t="s">
        <v>927</v>
      </c>
      <c r="C60" s="264" t="str">
        <f t="shared" si="5"/>
        <v>2016InfPhi</v>
      </c>
    </row>
    <row r="61" spans="1:4">
      <c r="A61" s="214" t="s">
        <v>1399</v>
      </c>
      <c r="B61" s="214"/>
      <c r="C61" s="518" t="str">
        <f t="shared" si="5"/>
        <v/>
      </c>
    </row>
    <row r="62" spans="1:4">
      <c r="A62" s="214" t="s">
        <v>1400</v>
      </c>
      <c r="B62" s="214"/>
      <c r="C62" s="518" t="str">
        <f t="shared" si="5"/>
        <v/>
      </c>
    </row>
    <row r="63" spans="1:4">
      <c r="A63" s="214" t="s">
        <v>1401</v>
      </c>
      <c r="B63" s="214"/>
      <c r="C63" s="518" t="str">
        <f t="shared" si="5"/>
        <v/>
      </c>
    </row>
    <row r="64" spans="1:4">
      <c r="A64" s="214" t="s">
        <v>1394</v>
      </c>
      <c r="B64" s="214"/>
      <c r="C64" s="518" t="str">
        <f t="shared" si="5"/>
        <v/>
      </c>
    </row>
    <row r="65" spans="1:3" ht="15" thickBot="1">
      <c r="A65" s="214"/>
      <c r="B65" s="214"/>
      <c r="C65" s="214"/>
    </row>
    <row r="66" spans="1:3" ht="15">
      <c r="A66" s="273" t="s">
        <v>1447</v>
      </c>
      <c r="B66" s="269"/>
      <c r="C66" s="270">
        <v>5</v>
      </c>
    </row>
    <row r="67" spans="1:3">
      <c r="A67" s="263">
        <v>2</v>
      </c>
      <c r="B67" s="283" t="s">
        <v>927</v>
      </c>
      <c r="C67" s="264">
        <f>IF(B67&lt;&gt;"",A67,"")</f>
        <v>2</v>
      </c>
    </row>
    <row r="68" spans="1:3">
      <c r="A68" s="263">
        <v>5</v>
      </c>
      <c r="B68" s="284" t="s">
        <v>927</v>
      </c>
      <c r="C68" s="264">
        <f>IF(B68&lt;&gt;"",A68,"")</f>
        <v>5</v>
      </c>
    </row>
    <row r="69" spans="1:3" ht="15" thickBot="1">
      <c r="A69" s="265">
        <v>8</v>
      </c>
      <c r="B69" s="285" t="s">
        <v>927</v>
      </c>
      <c r="C69" s="266">
        <f>IF(B69&lt;&gt;"",A69,"")</f>
        <v>8</v>
      </c>
    </row>
    <row r="70" spans="1:3" ht="15" thickBot="1"/>
    <row r="71" spans="1:3" ht="15">
      <c r="A71" s="273" t="s">
        <v>1465</v>
      </c>
      <c r="B71" s="269"/>
      <c r="C71" s="270">
        <v>0.2</v>
      </c>
    </row>
    <row r="72" spans="1:3">
      <c r="A72" s="263">
        <v>0.2</v>
      </c>
      <c r="B72" s="283" t="s">
        <v>927</v>
      </c>
      <c r="C72" s="264">
        <f t="shared" ref="C72:C77" si="6">IF(B72&lt;&gt;"",A72,"")</f>
        <v>0.2</v>
      </c>
    </row>
    <row r="73" spans="1:3">
      <c r="A73" s="263">
        <v>0.5</v>
      </c>
      <c r="B73" s="284" t="s">
        <v>927</v>
      </c>
      <c r="C73" s="264">
        <f t="shared" si="6"/>
        <v>0.5</v>
      </c>
    </row>
    <row r="74" spans="1:3" ht="15" thickBot="1">
      <c r="A74" s="265">
        <v>0.8</v>
      </c>
      <c r="B74" s="284" t="s">
        <v>927</v>
      </c>
      <c r="C74" s="264">
        <f t="shared" si="6"/>
        <v>0.8</v>
      </c>
    </row>
    <row r="75" spans="1:3">
      <c r="A75" s="263"/>
      <c r="B75" s="284"/>
      <c r="C75" s="264" t="str">
        <f t="shared" si="6"/>
        <v/>
      </c>
    </row>
    <row r="76" spans="1:3">
      <c r="A76" s="263"/>
      <c r="B76" s="284"/>
      <c r="C76" s="264" t="str">
        <f t="shared" si="6"/>
        <v/>
      </c>
    </row>
    <row r="77" spans="1:3" ht="15" thickBot="1">
      <c r="A77" s="265"/>
      <c r="B77" s="285"/>
      <c r="C77" s="266" t="str">
        <f t="shared" si="6"/>
        <v/>
      </c>
    </row>
    <row r="78" spans="1:3" ht="15" thickBot="1"/>
    <row r="79" spans="1:3" ht="15">
      <c r="A79" s="273" t="s">
        <v>1448</v>
      </c>
      <c r="B79" s="269"/>
      <c r="C79" s="270" t="s">
        <v>794</v>
      </c>
    </row>
    <row r="80" spans="1:3">
      <c r="A80" s="263" t="s">
        <v>793</v>
      </c>
      <c r="B80" s="283" t="s">
        <v>927</v>
      </c>
      <c r="C80" s="264" t="str">
        <f>IF(B80&lt;&gt;"",A80,"")</f>
        <v>Low</v>
      </c>
    </row>
    <row r="81" spans="1:3">
      <c r="A81" s="263" t="s">
        <v>792</v>
      </c>
      <c r="B81" s="284" t="s">
        <v>927</v>
      </c>
      <c r="C81" s="264" t="str">
        <f>IF(B81&lt;&gt;"",A81,"")</f>
        <v>Med</v>
      </c>
    </row>
    <row r="82" spans="1:3" ht="15" thickBot="1">
      <c r="A82" s="265" t="s">
        <v>794</v>
      </c>
      <c r="B82" s="285" t="s">
        <v>927</v>
      </c>
      <c r="C82" s="266" t="str">
        <f>IF(B82&lt;&gt;"",A82,"")</f>
        <v>High</v>
      </c>
    </row>
    <row r="83" spans="1:3" ht="15" thickBot="1"/>
    <row r="84" spans="1:3" ht="15">
      <c r="A84" s="273" t="s">
        <v>1452</v>
      </c>
      <c r="B84" s="269"/>
      <c r="C84" s="270" t="s">
        <v>1455</v>
      </c>
    </row>
    <row r="85" spans="1:3">
      <c r="A85" s="263" t="s">
        <v>1453</v>
      </c>
      <c r="B85" s="283" t="s">
        <v>927</v>
      </c>
      <c r="C85" s="264" t="str">
        <f>IF(B85&lt;&gt;"",A85,"")</f>
        <v>Vented</v>
      </c>
    </row>
    <row r="86" spans="1:3">
      <c r="A86" s="263" t="s">
        <v>1454</v>
      </c>
      <c r="B86" s="284" t="s">
        <v>927</v>
      </c>
      <c r="C86" s="264" t="str">
        <f>IF(B86&lt;&gt;"",A86,"")</f>
        <v>HPA</v>
      </c>
    </row>
    <row r="87" spans="1:3" ht="15" thickBot="1">
      <c r="A87" s="265" t="s">
        <v>1455</v>
      </c>
      <c r="B87" s="285" t="s">
        <v>927</v>
      </c>
      <c r="C87" s="266" t="str">
        <f>IF(B87&lt;&gt;"",A87,"")</f>
        <v>Sealed</v>
      </c>
    </row>
  </sheetData>
  <dataValidations count="16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$C$52:$C$54</formula1>
    </dataValidation>
    <dataValidation type="list" allowBlank="1" showInputMessage="1" showErrorMessage="1" sqref="C56">
      <formula1>$C$58:$C$65</formula1>
    </dataValidation>
    <dataValidation type="list" allowBlank="1" showInputMessage="1" showErrorMessage="1" sqref="C66">
      <formula1>$C$67:$C$69</formula1>
    </dataValidation>
    <dataValidation type="list" allowBlank="1" showInputMessage="1" showErrorMessage="1" sqref="C71">
      <formula1>$A$72:$A$74</formula1>
    </dataValidation>
    <dataValidation type="list" allowBlank="1" showInputMessage="1" showErrorMessage="1" sqref="C79">
      <formula1>$C$80:$C$82</formula1>
    </dataValidation>
    <dataValidation type="list" allowBlank="1" showInputMessage="1" showErrorMessage="1" sqref="C84">
      <formula1>$C$85:$C$87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66" activePane="bottomLeft" state="frozen"/>
      <selection pane="bottomLeft" activeCell="C86" sqref="C86"/>
    </sheetView>
  </sheetViews>
  <sheetFormatPr baseColWidth="10" defaultRowHeight="14" x14ac:dyDescent="0"/>
  <cols>
    <col min="1" max="1" width="16.33203125" style="21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14" bestFit="1" customWidth="1"/>
    <col min="13" max="13" width="3.6640625" customWidth="1"/>
    <col min="14" max="14" width="13.1640625" bestFit="1" customWidth="1"/>
    <col min="15" max="15" width="2" style="214" bestFit="1" customWidth="1"/>
    <col min="16" max="16" width="5" customWidth="1"/>
    <col min="18" max="18" width="2" style="214" bestFit="1" customWidth="1"/>
    <col min="20" max="20" width="16.1640625" bestFit="1" customWidth="1"/>
    <col min="21" max="21" width="2" style="21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14" bestFit="1" customWidth="1"/>
  </cols>
  <sheetData>
    <row r="1" spans="1:23" s="214" customFormat="1" ht="25" customHeight="1">
      <c r="A1" s="272" t="s">
        <v>935</v>
      </c>
      <c r="B1" s="214" t="s">
        <v>947</v>
      </c>
      <c r="C1" s="214" t="s">
        <v>472</v>
      </c>
      <c r="D1" s="214" t="s">
        <v>0</v>
      </c>
      <c r="E1" s="214" t="s">
        <v>1</v>
      </c>
      <c r="F1" s="214" t="s">
        <v>2</v>
      </c>
      <c r="G1" s="214" t="s">
        <v>3</v>
      </c>
    </row>
    <row r="2" spans="1:23">
      <c r="A2" s="214" t="s">
        <v>868</v>
      </c>
      <c r="B2" t="s">
        <v>936</v>
      </c>
      <c r="C2" s="310" t="str">
        <f>Weather!B52</f>
        <v>CZ01RV2.epw</v>
      </c>
      <c r="D2" t="s">
        <v>860</v>
      </c>
      <c r="G2" t="s">
        <v>1049</v>
      </c>
      <c r="I2" s="252" t="s">
        <v>1087</v>
      </c>
    </row>
    <row r="3" spans="1:23">
      <c r="B3" s="214" t="s">
        <v>856</v>
      </c>
      <c r="C3" s="309" t="str">
        <f>fanSchedule</f>
        <v>REGCAP_FanSchedule_1stShift.txt</v>
      </c>
      <c r="D3" t="s">
        <v>861</v>
      </c>
      <c r="G3" t="s">
        <v>314</v>
      </c>
      <c r="I3" s="279" t="s">
        <v>1088</v>
      </c>
    </row>
    <row r="4" spans="1:23">
      <c r="B4" s="214" t="s">
        <v>857</v>
      </c>
      <c r="C4" s="279" t="s">
        <v>1457</v>
      </c>
      <c r="D4" t="s">
        <v>862</v>
      </c>
      <c r="G4" t="s">
        <v>11</v>
      </c>
      <c r="I4" s="309" t="s">
        <v>1111</v>
      </c>
    </row>
    <row r="5" spans="1:23">
      <c r="B5" s="214" t="s">
        <v>858</v>
      </c>
      <c r="C5" s="279" t="str">
        <f>occSchedule</f>
        <v>occ_full.txt</v>
      </c>
      <c r="D5" t="s">
        <v>863</v>
      </c>
      <c r="G5" t="s">
        <v>11</v>
      </c>
      <c r="I5" s="310" t="s">
        <v>1089</v>
      </c>
    </row>
    <row r="6" spans="1:23">
      <c r="A6" s="305"/>
      <c r="B6" s="305" t="s">
        <v>859</v>
      </c>
      <c r="C6" s="279" t="s">
        <v>865</v>
      </c>
      <c r="D6" s="305" t="s">
        <v>864</v>
      </c>
      <c r="E6" s="305"/>
      <c r="F6" s="305"/>
      <c r="G6" s="305" t="s">
        <v>11</v>
      </c>
      <c r="W6" s="5"/>
    </row>
    <row r="7" spans="1:23">
      <c r="A7" s="1" t="s">
        <v>867</v>
      </c>
      <c r="B7" t="s">
        <v>1173</v>
      </c>
      <c r="C7" s="525">
        <f>Leakage!B18</f>
        <v>0.10957048751881977</v>
      </c>
      <c r="D7" t="s">
        <v>954</v>
      </c>
      <c r="E7" t="s">
        <v>5</v>
      </c>
      <c r="F7" t="s">
        <v>6</v>
      </c>
      <c r="G7" t="s">
        <v>7</v>
      </c>
      <c r="W7" s="5"/>
    </row>
    <row r="8" spans="1:23">
      <c r="B8" t="s">
        <v>923</v>
      </c>
      <c r="C8" s="311">
        <f>n</f>
        <v>0.67</v>
      </c>
      <c r="D8" t="s">
        <v>9</v>
      </c>
      <c r="E8" t="s">
        <v>10</v>
      </c>
      <c r="G8" t="s">
        <v>7</v>
      </c>
      <c r="W8" s="5"/>
    </row>
    <row r="9" spans="1:23" s="214" customFormat="1">
      <c r="B9" s="214" t="s">
        <v>1168</v>
      </c>
      <c r="C9" s="311">
        <f>VLOOKUP(Stories, InfiltrationModelCoefficients!A3:B5, 2, FALSE)</f>
        <v>0.59</v>
      </c>
      <c r="D9" s="214" t="s">
        <v>1175</v>
      </c>
      <c r="W9" s="222"/>
    </row>
    <row r="10" spans="1:23" s="214" customFormat="1">
      <c r="B10" s="192" t="s">
        <v>1161</v>
      </c>
      <c r="C10" s="311">
        <f>IF(Nflue=0,InfiltrationModelCoefficients!C10,VLOOKUP(Stories,InfiltrationModelCoefficients!A11:C13,3,FALSE))</f>
        <v>0.5</v>
      </c>
      <c r="D10" s="192" t="s">
        <v>1176</v>
      </c>
      <c r="W10" s="222"/>
    </row>
    <row r="11" spans="1:23" s="214" customFormat="1">
      <c r="B11" s="192" t="s">
        <v>1170</v>
      </c>
      <c r="C11" s="311">
        <f>IF(Nflue=0,VLOOKUP(Stories, InfiltrationModelCoefficients!A28:C30,3,FALSE),VLOOKUP(Stories,InfiltrationModelCoefficients!A31:C33,3,FALSE))</f>
        <v>7.8E-2</v>
      </c>
      <c r="D11" s="192" t="s">
        <v>1177</v>
      </c>
      <c r="W11" s="222"/>
    </row>
    <row r="12" spans="1:23" s="214" customFormat="1">
      <c r="B12" s="192" t="s">
        <v>1174</v>
      </c>
      <c r="C12" s="311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0.17</v>
      </c>
      <c r="D12" s="192" t="s">
        <v>1178</v>
      </c>
      <c r="W12" s="222"/>
    </row>
    <row r="13" spans="1:23">
      <c r="B13" t="s">
        <v>922</v>
      </c>
      <c r="C13" s="31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11">
        <f>Leakage!B32</f>
        <v>0.66804505124865787</v>
      </c>
      <c r="D14" t="s">
        <v>428</v>
      </c>
      <c r="E14" t="s">
        <v>17</v>
      </c>
      <c r="F14" t="s">
        <v>16</v>
      </c>
      <c r="G14" t="s">
        <v>7</v>
      </c>
      <c r="W14" s="5"/>
    </row>
    <row r="15" spans="1:23">
      <c r="A15" s="305"/>
      <c r="B15" s="305" t="s">
        <v>18</v>
      </c>
      <c r="C15" s="312">
        <f>Leakage!B33</f>
        <v>4.1351537459736803E-3</v>
      </c>
      <c r="D15" s="305" t="s">
        <v>429</v>
      </c>
      <c r="E15" s="305"/>
      <c r="F15" s="305" t="s">
        <v>16</v>
      </c>
      <c r="G15" s="305" t="s">
        <v>7</v>
      </c>
      <c r="W15" s="5"/>
    </row>
    <row r="16" spans="1:23">
      <c r="A16" s="214" t="s">
        <v>19</v>
      </c>
      <c r="B16" t="s">
        <v>937</v>
      </c>
      <c r="C16" s="395">
        <f>Nflue</f>
        <v>0</v>
      </c>
      <c r="D16" t="s">
        <v>20</v>
      </c>
      <c r="G16" t="s">
        <v>22</v>
      </c>
      <c r="W16" s="5"/>
    </row>
    <row r="17" spans="1:25">
      <c r="B17" t="s">
        <v>1112</v>
      </c>
      <c r="C17" s="396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949</v>
      </c>
      <c r="C18" s="313">
        <f>H_flueSI</f>
        <v>8.6359997236480091</v>
      </c>
      <c r="D18" t="s">
        <v>23</v>
      </c>
      <c r="G18" t="s">
        <v>24</v>
      </c>
      <c r="W18" s="5"/>
    </row>
    <row r="19" spans="1:25">
      <c r="B19" t="s">
        <v>950</v>
      </c>
      <c r="C19" s="320">
        <f>Flue!C11</f>
        <v>-99</v>
      </c>
      <c r="D19" t="s">
        <v>395</v>
      </c>
      <c r="E19" t="s">
        <v>26</v>
      </c>
      <c r="G19" s="214" t="s">
        <v>22</v>
      </c>
      <c r="W19" s="5"/>
    </row>
    <row r="20" spans="1:25">
      <c r="B20" s="214" t="s">
        <v>1113</v>
      </c>
      <c r="C20" s="396">
        <f>Flue!D10</f>
        <v>1.9281086206186945E-2</v>
      </c>
      <c r="E20" t="s">
        <v>477</v>
      </c>
      <c r="G20" t="s">
        <v>22</v>
      </c>
      <c r="W20" s="5"/>
    </row>
    <row r="21" spans="1:25">
      <c r="B21" s="214" t="s">
        <v>952</v>
      </c>
      <c r="C21" s="313">
        <f>H_flueSI</f>
        <v>8.6359997236480091</v>
      </c>
      <c r="D21" t="s">
        <v>23</v>
      </c>
      <c r="G21" t="s">
        <v>24</v>
      </c>
      <c r="W21" s="5"/>
    </row>
    <row r="22" spans="1:25">
      <c r="A22" s="305"/>
      <c r="B22" s="305" t="s">
        <v>953</v>
      </c>
      <c r="C22" s="312">
        <f>Flue!D11</f>
        <v>-99</v>
      </c>
      <c r="D22" s="305" t="s">
        <v>25</v>
      </c>
      <c r="E22" s="305"/>
      <c r="F22" s="305"/>
      <c r="G22" s="305" t="s">
        <v>22</v>
      </c>
      <c r="W22" s="5"/>
    </row>
    <row r="23" spans="1:25">
      <c r="A23" s="214" t="s">
        <v>27</v>
      </c>
      <c r="B23" t="s">
        <v>938</v>
      </c>
      <c r="C23" s="313">
        <f>Leakage!M6</f>
        <v>0.67</v>
      </c>
      <c r="D23" t="s">
        <v>368</v>
      </c>
      <c r="E23" t="s">
        <v>29</v>
      </c>
      <c r="G23" t="s">
        <v>7</v>
      </c>
      <c r="W23" s="5"/>
    </row>
    <row r="24" spans="1:25">
      <c r="B24" t="s">
        <v>939</v>
      </c>
      <c r="C24" s="313">
        <f>C23</f>
        <v>0.67</v>
      </c>
      <c r="D24" t="s">
        <v>369</v>
      </c>
      <c r="G24" t="s">
        <v>7</v>
      </c>
      <c r="W24" s="5"/>
    </row>
    <row r="25" spans="1:25">
      <c r="B25" t="s">
        <v>940</v>
      </c>
      <c r="C25" s="313">
        <f>Leakage!M7</f>
        <v>0.40286271457421147</v>
      </c>
      <c r="D25" t="s">
        <v>370</v>
      </c>
      <c r="G25" t="s">
        <v>7</v>
      </c>
      <c r="W25" s="5"/>
    </row>
    <row r="26" spans="1:25">
      <c r="B26" s="305" t="s">
        <v>941</v>
      </c>
      <c r="C26" s="314">
        <f>C25</f>
        <v>0.40286271457421147</v>
      </c>
      <c r="D26" s="305" t="s">
        <v>371</v>
      </c>
      <c r="E26" s="305"/>
      <c r="F26" s="305"/>
      <c r="G26" s="305" t="s">
        <v>7</v>
      </c>
      <c r="W26" s="5"/>
    </row>
    <row r="27" spans="1:25">
      <c r="B27" t="s">
        <v>942</v>
      </c>
      <c r="C27" s="313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943</v>
      </c>
      <c r="C28" s="313">
        <f>C24</f>
        <v>0.67</v>
      </c>
      <c r="D28" t="s">
        <v>35</v>
      </c>
      <c r="G28" t="s">
        <v>7</v>
      </c>
      <c r="W28" s="5"/>
      <c r="Y28" s="112"/>
    </row>
    <row r="29" spans="1:25">
      <c r="B29" t="s">
        <v>944</v>
      </c>
      <c r="C29" s="313">
        <f>C25</f>
        <v>0.40286271457421147</v>
      </c>
      <c r="D29" t="s">
        <v>36</v>
      </c>
      <c r="G29" t="s">
        <v>7</v>
      </c>
    </row>
    <row r="30" spans="1:25">
      <c r="B30" s="305" t="s">
        <v>945</v>
      </c>
      <c r="C30" s="314">
        <f>C26</f>
        <v>0.40286271457421147</v>
      </c>
      <c r="D30" s="305" t="s">
        <v>960</v>
      </c>
      <c r="E30" s="305"/>
      <c r="F30" s="305"/>
      <c r="G30" s="305" t="s">
        <v>7</v>
      </c>
    </row>
    <row r="31" spans="1:25">
      <c r="B31" t="s">
        <v>946</v>
      </c>
      <c r="C31" s="306">
        <v>1</v>
      </c>
      <c r="D31" t="s">
        <v>37</v>
      </c>
      <c r="G31" t="s">
        <v>11</v>
      </c>
    </row>
    <row r="32" spans="1:25">
      <c r="A32" s="305"/>
      <c r="B32" s="305" t="s">
        <v>955</v>
      </c>
      <c r="C32" s="301">
        <v>0</v>
      </c>
      <c r="D32" s="305" t="s">
        <v>38</v>
      </c>
      <c r="E32" s="305" t="s">
        <v>39</v>
      </c>
      <c r="F32" s="305"/>
      <c r="G32" s="305" t="s">
        <v>11</v>
      </c>
    </row>
    <row r="33" spans="1:7">
      <c r="A33" s="214" t="s">
        <v>1043</v>
      </c>
      <c r="B33" t="s">
        <v>379</v>
      </c>
      <c r="C33" s="311">
        <f>Geometry!D12</f>
        <v>18.579999999999998</v>
      </c>
      <c r="D33" t="s">
        <v>40</v>
      </c>
      <c r="G33" t="s">
        <v>14</v>
      </c>
    </row>
    <row r="34" spans="1:7">
      <c r="B34" t="s">
        <v>956</v>
      </c>
      <c r="C34" s="301" t="s">
        <v>15</v>
      </c>
      <c r="D34" t="s">
        <v>1086</v>
      </c>
      <c r="G34" t="s">
        <v>11</v>
      </c>
    </row>
    <row r="35" spans="1:7">
      <c r="B35" t="s">
        <v>957</v>
      </c>
      <c r="C35" s="315">
        <f>V_houseSI</f>
        <v>729.1581126273195</v>
      </c>
      <c r="D35" t="s">
        <v>41</v>
      </c>
      <c r="G35" t="s">
        <v>14</v>
      </c>
    </row>
    <row r="36" spans="1:7">
      <c r="B36" t="s">
        <v>958</v>
      </c>
      <c r="C36" s="315">
        <f>A_houseSI</f>
        <v>250.82999999999998</v>
      </c>
      <c r="D36" t="s">
        <v>42</v>
      </c>
      <c r="E36" t="s">
        <v>961</v>
      </c>
      <c r="F36" t="s">
        <v>43</v>
      </c>
      <c r="G36" t="s">
        <v>14</v>
      </c>
    </row>
    <row r="37" spans="1:7">
      <c r="B37" t="s">
        <v>959</v>
      </c>
      <c r="C37" s="315">
        <f>planareaSI</f>
        <v>116.125</v>
      </c>
      <c r="D37" t="s">
        <v>378</v>
      </c>
      <c r="G37" t="s">
        <v>14</v>
      </c>
    </row>
    <row r="38" spans="1:7">
      <c r="B38" t="s">
        <v>869</v>
      </c>
      <c r="C38" s="315">
        <f>Geometry!D13</f>
        <v>0.30479999024640031</v>
      </c>
      <c r="D38" t="s">
        <v>870</v>
      </c>
      <c r="G38" s="214" t="s">
        <v>14</v>
      </c>
    </row>
    <row r="39" spans="1:7">
      <c r="B39" t="s">
        <v>962</v>
      </c>
      <c r="C39" s="316">
        <f>UA!AC12</f>
        <v>39.409521141560006</v>
      </c>
      <c r="D39" t="s">
        <v>906</v>
      </c>
      <c r="E39" t="s">
        <v>967</v>
      </c>
      <c r="F39" t="s">
        <v>44</v>
      </c>
      <c r="G39" t="s">
        <v>45</v>
      </c>
    </row>
    <row r="40" spans="1:7">
      <c r="B40" t="s">
        <v>963</v>
      </c>
      <c r="C40" s="316">
        <f>UA!AC14</f>
        <v>69.829677765450313</v>
      </c>
      <c r="D40" t="s">
        <v>907</v>
      </c>
      <c r="E40" t="s">
        <v>968</v>
      </c>
      <c r="F40" t="s">
        <v>44</v>
      </c>
      <c r="G40" t="s">
        <v>45</v>
      </c>
    </row>
    <row r="41" spans="1:7">
      <c r="A41" s="305"/>
      <c r="B41" s="305" t="s">
        <v>964</v>
      </c>
      <c r="C41" s="317">
        <f>UA!AC13</f>
        <v>91.154431295999998</v>
      </c>
      <c r="D41" s="305" t="s">
        <v>908</v>
      </c>
      <c r="E41" s="305" t="s">
        <v>969</v>
      </c>
      <c r="F41" s="305"/>
      <c r="G41" s="305" t="s">
        <v>45</v>
      </c>
    </row>
    <row r="42" spans="1:7">
      <c r="A42" s="214" t="s">
        <v>46</v>
      </c>
      <c r="B42" t="s">
        <v>965</v>
      </c>
      <c r="C42" s="306">
        <v>0</v>
      </c>
      <c r="D42" t="s">
        <v>47</v>
      </c>
      <c r="G42" t="s">
        <v>11</v>
      </c>
    </row>
    <row r="43" spans="1:7">
      <c r="B43" t="s">
        <v>871</v>
      </c>
      <c r="C43" s="301">
        <v>0</v>
      </c>
    </row>
    <row r="44" spans="1:7">
      <c r="B44" t="s">
        <v>872</v>
      </c>
      <c r="C44" s="301">
        <v>0</v>
      </c>
    </row>
    <row r="45" spans="1:7">
      <c r="B45" t="s">
        <v>873</v>
      </c>
      <c r="C45" s="301">
        <v>0</v>
      </c>
    </row>
    <row r="46" spans="1:7">
      <c r="B46" t="s">
        <v>874</v>
      </c>
      <c r="C46" s="301">
        <v>0</v>
      </c>
    </row>
    <row r="47" spans="1:7">
      <c r="A47" s="305"/>
      <c r="B47" s="305" t="s">
        <v>875</v>
      </c>
      <c r="C47" s="301">
        <v>0</v>
      </c>
      <c r="D47" s="305"/>
      <c r="E47" s="305"/>
      <c r="F47" s="305"/>
      <c r="G47" s="305"/>
    </row>
    <row r="48" spans="1:7">
      <c r="A48" s="214" t="s">
        <v>48</v>
      </c>
      <c r="B48" t="s">
        <v>966</v>
      </c>
      <c r="C48" s="306">
        <v>6</v>
      </c>
      <c r="D48" t="s">
        <v>49</v>
      </c>
      <c r="G48" t="s">
        <v>11</v>
      </c>
    </row>
    <row r="49" spans="2:7">
      <c r="B49" t="s">
        <v>972</v>
      </c>
      <c r="C49" s="318">
        <f>Fans!B12</f>
        <v>14.078496687374331</v>
      </c>
      <c r="D49" t="s">
        <v>613</v>
      </c>
      <c r="G49" t="s">
        <v>50</v>
      </c>
    </row>
    <row r="50" spans="2:7">
      <c r="B50" t="s">
        <v>970</v>
      </c>
      <c r="C50" s="325">
        <f>Fans!B13</f>
        <v>-3.2282725722023231E-2</v>
      </c>
      <c r="D50" t="s">
        <v>51</v>
      </c>
      <c r="G50" t="s">
        <v>50</v>
      </c>
    </row>
    <row r="51" spans="2:7">
      <c r="B51" s="305" t="s">
        <v>971</v>
      </c>
      <c r="C51" s="399">
        <f>Fans!B14</f>
        <v>1</v>
      </c>
      <c r="D51" s="305" t="s">
        <v>614</v>
      </c>
      <c r="E51" s="305"/>
      <c r="F51" s="305" t="s">
        <v>52</v>
      </c>
      <c r="G51" s="305" t="s">
        <v>50</v>
      </c>
    </row>
    <row r="52" spans="2:7">
      <c r="B52" s="214" t="s">
        <v>973</v>
      </c>
      <c r="C52" s="311">
        <f>Fans!I54</f>
        <v>0</v>
      </c>
      <c r="D52" t="s">
        <v>615</v>
      </c>
      <c r="G52" t="s">
        <v>50</v>
      </c>
    </row>
    <row r="53" spans="2:7">
      <c r="B53" s="214" t="s">
        <v>974</v>
      </c>
      <c r="C53" s="319">
        <f>Fans!C54</f>
        <v>-7.0788107597923547E-2</v>
      </c>
      <c r="D53" t="s">
        <v>53</v>
      </c>
      <c r="G53" t="s">
        <v>50</v>
      </c>
    </row>
    <row r="54" spans="2:7">
      <c r="B54" s="305" t="s">
        <v>975</v>
      </c>
      <c r="C54" s="301">
        <v>23</v>
      </c>
      <c r="D54" s="305" t="s">
        <v>616</v>
      </c>
      <c r="E54" s="305"/>
      <c r="F54" s="305"/>
      <c r="G54" s="305"/>
    </row>
    <row r="55" spans="2:7">
      <c r="B55" s="214" t="s">
        <v>976</v>
      </c>
      <c r="C55" s="320">
        <f>Fans!I52</f>
        <v>37.200000000000003</v>
      </c>
      <c r="D55" t="s">
        <v>617</v>
      </c>
      <c r="G55" t="s">
        <v>50</v>
      </c>
    </row>
    <row r="56" spans="2:7">
      <c r="B56" s="214" t="s">
        <v>977</v>
      </c>
      <c r="C56" s="319">
        <f>Fans!C52</f>
        <v>-4.7192071731949031E-2</v>
      </c>
      <c r="D56" t="s">
        <v>54</v>
      </c>
      <c r="G56" t="s">
        <v>50</v>
      </c>
    </row>
    <row r="57" spans="2:7">
      <c r="B57" s="305" t="s">
        <v>978</v>
      </c>
      <c r="C57" s="301">
        <v>24</v>
      </c>
      <c r="D57" s="305" t="s">
        <v>618</v>
      </c>
      <c r="E57" s="305"/>
      <c r="F57" s="305"/>
      <c r="G57" s="305"/>
    </row>
    <row r="58" spans="2:7">
      <c r="B58" s="214" t="s">
        <v>979</v>
      </c>
      <c r="C58" s="311">
        <f>IF(Fans!B6&gt;0,Fans!I51,0)</f>
        <v>10.199999999999999</v>
      </c>
      <c r="D58" t="s">
        <v>619</v>
      </c>
      <c r="G58" t="s">
        <v>50</v>
      </c>
    </row>
    <row r="59" spans="2:7">
      <c r="B59" s="214" t="s">
        <v>980</v>
      </c>
      <c r="C59" s="319">
        <f>IF(Fans!B6&gt;0,Fans!C51,0)</f>
        <v>-2.3596035865974516E-2</v>
      </c>
      <c r="D59" t="s">
        <v>56</v>
      </c>
      <c r="G59" t="s">
        <v>50</v>
      </c>
    </row>
    <row r="60" spans="2:7">
      <c r="B60" s="305" t="s">
        <v>981</v>
      </c>
      <c r="C60" s="301">
        <v>25</v>
      </c>
      <c r="D60" s="305" t="s">
        <v>620</v>
      </c>
      <c r="E60" s="305"/>
      <c r="F60" s="305"/>
      <c r="G60" s="305"/>
    </row>
    <row r="61" spans="2:7">
      <c r="B61" s="214" t="s">
        <v>982</v>
      </c>
      <c r="C61" s="311">
        <f>IF(Fans!B6&gt;1,Fans!I51,0)</f>
        <v>10.199999999999999</v>
      </c>
      <c r="D61" t="s">
        <v>498</v>
      </c>
      <c r="G61" s="214" t="s">
        <v>50</v>
      </c>
    </row>
    <row r="62" spans="2:7">
      <c r="B62" s="214" t="s">
        <v>983</v>
      </c>
      <c r="C62" s="319">
        <f>IF(Fans!B6&gt;1,Fans!C51,0)</f>
        <v>-2.3596035865974516E-2</v>
      </c>
      <c r="D62" t="s">
        <v>496</v>
      </c>
      <c r="G62" s="214" t="s">
        <v>50</v>
      </c>
    </row>
    <row r="63" spans="2:7">
      <c r="B63" s="305" t="s">
        <v>984</v>
      </c>
      <c r="C63" s="301">
        <v>26</v>
      </c>
      <c r="D63" s="305" t="s">
        <v>621</v>
      </c>
      <c r="E63" s="305"/>
      <c r="F63" s="305"/>
      <c r="G63" s="305"/>
    </row>
    <row r="64" spans="2:7">
      <c r="B64" s="214" t="s">
        <v>985</v>
      </c>
      <c r="C64" s="311">
        <f>IF(Fans!B6&gt;2,Fans!I51,0)</f>
        <v>10.199999999999999</v>
      </c>
      <c r="D64" t="s">
        <v>622</v>
      </c>
      <c r="G64" s="214" t="s">
        <v>50</v>
      </c>
    </row>
    <row r="65" spans="1:7">
      <c r="B65" s="214" t="s">
        <v>986</v>
      </c>
      <c r="C65" s="319">
        <f>IF(Fans!B6&gt;2,Fans!C51,0)</f>
        <v>-2.3596035865974516E-2</v>
      </c>
      <c r="D65" t="s">
        <v>497</v>
      </c>
      <c r="G65" s="214" t="s">
        <v>50</v>
      </c>
    </row>
    <row r="66" spans="1:7">
      <c r="B66" s="305" t="s">
        <v>987</v>
      </c>
      <c r="C66" s="301">
        <v>26</v>
      </c>
      <c r="D66" s="305" t="s">
        <v>623</v>
      </c>
      <c r="E66" s="305"/>
      <c r="F66" s="305"/>
      <c r="G66" s="305"/>
    </row>
    <row r="67" spans="1:7">
      <c r="B67" s="214" t="s">
        <v>988</v>
      </c>
      <c r="C67" s="308">
        <v>0</v>
      </c>
      <c r="D67" t="s">
        <v>1048</v>
      </c>
      <c r="G67" s="214"/>
    </row>
    <row r="68" spans="1:7">
      <c r="B68" s="214" t="s">
        <v>989</v>
      </c>
      <c r="C68" s="302">
        <v>0</v>
      </c>
      <c r="D68" t="s">
        <v>497</v>
      </c>
      <c r="G68" s="214"/>
    </row>
    <row r="69" spans="1:7">
      <c r="B69" s="305" t="s">
        <v>990</v>
      </c>
      <c r="C69" s="301">
        <v>0</v>
      </c>
      <c r="D69" s="305" t="s">
        <v>499</v>
      </c>
      <c r="E69" s="305"/>
      <c r="F69" s="305"/>
      <c r="G69" s="305"/>
    </row>
    <row r="70" spans="1:7">
      <c r="B70" s="214" t="s">
        <v>991</v>
      </c>
      <c r="C70" s="308">
        <v>0</v>
      </c>
      <c r="D70" t="s">
        <v>1047</v>
      </c>
      <c r="G70" s="214"/>
    </row>
    <row r="71" spans="1:7">
      <c r="B71" s="214" t="s">
        <v>992</v>
      </c>
      <c r="C71" s="302">
        <v>0</v>
      </c>
      <c r="D71" t="s">
        <v>497</v>
      </c>
      <c r="G71" s="214"/>
    </row>
    <row r="72" spans="1:7">
      <c r="A72" s="305"/>
      <c r="B72" s="305" t="s">
        <v>993</v>
      </c>
      <c r="C72" s="301">
        <v>0</v>
      </c>
      <c r="D72" s="305" t="s">
        <v>499</v>
      </c>
      <c r="E72" s="305"/>
      <c r="F72" s="305"/>
      <c r="G72" s="305"/>
    </row>
    <row r="73" spans="1:7">
      <c r="A73" s="214" t="s">
        <v>57</v>
      </c>
      <c r="B73" t="s">
        <v>380</v>
      </c>
      <c r="C73" s="313">
        <f>A_windowSI*SUM(Geometry!D45:D46)</f>
        <v>18.415367088607596</v>
      </c>
      <c r="D73" t="s">
        <v>58</v>
      </c>
      <c r="E73" t="s">
        <v>59</v>
      </c>
      <c r="G73" t="s">
        <v>14</v>
      </c>
    </row>
    <row r="74" spans="1:7">
      <c r="B74" t="s">
        <v>381</v>
      </c>
      <c r="C74" s="313">
        <f>A_windowSI*Geometry!D43</f>
        <v>15.875316455696202</v>
      </c>
      <c r="D74" t="s">
        <v>60</v>
      </c>
      <c r="E74" t="s">
        <v>61</v>
      </c>
      <c r="G74" t="s">
        <v>14</v>
      </c>
    </row>
    <row r="75" spans="1:7">
      <c r="B75" t="s">
        <v>382</v>
      </c>
      <c r="C75" s="313">
        <f>A_windowSI*Geometry!D44</f>
        <v>15.875316455696202</v>
      </c>
      <c r="D75" t="s">
        <v>473</v>
      </c>
      <c r="E75" t="s">
        <v>62</v>
      </c>
      <c r="G75" t="s">
        <v>14</v>
      </c>
    </row>
    <row r="76" spans="1:7">
      <c r="B76" t="s">
        <v>994</v>
      </c>
      <c r="C76" s="323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1309</v>
      </c>
      <c r="C77" s="324">
        <f>IF(AtticType="Sealed",1.7/RvalConv,UA!AC18)</f>
        <v>0.29938537942694116</v>
      </c>
      <c r="D77" t="s">
        <v>1316</v>
      </c>
      <c r="F77" t="s">
        <v>64</v>
      </c>
      <c r="G77" t="s">
        <v>45</v>
      </c>
    </row>
    <row r="78" spans="1:7">
      <c r="B78" t="s">
        <v>995</v>
      </c>
      <c r="C78" s="321">
        <f>'Internal gains'!D12</f>
        <v>1.3657407407407409E-4</v>
      </c>
      <c r="D78" t="s">
        <v>65</v>
      </c>
      <c r="G78" t="s">
        <v>66</v>
      </c>
    </row>
    <row r="79" spans="1:7">
      <c r="A79" s="305"/>
      <c r="B79" s="305" t="s">
        <v>996</v>
      </c>
      <c r="C79" s="322">
        <f>'Internal gains'!D6</f>
        <v>1002.4057248925362</v>
      </c>
      <c r="D79" s="305" t="s">
        <v>67</v>
      </c>
      <c r="E79" s="305"/>
      <c r="F79" s="305"/>
      <c r="G79" s="305" t="s">
        <v>66</v>
      </c>
    </row>
    <row r="80" spans="1:7">
      <c r="A80" s="214" t="s">
        <v>68</v>
      </c>
      <c r="B80" t="s">
        <v>997</v>
      </c>
      <c r="C80" s="315">
        <f>V_atticSI</f>
        <v>171.07534452558892</v>
      </c>
      <c r="D80" t="s">
        <v>474</v>
      </c>
      <c r="G80" s="214" t="s">
        <v>14</v>
      </c>
    </row>
    <row r="81" spans="1:7">
      <c r="B81" t="s">
        <v>998</v>
      </c>
      <c r="C81" s="321">
        <f>IF(AtticType="Sealed", Leakage!B22, C_Attic)</f>
        <v>1.8186232784484689E-2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05" t="s">
        <v>999</v>
      </c>
      <c r="C82" s="314">
        <f>n</f>
        <v>0.67</v>
      </c>
      <c r="D82" s="305" t="s">
        <v>73</v>
      </c>
      <c r="E82" s="305" t="s">
        <v>74</v>
      </c>
      <c r="F82" s="305" t="s">
        <v>71</v>
      </c>
      <c r="G82" s="305" t="s">
        <v>72</v>
      </c>
    </row>
    <row r="83" spans="1:7">
      <c r="B83" t="s">
        <v>1000</v>
      </c>
      <c r="C83" s="311">
        <f>Attic!D18</f>
        <v>0.2848101265822785</v>
      </c>
      <c r="D83" t="s">
        <v>76</v>
      </c>
      <c r="E83" t="s">
        <v>28</v>
      </c>
      <c r="G83" t="s">
        <v>72</v>
      </c>
    </row>
    <row r="84" spans="1:7">
      <c r="B84" t="s">
        <v>1001</v>
      </c>
      <c r="C84" s="311">
        <f>Attic!D19</f>
        <v>0.2848101265822785</v>
      </c>
      <c r="D84" t="s">
        <v>77</v>
      </c>
      <c r="E84" t="s">
        <v>30</v>
      </c>
      <c r="G84" t="s">
        <v>72</v>
      </c>
    </row>
    <row r="85" spans="1:7">
      <c r="B85" t="s">
        <v>1002</v>
      </c>
      <c r="C85" s="311">
        <f>Attic!D20</f>
        <v>0.16518987341772157</v>
      </c>
      <c r="D85" t="s">
        <v>78</v>
      </c>
      <c r="E85" t="s">
        <v>31</v>
      </c>
      <c r="G85" t="s">
        <v>72</v>
      </c>
    </row>
    <row r="86" spans="1:7">
      <c r="B86" t="s">
        <v>1003</v>
      </c>
      <c r="C86" s="311">
        <f>Attic!D21</f>
        <v>0.16518987341772157</v>
      </c>
      <c r="D86" t="s">
        <v>79</v>
      </c>
      <c r="E86" t="s">
        <v>32</v>
      </c>
      <c r="G86" t="s">
        <v>72</v>
      </c>
    </row>
    <row r="87" spans="1:7">
      <c r="B87" s="305" t="s">
        <v>1004</v>
      </c>
      <c r="C87" s="311">
        <f>Attic!D22</f>
        <v>0.1</v>
      </c>
      <c r="D87" s="305" t="s">
        <v>80</v>
      </c>
      <c r="E87" s="305"/>
      <c r="F87" s="305"/>
      <c r="G87" s="305" t="s">
        <v>72</v>
      </c>
    </row>
    <row r="88" spans="1:7">
      <c r="B88" t="s">
        <v>1005</v>
      </c>
      <c r="C88" s="311">
        <f>H_soffitSI</f>
        <v>6.095999804928006</v>
      </c>
      <c r="D88" t="s">
        <v>81</v>
      </c>
      <c r="G88" t="s">
        <v>14</v>
      </c>
    </row>
    <row r="89" spans="1:7">
      <c r="B89" t="s">
        <v>1006</v>
      </c>
      <c r="C89" s="311">
        <f>H_soffitSI</f>
        <v>6.095999804928006</v>
      </c>
      <c r="D89" t="s">
        <v>82</v>
      </c>
      <c r="G89" t="s">
        <v>14</v>
      </c>
    </row>
    <row r="90" spans="1:7">
      <c r="B90" t="s">
        <v>1007</v>
      </c>
      <c r="C90" s="311">
        <f>H_soffitSI</f>
        <v>6.095999804928006</v>
      </c>
      <c r="D90" t="s">
        <v>83</v>
      </c>
      <c r="G90" t="s">
        <v>14</v>
      </c>
    </row>
    <row r="91" spans="1:7">
      <c r="A91" s="305"/>
      <c r="B91" s="305" t="s">
        <v>1008</v>
      </c>
      <c r="C91" s="312">
        <f>H_soffitSI</f>
        <v>6.095999804928006</v>
      </c>
      <c r="D91" s="305" t="s">
        <v>84</v>
      </c>
      <c r="E91" s="305"/>
      <c r="F91" s="305"/>
      <c r="G91" s="305" t="s">
        <v>14</v>
      </c>
    </row>
    <row r="92" spans="1:7">
      <c r="A92" s="214" t="s">
        <v>85</v>
      </c>
      <c r="B92" t="s">
        <v>1009</v>
      </c>
      <c r="C92" s="306">
        <f>IF(AtticType="Sealed",0,2)</f>
        <v>0</v>
      </c>
      <c r="D92" t="s">
        <v>86</v>
      </c>
      <c r="G92" t="s">
        <v>11</v>
      </c>
    </row>
    <row r="93" spans="1:7">
      <c r="B93" t="s">
        <v>1115</v>
      </c>
      <c r="C93" s="301">
        <v>1</v>
      </c>
      <c r="D93" t="s">
        <v>87</v>
      </c>
      <c r="G93" t="s">
        <v>72</v>
      </c>
    </row>
    <row r="94" spans="1:7">
      <c r="B94" t="s">
        <v>1116</v>
      </c>
      <c r="C94" s="313">
        <f>H_attic.ventSI</f>
        <v>7.3659997642880075</v>
      </c>
      <c r="D94" t="s">
        <v>88</v>
      </c>
      <c r="G94" s="214" t="s">
        <v>14</v>
      </c>
    </row>
    <row r="95" spans="1:7">
      <c r="B95" t="s">
        <v>1117</v>
      </c>
      <c r="C95" s="313">
        <f>IF(Navent=0,0,Attic!D10/Navent)</f>
        <v>0</v>
      </c>
      <c r="D95" t="s">
        <v>89</v>
      </c>
      <c r="G95" t="s">
        <v>72</v>
      </c>
    </row>
    <row r="96" spans="1:7">
      <c r="B96" s="305" t="s">
        <v>1118</v>
      </c>
      <c r="C96" s="301">
        <v>0.5</v>
      </c>
      <c r="D96" s="305" t="s">
        <v>90</v>
      </c>
      <c r="E96" s="305"/>
      <c r="F96" s="305"/>
      <c r="G96" s="305" t="s">
        <v>11</v>
      </c>
    </row>
    <row r="97" spans="1:7">
      <c r="B97" s="214" t="s">
        <v>1119</v>
      </c>
      <c r="C97" s="306">
        <v>3</v>
      </c>
      <c r="D97" t="s">
        <v>87</v>
      </c>
      <c r="G97" t="s">
        <v>11</v>
      </c>
    </row>
    <row r="98" spans="1:7">
      <c r="B98" s="214" t="s">
        <v>1120</v>
      </c>
      <c r="C98" s="313">
        <f>H_attic.ventSI</f>
        <v>7.3659997642880075</v>
      </c>
      <c r="D98" t="s">
        <v>88</v>
      </c>
      <c r="G98" s="214" t="s">
        <v>14</v>
      </c>
    </row>
    <row r="99" spans="1:7">
      <c r="B99" s="214" t="s">
        <v>1121</v>
      </c>
      <c r="C99" s="313">
        <f>IF(Navent=0,0,Attic!D10/Navent)</f>
        <v>0</v>
      </c>
      <c r="D99" t="s">
        <v>89</v>
      </c>
      <c r="G99" t="s">
        <v>72</v>
      </c>
    </row>
    <row r="100" spans="1:7">
      <c r="A100" s="305"/>
      <c r="B100" s="305" t="s">
        <v>1122</v>
      </c>
      <c r="C100" s="301">
        <v>0.5</v>
      </c>
      <c r="D100" s="305" t="s">
        <v>90</v>
      </c>
      <c r="E100" s="305"/>
      <c r="F100" s="305"/>
      <c r="G100" s="305" t="s">
        <v>11</v>
      </c>
    </row>
    <row r="101" spans="1:7">
      <c r="A101" s="214" t="s">
        <v>148</v>
      </c>
      <c r="B101" t="s">
        <v>1010</v>
      </c>
      <c r="C101" s="313">
        <f>Geometry!D32</f>
        <v>18.43494882292201</v>
      </c>
      <c r="D101" s="73" t="s">
        <v>91</v>
      </c>
      <c r="E101" s="215" t="s">
        <v>92</v>
      </c>
      <c r="F101" s="222"/>
      <c r="G101" s="3" t="s">
        <v>14</v>
      </c>
    </row>
    <row r="102" spans="1:7">
      <c r="B102" t="s">
        <v>1011</v>
      </c>
      <c r="C102" s="301" t="s">
        <v>93</v>
      </c>
      <c r="D102" s="222" t="s">
        <v>94</v>
      </c>
      <c r="E102" s="222"/>
      <c r="F102" s="222"/>
      <c r="G102" s="3" t="s">
        <v>11</v>
      </c>
    </row>
    <row r="103" spans="1:7">
      <c r="B103" t="s">
        <v>1012</v>
      </c>
      <c r="C103" s="315">
        <f>H_peak</f>
        <v>8.6359997236480091</v>
      </c>
      <c r="D103" s="222" t="s">
        <v>389</v>
      </c>
      <c r="E103" s="222"/>
      <c r="F103" s="222"/>
      <c r="G103" s="3" t="s">
        <v>14</v>
      </c>
    </row>
    <row r="104" spans="1:7">
      <c r="B104" t="s">
        <v>1013</v>
      </c>
      <c r="C104" s="301">
        <v>0</v>
      </c>
      <c r="D104" s="222" t="s">
        <v>95</v>
      </c>
      <c r="E104" s="222"/>
      <c r="F104" s="222"/>
      <c r="G104" s="3" t="s">
        <v>11</v>
      </c>
    </row>
    <row r="105" spans="1:7">
      <c r="B105" t="s">
        <v>1014</v>
      </c>
    </row>
    <row r="106" spans="1:7">
      <c r="B106" t="s">
        <v>1015</v>
      </c>
    </row>
    <row r="107" spans="1:7">
      <c r="B107" t="s">
        <v>1016</v>
      </c>
    </row>
    <row r="108" spans="1:7">
      <c r="B108" t="s">
        <v>1311</v>
      </c>
      <c r="C108" s="301">
        <f>IF(AtticType="Vented", UA!AC30,IF(AtticType="HPA", UA!AC26,UA!AC18))</f>
        <v>7.0443618688692036</v>
      </c>
      <c r="D108" s="222" t="s">
        <v>1319</v>
      </c>
      <c r="E108" s="222"/>
      <c r="F108" s="222"/>
      <c r="G108" s="3" t="s">
        <v>11</v>
      </c>
    </row>
    <row r="109" spans="1:7" s="214" customFormat="1">
      <c r="B109" s="214" t="s">
        <v>1317</v>
      </c>
      <c r="C109" s="301">
        <f>C108/(3.5*39.3701/RvalConv)</f>
        <v>0.29028555753151319</v>
      </c>
      <c r="D109" s="214" t="s">
        <v>1318</v>
      </c>
      <c r="E109" s="222"/>
      <c r="F109" s="222"/>
      <c r="G109" s="3"/>
    </row>
    <row r="110" spans="1:7" s="214" customFormat="1">
      <c r="B110" s="214" t="s">
        <v>1310</v>
      </c>
      <c r="C110" s="301">
        <v>0</v>
      </c>
      <c r="D110" s="222" t="s">
        <v>1315</v>
      </c>
      <c r="E110" s="222"/>
      <c r="F110" s="222"/>
      <c r="G110" s="3"/>
    </row>
    <row r="111" spans="1:7" s="214" customFormat="1">
      <c r="B111" s="192" t="s">
        <v>1312</v>
      </c>
      <c r="C111" s="301">
        <f>IF(AtticType="Sealed", UA!AC6/RvalConv, 0.5)</f>
        <v>3.4531185631711785</v>
      </c>
      <c r="D111" s="222" t="s">
        <v>1313</v>
      </c>
      <c r="E111" s="222" t="s">
        <v>1314</v>
      </c>
      <c r="F111" s="222"/>
      <c r="G111" s="3"/>
    </row>
    <row r="112" spans="1:7">
      <c r="A112" s="305"/>
      <c r="B112" s="305" t="s">
        <v>1017</v>
      </c>
      <c r="C112" s="301">
        <v>5</v>
      </c>
      <c r="D112" s="87" t="s">
        <v>97</v>
      </c>
      <c r="E112" s="87"/>
      <c r="F112" s="87"/>
      <c r="G112" s="307" t="s">
        <v>11</v>
      </c>
    </row>
    <row r="113" spans="1:7">
      <c r="A113" s="214" t="s">
        <v>96</v>
      </c>
      <c r="B113" t="s">
        <v>1018</v>
      </c>
      <c r="C113" s="306">
        <v>0</v>
      </c>
      <c r="D113" s="222" t="s">
        <v>502</v>
      </c>
      <c r="E113" s="222"/>
      <c r="F113" s="222"/>
      <c r="G113" s="3" t="s">
        <v>11</v>
      </c>
    </row>
    <row r="114" spans="1:7">
      <c r="B114" t="s">
        <v>1019</v>
      </c>
      <c r="C114" s="323">
        <f>Ducts!I14</f>
        <v>0.05</v>
      </c>
      <c r="D114" s="222" t="s">
        <v>98</v>
      </c>
      <c r="E114" s="222"/>
      <c r="F114" s="222"/>
      <c r="G114" s="3" t="s">
        <v>99</v>
      </c>
    </row>
    <row r="115" spans="1:7">
      <c r="B115" t="s">
        <v>1020</v>
      </c>
      <c r="C115" s="323">
        <f>Ducts!I14</f>
        <v>0.05</v>
      </c>
      <c r="D115" s="222" t="s">
        <v>100</v>
      </c>
      <c r="E115" s="222"/>
      <c r="F115" s="222"/>
      <c r="G115" s="3" t="s">
        <v>99</v>
      </c>
    </row>
    <row r="116" spans="1:7">
      <c r="B116" t="s">
        <v>101</v>
      </c>
      <c r="C116" s="323">
        <f>Ducts!I16</f>
        <v>1.5322296583303978</v>
      </c>
      <c r="D116" s="222" t="s">
        <v>102</v>
      </c>
      <c r="E116" s="222"/>
      <c r="F116" s="222"/>
      <c r="G116" s="3" t="s">
        <v>99</v>
      </c>
    </row>
    <row r="117" spans="1:7">
      <c r="B117" t="s">
        <v>103</v>
      </c>
      <c r="C117" s="323">
        <f>Ducts!I16</f>
        <v>1.5322296583303978</v>
      </c>
      <c r="D117" s="222" t="s">
        <v>104</v>
      </c>
      <c r="E117" s="222"/>
      <c r="F117" s="222"/>
      <c r="G117" s="3" t="s">
        <v>99</v>
      </c>
    </row>
    <row r="118" spans="1:7">
      <c r="B118" t="s">
        <v>1150</v>
      </c>
      <c r="C118" s="320">
        <f>Ducts!D18</f>
        <v>2.5000000000000001E-2</v>
      </c>
      <c r="D118" s="224" t="s">
        <v>1152</v>
      </c>
      <c r="E118" s="222"/>
      <c r="F118" s="222"/>
      <c r="G118" s="3" t="s">
        <v>99</v>
      </c>
    </row>
    <row r="119" spans="1:7">
      <c r="B119" t="s">
        <v>1151</v>
      </c>
      <c r="C119" s="320">
        <f>Ducts!D19</f>
        <v>2.5000000000000001E-2</v>
      </c>
      <c r="D119" s="224" t="s">
        <v>1153</v>
      </c>
      <c r="E119" s="222"/>
      <c r="F119" s="222"/>
      <c r="G119" s="3" t="s">
        <v>99</v>
      </c>
    </row>
    <row r="120" spans="1:7">
      <c r="B120" t="s">
        <v>1021</v>
      </c>
      <c r="C120" s="315">
        <f>Ducts!D16</f>
        <v>56.050685570196265</v>
      </c>
      <c r="D120" s="222" t="s">
        <v>105</v>
      </c>
      <c r="E120" s="222"/>
      <c r="F120" s="222"/>
      <c r="G120" s="3" t="s">
        <v>99</v>
      </c>
    </row>
    <row r="121" spans="1:7">
      <c r="B121" t="s">
        <v>1022</v>
      </c>
      <c r="C121" s="315">
        <f>Ducts!D17</f>
        <v>17.743173653116894</v>
      </c>
      <c r="D121" s="222" t="s">
        <v>106</v>
      </c>
      <c r="E121" s="222"/>
      <c r="F121" s="222"/>
      <c r="G121" s="3" t="s">
        <v>99</v>
      </c>
    </row>
    <row r="122" spans="1:7">
      <c r="B122" t="s">
        <v>1023</v>
      </c>
      <c r="C122" s="311">
        <f>Ducts!D12</f>
        <v>0.25</v>
      </c>
      <c r="D122" s="222" t="s">
        <v>107</v>
      </c>
      <c r="E122" s="222"/>
      <c r="F122" s="222"/>
      <c r="G122" s="3" t="s">
        <v>99</v>
      </c>
    </row>
    <row r="123" spans="1:7">
      <c r="B123" t="s">
        <v>1024</v>
      </c>
      <c r="C123" s="311">
        <f>Ducts!D13</f>
        <v>0.45</v>
      </c>
      <c r="D123" s="222" t="s">
        <v>475</v>
      </c>
      <c r="E123" s="222"/>
      <c r="F123" s="222"/>
      <c r="G123" s="3" t="s">
        <v>99</v>
      </c>
    </row>
    <row r="124" spans="1:7">
      <c r="B124" t="s">
        <v>1025</v>
      </c>
      <c r="C124" s="323">
        <f>HVAC!B135</f>
        <v>0.37759999999999999</v>
      </c>
      <c r="D124" s="222" t="s">
        <v>628</v>
      </c>
      <c r="E124" s="222" t="str">
        <f>"q=" &amp;TEXT(Inputs!C124/0.3048^3*60,"0")&amp; " CFM"</f>
        <v>q=800 CFM</v>
      </c>
      <c r="F124" s="222"/>
      <c r="G124" s="3" t="s">
        <v>108</v>
      </c>
    </row>
    <row r="125" spans="1:7">
      <c r="B125" t="s">
        <v>1026</v>
      </c>
      <c r="C125" s="323">
        <f>HVAC!B139</f>
        <v>0.19031039999999999</v>
      </c>
      <c r="D125" s="222" t="s">
        <v>109</v>
      </c>
      <c r="E125" s="222" t="str">
        <f>"q=" &amp;TEXT(Inputs!C125/0.3048^3*60,"0")&amp; " CFM"</f>
        <v>q=403 CFM</v>
      </c>
      <c r="F125" s="222"/>
      <c r="G125" s="3" t="s">
        <v>108</v>
      </c>
    </row>
    <row r="126" spans="1:7">
      <c r="B126" t="s">
        <v>110</v>
      </c>
      <c r="C126" s="311">
        <f>Ducts!D20</f>
        <v>0.6</v>
      </c>
      <c r="D126" s="222" t="s">
        <v>111</v>
      </c>
      <c r="E126" s="222"/>
      <c r="F126" s="222"/>
      <c r="G126" s="3" t="s">
        <v>99</v>
      </c>
    </row>
    <row r="127" spans="1:7">
      <c r="B127" t="s">
        <v>112</v>
      </c>
      <c r="C127" s="311">
        <f>Ducts!D21</f>
        <v>0.6</v>
      </c>
      <c r="D127" s="222" t="s">
        <v>113</v>
      </c>
      <c r="E127" s="222"/>
      <c r="F127" s="222"/>
      <c r="G127" s="3" t="s">
        <v>99</v>
      </c>
    </row>
    <row r="128" spans="1:7">
      <c r="B128" t="s">
        <v>114</v>
      </c>
      <c r="C128" s="325">
        <f>HVAC!B141</f>
        <v>1.3683840050234895E-3</v>
      </c>
      <c r="D128" s="222" t="s">
        <v>115</v>
      </c>
      <c r="E128" s="222"/>
      <c r="F128" s="222"/>
      <c r="G128" s="3" t="s">
        <v>108</v>
      </c>
    </row>
    <row r="129" spans="1:7">
      <c r="A129" s="305"/>
      <c r="B129" s="305" t="s">
        <v>116</v>
      </c>
      <c r="C129" s="325">
        <f>HVAC!B142</f>
        <v>1.3683840050234895E-3</v>
      </c>
      <c r="D129" s="87" t="s">
        <v>117</v>
      </c>
      <c r="E129" s="87"/>
      <c r="F129" s="87"/>
      <c r="G129" s="307" t="s">
        <v>108</v>
      </c>
    </row>
    <row r="130" spans="1:7">
      <c r="A130" s="214" t="s">
        <v>476</v>
      </c>
      <c r="B130" t="s">
        <v>384</v>
      </c>
      <c r="C130" s="323">
        <f>HVAC!B133</f>
        <v>2</v>
      </c>
      <c r="D130" s="222" t="s">
        <v>118</v>
      </c>
      <c r="E130" s="222" t="str">
        <f>"= "&amp;TEXT(Inputs!C130*12*1055/1000,"0.0")&amp;"kJ"</f>
        <v>= 25.3kJ</v>
      </c>
      <c r="F130" s="222"/>
      <c r="G130" s="3" t="s">
        <v>108</v>
      </c>
    </row>
    <row r="131" spans="1:7">
      <c r="B131" t="s">
        <v>385</v>
      </c>
      <c r="C131" s="326">
        <f>12*C130</f>
        <v>24</v>
      </c>
      <c r="D131" s="222" t="s">
        <v>119</v>
      </c>
      <c r="E131" s="222" t="str">
        <f>"= "&amp;TEXT(Inputs!C131*1055*1000/(3600)/1000,"0.0")&amp;"kW"</f>
        <v>= 7.0kW</v>
      </c>
      <c r="F131" s="222"/>
      <c r="G131" s="3" t="s">
        <v>108</v>
      </c>
    </row>
    <row r="132" spans="1:7">
      <c r="B132" t="s">
        <v>383</v>
      </c>
      <c r="C132" s="324">
        <f>HVAC!C10</f>
        <v>12.8</v>
      </c>
      <c r="D132" s="222" t="s">
        <v>120</v>
      </c>
      <c r="E132" s="222" t="s">
        <v>121</v>
      </c>
      <c r="F132" s="222"/>
      <c r="G132" s="3" t="s">
        <v>108</v>
      </c>
    </row>
    <row r="133" spans="1:7">
      <c r="B133" t="s">
        <v>1027</v>
      </c>
      <c r="C133" s="324">
        <f>12000/1000*HVAC!B137</f>
        <v>24</v>
      </c>
      <c r="D133" s="222" t="s">
        <v>122</v>
      </c>
      <c r="E133" s="222" t="str">
        <f>"= "&amp;TEXT(Inputs!C133*1055*1000/(3600)/1000,"0.0")&amp;"kW"</f>
        <v>= 7.0kW</v>
      </c>
      <c r="F133" s="222"/>
      <c r="G133" s="3" t="s">
        <v>108</v>
      </c>
    </row>
    <row r="134" spans="1:7">
      <c r="B134" t="s">
        <v>1028</v>
      </c>
      <c r="C134" s="324">
        <f>HVAC!B140</f>
        <v>161.28</v>
      </c>
      <c r="D134" s="222" t="s">
        <v>425</v>
      </c>
      <c r="E134" s="222"/>
      <c r="F134" s="222"/>
      <c r="G134" s="3" t="s">
        <v>108</v>
      </c>
    </row>
    <row r="135" spans="1:7">
      <c r="B135" t="s">
        <v>1029</v>
      </c>
      <c r="C135" s="324">
        <f>HVAC!B136</f>
        <v>320</v>
      </c>
      <c r="D135" s="222" t="s">
        <v>426</v>
      </c>
      <c r="E135" s="222"/>
      <c r="F135" s="222"/>
      <c r="G135" s="3" t="s">
        <v>108</v>
      </c>
    </row>
    <row r="136" spans="1:7">
      <c r="B136" t="s">
        <v>386</v>
      </c>
      <c r="C136" s="301">
        <v>1</v>
      </c>
      <c r="D136" s="73" t="s">
        <v>427</v>
      </c>
      <c r="E136" s="222"/>
      <c r="F136" s="222"/>
      <c r="G136" s="3" t="s">
        <v>11</v>
      </c>
    </row>
    <row r="137" spans="1:7">
      <c r="A137" s="305"/>
      <c r="B137" s="305" t="s">
        <v>366</v>
      </c>
      <c r="C137" s="327">
        <f>HVAC!C14</f>
        <v>0.92</v>
      </c>
      <c r="D137" s="109" t="s">
        <v>424</v>
      </c>
      <c r="E137" s="87"/>
      <c r="F137" s="87"/>
      <c r="G137" s="307" t="s">
        <v>108</v>
      </c>
    </row>
    <row r="138" spans="1:7">
      <c r="A138" s="214" t="s">
        <v>1044</v>
      </c>
      <c r="B138" t="s">
        <v>1030</v>
      </c>
      <c r="C138" s="329">
        <f>Nbedrooms</f>
        <v>5</v>
      </c>
      <c r="D138" t="s">
        <v>591</v>
      </c>
      <c r="G138" s="304" t="s">
        <v>314</v>
      </c>
    </row>
    <row r="139" spans="1:7">
      <c r="B139" t="s">
        <v>1031</v>
      </c>
      <c r="C139" s="330">
        <f>Stories</f>
        <v>2</v>
      </c>
      <c r="D139" t="s">
        <v>635</v>
      </c>
      <c r="G139" s="304" t="s">
        <v>1034</v>
      </c>
    </row>
    <row r="140" spans="1:7">
      <c r="B140" t="s">
        <v>592</v>
      </c>
      <c r="C140" s="328">
        <f>Weather!B25</f>
        <v>0.41</v>
      </c>
      <c r="D140" t="s">
        <v>593</v>
      </c>
      <c r="G140" s="304" t="s">
        <v>1049</v>
      </c>
    </row>
    <row r="141" spans="1:7">
      <c r="B141" t="s">
        <v>876</v>
      </c>
      <c r="C141" s="301">
        <v>2</v>
      </c>
      <c r="D141" t="s">
        <v>885</v>
      </c>
      <c r="E141" t="s">
        <v>894</v>
      </c>
    </row>
    <row r="142" spans="1:7">
      <c r="B142" t="s">
        <v>1181</v>
      </c>
      <c r="C142" s="301">
        <f>Qtot/1000*3600/V_houseSI</f>
        <v>0.28944092693359219</v>
      </c>
      <c r="D142" t="s">
        <v>1182</v>
      </c>
    </row>
    <row r="143" spans="1:7" s="214" customFormat="1">
      <c r="B143" s="214" t="s">
        <v>1183</v>
      </c>
      <c r="C143" s="301">
        <v>0</v>
      </c>
      <c r="D143" s="214" t="s">
        <v>1186</v>
      </c>
      <c r="E143" s="214" t="s">
        <v>1184</v>
      </c>
    </row>
    <row r="144" spans="1:7">
      <c r="A144" s="305"/>
      <c r="B144" s="305" t="s">
        <v>877</v>
      </c>
      <c r="C144" s="301">
        <v>0</v>
      </c>
      <c r="D144" s="305" t="s">
        <v>886</v>
      </c>
      <c r="E144" s="305" t="s">
        <v>895</v>
      </c>
      <c r="F144" s="305"/>
      <c r="G144" s="305"/>
    </row>
    <row r="145" spans="1:7">
      <c r="A145" s="214" t="s">
        <v>1045</v>
      </c>
      <c r="B145" t="s">
        <v>878</v>
      </c>
      <c r="C145" s="306">
        <v>0.82</v>
      </c>
      <c r="D145" t="s">
        <v>887</v>
      </c>
    </row>
    <row r="146" spans="1:7">
      <c r="B146" t="s">
        <v>879</v>
      </c>
      <c r="C146" s="301">
        <v>0.63</v>
      </c>
      <c r="D146" t="s">
        <v>888</v>
      </c>
      <c r="E146" t="s">
        <v>896</v>
      </c>
    </row>
    <row r="147" spans="1:7">
      <c r="B147" t="s">
        <v>880</v>
      </c>
      <c r="C147" s="301">
        <v>0.51</v>
      </c>
      <c r="D147" t="s">
        <v>889</v>
      </c>
      <c r="E147" t="s">
        <v>896</v>
      </c>
    </row>
    <row r="148" spans="1:7">
      <c r="B148" t="s">
        <v>881</v>
      </c>
      <c r="C148" s="301">
        <v>0</v>
      </c>
      <c r="D148" t="s">
        <v>890</v>
      </c>
      <c r="E148" t="s">
        <v>897</v>
      </c>
    </row>
    <row r="149" spans="1:7">
      <c r="B149" t="s">
        <v>882</v>
      </c>
      <c r="C149" s="301">
        <v>8</v>
      </c>
      <c r="D149" t="s">
        <v>891</v>
      </c>
      <c r="E149" t="s">
        <v>898</v>
      </c>
    </row>
    <row r="150" spans="1:7">
      <c r="B150" t="s">
        <v>883</v>
      </c>
      <c r="C150" s="301">
        <v>0</v>
      </c>
      <c r="D150" t="s">
        <v>892</v>
      </c>
      <c r="E150" t="s">
        <v>899</v>
      </c>
    </row>
    <row r="151" spans="1:7">
      <c r="A151" s="305"/>
      <c r="B151" s="305" t="s">
        <v>884</v>
      </c>
      <c r="C151" s="301">
        <v>1</v>
      </c>
      <c r="D151" s="305" t="s">
        <v>893</v>
      </c>
      <c r="E151" s="305" t="s">
        <v>900</v>
      </c>
      <c r="F151" s="305"/>
      <c r="G151" s="305"/>
    </row>
    <row r="152" spans="1:7">
      <c r="A152" s="214" t="s">
        <v>775</v>
      </c>
      <c r="B152" t="s">
        <v>814</v>
      </c>
      <c r="C152" s="331">
        <v>0</v>
      </c>
      <c r="D152" t="s">
        <v>817</v>
      </c>
      <c r="E152" t="s">
        <v>778</v>
      </c>
    </row>
    <row r="153" spans="1:7">
      <c r="B153" t="s">
        <v>1189</v>
      </c>
      <c r="C153" s="331">
        <v>0</v>
      </c>
      <c r="D153" t="s">
        <v>1190</v>
      </c>
      <c r="G153" t="s">
        <v>1042</v>
      </c>
    </row>
    <row r="154" spans="1:7" s="214" customFormat="1">
      <c r="B154" s="214" t="s">
        <v>1206</v>
      </c>
      <c r="C154" s="331">
        <f>IF(OR(HumControl=2, HumControl=4),1,0)</f>
        <v>0</v>
      </c>
      <c r="D154" s="214" t="s">
        <v>1207</v>
      </c>
    </row>
    <row r="155" spans="1:7">
      <c r="A155" s="214" t="s">
        <v>1046</v>
      </c>
      <c r="B155" t="s">
        <v>1035</v>
      </c>
      <c r="C155" s="349">
        <f>Dehumidifier!B8</f>
        <v>0</v>
      </c>
      <c r="D155" t="s">
        <v>1039</v>
      </c>
      <c r="E155" t="s">
        <v>1036</v>
      </c>
      <c r="G155" t="s">
        <v>1072</v>
      </c>
    </row>
    <row r="156" spans="1:7">
      <c r="B156" t="s">
        <v>1037</v>
      </c>
      <c r="C156" s="348">
        <f>Dehumidifier!B9</f>
        <v>1.85</v>
      </c>
      <c r="D156" t="s">
        <v>1040</v>
      </c>
      <c r="G156" t="s">
        <v>1072</v>
      </c>
    </row>
    <row r="157" spans="1:7">
      <c r="B157" t="s">
        <v>1038</v>
      </c>
      <c r="C157" s="347">
        <f>Dehumidifier!B10</f>
        <v>55</v>
      </c>
      <c r="D157" t="s">
        <v>1041</v>
      </c>
      <c r="G157" s="214" t="s">
        <v>1072</v>
      </c>
    </row>
    <row r="158" spans="1:7">
      <c r="A158" s="222" t="s">
        <v>1074</v>
      </c>
      <c r="B158" t="s">
        <v>1091</v>
      </c>
      <c r="C158" s="301" t="s">
        <v>1075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10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8.6640625" defaultRowHeight="15" customHeight="1" outlineLevelCol="1" x14ac:dyDescent="0"/>
  <cols>
    <col min="1" max="1" width="16.5" style="222" bestFit="1" customWidth="1"/>
    <col min="2" max="2" width="17.83203125" style="222" bestFit="1" customWidth="1"/>
    <col min="3" max="3" width="27.5" style="12" customWidth="1" outlineLevel="1"/>
    <col min="4" max="13" width="13.33203125" style="12" bestFit="1" customWidth="1" outlineLevel="1"/>
    <col min="14" max="19" width="13.33203125" style="148" bestFit="1" customWidth="1" outlineLevel="1"/>
    <col min="20" max="20" width="17.1640625" style="5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187">
        <v>16</v>
      </c>
      <c r="S1" s="187">
        <v>17</v>
      </c>
      <c r="V1" s="5"/>
    </row>
    <row r="2" spans="1:26" s="112" customFormat="1" ht="14">
      <c r="A2" s="112" t="s">
        <v>868</v>
      </c>
      <c r="B2" s="112" t="s">
        <v>936</v>
      </c>
      <c r="C2" s="48" t="str">
        <f>Weather!B52</f>
        <v>CZ01RV2.epw</v>
      </c>
      <c r="D2" s="48" t="str">
        <f>Weather!C52</f>
        <v>CZ02RV2.epw</v>
      </c>
      <c r="E2" s="48" t="str">
        <f>Weather!D52</f>
        <v>CZ03RV2.epw</v>
      </c>
      <c r="F2" s="48" t="str">
        <f>Weather!E52</f>
        <v>CZ04RV2.epw</v>
      </c>
      <c r="G2" s="48" t="str">
        <f>Weather!F52</f>
        <v>CZ05RV2.epw</v>
      </c>
      <c r="H2" s="48" t="str">
        <f>Weather!G52</f>
        <v>CZ06RV2.epw</v>
      </c>
      <c r="I2" s="48" t="str">
        <f>Weather!H52</f>
        <v>CZ07RV2.epw</v>
      </c>
      <c r="J2" s="48" t="str">
        <f>Weather!I52</f>
        <v>CZ08RV2.epw</v>
      </c>
      <c r="K2" s="48" t="str">
        <f>Weather!J52</f>
        <v>CZ09RV2.epw</v>
      </c>
      <c r="L2" s="48" t="str">
        <f>Weather!K52</f>
        <v>CZ10RV2.epw</v>
      </c>
      <c r="M2" s="48" t="str">
        <f>Weather!L52</f>
        <v>CZ11RV2.epw</v>
      </c>
      <c r="N2" s="48" t="str">
        <f>Weather!M52</f>
        <v>CZ12RV2.epw</v>
      </c>
      <c r="O2" s="48" t="str">
        <f>Weather!N52</f>
        <v>CZ13RV2.epw</v>
      </c>
      <c r="P2" s="48" t="str">
        <f>Weather!O52</f>
        <v>CZ14RV2.epw</v>
      </c>
      <c r="Q2" s="48" t="str">
        <f>Weather!P52</f>
        <v>CZ15RV2.epw</v>
      </c>
      <c r="R2" s="48" t="str">
        <f>Weather!Q52</f>
        <v>CZ16RV2.epw</v>
      </c>
      <c r="S2" s="48">
        <f>Weather!R52</f>
        <v>0</v>
      </c>
      <c r="Z2" s="1"/>
    </row>
    <row r="3" spans="1:26" s="112" customFormat="1" ht="14">
      <c r="B3" s="112" t="s">
        <v>856</v>
      </c>
      <c r="C3" s="48" t="str">
        <f>Inputs!$C$3</f>
        <v>REGCAP_FanSchedule_1stShift.txt</v>
      </c>
      <c r="D3" s="48" t="str">
        <f>Inputs!$C$3</f>
        <v>REGCAP_FanSchedule_1stShift.txt</v>
      </c>
      <c r="E3" s="48" t="str">
        <f>Inputs!$C$3</f>
        <v>REGCAP_FanSchedule_1stShift.txt</v>
      </c>
      <c r="F3" s="48" t="str">
        <f>Inputs!$C$3</f>
        <v>REGCAP_FanSchedule_1stShift.txt</v>
      </c>
      <c r="G3" s="48" t="str">
        <f>Inputs!$C$3</f>
        <v>REGCAP_FanSchedule_1stShift.txt</v>
      </c>
      <c r="H3" s="48" t="str">
        <f>Inputs!$C$3</f>
        <v>REGCAP_FanSchedule_1stShift.txt</v>
      </c>
      <c r="I3" s="48" t="str">
        <f>Inputs!$C$3</f>
        <v>REGCAP_FanSchedule_1stShift.txt</v>
      </c>
      <c r="J3" s="48" t="str">
        <f>Inputs!$C$3</f>
        <v>REGCAP_FanSchedule_1stShift.txt</v>
      </c>
      <c r="K3" s="48" t="str">
        <f>Inputs!$C$3</f>
        <v>REGCAP_FanSchedule_1stShift.txt</v>
      </c>
      <c r="L3" s="48" t="str">
        <f>Inputs!$C$3</f>
        <v>REGCAP_FanSchedule_1stShift.txt</v>
      </c>
      <c r="M3" s="48" t="str">
        <f>Inputs!$C$3</f>
        <v>REGCAP_FanSchedule_1stShift.txt</v>
      </c>
      <c r="N3" s="48" t="str">
        <f>Inputs!$C$3</f>
        <v>REGCAP_FanSchedule_1stShift.txt</v>
      </c>
      <c r="O3" s="48" t="str">
        <f>Inputs!$C$3</f>
        <v>REGCAP_FanSchedule_1stShift.txt</v>
      </c>
      <c r="P3" s="48" t="str">
        <f>Inputs!$C$3</f>
        <v>REGCAP_FanSchedule_1stShift.txt</v>
      </c>
      <c r="Q3" s="48" t="str">
        <f>Inputs!$C$3</f>
        <v>REGCAP_FanSchedule_1stShift.txt</v>
      </c>
      <c r="R3" s="48" t="str">
        <f>Inputs!$C$3</f>
        <v>REGCAP_FanSchedule_1stShift.txt</v>
      </c>
      <c r="S3" s="48" t="str">
        <f>Inputs!$C$3</f>
        <v>REGCAP_FanSchedule_1stShift.txt</v>
      </c>
      <c r="Z3" s="1"/>
    </row>
    <row r="4" spans="1:26" s="112" customFormat="1" ht="14">
      <c r="B4" s="112" t="s">
        <v>857</v>
      </c>
      <c r="C4" s="48" t="str">
        <f>Inputs!$C$4</f>
        <v>tstat_T24.txt</v>
      </c>
      <c r="D4" s="48" t="str">
        <f>Inputs!$C$4</f>
        <v>tstat_T24.txt</v>
      </c>
      <c r="E4" s="48" t="str">
        <f>Inputs!$C$4</f>
        <v>tstat_T24.txt</v>
      </c>
      <c r="F4" s="48" t="str">
        <f>Inputs!$C$4</f>
        <v>tstat_T24.txt</v>
      </c>
      <c r="G4" s="48" t="str">
        <f>Inputs!$C$4</f>
        <v>tstat_T24.txt</v>
      </c>
      <c r="H4" s="48" t="str">
        <f>Inputs!$C$4</f>
        <v>tstat_T24.txt</v>
      </c>
      <c r="I4" s="48" t="str">
        <f>Inputs!$C$4</f>
        <v>tstat_T24.txt</v>
      </c>
      <c r="J4" s="48" t="str">
        <f>Inputs!$C$4</f>
        <v>tstat_T24.txt</v>
      </c>
      <c r="K4" s="48" t="str">
        <f>Inputs!$C$4</f>
        <v>tstat_T24.txt</v>
      </c>
      <c r="L4" s="48" t="str">
        <f>Inputs!$C$4</f>
        <v>tstat_T24.txt</v>
      </c>
      <c r="M4" s="48" t="str">
        <f>Inputs!$C$4</f>
        <v>tstat_T24.txt</v>
      </c>
      <c r="N4" s="48" t="str">
        <f>Inputs!$C$4</f>
        <v>tstat_T24.txt</v>
      </c>
      <c r="O4" s="48" t="str">
        <f>Inputs!$C$4</f>
        <v>tstat_T24.txt</v>
      </c>
      <c r="P4" s="48" t="str">
        <f>Inputs!$C$4</f>
        <v>tstat_T24.txt</v>
      </c>
      <c r="Q4" s="48" t="str">
        <f>Inputs!$C$4</f>
        <v>tstat_T24.txt</v>
      </c>
      <c r="R4" s="48" t="str">
        <f>Inputs!$C$4</f>
        <v>tstat_T24.txt</v>
      </c>
      <c r="S4" s="48" t="str">
        <f>Inputs!$C$4</f>
        <v>tstat_T24.txt</v>
      </c>
      <c r="Z4" s="1"/>
    </row>
    <row r="5" spans="1:26" s="112" customFormat="1" ht="14">
      <c r="B5" s="112" t="s">
        <v>858</v>
      </c>
      <c r="C5" s="48" t="str">
        <f>Inputs!$C$5</f>
        <v>occ_full.txt</v>
      </c>
      <c r="D5" s="48" t="str">
        <f>Inputs!$C$5</f>
        <v>occ_full.txt</v>
      </c>
      <c r="E5" s="48" t="str">
        <f>Inputs!$C$5</f>
        <v>occ_full.txt</v>
      </c>
      <c r="F5" s="48" t="str">
        <f>Inputs!$C$5</f>
        <v>occ_full.txt</v>
      </c>
      <c r="G5" s="48" t="str">
        <f>Inputs!$C$5</f>
        <v>occ_full.txt</v>
      </c>
      <c r="H5" s="48" t="str">
        <f>Inputs!$C$5</f>
        <v>occ_full.txt</v>
      </c>
      <c r="I5" s="48" t="str">
        <f>Inputs!$C$5</f>
        <v>occ_full.txt</v>
      </c>
      <c r="J5" s="48" t="str">
        <f>Inputs!$C$5</f>
        <v>occ_full.txt</v>
      </c>
      <c r="K5" s="48" t="str">
        <f>Inputs!$C$5</f>
        <v>occ_full.txt</v>
      </c>
      <c r="L5" s="48" t="str">
        <f>Inputs!$C$5</f>
        <v>occ_full.txt</v>
      </c>
      <c r="M5" s="48" t="str">
        <f>Inputs!$C$5</f>
        <v>occ_full.txt</v>
      </c>
      <c r="N5" s="48" t="str">
        <f>Inputs!$C$5</f>
        <v>occ_full.txt</v>
      </c>
      <c r="O5" s="48" t="str">
        <f>Inputs!$C$5</f>
        <v>occ_full.txt</v>
      </c>
      <c r="P5" s="48" t="str">
        <f>Inputs!$C$5</f>
        <v>occ_full.txt</v>
      </c>
      <c r="Q5" s="48" t="str">
        <f>Inputs!$C$5</f>
        <v>occ_full.txt</v>
      </c>
      <c r="R5" s="48" t="str">
        <f>Inputs!$C$5</f>
        <v>occ_full.txt</v>
      </c>
      <c r="S5" s="48" t="str">
        <f>Inputs!$C$5</f>
        <v>occ_full.txt</v>
      </c>
      <c r="Z5" s="1"/>
    </row>
    <row r="6" spans="1:26" s="112" customFormat="1" ht="14">
      <c r="B6" s="112" t="s">
        <v>859</v>
      </c>
      <c r="C6" s="48" t="str">
        <f>Inputs!$C$6</f>
        <v>bshelter.dat</v>
      </c>
      <c r="D6" s="48" t="str">
        <f>Inputs!$C$6</f>
        <v>bshelter.dat</v>
      </c>
      <c r="E6" s="48" t="str">
        <f>Inputs!$C$6</f>
        <v>bshelter.dat</v>
      </c>
      <c r="F6" s="48" t="str">
        <f>Inputs!$C$6</f>
        <v>bshelter.dat</v>
      </c>
      <c r="G6" s="48" t="str">
        <f>Inputs!$C$6</f>
        <v>bshelter.dat</v>
      </c>
      <c r="H6" s="48" t="str">
        <f>Inputs!$C$6</f>
        <v>bshelter.dat</v>
      </c>
      <c r="I6" s="48" t="str">
        <f>Inputs!$C$6</f>
        <v>bshelter.dat</v>
      </c>
      <c r="J6" s="48" t="str">
        <f>Inputs!$C$6</f>
        <v>bshelter.dat</v>
      </c>
      <c r="K6" s="48" t="str">
        <f>Inputs!$C$6</f>
        <v>bshelter.dat</v>
      </c>
      <c r="L6" s="48" t="str">
        <f>Inputs!$C$6</f>
        <v>bshelter.dat</v>
      </c>
      <c r="M6" s="48" t="str">
        <f>Inputs!$C$6</f>
        <v>bshelter.dat</v>
      </c>
      <c r="N6" s="48" t="str">
        <f>Inputs!$C$6</f>
        <v>bshelter.dat</v>
      </c>
      <c r="O6" s="48" t="str">
        <f>Inputs!$C$6</f>
        <v>bshelter.dat</v>
      </c>
      <c r="P6" s="48" t="str">
        <f>Inputs!$C$6</f>
        <v>bshelter.dat</v>
      </c>
      <c r="Q6" s="48" t="str">
        <f>Inputs!$C$6</f>
        <v>bshelter.dat</v>
      </c>
      <c r="R6" s="48" t="str">
        <f>Inputs!$C$6</f>
        <v>bshelter.dat</v>
      </c>
      <c r="S6" s="48" t="str">
        <f>Inputs!$C$6</f>
        <v>bshelter.dat</v>
      </c>
      <c r="Z6" s="1"/>
    </row>
    <row r="7" spans="1:26" ht="15" customHeight="1">
      <c r="A7" s="222" t="s">
        <v>867</v>
      </c>
      <c r="B7" s="222" t="s">
        <v>1173</v>
      </c>
      <c r="C7" s="6">
        <f>Leakage!B18</f>
        <v>0.10957048751881977</v>
      </c>
      <c r="D7" s="6">
        <f>Leakage!C18</f>
        <v>0.10957048751881977</v>
      </c>
      <c r="E7" s="6">
        <f>Leakage!D18</f>
        <v>0.10957048751881977</v>
      </c>
      <c r="F7" s="6">
        <f>Leakage!E18</f>
        <v>0.10957048751881977</v>
      </c>
      <c r="G7" s="6">
        <f>Leakage!F18</f>
        <v>0.10957048751881977</v>
      </c>
      <c r="H7" s="6">
        <f>Leakage!G18</f>
        <v>0.10957048751881977</v>
      </c>
      <c r="I7" s="6">
        <f>Leakage!H18</f>
        <v>0.10957048751881977</v>
      </c>
      <c r="J7" s="6">
        <f>Leakage!I18</f>
        <v>0.10957048751881977</v>
      </c>
      <c r="K7" s="6">
        <f>Leakage!J18</f>
        <v>0.10957048751881977</v>
      </c>
      <c r="L7" s="6">
        <f>Leakage!K18</f>
        <v>0.10957048751881977</v>
      </c>
      <c r="M7" s="6">
        <f>Leakage!L18</f>
        <v>0.10957048751881977</v>
      </c>
      <c r="N7" s="6">
        <f>Leakage!M18</f>
        <v>0.10957048751881977</v>
      </c>
      <c r="O7" s="6">
        <f>Leakage!N18</f>
        <v>0.10957048751881977</v>
      </c>
      <c r="P7" s="6">
        <f>Leakage!O18</f>
        <v>0.10957048751881977</v>
      </c>
      <c r="Q7" s="6">
        <f>Leakage!P18</f>
        <v>0.10957048751881977</v>
      </c>
      <c r="R7" s="6">
        <f>Leakage!Q18</f>
        <v>0.10957048751881977</v>
      </c>
      <c r="S7" s="6">
        <f>Leakage!R18</f>
        <v>0</v>
      </c>
      <c r="T7" s="54"/>
    </row>
    <row r="8" spans="1:26" ht="15" customHeight="1">
      <c r="B8" s="222" t="s">
        <v>923</v>
      </c>
      <c r="C8" s="139">
        <f>n</f>
        <v>0.67</v>
      </c>
      <c r="D8" s="139">
        <f>n</f>
        <v>0.67</v>
      </c>
      <c r="E8" s="139">
        <f>n</f>
        <v>0.67</v>
      </c>
      <c r="F8" s="139">
        <f>n</f>
        <v>0.67</v>
      </c>
      <c r="G8" s="139">
        <f>n</f>
        <v>0.67</v>
      </c>
      <c r="H8" s="139">
        <f>n</f>
        <v>0.67</v>
      </c>
      <c r="I8" s="139">
        <f>n</f>
        <v>0.67</v>
      </c>
      <c r="J8" s="139">
        <f>n</f>
        <v>0.67</v>
      </c>
      <c r="K8" s="139">
        <f>n</f>
        <v>0.67</v>
      </c>
      <c r="L8" s="139">
        <f>n</f>
        <v>0.67</v>
      </c>
      <c r="M8" s="139">
        <f>n</f>
        <v>0.67</v>
      </c>
      <c r="N8" s="139">
        <f>n</f>
        <v>0.67</v>
      </c>
      <c r="O8" s="139">
        <f>n</f>
        <v>0.67</v>
      </c>
      <c r="P8" s="139">
        <f>n</f>
        <v>0.67</v>
      </c>
      <c r="Q8" s="139">
        <f>n</f>
        <v>0.67</v>
      </c>
      <c r="R8" s="139">
        <f>n</f>
        <v>0.67</v>
      </c>
      <c r="S8" s="139">
        <f>n</f>
        <v>0.67</v>
      </c>
      <c r="T8" s="54"/>
    </row>
    <row r="9" spans="1:26" s="222" customFormat="1" ht="15" customHeight="1">
      <c r="B9" s="222" t="s">
        <v>1168</v>
      </c>
      <c r="C9" s="139">
        <f>Inputs!C9</f>
        <v>0.59</v>
      </c>
      <c r="D9" s="139">
        <f>C9</f>
        <v>0.59</v>
      </c>
      <c r="E9" s="139">
        <f t="shared" ref="E9:S9" si="0">D9</f>
        <v>0.59</v>
      </c>
      <c r="F9" s="139">
        <f t="shared" si="0"/>
        <v>0.59</v>
      </c>
      <c r="G9" s="139">
        <f t="shared" si="0"/>
        <v>0.59</v>
      </c>
      <c r="H9" s="139">
        <f t="shared" si="0"/>
        <v>0.59</v>
      </c>
      <c r="I9" s="139">
        <f t="shared" si="0"/>
        <v>0.59</v>
      </c>
      <c r="J9" s="139">
        <f t="shared" si="0"/>
        <v>0.59</v>
      </c>
      <c r="K9" s="139">
        <f t="shared" si="0"/>
        <v>0.59</v>
      </c>
      <c r="L9" s="139">
        <f t="shared" si="0"/>
        <v>0.59</v>
      </c>
      <c r="M9" s="139">
        <f t="shared" si="0"/>
        <v>0.59</v>
      </c>
      <c r="N9" s="139">
        <f t="shared" si="0"/>
        <v>0.59</v>
      </c>
      <c r="O9" s="139">
        <f t="shared" si="0"/>
        <v>0.59</v>
      </c>
      <c r="P9" s="139">
        <f t="shared" si="0"/>
        <v>0.59</v>
      </c>
      <c r="Q9" s="139">
        <f t="shared" si="0"/>
        <v>0.59</v>
      </c>
      <c r="R9" s="139">
        <f t="shared" si="0"/>
        <v>0.59</v>
      </c>
      <c r="S9" s="139">
        <f t="shared" si="0"/>
        <v>0.59</v>
      </c>
      <c r="T9" s="54"/>
    </row>
    <row r="10" spans="1:26" s="222" customFormat="1" ht="15" customHeight="1">
      <c r="B10" s="222" t="s">
        <v>1161</v>
      </c>
      <c r="C10" s="139">
        <f>Inputs!C10</f>
        <v>0.5</v>
      </c>
      <c r="D10" s="139">
        <f t="shared" ref="D10:S12" si="1">C10</f>
        <v>0.5</v>
      </c>
      <c r="E10" s="139">
        <f t="shared" si="1"/>
        <v>0.5</v>
      </c>
      <c r="F10" s="139">
        <f t="shared" si="1"/>
        <v>0.5</v>
      </c>
      <c r="G10" s="139">
        <f t="shared" si="1"/>
        <v>0.5</v>
      </c>
      <c r="H10" s="139">
        <f t="shared" si="1"/>
        <v>0.5</v>
      </c>
      <c r="I10" s="139">
        <f t="shared" si="1"/>
        <v>0.5</v>
      </c>
      <c r="J10" s="139">
        <f t="shared" si="1"/>
        <v>0.5</v>
      </c>
      <c r="K10" s="139">
        <f t="shared" si="1"/>
        <v>0.5</v>
      </c>
      <c r="L10" s="139">
        <f t="shared" si="1"/>
        <v>0.5</v>
      </c>
      <c r="M10" s="139">
        <f t="shared" si="1"/>
        <v>0.5</v>
      </c>
      <c r="N10" s="139">
        <f t="shared" si="1"/>
        <v>0.5</v>
      </c>
      <c r="O10" s="139">
        <f t="shared" si="1"/>
        <v>0.5</v>
      </c>
      <c r="P10" s="139">
        <f t="shared" si="1"/>
        <v>0.5</v>
      </c>
      <c r="Q10" s="139">
        <f t="shared" si="1"/>
        <v>0.5</v>
      </c>
      <c r="R10" s="139">
        <f t="shared" si="1"/>
        <v>0.5</v>
      </c>
      <c r="S10" s="139">
        <f t="shared" si="1"/>
        <v>0.5</v>
      </c>
      <c r="T10" s="54"/>
    </row>
    <row r="11" spans="1:26" s="222" customFormat="1" ht="15" customHeight="1">
      <c r="B11" s="222" t="s">
        <v>1170</v>
      </c>
      <c r="C11" s="139">
        <f>Inputs!C11</f>
        <v>7.8E-2</v>
      </c>
      <c r="D11" s="139">
        <f t="shared" si="1"/>
        <v>7.8E-2</v>
      </c>
      <c r="E11" s="139">
        <f t="shared" si="1"/>
        <v>7.8E-2</v>
      </c>
      <c r="F11" s="139">
        <f t="shared" si="1"/>
        <v>7.8E-2</v>
      </c>
      <c r="G11" s="139">
        <f t="shared" si="1"/>
        <v>7.8E-2</v>
      </c>
      <c r="H11" s="139">
        <f t="shared" si="1"/>
        <v>7.8E-2</v>
      </c>
      <c r="I11" s="139">
        <f t="shared" si="1"/>
        <v>7.8E-2</v>
      </c>
      <c r="J11" s="139">
        <f t="shared" si="1"/>
        <v>7.8E-2</v>
      </c>
      <c r="K11" s="139">
        <f t="shared" si="1"/>
        <v>7.8E-2</v>
      </c>
      <c r="L11" s="139">
        <f t="shared" si="1"/>
        <v>7.8E-2</v>
      </c>
      <c r="M11" s="139">
        <f t="shared" si="1"/>
        <v>7.8E-2</v>
      </c>
      <c r="N11" s="139">
        <f t="shared" si="1"/>
        <v>7.8E-2</v>
      </c>
      <c r="O11" s="139">
        <f t="shared" si="1"/>
        <v>7.8E-2</v>
      </c>
      <c r="P11" s="139">
        <f t="shared" si="1"/>
        <v>7.8E-2</v>
      </c>
      <c r="Q11" s="139">
        <f t="shared" si="1"/>
        <v>7.8E-2</v>
      </c>
      <c r="R11" s="139">
        <f t="shared" si="1"/>
        <v>7.8E-2</v>
      </c>
      <c r="S11" s="139">
        <f t="shared" si="1"/>
        <v>7.8E-2</v>
      </c>
      <c r="T11" s="54"/>
    </row>
    <row r="12" spans="1:26" s="222" customFormat="1" ht="15" customHeight="1">
      <c r="B12" s="222" t="s">
        <v>1174</v>
      </c>
      <c r="C12" s="139">
        <f>Inputs!C12</f>
        <v>0.17</v>
      </c>
      <c r="D12" s="139">
        <f t="shared" si="1"/>
        <v>0.17</v>
      </c>
      <c r="E12" s="139">
        <f t="shared" si="1"/>
        <v>0.17</v>
      </c>
      <c r="F12" s="139">
        <f t="shared" si="1"/>
        <v>0.17</v>
      </c>
      <c r="G12" s="139">
        <f t="shared" si="1"/>
        <v>0.17</v>
      </c>
      <c r="H12" s="139">
        <f t="shared" si="1"/>
        <v>0.17</v>
      </c>
      <c r="I12" s="139">
        <f t="shared" si="1"/>
        <v>0.17</v>
      </c>
      <c r="J12" s="139">
        <f t="shared" si="1"/>
        <v>0.17</v>
      </c>
      <c r="K12" s="139">
        <f t="shared" si="1"/>
        <v>0.17</v>
      </c>
      <c r="L12" s="139">
        <f t="shared" si="1"/>
        <v>0.17</v>
      </c>
      <c r="M12" s="139">
        <f t="shared" si="1"/>
        <v>0.17</v>
      </c>
      <c r="N12" s="139">
        <f t="shared" si="1"/>
        <v>0.17</v>
      </c>
      <c r="O12" s="139">
        <f t="shared" si="1"/>
        <v>0.17</v>
      </c>
      <c r="P12" s="139">
        <f t="shared" si="1"/>
        <v>0.17</v>
      </c>
      <c r="Q12" s="139">
        <f t="shared" si="1"/>
        <v>0.17</v>
      </c>
      <c r="R12" s="139">
        <f t="shared" si="1"/>
        <v>0.17</v>
      </c>
      <c r="S12" s="139">
        <f t="shared" si="1"/>
        <v>0.17</v>
      </c>
      <c r="T12" s="54"/>
    </row>
    <row r="13" spans="1:26" ht="15" customHeight="1">
      <c r="B13" s="222" t="s">
        <v>922</v>
      </c>
      <c r="C13" s="139">
        <f>Inputs!C13</f>
        <v>6.095999804928006</v>
      </c>
      <c r="D13" s="139">
        <f t="shared" ref="D13:S26" si="2">C13</f>
        <v>6.095999804928006</v>
      </c>
      <c r="E13" s="139">
        <f t="shared" si="2"/>
        <v>6.095999804928006</v>
      </c>
      <c r="F13" s="139">
        <f t="shared" si="2"/>
        <v>6.095999804928006</v>
      </c>
      <c r="G13" s="139">
        <f t="shared" si="2"/>
        <v>6.095999804928006</v>
      </c>
      <c r="H13" s="139">
        <f t="shared" si="2"/>
        <v>6.095999804928006</v>
      </c>
      <c r="I13" s="139">
        <f t="shared" si="2"/>
        <v>6.095999804928006</v>
      </c>
      <c r="J13" s="139">
        <f t="shared" si="2"/>
        <v>6.095999804928006</v>
      </c>
      <c r="K13" s="139">
        <f t="shared" si="2"/>
        <v>6.095999804928006</v>
      </c>
      <c r="L13" s="139">
        <f t="shared" si="2"/>
        <v>6.095999804928006</v>
      </c>
      <c r="M13" s="139">
        <f t="shared" si="2"/>
        <v>6.095999804928006</v>
      </c>
      <c r="N13" s="139">
        <f t="shared" si="2"/>
        <v>6.095999804928006</v>
      </c>
      <c r="O13" s="139">
        <f t="shared" si="2"/>
        <v>6.095999804928006</v>
      </c>
      <c r="P13" s="139">
        <f t="shared" si="2"/>
        <v>6.095999804928006</v>
      </c>
      <c r="Q13" s="139">
        <f t="shared" si="2"/>
        <v>6.095999804928006</v>
      </c>
      <c r="R13" s="139">
        <f t="shared" si="2"/>
        <v>6.095999804928006</v>
      </c>
      <c r="S13" s="139">
        <f t="shared" si="2"/>
        <v>6.095999804928006</v>
      </c>
      <c r="T13" s="54"/>
    </row>
    <row r="14" spans="1:26" ht="15" customHeight="1">
      <c r="B14" s="222" t="s">
        <v>15</v>
      </c>
      <c r="C14" s="139">
        <f>Inputs!C14</f>
        <v>0.66804505124865787</v>
      </c>
      <c r="D14" s="139">
        <f t="shared" si="2"/>
        <v>0.66804505124865787</v>
      </c>
      <c r="E14" s="139">
        <f t="shared" si="2"/>
        <v>0.66804505124865787</v>
      </c>
      <c r="F14" s="139">
        <f t="shared" si="2"/>
        <v>0.66804505124865787</v>
      </c>
      <c r="G14" s="139">
        <f t="shared" si="2"/>
        <v>0.66804505124865787</v>
      </c>
      <c r="H14" s="139">
        <f t="shared" si="2"/>
        <v>0.66804505124865787</v>
      </c>
      <c r="I14" s="139">
        <f t="shared" si="2"/>
        <v>0.66804505124865787</v>
      </c>
      <c r="J14" s="139">
        <f t="shared" si="2"/>
        <v>0.66804505124865787</v>
      </c>
      <c r="K14" s="139">
        <f t="shared" si="2"/>
        <v>0.66804505124865787</v>
      </c>
      <c r="L14" s="139">
        <f t="shared" si="2"/>
        <v>0.66804505124865787</v>
      </c>
      <c r="M14" s="139">
        <f t="shared" si="2"/>
        <v>0.66804505124865787</v>
      </c>
      <c r="N14" s="139">
        <f t="shared" si="2"/>
        <v>0.66804505124865787</v>
      </c>
      <c r="O14" s="139">
        <f t="shared" si="2"/>
        <v>0.66804505124865787</v>
      </c>
      <c r="P14" s="139">
        <f t="shared" si="2"/>
        <v>0.66804505124865787</v>
      </c>
      <c r="Q14" s="139">
        <f t="shared" si="2"/>
        <v>0.66804505124865787</v>
      </c>
      <c r="R14" s="139">
        <f t="shared" si="2"/>
        <v>0.66804505124865787</v>
      </c>
      <c r="S14" s="139">
        <f t="shared" si="2"/>
        <v>0.66804505124865787</v>
      </c>
      <c r="T14" s="54"/>
    </row>
    <row r="15" spans="1:26" ht="15" customHeight="1">
      <c r="B15" s="222" t="s">
        <v>18</v>
      </c>
      <c r="C15" s="139">
        <f>Inputs!C15</f>
        <v>4.1351537459736803E-3</v>
      </c>
      <c r="D15" s="139">
        <f t="shared" si="2"/>
        <v>4.1351537459736803E-3</v>
      </c>
      <c r="E15" s="139">
        <f t="shared" si="2"/>
        <v>4.1351537459736803E-3</v>
      </c>
      <c r="F15" s="139">
        <f t="shared" si="2"/>
        <v>4.1351537459736803E-3</v>
      </c>
      <c r="G15" s="139">
        <f t="shared" si="2"/>
        <v>4.1351537459736803E-3</v>
      </c>
      <c r="H15" s="139">
        <f t="shared" si="2"/>
        <v>4.1351537459736803E-3</v>
      </c>
      <c r="I15" s="139">
        <f t="shared" si="2"/>
        <v>4.1351537459736803E-3</v>
      </c>
      <c r="J15" s="139">
        <f t="shared" si="2"/>
        <v>4.1351537459736803E-3</v>
      </c>
      <c r="K15" s="139">
        <f t="shared" si="2"/>
        <v>4.1351537459736803E-3</v>
      </c>
      <c r="L15" s="139">
        <f t="shared" si="2"/>
        <v>4.1351537459736803E-3</v>
      </c>
      <c r="M15" s="139">
        <f t="shared" si="2"/>
        <v>4.1351537459736803E-3</v>
      </c>
      <c r="N15" s="139">
        <f t="shared" si="2"/>
        <v>4.1351537459736803E-3</v>
      </c>
      <c r="O15" s="139">
        <f t="shared" si="2"/>
        <v>4.1351537459736803E-3</v>
      </c>
      <c r="P15" s="139">
        <f t="shared" si="2"/>
        <v>4.1351537459736803E-3</v>
      </c>
      <c r="Q15" s="139">
        <f t="shared" si="2"/>
        <v>4.1351537459736803E-3</v>
      </c>
      <c r="R15" s="139">
        <f t="shared" si="2"/>
        <v>4.1351537459736803E-3</v>
      </c>
      <c r="S15" s="139">
        <f t="shared" si="2"/>
        <v>4.1351537459736803E-3</v>
      </c>
      <c r="T15" s="54"/>
    </row>
    <row r="16" spans="1:26" ht="15" customHeight="1">
      <c r="A16" s="222" t="s">
        <v>19</v>
      </c>
      <c r="B16" s="222" t="s">
        <v>937</v>
      </c>
      <c r="C16" s="115">
        <f>Inputs!C16</f>
        <v>0</v>
      </c>
      <c r="D16" s="115">
        <f t="shared" si="2"/>
        <v>0</v>
      </c>
      <c r="E16" s="115">
        <f t="shared" si="2"/>
        <v>0</v>
      </c>
      <c r="F16" s="115">
        <f t="shared" si="2"/>
        <v>0</v>
      </c>
      <c r="G16" s="115">
        <f t="shared" si="2"/>
        <v>0</v>
      </c>
      <c r="H16" s="115">
        <f t="shared" si="2"/>
        <v>0</v>
      </c>
      <c r="I16" s="115">
        <f t="shared" si="2"/>
        <v>0</v>
      </c>
      <c r="J16" s="115">
        <f t="shared" si="2"/>
        <v>0</v>
      </c>
      <c r="K16" s="115">
        <f t="shared" si="2"/>
        <v>0</v>
      </c>
      <c r="L16" s="115">
        <f t="shared" si="2"/>
        <v>0</v>
      </c>
      <c r="M16" s="115">
        <f t="shared" si="2"/>
        <v>0</v>
      </c>
      <c r="N16" s="115">
        <f t="shared" si="2"/>
        <v>0</v>
      </c>
      <c r="O16" s="115">
        <f t="shared" si="2"/>
        <v>0</v>
      </c>
      <c r="P16" s="115">
        <f t="shared" si="2"/>
        <v>0</v>
      </c>
      <c r="Q16" s="115">
        <f t="shared" si="2"/>
        <v>0</v>
      </c>
      <c r="R16" s="115">
        <f t="shared" si="2"/>
        <v>0</v>
      </c>
      <c r="S16" s="115">
        <f t="shared" si="2"/>
        <v>0</v>
      </c>
      <c r="T16" s="54"/>
    </row>
    <row r="17" spans="1:21" ht="15" customHeight="1">
      <c r="B17" s="222" t="s">
        <v>948</v>
      </c>
      <c r="C17" s="180">
        <f>Inputs!C17</f>
        <v>1.9281086206186945E-2</v>
      </c>
      <c r="D17" s="180">
        <f t="shared" si="2"/>
        <v>1.9281086206186945E-2</v>
      </c>
      <c r="E17" s="180">
        <f t="shared" si="2"/>
        <v>1.9281086206186945E-2</v>
      </c>
      <c r="F17" s="180">
        <f t="shared" si="2"/>
        <v>1.9281086206186945E-2</v>
      </c>
      <c r="G17" s="180">
        <f t="shared" si="2"/>
        <v>1.9281086206186945E-2</v>
      </c>
      <c r="H17" s="180">
        <f t="shared" si="2"/>
        <v>1.9281086206186945E-2</v>
      </c>
      <c r="I17" s="180">
        <f t="shared" si="2"/>
        <v>1.9281086206186945E-2</v>
      </c>
      <c r="J17" s="180">
        <f t="shared" si="2"/>
        <v>1.9281086206186945E-2</v>
      </c>
      <c r="K17" s="180">
        <f t="shared" si="2"/>
        <v>1.9281086206186945E-2</v>
      </c>
      <c r="L17" s="180">
        <f t="shared" si="2"/>
        <v>1.9281086206186945E-2</v>
      </c>
      <c r="M17" s="180">
        <f t="shared" si="2"/>
        <v>1.9281086206186945E-2</v>
      </c>
      <c r="N17" s="180">
        <f t="shared" si="2"/>
        <v>1.9281086206186945E-2</v>
      </c>
      <c r="O17" s="180">
        <f t="shared" si="2"/>
        <v>1.9281086206186945E-2</v>
      </c>
      <c r="P17" s="180">
        <f t="shared" si="2"/>
        <v>1.9281086206186945E-2</v>
      </c>
      <c r="Q17" s="180">
        <f t="shared" si="2"/>
        <v>1.9281086206186945E-2</v>
      </c>
      <c r="R17" s="180">
        <f t="shared" si="2"/>
        <v>1.9281086206186945E-2</v>
      </c>
      <c r="S17" s="180">
        <f t="shared" si="2"/>
        <v>1.9281086206186945E-2</v>
      </c>
      <c r="T17" s="54"/>
    </row>
    <row r="18" spans="1:21" ht="15" customHeight="1">
      <c r="B18" s="222" t="s">
        <v>949</v>
      </c>
      <c r="C18" s="139">
        <f>Inputs!C18</f>
        <v>8.6359997236480091</v>
      </c>
      <c r="D18" s="139">
        <f t="shared" si="2"/>
        <v>8.6359997236480091</v>
      </c>
      <c r="E18" s="139">
        <f t="shared" si="2"/>
        <v>8.6359997236480091</v>
      </c>
      <c r="F18" s="139">
        <f t="shared" si="2"/>
        <v>8.6359997236480091</v>
      </c>
      <c r="G18" s="139">
        <f t="shared" si="2"/>
        <v>8.6359997236480091</v>
      </c>
      <c r="H18" s="139">
        <f t="shared" si="2"/>
        <v>8.6359997236480091</v>
      </c>
      <c r="I18" s="139">
        <f t="shared" si="2"/>
        <v>8.6359997236480091</v>
      </c>
      <c r="J18" s="139">
        <f t="shared" si="2"/>
        <v>8.6359997236480091</v>
      </c>
      <c r="K18" s="139">
        <f t="shared" si="2"/>
        <v>8.6359997236480091</v>
      </c>
      <c r="L18" s="139">
        <f t="shared" si="2"/>
        <v>8.6359997236480091</v>
      </c>
      <c r="M18" s="139">
        <f t="shared" si="2"/>
        <v>8.6359997236480091</v>
      </c>
      <c r="N18" s="139">
        <f t="shared" si="2"/>
        <v>8.6359997236480091</v>
      </c>
      <c r="O18" s="139">
        <f t="shared" si="2"/>
        <v>8.6359997236480091</v>
      </c>
      <c r="P18" s="139">
        <f t="shared" si="2"/>
        <v>8.6359997236480091</v>
      </c>
      <c r="Q18" s="139">
        <f t="shared" si="2"/>
        <v>8.6359997236480091</v>
      </c>
      <c r="R18" s="139">
        <f t="shared" si="2"/>
        <v>8.6359997236480091</v>
      </c>
      <c r="S18" s="139">
        <f t="shared" si="2"/>
        <v>8.6359997236480091</v>
      </c>
      <c r="T18" s="54"/>
      <c r="U18" s="222"/>
    </row>
    <row r="19" spans="1:21" ht="15" customHeight="1">
      <c r="B19" s="222" t="s">
        <v>950</v>
      </c>
      <c r="C19" s="115">
        <f>Inputs!C19</f>
        <v>-99</v>
      </c>
      <c r="D19" s="115">
        <f t="shared" si="2"/>
        <v>-99</v>
      </c>
      <c r="E19" s="115">
        <f t="shared" si="2"/>
        <v>-99</v>
      </c>
      <c r="F19" s="115">
        <f t="shared" si="2"/>
        <v>-99</v>
      </c>
      <c r="G19" s="115">
        <f t="shared" si="2"/>
        <v>-99</v>
      </c>
      <c r="H19" s="115">
        <f t="shared" si="2"/>
        <v>-99</v>
      </c>
      <c r="I19" s="115">
        <f t="shared" si="2"/>
        <v>-99</v>
      </c>
      <c r="J19" s="115">
        <f t="shared" si="2"/>
        <v>-99</v>
      </c>
      <c r="K19" s="115">
        <f t="shared" si="2"/>
        <v>-99</v>
      </c>
      <c r="L19" s="115">
        <f t="shared" si="2"/>
        <v>-99</v>
      </c>
      <c r="M19" s="115">
        <f t="shared" si="2"/>
        <v>-99</v>
      </c>
      <c r="N19" s="115">
        <f t="shared" si="2"/>
        <v>-99</v>
      </c>
      <c r="O19" s="115">
        <f t="shared" si="2"/>
        <v>-99</v>
      </c>
      <c r="P19" s="115">
        <f t="shared" si="2"/>
        <v>-99</v>
      </c>
      <c r="Q19" s="115">
        <f t="shared" si="2"/>
        <v>-99</v>
      </c>
      <c r="R19" s="115">
        <f t="shared" si="2"/>
        <v>-99</v>
      </c>
      <c r="S19" s="115">
        <f t="shared" si="2"/>
        <v>-99</v>
      </c>
      <c r="T19" s="54"/>
      <c r="U19" s="222"/>
    </row>
    <row r="20" spans="1:21" ht="15" customHeight="1">
      <c r="B20" s="222" t="s">
        <v>951</v>
      </c>
      <c r="C20" s="6">
        <f>Inputs!C20</f>
        <v>1.9281086206186945E-2</v>
      </c>
      <c r="D20" s="139">
        <f t="shared" si="2"/>
        <v>1.9281086206186945E-2</v>
      </c>
      <c r="E20" s="139">
        <f t="shared" si="2"/>
        <v>1.9281086206186945E-2</v>
      </c>
      <c r="F20" s="139">
        <f t="shared" si="2"/>
        <v>1.9281086206186945E-2</v>
      </c>
      <c r="G20" s="139">
        <f t="shared" si="2"/>
        <v>1.9281086206186945E-2</v>
      </c>
      <c r="H20" s="139">
        <f t="shared" si="2"/>
        <v>1.9281086206186945E-2</v>
      </c>
      <c r="I20" s="139">
        <f t="shared" si="2"/>
        <v>1.9281086206186945E-2</v>
      </c>
      <c r="J20" s="139">
        <f t="shared" si="2"/>
        <v>1.9281086206186945E-2</v>
      </c>
      <c r="K20" s="139">
        <f t="shared" si="2"/>
        <v>1.9281086206186945E-2</v>
      </c>
      <c r="L20" s="139">
        <f t="shared" si="2"/>
        <v>1.9281086206186945E-2</v>
      </c>
      <c r="M20" s="139">
        <f t="shared" si="2"/>
        <v>1.9281086206186945E-2</v>
      </c>
      <c r="N20" s="139">
        <f t="shared" si="2"/>
        <v>1.9281086206186945E-2</v>
      </c>
      <c r="O20" s="139">
        <f t="shared" si="2"/>
        <v>1.9281086206186945E-2</v>
      </c>
      <c r="P20" s="139">
        <f t="shared" si="2"/>
        <v>1.9281086206186945E-2</v>
      </c>
      <c r="Q20" s="139">
        <f t="shared" si="2"/>
        <v>1.9281086206186945E-2</v>
      </c>
      <c r="R20" s="139">
        <f t="shared" si="2"/>
        <v>1.9281086206186945E-2</v>
      </c>
      <c r="S20" s="139">
        <f t="shared" si="2"/>
        <v>1.9281086206186945E-2</v>
      </c>
      <c r="T20" s="54"/>
    </row>
    <row r="21" spans="1:21" ht="15" customHeight="1">
      <c r="B21" s="222" t="s">
        <v>952</v>
      </c>
      <c r="C21" s="139">
        <f>Inputs!C21</f>
        <v>8.6359997236480091</v>
      </c>
      <c r="D21" s="139">
        <f t="shared" si="2"/>
        <v>8.6359997236480091</v>
      </c>
      <c r="E21" s="139">
        <f t="shared" si="2"/>
        <v>8.6359997236480091</v>
      </c>
      <c r="F21" s="139">
        <f t="shared" si="2"/>
        <v>8.6359997236480091</v>
      </c>
      <c r="G21" s="139">
        <f t="shared" si="2"/>
        <v>8.6359997236480091</v>
      </c>
      <c r="H21" s="139">
        <f t="shared" si="2"/>
        <v>8.6359997236480091</v>
      </c>
      <c r="I21" s="139">
        <f t="shared" si="2"/>
        <v>8.6359997236480091</v>
      </c>
      <c r="J21" s="139">
        <f t="shared" si="2"/>
        <v>8.6359997236480091</v>
      </c>
      <c r="K21" s="139">
        <f t="shared" si="2"/>
        <v>8.6359997236480091</v>
      </c>
      <c r="L21" s="139">
        <f t="shared" si="2"/>
        <v>8.6359997236480091</v>
      </c>
      <c r="M21" s="139">
        <f t="shared" si="2"/>
        <v>8.6359997236480091</v>
      </c>
      <c r="N21" s="139">
        <f t="shared" si="2"/>
        <v>8.6359997236480091</v>
      </c>
      <c r="O21" s="139">
        <f t="shared" si="2"/>
        <v>8.6359997236480091</v>
      </c>
      <c r="P21" s="139">
        <f t="shared" si="2"/>
        <v>8.6359997236480091</v>
      </c>
      <c r="Q21" s="139">
        <f t="shared" si="2"/>
        <v>8.6359997236480091</v>
      </c>
      <c r="R21" s="139">
        <f t="shared" si="2"/>
        <v>8.6359997236480091</v>
      </c>
      <c r="S21" s="139">
        <f t="shared" si="2"/>
        <v>8.6359997236480091</v>
      </c>
    </row>
    <row r="22" spans="1:21" ht="15" customHeight="1">
      <c r="B22" s="222" t="s">
        <v>953</v>
      </c>
      <c r="C22" s="115">
        <f>Inputs!C22</f>
        <v>-99</v>
      </c>
      <c r="D22" s="115">
        <f t="shared" si="2"/>
        <v>-99</v>
      </c>
      <c r="E22" s="115">
        <f t="shared" si="2"/>
        <v>-99</v>
      </c>
      <c r="F22" s="115">
        <f t="shared" si="2"/>
        <v>-99</v>
      </c>
      <c r="G22" s="115">
        <f t="shared" si="2"/>
        <v>-99</v>
      </c>
      <c r="H22" s="115">
        <f t="shared" si="2"/>
        <v>-99</v>
      </c>
      <c r="I22" s="115">
        <f t="shared" si="2"/>
        <v>-99</v>
      </c>
      <c r="J22" s="115">
        <f t="shared" si="2"/>
        <v>-99</v>
      </c>
      <c r="K22" s="115">
        <f t="shared" si="2"/>
        <v>-99</v>
      </c>
      <c r="L22" s="115">
        <f t="shared" si="2"/>
        <v>-99</v>
      </c>
      <c r="M22" s="115">
        <f t="shared" si="2"/>
        <v>-99</v>
      </c>
      <c r="N22" s="115">
        <f t="shared" si="2"/>
        <v>-99</v>
      </c>
      <c r="O22" s="115">
        <f t="shared" si="2"/>
        <v>-99</v>
      </c>
      <c r="P22" s="115">
        <f t="shared" si="2"/>
        <v>-99</v>
      </c>
      <c r="Q22" s="115">
        <f t="shared" si="2"/>
        <v>-99</v>
      </c>
      <c r="R22" s="115">
        <f t="shared" si="2"/>
        <v>-99</v>
      </c>
      <c r="S22" s="115">
        <f t="shared" si="2"/>
        <v>-99</v>
      </c>
      <c r="T22" s="54"/>
      <c r="U22" s="222"/>
    </row>
    <row r="23" spans="1:21" ht="15" customHeight="1">
      <c r="A23" s="222" t="s">
        <v>27</v>
      </c>
      <c r="B23" s="222" t="s">
        <v>938</v>
      </c>
      <c r="C23" s="139">
        <f>Inputs!C23</f>
        <v>0.67</v>
      </c>
      <c r="D23" s="139">
        <f t="shared" si="2"/>
        <v>0.67</v>
      </c>
      <c r="E23" s="139">
        <f t="shared" si="2"/>
        <v>0.67</v>
      </c>
      <c r="F23" s="139">
        <f t="shared" si="2"/>
        <v>0.67</v>
      </c>
      <c r="G23" s="139">
        <f t="shared" si="2"/>
        <v>0.67</v>
      </c>
      <c r="H23" s="139">
        <f t="shared" si="2"/>
        <v>0.67</v>
      </c>
      <c r="I23" s="139">
        <f t="shared" si="2"/>
        <v>0.67</v>
      </c>
      <c r="J23" s="139">
        <f t="shared" si="2"/>
        <v>0.67</v>
      </c>
      <c r="K23" s="139">
        <f t="shared" si="2"/>
        <v>0.67</v>
      </c>
      <c r="L23" s="139">
        <f t="shared" si="2"/>
        <v>0.67</v>
      </c>
      <c r="M23" s="139">
        <f t="shared" si="2"/>
        <v>0.67</v>
      </c>
      <c r="N23" s="139">
        <f t="shared" si="2"/>
        <v>0.67</v>
      </c>
      <c r="O23" s="139">
        <f t="shared" si="2"/>
        <v>0.67</v>
      </c>
      <c r="P23" s="139">
        <f t="shared" si="2"/>
        <v>0.67</v>
      </c>
      <c r="Q23" s="139">
        <f t="shared" si="2"/>
        <v>0.67</v>
      </c>
      <c r="R23" s="139">
        <f t="shared" si="2"/>
        <v>0.67</v>
      </c>
      <c r="S23" s="139">
        <f t="shared" si="2"/>
        <v>0.67</v>
      </c>
      <c r="T23" s="54"/>
      <c r="U23" s="222"/>
    </row>
    <row r="24" spans="1:21" ht="15" customHeight="1">
      <c r="B24" s="222" t="s">
        <v>939</v>
      </c>
      <c r="C24" s="139">
        <f>Inputs!C24</f>
        <v>0.67</v>
      </c>
      <c r="D24" s="139">
        <f t="shared" si="2"/>
        <v>0.67</v>
      </c>
      <c r="E24" s="139">
        <f t="shared" si="2"/>
        <v>0.67</v>
      </c>
      <c r="F24" s="139">
        <f t="shared" si="2"/>
        <v>0.67</v>
      </c>
      <c r="G24" s="139">
        <f t="shared" si="2"/>
        <v>0.67</v>
      </c>
      <c r="H24" s="139">
        <f t="shared" si="2"/>
        <v>0.67</v>
      </c>
      <c r="I24" s="139">
        <f t="shared" si="2"/>
        <v>0.67</v>
      </c>
      <c r="J24" s="139">
        <f t="shared" si="2"/>
        <v>0.67</v>
      </c>
      <c r="K24" s="139">
        <f t="shared" si="2"/>
        <v>0.67</v>
      </c>
      <c r="L24" s="139">
        <f t="shared" si="2"/>
        <v>0.67</v>
      </c>
      <c r="M24" s="139">
        <f t="shared" si="2"/>
        <v>0.67</v>
      </c>
      <c r="N24" s="139">
        <f t="shared" si="2"/>
        <v>0.67</v>
      </c>
      <c r="O24" s="139">
        <f t="shared" si="2"/>
        <v>0.67</v>
      </c>
      <c r="P24" s="139">
        <f t="shared" si="2"/>
        <v>0.67</v>
      </c>
      <c r="Q24" s="139">
        <f t="shared" si="2"/>
        <v>0.67</v>
      </c>
      <c r="R24" s="139">
        <f t="shared" si="2"/>
        <v>0.67</v>
      </c>
      <c r="S24" s="139">
        <f t="shared" si="2"/>
        <v>0.67</v>
      </c>
      <c r="T24" s="54"/>
    </row>
    <row r="25" spans="1:21" ht="15" customHeight="1">
      <c r="B25" s="222" t="s">
        <v>940</v>
      </c>
      <c r="C25" s="139">
        <f>Inputs!C25</f>
        <v>0.40286271457421147</v>
      </c>
      <c r="D25" s="139">
        <f t="shared" si="2"/>
        <v>0.40286271457421147</v>
      </c>
      <c r="E25" s="139">
        <f t="shared" si="2"/>
        <v>0.40286271457421147</v>
      </c>
      <c r="F25" s="139">
        <f t="shared" si="2"/>
        <v>0.40286271457421147</v>
      </c>
      <c r="G25" s="139">
        <f t="shared" si="2"/>
        <v>0.40286271457421147</v>
      </c>
      <c r="H25" s="139">
        <f t="shared" si="2"/>
        <v>0.40286271457421147</v>
      </c>
      <c r="I25" s="139">
        <f t="shared" si="2"/>
        <v>0.40286271457421147</v>
      </c>
      <c r="J25" s="139">
        <f t="shared" si="2"/>
        <v>0.40286271457421147</v>
      </c>
      <c r="K25" s="139">
        <f t="shared" si="2"/>
        <v>0.40286271457421147</v>
      </c>
      <c r="L25" s="139">
        <f t="shared" si="2"/>
        <v>0.40286271457421147</v>
      </c>
      <c r="M25" s="139">
        <f t="shared" si="2"/>
        <v>0.40286271457421147</v>
      </c>
      <c r="N25" s="139">
        <f t="shared" si="2"/>
        <v>0.40286271457421147</v>
      </c>
      <c r="O25" s="139">
        <f t="shared" si="2"/>
        <v>0.40286271457421147</v>
      </c>
      <c r="P25" s="139">
        <f t="shared" si="2"/>
        <v>0.40286271457421147</v>
      </c>
      <c r="Q25" s="139">
        <f t="shared" si="2"/>
        <v>0.40286271457421147</v>
      </c>
      <c r="R25" s="139">
        <f t="shared" si="2"/>
        <v>0.40286271457421147</v>
      </c>
      <c r="S25" s="139">
        <f t="shared" si="2"/>
        <v>0.40286271457421147</v>
      </c>
      <c r="T25" s="54"/>
      <c r="U25" s="222"/>
    </row>
    <row r="26" spans="1:21" ht="15" customHeight="1">
      <c r="B26" s="222" t="s">
        <v>941</v>
      </c>
      <c r="C26" s="139">
        <f>Inputs!C26</f>
        <v>0.40286271457421147</v>
      </c>
      <c r="D26" s="139">
        <f t="shared" si="2"/>
        <v>0.40286271457421147</v>
      </c>
      <c r="E26" s="139">
        <f t="shared" si="2"/>
        <v>0.40286271457421147</v>
      </c>
      <c r="F26" s="139">
        <f t="shared" si="2"/>
        <v>0.40286271457421147</v>
      </c>
      <c r="G26" s="139">
        <f t="shared" si="2"/>
        <v>0.40286271457421147</v>
      </c>
      <c r="H26" s="139">
        <f t="shared" si="2"/>
        <v>0.40286271457421147</v>
      </c>
      <c r="I26" s="139">
        <f t="shared" si="2"/>
        <v>0.40286271457421147</v>
      </c>
      <c r="J26" s="139">
        <f t="shared" si="2"/>
        <v>0.40286271457421147</v>
      </c>
      <c r="K26" s="139">
        <f t="shared" si="2"/>
        <v>0.40286271457421147</v>
      </c>
      <c r="L26" s="139">
        <f t="shared" si="2"/>
        <v>0.40286271457421147</v>
      </c>
      <c r="M26" s="139">
        <f t="shared" si="2"/>
        <v>0.40286271457421147</v>
      </c>
      <c r="N26" s="139">
        <f t="shared" si="2"/>
        <v>0.40286271457421147</v>
      </c>
      <c r="O26" s="139">
        <f t="shared" si="2"/>
        <v>0.40286271457421147</v>
      </c>
      <c r="P26" s="139">
        <f t="shared" si="2"/>
        <v>0.40286271457421147</v>
      </c>
      <c r="Q26" s="139">
        <f t="shared" si="2"/>
        <v>0.40286271457421147</v>
      </c>
      <c r="R26" s="139">
        <f t="shared" si="2"/>
        <v>0.40286271457421147</v>
      </c>
      <c r="S26" s="139">
        <f t="shared" si="2"/>
        <v>0.40286271457421147</v>
      </c>
      <c r="T26" s="54"/>
      <c r="U26" s="222"/>
    </row>
    <row r="27" spans="1:21" ht="15" customHeight="1">
      <c r="B27" s="222" t="s">
        <v>942</v>
      </c>
      <c r="C27" s="139">
        <f>Inputs!C27</f>
        <v>0.67</v>
      </c>
      <c r="D27" s="139">
        <f t="shared" ref="D27:S38" si="3">C27</f>
        <v>0.67</v>
      </c>
      <c r="E27" s="139">
        <f t="shared" si="3"/>
        <v>0.67</v>
      </c>
      <c r="F27" s="139">
        <f t="shared" si="3"/>
        <v>0.67</v>
      </c>
      <c r="G27" s="139">
        <f t="shared" si="3"/>
        <v>0.67</v>
      </c>
      <c r="H27" s="139">
        <f t="shared" si="3"/>
        <v>0.67</v>
      </c>
      <c r="I27" s="139">
        <f t="shared" si="3"/>
        <v>0.67</v>
      </c>
      <c r="J27" s="139">
        <f t="shared" si="3"/>
        <v>0.67</v>
      </c>
      <c r="K27" s="139">
        <f t="shared" si="3"/>
        <v>0.67</v>
      </c>
      <c r="L27" s="139">
        <f t="shared" si="3"/>
        <v>0.67</v>
      </c>
      <c r="M27" s="139">
        <f t="shared" si="3"/>
        <v>0.67</v>
      </c>
      <c r="N27" s="139">
        <f t="shared" si="3"/>
        <v>0.67</v>
      </c>
      <c r="O27" s="139">
        <f t="shared" si="3"/>
        <v>0.67</v>
      </c>
      <c r="P27" s="139">
        <f t="shared" si="3"/>
        <v>0.67</v>
      </c>
      <c r="Q27" s="139">
        <f t="shared" si="3"/>
        <v>0.67</v>
      </c>
      <c r="R27" s="139">
        <f t="shared" si="3"/>
        <v>0.67</v>
      </c>
      <c r="S27" s="139">
        <f t="shared" si="3"/>
        <v>0.67</v>
      </c>
      <c r="T27" s="54"/>
    </row>
    <row r="28" spans="1:21" ht="15" customHeight="1">
      <c r="B28" s="222" t="s">
        <v>943</v>
      </c>
      <c r="C28" s="139">
        <f>Inputs!C28</f>
        <v>0.67</v>
      </c>
      <c r="D28" s="139">
        <f t="shared" si="3"/>
        <v>0.67</v>
      </c>
      <c r="E28" s="139">
        <f t="shared" si="3"/>
        <v>0.67</v>
      </c>
      <c r="F28" s="139">
        <f t="shared" si="3"/>
        <v>0.67</v>
      </c>
      <c r="G28" s="139">
        <f t="shared" si="3"/>
        <v>0.67</v>
      </c>
      <c r="H28" s="139">
        <f t="shared" si="3"/>
        <v>0.67</v>
      </c>
      <c r="I28" s="139">
        <f t="shared" si="3"/>
        <v>0.67</v>
      </c>
      <c r="J28" s="139">
        <f t="shared" si="3"/>
        <v>0.67</v>
      </c>
      <c r="K28" s="139">
        <f t="shared" si="3"/>
        <v>0.67</v>
      </c>
      <c r="L28" s="139">
        <f t="shared" si="3"/>
        <v>0.67</v>
      </c>
      <c r="M28" s="139">
        <f t="shared" si="3"/>
        <v>0.67</v>
      </c>
      <c r="N28" s="139">
        <f t="shared" si="3"/>
        <v>0.67</v>
      </c>
      <c r="O28" s="139">
        <f t="shared" si="3"/>
        <v>0.67</v>
      </c>
      <c r="P28" s="139">
        <f t="shared" si="3"/>
        <v>0.67</v>
      </c>
      <c r="Q28" s="139">
        <f t="shared" si="3"/>
        <v>0.67</v>
      </c>
      <c r="R28" s="139">
        <f t="shared" si="3"/>
        <v>0.67</v>
      </c>
      <c r="S28" s="139">
        <f t="shared" si="3"/>
        <v>0.67</v>
      </c>
      <c r="T28" s="54"/>
      <c r="U28" s="222"/>
    </row>
    <row r="29" spans="1:21" ht="15" customHeight="1">
      <c r="B29" s="222" t="s">
        <v>944</v>
      </c>
      <c r="C29" s="139">
        <f>Inputs!C29</f>
        <v>0.40286271457421147</v>
      </c>
      <c r="D29" s="139">
        <f t="shared" si="3"/>
        <v>0.40286271457421147</v>
      </c>
      <c r="E29" s="139">
        <f t="shared" si="3"/>
        <v>0.40286271457421147</v>
      </c>
      <c r="F29" s="139">
        <f t="shared" si="3"/>
        <v>0.40286271457421147</v>
      </c>
      <c r="G29" s="139">
        <f t="shared" si="3"/>
        <v>0.40286271457421147</v>
      </c>
      <c r="H29" s="139">
        <f t="shared" si="3"/>
        <v>0.40286271457421147</v>
      </c>
      <c r="I29" s="139">
        <f t="shared" si="3"/>
        <v>0.40286271457421147</v>
      </c>
      <c r="J29" s="139">
        <f t="shared" si="3"/>
        <v>0.40286271457421147</v>
      </c>
      <c r="K29" s="139">
        <f t="shared" si="3"/>
        <v>0.40286271457421147</v>
      </c>
      <c r="L29" s="139">
        <f t="shared" si="3"/>
        <v>0.40286271457421147</v>
      </c>
      <c r="M29" s="139">
        <f t="shared" si="3"/>
        <v>0.40286271457421147</v>
      </c>
      <c r="N29" s="139">
        <f t="shared" si="3"/>
        <v>0.40286271457421147</v>
      </c>
      <c r="O29" s="139">
        <f t="shared" si="3"/>
        <v>0.40286271457421147</v>
      </c>
      <c r="P29" s="139">
        <f t="shared" si="3"/>
        <v>0.40286271457421147</v>
      </c>
      <c r="Q29" s="139">
        <f t="shared" si="3"/>
        <v>0.40286271457421147</v>
      </c>
      <c r="R29" s="139">
        <f t="shared" si="3"/>
        <v>0.40286271457421147</v>
      </c>
      <c r="S29" s="139">
        <f t="shared" si="3"/>
        <v>0.40286271457421147</v>
      </c>
      <c r="T29" s="54"/>
      <c r="U29" s="222"/>
    </row>
    <row r="30" spans="1:21" ht="15" customHeight="1">
      <c r="B30" s="222" t="s">
        <v>945</v>
      </c>
      <c r="C30" s="139">
        <f>Inputs!C30</f>
        <v>0.40286271457421147</v>
      </c>
      <c r="D30" s="139">
        <f t="shared" si="3"/>
        <v>0.40286271457421147</v>
      </c>
      <c r="E30" s="139">
        <f t="shared" si="3"/>
        <v>0.40286271457421147</v>
      </c>
      <c r="F30" s="139">
        <f t="shared" si="3"/>
        <v>0.40286271457421147</v>
      </c>
      <c r="G30" s="139">
        <f t="shared" si="3"/>
        <v>0.40286271457421147</v>
      </c>
      <c r="H30" s="139">
        <f t="shared" si="3"/>
        <v>0.40286271457421147</v>
      </c>
      <c r="I30" s="139">
        <f t="shared" si="3"/>
        <v>0.40286271457421147</v>
      </c>
      <c r="J30" s="139">
        <f t="shared" si="3"/>
        <v>0.40286271457421147</v>
      </c>
      <c r="K30" s="139">
        <f t="shared" si="3"/>
        <v>0.40286271457421147</v>
      </c>
      <c r="L30" s="139">
        <f t="shared" si="3"/>
        <v>0.40286271457421147</v>
      </c>
      <c r="M30" s="139">
        <f t="shared" si="3"/>
        <v>0.40286271457421147</v>
      </c>
      <c r="N30" s="139">
        <f t="shared" si="3"/>
        <v>0.40286271457421147</v>
      </c>
      <c r="O30" s="139">
        <f t="shared" si="3"/>
        <v>0.40286271457421147</v>
      </c>
      <c r="P30" s="139">
        <f t="shared" si="3"/>
        <v>0.40286271457421147</v>
      </c>
      <c r="Q30" s="139">
        <f t="shared" si="3"/>
        <v>0.40286271457421147</v>
      </c>
      <c r="R30" s="139">
        <f t="shared" si="3"/>
        <v>0.40286271457421147</v>
      </c>
      <c r="S30" s="139">
        <f t="shared" si="3"/>
        <v>0.40286271457421147</v>
      </c>
      <c r="T30" s="54"/>
    </row>
    <row r="31" spans="1:21" ht="15" customHeight="1">
      <c r="B31" s="222" t="s">
        <v>946</v>
      </c>
      <c r="C31" s="115">
        <f>Inputs!C31</f>
        <v>1</v>
      </c>
      <c r="D31" s="115">
        <f t="shared" si="3"/>
        <v>1</v>
      </c>
      <c r="E31" s="115">
        <f t="shared" si="3"/>
        <v>1</v>
      </c>
      <c r="F31" s="115">
        <f t="shared" si="3"/>
        <v>1</v>
      </c>
      <c r="G31" s="115">
        <f t="shared" si="3"/>
        <v>1</v>
      </c>
      <c r="H31" s="115">
        <f t="shared" si="3"/>
        <v>1</v>
      </c>
      <c r="I31" s="115">
        <f t="shared" si="3"/>
        <v>1</v>
      </c>
      <c r="J31" s="115">
        <f t="shared" si="3"/>
        <v>1</v>
      </c>
      <c r="K31" s="115">
        <f t="shared" si="3"/>
        <v>1</v>
      </c>
      <c r="L31" s="115">
        <f t="shared" si="3"/>
        <v>1</v>
      </c>
      <c r="M31" s="115">
        <f t="shared" si="3"/>
        <v>1</v>
      </c>
      <c r="N31" s="115">
        <f t="shared" si="3"/>
        <v>1</v>
      </c>
      <c r="O31" s="115">
        <f t="shared" si="3"/>
        <v>1</v>
      </c>
      <c r="P31" s="115">
        <f t="shared" si="3"/>
        <v>1</v>
      </c>
      <c r="Q31" s="115">
        <f t="shared" si="3"/>
        <v>1</v>
      </c>
      <c r="R31" s="115">
        <f t="shared" si="3"/>
        <v>1</v>
      </c>
      <c r="S31" s="115">
        <f t="shared" si="3"/>
        <v>1</v>
      </c>
      <c r="T31" s="54"/>
      <c r="U31" s="222"/>
    </row>
    <row r="32" spans="1:21" ht="15" customHeight="1">
      <c r="B32" s="222" t="s">
        <v>955</v>
      </c>
      <c r="C32" s="115">
        <f>Inputs!C32</f>
        <v>0</v>
      </c>
      <c r="D32" s="115">
        <f t="shared" si="3"/>
        <v>0</v>
      </c>
      <c r="E32" s="115">
        <f t="shared" si="3"/>
        <v>0</v>
      </c>
      <c r="F32" s="115">
        <f t="shared" si="3"/>
        <v>0</v>
      </c>
      <c r="G32" s="115">
        <f t="shared" si="3"/>
        <v>0</v>
      </c>
      <c r="H32" s="115">
        <f t="shared" si="3"/>
        <v>0</v>
      </c>
      <c r="I32" s="115">
        <f t="shared" si="3"/>
        <v>0</v>
      </c>
      <c r="J32" s="115">
        <f t="shared" si="3"/>
        <v>0</v>
      </c>
      <c r="K32" s="115">
        <f t="shared" si="3"/>
        <v>0</v>
      </c>
      <c r="L32" s="115">
        <f t="shared" si="3"/>
        <v>0</v>
      </c>
      <c r="M32" s="115">
        <f t="shared" si="3"/>
        <v>0</v>
      </c>
      <c r="N32" s="115">
        <f t="shared" si="3"/>
        <v>0</v>
      </c>
      <c r="O32" s="115">
        <f t="shared" si="3"/>
        <v>0</v>
      </c>
      <c r="P32" s="115">
        <f t="shared" si="3"/>
        <v>0</v>
      </c>
      <c r="Q32" s="115">
        <f t="shared" si="3"/>
        <v>0</v>
      </c>
      <c r="R32" s="115">
        <f t="shared" si="3"/>
        <v>0</v>
      </c>
      <c r="S32" s="115">
        <f t="shared" si="3"/>
        <v>0</v>
      </c>
      <c r="T32" s="54"/>
      <c r="U32" s="222"/>
    </row>
    <row r="33" spans="1:22" ht="15" customHeight="1">
      <c r="A33" s="222" t="s">
        <v>1043</v>
      </c>
      <c r="B33" s="222" t="s">
        <v>379</v>
      </c>
      <c r="C33" s="8">
        <f>Inputs!C33</f>
        <v>18.579999999999998</v>
      </c>
      <c r="D33" s="8">
        <f t="shared" si="3"/>
        <v>18.579999999999998</v>
      </c>
      <c r="E33" s="8">
        <f t="shared" si="3"/>
        <v>18.579999999999998</v>
      </c>
      <c r="F33" s="8">
        <f t="shared" si="3"/>
        <v>18.579999999999998</v>
      </c>
      <c r="G33" s="8">
        <f t="shared" si="3"/>
        <v>18.579999999999998</v>
      </c>
      <c r="H33" s="8">
        <f t="shared" si="3"/>
        <v>18.579999999999998</v>
      </c>
      <c r="I33" s="8">
        <f t="shared" si="3"/>
        <v>18.579999999999998</v>
      </c>
      <c r="J33" s="8">
        <f t="shared" si="3"/>
        <v>18.579999999999998</v>
      </c>
      <c r="K33" s="8">
        <f t="shared" si="3"/>
        <v>18.579999999999998</v>
      </c>
      <c r="L33" s="8">
        <f t="shared" si="3"/>
        <v>18.579999999999998</v>
      </c>
      <c r="M33" s="8">
        <f t="shared" si="3"/>
        <v>18.579999999999998</v>
      </c>
      <c r="N33" s="8">
        <f t="shared" si="3"/>
        <v>18.579999999999998</v>
      </c>
      <c r="O33" s="8">
        <f t="shared" si="3"/>
        <v>18.579999999999998</v>
      </c>
      <c r="P33" s="8">
        <f t="shared" si="3"/>
        <v>18.579999999999998</v>
      </c>
      <c r="Q33" s="8">
        <f t="shared" si="3"/>
        <v>18.579999999999998</v>
      </c>
      <c r="R33" s="8">
        <f t="shared" si="3"/>
        <v>18.579999999999998</v>
      </c>
      <c r="S33" s="204">
        <f t="shared" si="3"/>
        <v>18.579999999999998</v>
      </c>
      <c r="T33" s="245"/>
    </row>
    <row r="34" spans="1:22" ht="15" customHeight="1">
      <c r="B34" s="222" t="s">
        <v>956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6" t="str">
        <f t="shared" si="3"/>
        <v>R</v>
      </c>
      <c r="T34" s="245"/>
    </row>
    <row r="35" spans="1:22" ht="15" customHeight="1">
      <c r="B35" s="222" t="s">
        <v>957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04">
        <f t="shared" si="3"/>
        <v>729.1581126273195</v>
      </c>
      <c r="T35" s="245"/>
    </row>
    <row r="36" spans="1:22" ht="15" customHeight="1">
      <c r="B36" s="222" t="s">
        <v>958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04">
        <f t="shared" si="3"/>
        <v>250.82999999999998</v>
      </c>
      <c r="T36" s="245"/>
    </row>
    <row r="37" spans="1:22" ht="15" customHeight="1">
      <c r="B37" s="222" t="s">
        <v>959</v>
      </c>
      <c r="C37" s="8">
        <f>Inputs!C37</f>
        <v>116.125</v>
      </c>
      <c r="D37" s="8">
        <f>C37</f>
        <v>116.125</v>
      </c>
      <c r="E37" s="8">
        <f t="shared" si="3"/>
        <v>116.125</v>
      </c>
      <c r="F37" s="8">
        <f t="shared" si="3"/>
        <v>116.125</v>
      </c>
      <c r="G37" s="8">
        <f t="shared" si="3"/>
        <v>116.125</v>
      </c>
      <c r="H37" s="8">
        <f t="shared" si="3"/>
        <v>116.125</v>
      </c>
      <c r="I37" s="8">
        <f t="shared" si="3"/>
        <v>116.125</v>
      </c>
      <c r="J37" s="8">
        <f t="shared" si="3"/>
        <v>116.125</v>
      </c>
      <c r="K37" s="8">
        <f t="shared" si="3"/>
        <v>116.125</v>
      </c>
      <c r="L37" s="8">
        <f t="shared" si="3"/>
        <v>116.125</v>
      </c>
      <c r="M37" s="8">
        <f t="shared" si="3"/>
        <v>116.125</v>
      </c>
      <c r="N37" s="8">
        <f t="shared" si="3"/>
        <v>116.125</v>
      </c>
      <c r="O37" s="8">
        <f t="shared" si="3"/>
        <v>116.125</v>
      </c>
      <c r="P37" s="8">
        <f t="shared" si="3"/>
        <v>116.125</v>
      </c>
      <c r="Q37" s="8">
        <f t="shared" si="3"/>
        <v>116.125</v>
      </c>
      <c r="R37" s="8">
        <f t="shared" si="3"/>
        <v>116.125</v>
      </c>
      <c r="S37" s="204">
        <f t="shared" si="3"/>
        <v>116.125</v>
      </c>
      <c r="T37" s="245"/>
    </row>
    <row r="38" spans="1:22" s="222" customFormat="1" ht="15" customHeight="1">
      <c r="B38" s="222" t="s">
        <v>869</v>
      </c>
      <c r="C38" s="204">
        <f>Inputs!C38</f>
        <v>0.30479999024640031</v>
      </c>
      <c r="D38" s="204">
        <f>C38</f>
        <v>0.30479999024640031</v>
      </c>
      <c r="E38" s="204">
        <f t="shared" si="3"/>
        <v>0.30479999024640031</v>
      </c>
      <c r="F38" s="204">
        <f t="shared" si="3"/>
        <v>0.30479999024640031</v>
      </c>
      <c r="G38" s="204">
        <f t="shared" si="3"/>
        <v>0.30479999024640031</v>
      </c>
      <c r="H38" s="204">
        <f t="shared" si="3"/>
        <v>0.30479999024640031</v>
      </c>
      <c r="I38" s="204">
        <f t="shared" si="3"/>
        <v>0.30479999024640031</v>
      </c>
      <c r="J38" s="204">
        <f t="shared" si="3"/>
        <v>0.30479999024640031</v>
      </c>
      <c r="K38" s="204">
        <f t="shared" si="3"/>
        <v>0.30479999024640031</v>
      </c>
      <c r="L38" s="204">
        <f t="shared" si="3"/>
        <v>0.30479999024640031</v>
      </c>
      <c r="M38" s="204">
        <f t="shared" si="3"/>
        <v>0.30479999024640031</v>
      </c>
      <c r="N38" s="204">
        <f t="shared" si="3"/>
        <v>0.30479999024640031</v>
      </c>
      <c r="O38" s="204">
        <f t="shared" si="3"/>
        <v>0.30479999024640031</v>
      </c>
      <c r="P38" s="204">
        <f t="shared" si="3"/>
        <v>0.30479999024640031</v>
      </c>
      <c r="Q38" s="204">
        <f t="shared" si="3"/>
        <v>0.30479999024640031</v>
      </c>
      <c r="R38" s="204">
        <f t="shared" si="3"/>
        <v>0.30479999024640031</v>
      </c>
      <c r="S38" s="204">
        <f t="shared" si="3"/>
        <v>0.30479999024640031</v>
      </c>
      <c r="T38" s="245"/>
    </row>
    <row r="39" spans="1:22" ht="15" customHeight="1">
      <c r="B39" s="222" t="s">
        <v>962</v>
      </c>
      <c r="C39" s="316">
        <f>UA!AC12</f>
        <v>39.409521141560006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45"/>
      <c r="V39" s="222"/>
    </row>
    <row r="40" spans="1:22" ht="15" customHeight="1">
      <c r="B40" s="222" t="s">
        <v>963</v>
      </c>
      <c r="C40" s="316">
        <f>UA!AC14</f>
        <v>69.829677765450313</v>
      </c>
      <c r="D40" s="9">
        <f>UA!G13</f>
        <v>69.829677765450313</v>
      </c>
      <c r="E40" s="9">
        <f>UA!H13</f>
        <v>69.829677765450313</v>
      </c>
      <c r="F40" s="9">
        <f>UA!I13</f>
        <v>69.829677765450313</v>
      </c>
      <c r="G40" s="9">
        <f>UA!J13</f>
        <v>69.829677765450313</v>
      </c>
      <c r="H40" s="9">
        <f>UA!K13</f>
        <v>69.829677765450313</v>
      </c>
      <c r="I40" s="9">
        <f>UA!L13</f>
        <v>69.829677765450313</v>
      </c>
      <c r="J40" s="9">
        <f>UA!M13</f>
        <v>69.829677765450313</v>
      </c>
      <c r="K40" s="9">
        <f>UA!N13</f>
        <v>69.829677765450313</v>
      </c>
      <c r="L40" s="9">
        <f>UA!O13</f>
        <v>69.829677765450313</v>
      </c>
      <c r="M40" s="9">
        <f>UA!P13</f>
        <v>69.829677765450313</v>
      </c>
      <c r="N40" s="9">
        <f>UA!Q13</f>
        <v>69.829677765450313</v>
      </c>
      <c r="O40" s="9">
        <f>UA!R13</f>
        <v>69.829677765450313</v>
      </c>
      <c r="P40" s="9">
        <f>UA!S13</f>
        <v>69.829677765450313</v>
      </c>
      <c r="Q40" s="9">
        <f>UA!T13</f>
        <v>69.829677765450313</v>
      </c>
      <c r="R40" s="9">
        <f>UA!U13</f>
        <v>69.829677765450313</v>
      </c>
      <c r="S40" s="9">
        <f>UA!V13</f>
        <v>69.829677765450313</v>
      </c>
      <c r="T40" s="245"/>
    </row>
    <row r="41" spans="1:22" s="222" customFormat="1" ht="15" customHeight="1">
      <c r="B41" s="222" t="s">
        <v>964</v>
      </c>
      <c r="C41" s="317">
        <f>UA!AC13</f>
        <v>91.154431295999998</v>
      </c>
      <c r="D41" s="9">
        <f>UA!G12</f>
        <v>113.93701919999998</v>
      </c>
      <c r="E41" s="9">
        <f>UA!H12</f>
        <v>113.93701919999998</v>
      </c>
      <c r="F41" s="9">
        <f>UA!I12</f>
        <v>85.452764399999992</v>
      </c>
      <c r="G41" s="9">
        <f>UA!J12</f>
        <v>85.452764399999992</v>
      </c>
      <c r="H41" s="9">
        <f>UA!K12</f>
        <v>85.452764399999992</v>
      </c>
      <c r="I41" s="9">
        <f>UA!L12</f>
        <v>85.452764399999992</v>
      </c>
      <c r="J41" s="9">
        <f>UA!M12</f>
        <v>85.452764399999992</v>
      </c>
      <c r="K41" s="9">
        <f>UA!N12</f>
        <v>76.907487959999997</v>
      </c>
      <c r="L41" s="9">
        <f>UA!O12</f>
        <v>76.907487959999997</v>
      </c>
      <c r="M41" s="9">
        <f>UA!P12</f>
        <v>76.907487959999997</v>
      </c>
      <c r="N41" s="9">
        <f>UA!Q12</f>
        <v>76.907487959999997</v>
      </c>
      <c r="O41" s="9">
        <f>UA!R12</f>
        <v>76.907487959999997</v>
      </c>
      <c r="P41" s="9">
        <f>UA!S12</f>
        <v>76.907487959999997</v>
      </c>
      <c r="Q41" s="9">
        <f>UA!T12</f>
        <v>76.907487959999997</v>
      </c>
      <c r="R41" s="9">
        <f>UA!U12</f>
        <v>113.93701919999998</v>
      </c>
      <c r="S41" s="9">
        <f>UA!V12</f>
        <v>85.452764399999992</v>
      </c>
      <c r="T41" s="245"/>
    </row>
    <row r="42" spans="1:22" ht="15" customHeight="1">
      <c r="A42" s="222" t="s">
        <v>46</v>
      </c>
      <c r="B42" s="222" t="s">
        <v>965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45"/>
    </row>
    <row r="43" spans="1:22" s="222" customFormat="1" ht="15" customHeight="1">
      <c r="B43" s="222" t="s">
        <v>871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45"/>
    </row>
    <row r="44" spans="1:22" s="222" customFormat="1" ht="15" customHeight="1">
      <c r="B44" s="222" t="s">
        <v>872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45"/>
    </row>
    <row r="45" spans="1:22" s="222" customFormat="1" ht="15" customHeight="1">
      <c r="B45" s="222" t="s">
        <v>873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45"/>
    </row>
    <row r="46" spans="1:22" s="222" customFormat="1" ht="15" customHeight="1">
      <c r="B46" s="222" t="s">
        <v>874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45"/>
    </row>
    <row r="47" spans="1:22" s="222" customFormat="1" ht="15" customHeight="1">
      <c r="B47" s="222" t="s">
        <v>875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45"/>
    </row>
    <row r="48" spans="1:22" ht="15" customHeight="1">
      <c r="A48" s="222" t="s">
        <v>48</v>
      </c>
      <c r="B48" s="222" t="s">
        <v>966</v>
      </c>
      <c r="C48" s="115">
        <f>Inputs!C48</f>
        <v>6</v>
      </c>
      <c r="D48" s="115">
        <f t="shared" ref="D48:S48" si="21">C48</f>
        <v>6</v>
      </c>
      <c r="E48" s="115">
        <f t="shared" si="21"/>
        <v>6</v>
      </c>
      <c r="F48" s="115">
        <f t="shared" si="21"/>
        <v>6</v>
      </c>
      <c r="G48" s="115">
        <f t="shared" si="21"/>
        <v>6</v>
      </c>
      <c r="H48" s="115">
        <f t="shared" si="21"/>
        <v>6</v>
      </c>
      <c r="I48" s="115">
        <f t="shared" si="21"/>
        <v>6</v>
      </c>
      <c r="J48" s="115">
        <f t="shared" si="21"/>
        <v>6</v>
      </c>
      <c r="K48" s="115">
        <f t="shared" si="21"/>
        <v>6</v>
      </c>
      <c r="L48" s="115">
        <f t="shared" si="21"/>
        <v>6</v>
      </c>
      <c r="M48" s="115">
        <f t="shared" si="21"/>
        <v>6</v>
      </c>
      <c r="N48" s="115">
        <f t="shared" si="21"/>
        <v>6</v>
      </c>
      <c r="O48" s="115">
        <f t="shared" si="21"/>
        <v>6</v>
      </c>
      <c r="P48" s="115">
        <f t="shared" si="21"/>
        <v>6</v>
      </c>
      <c r="Q48" s="115">
        <f t="shared" si="21"/>
        <v>6</v>
      </c>
      <c r="R48" s="115">
        <f t="shared" si="21"/>
        <v>6</v>
      </c>
      <c r="S48" s="115">
        <f t="shared" si="21"/>
        <v>6</v>
      </c>
      <c r="T48" s="245"/>
    </row>
    <row r="49" spans="2:20" ht="15" customHeight="1">
      <c r="B49" s="222" t="s">
        <v>972</v>
      </c>
      <c r="C49" s="299">
        <f>Fans!B12</f>
        <v>14.078496687374331</v>
      </c>
      <c r="D49" s="299">
        <f>Fans!C12</f>
        <v>16.770914131739726</v>
      </c>
      <c r="E49" s="299">
        <f>Fans!D12</f>
        <v>14.884390344191182</v>
      </c>
      <c r="F49" s="299">
        <f>Fans!E12</f>
        <v>17.126239971336247</v>
      </c>
      <c r="G49" s="299">
        <f>Fans!F12</f>
        <v>15.660978777123784</v>
      </c>
      <c r="H49" s="299">
        <f>Fans!G12</f>
        <v>19.104342583523064</v>
      </c>
      <c r="I49" s="299">
        <f>Fans!H12</f>
        <v>20.276551538893028</v>
      </c>
      <c r="J49" s="299">
        <f>Fans!I12</f>
        <v>21.331539598725996</v>
      </c>
      <c r="K49" s="299">
        <f>Fans!J12</f>
        <v>19.99448875900713</v>
      </c>
      <c r="L49" s="299">
        <f>Fans!K12</f>
        <v>19.104342583523064</v>
      </c>
      <c r="M49" s="299">
        <f>Fans!L12</f>
        <v>16.408261986172139</v>
      </c>
      <c r="N49" s="299">
        <f>Fans!M12</f>
        <v>16.038283534633493</v>
      </c>
      <c r="O49" s="299">
        <f>Fans!N12</f>
        <v>18.148259654299434</v>
      </c>
      <c r="P49" s="299">
        <f>Fans!O12</f>
        <v>13.664560400009314</v>
      </c>
      <c r="Q49" s="299">
        <f>Fans!P12</f>
        <v>17.814912732616097</v>
      </c>
      <c r="R49" s="299">
        <f>Fans!Q12</f>
        <v>18.474280270011707</v>
      </c>
      <c r="S49" s="299">
        <f>Fans!R12</f>
        <v>0</v>
      </c>
      <c r="T49" s="245"/>
    </row>
    <row r="50" spans="2:20" ht="15" customHeight="1">
      <c r="B50" s="222" t="s">
        <v>970</v>
      </c>
      <c r="C50" s="460">
        <f>Fans!B13</f>
        <v>-3.2282725722023231E-2</v>
      </c>
      <c r="D50" s="170">
        <f>Fans!C13</f>
        <v>-3.8456579068424042E-2</v>
      </c>
      <c r="E50" s="170">
        <f>Fans!D13</f>
        <v>-3.4130681825707825E-2</v>
      </c>
      <c r="F50" s="170">
        <f>Fans!E13</f>
        <v>-3.9271359714139524E-2</v>
      </c>
      <c r="G50" s="170">
        <f>Fans!F13</f>
        <v>-3.591143952562207E-2</v>
      </c>
      <c r="H50" s="170">
        <f>Fans!G13</f>
        <v>-4.3807251968638071E-2</v>
      </c>
      <c r="I50" s="170">
        <f>Fans!H13</f>
        <v>-4.6495188119452024E-2</v>
      </c>
      <c r="J50" s="170">
        <f>Fans!I13</f>
        <v>-4.8914330655184586E-2</v>
      </c>
      <c r="K50" s="170">
        <f>Fans!J13</f>
        <v>-4.5848403483162416E-2</v>
      </c>
      <c r="L50" s="170">
        <f>Fans!K13</f>
        <v>-4.3807251968638071E-2</v>
      </c>
      <c r="M50" s="170">
        <f>Fans!L13</f>
        <v>-3.7624998821765968E-2</v>
      </c>
      <c r="N50" s="170">
        <f>Fans!M13</f>
        <v>-3.6776618974165315E-2</v>
      </c>
      <c r="O50" s="170">
        <f>Fans!N13</f>
        <v>-4.1614904045630438E-2</v>
      </c>
      <c r="P50" s="170">
        <f>Fans!O13</f>
        <v>-3.133354826876706E-2</v>
      </c>
      <c r="Q50" s="170">
        <f>Fans!P13</f>
        <v>-4.0850522202742719E-2</v>
      </c>
      <c r="R50" s="170">
        <f>Fans!Q13</f>
        <v>-4.2362486287575572E-2</v>
      </c>
      <c r="S50" s="170">
        <f>Fans!R13</f>
        <v>0</v>
      </c>
      <c r="T50" s="245"/>
    </row>
    <row r="51" spans="2:20" ht="15" customHeight="1">
      <c r="B51" s="222" t="s">
        <v>971</v>
      </c>
      <c r="C51" s="169">
        <f>Fans!B14</f>
        <v>1</v>
      </c>
      <c r="D51" s="169">
        <f>Fans!C14</f>
        <v>1</v>
      </c>
      <c r="E51" s="169">
        <f>Fans!D14</f>
        <v>1</v>
      </c>
      <c r="F51" s="169">
        <f>Fans!E14</f>
        <v>1</v>
      </c>
      <c r="G51" s="169">
        <f>Fans!F14</f>
        <v>1</v>
      </c>
      <c r="H51" s="169">
        <f>Fans!G14</f>
        <v>1</v>
      </c>
      <c r="I51" s="169">
        <f>Fans!H14</f>
        <v>1</v>
      </c>
      <c r="J51" s="169">
        <f>Fans!I14</f>
        <v>1</v>
      </c>
      <c r="K51" s="169">
        <f>Fans!J14</f>
        <v>1</v>
      </c>
      <c r="L51" s="169">
        <f>Fans!K14</f>
        <v>1</v>
      </c>
      <c r="M51" s="169">
        <f>Fans!L14</f>
        <v>1</v>
      </c>
      <c r="N51" s="169">
        <f>Fans!M14</f>
        <v>1</v>
      </c>
      <c r="O51" s="169">
        <f>Fans!N14</f>
        <v>1</v>
      </c>
      <c r="P51" s="169">
        <f>Fans!O14</f>
        <v>1</v>
      </c>
      <c r="Q51" s="169">
        <f>Fans!P14</f>
        <v>1</v>
      </c>
      <c r="R51" s="169">
        <f>Fans!Q14</f>
        <v>1</v>
      </c>
      <c r="S51" s="169">
        <f>Fans!R14</f>
        <v>0</v>
      </c>
      <c r="T51" s="245"/>
    </row>
    <row r="52" spans="2:20" ht="15" customHeight="1">
      <c r="B52" s="222" t="s">
        <v>973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04">
        <f t="shared" si="22"/>
        <v>0</v>
      </c>
      <c r="T52" s="245"/>
    </row>
    <row r="53" spans="2:20" ht="15" customHeight="1">
      <c r="B53" s="222" t="s">
        <v>974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245"/>
    </row>
    <row r="54" spans="2:20" ht="15" customHeight="1">
      <c r="B54" s="222" t="s">
        <v>975</v>
      </c>
      <c r="C54" s="115">
        <f>Inputs!C54</f>
        <v>23</v>
      </c>
      <c r="D54" s="115">
        <f t="shared" ref="D54:S54" si="24">C54</f>
        <v>23</v>
      </c>
      <c r="E54" s="115">
        <f t="shared" si="24"/>
        <v>23</v>
      </c>
      <c r="F54" s="115">
        <f t="shared" si="24"/>
        <v>23</v>
      </c>
      <c r="G54" s="115">
        <f t="shared" si="24"/>
        <v>23</v>
      </c>
      <c r="H54" s="115">
        <f t="shared" si="24"/>
        <v>23</v>
      </c>
      <c r="I54" s="115">
        <f t="shared" si="24"/>
        <v>23</v>
      </c>
      <c r="J54" s="115">
        <f t="shared" si="24"/>
        <v>23</v>
      </c>
      <c r="K54" s="115">
        <f t="shared" si="24"/>
        <v>23</v>
      </c>
      <c r="L54" s="115">
        <f t="shared" si="24"/>
        <v>23</v>
      </c>
      <c r="M54" s="115">
        <f t="shared" si="24"/>
        <v>23</v>
      </c>
      <c r="N54" s="115">
        <f t="shared" si="24"/>
        <v>23</v>
      </c>
      <c r="O54" s="115">
        <f t="shared" si="24"/>
        <v>23</v>
      </c>
      <c r="P54" s="115">
        <f t="shared" si="24"/>
        <v>23</v>
      </c>
      <c r="Q54" s="115">
        <f t="shared" si="24"/>
        <v>23</v>
      </c>
      <c r="R54" s="115">
        <f t="shared" si="24"/>
        <v>23</v>
      </c>
      <c r="S54" s="115">
        <f t="shared" si="24"/>
        <v>23</v>
      </c>
      <c r="T54" s="245"/>
    </row>
    <row r="55" spans="2:20" ht="15" customHeight="1">
      <c r="B55" s="222" t="s">
        <v>976</v>
      </c>
      <c r="C55" s="174">
        <f>Inputs!C55</f>
        <v>37.200000000000003</v>
      </c>
      <c r="D55" s="174">
        <f t="shared" ref="D55:S55" si="25">C55</f>
        <v>37.200000000000003</v>
      </c>
      <c r="E55" s="174">
        <f t="shared" si="25"/>
        <v>37.200000000000003</v>
      </c>
      <c r="F55" s="174">
        <f t="shared" si="25"/>
        <v>37.200000000000003</v>
      </c>
      <c r="G55" s="174">
        <f t="shared" si="25"/>
        <v>37.200000000000003</v>
      </c>
      <c r="H55" s="174">
        <f t="shared" si="25"/>
        <v>37.200000000000003</v>
      </c>
      <c r="I55" s="174">
        <f t="shared" si="25"/>
        <v>37.200000000000003</v>
      </c>
      <c r="J55" s="174">
        <f t="shared" si="25"/>
        <v>37.200000000000003</v>
      </c>
      <c r="K55" s="174">
        <f t="shared" si="25"/>
        <v>37.200000000000003</v>
      </c>
      <c r="L55" s="174">
        <f t="shared" si="25"/>
        <v>37.200000000000003</v>
      </c>
      <c r="M55" s="174">
        <f t="shared" si="25"/>
        <v>37.200000000000003</v>
      </c>
      <c r="N55" s="174">
        <f t="shared" si="25"/>
        <v>37.200000000000003</v>
      </c>
      <c r="O55" s="174">
        <f t="shared" si="25"/>
        <v>37.200000000000003</v>
      </c>
      <c r="P55" s="174">
        <f t="shared" si="25"/>
        <v>37.200000000000003</v>
      </c>
      <c r="Q55" s="174">
        <f t="shared" si="25"/>
        <v>37.200000000000003</v>
      </c>
      <c r="R55" s="174">
        <f t="shared" si="25"/>
        <v>37.200000000000003</v>
      </c>
      <c r="S55" s="174">
        <f t="shared" si="25"/>
        <v>37.200000000000003</v>
      </c>
      <c r="T55" s="245"/>
    </row>
    <row r="56" spans="2:20" ht="15" customHeight="1">
      <c r="B56" s="222" t="s">
        <v>977</v>
      </c>
      <c r="C56" s="170">
        <f>Inputs!C56</f>
        <v>-4.7192071731949031E-2</v>
      </c>
      <c r="D56" s="170">
        <f t="shared" ref="D56:S56" si="26">C56</f>
        <v>-4.7192071731949031E-2</v>
      </c>
      <c r="E56" s="170">
        <f t="shared" si="26"/>
        <v>-4.7192071731949031E-2</v>
      </c>
      <c r="F56" s="170">
        <f t="shared" si="26"/>
        <v>-4.7192071731949031E-2</v>
      </c>
      <c r="G56" s="170">
        <f t="shared" si="26"/>
        <v>-4.7192071731949031E-2</v>
      </c>
      <c r="H56" s="170">
        <f t="shared" si="26"/>
        <v>-4.7192071731949031E-2</v>
      </c>
      <c r="I56" s="170">
        <f t="shared" si="26"/>
        <v>-4.7192071731949031E-2</v>
      </c>
      <c r="J56" s="170">
        <f t="shared" si="26"/>
        <v>-4.7192071731949031E-2</v>
      </c>
      <c r="K56" s="170">
        <f t="shared" si="26"/>
        <v>-4.7192071731949031E-2</v>
      </c>
      <c r="L56" s="170">
        <f t="shared" si="26"/>
        <v>-4.7192071731949031E-2</v>
      </c>
      <c r="M56" s="170">
        <f t="shared" si="26"/>
        <v>-4.7192071731949031E-2</v>
      </c>
      <c r="N56" s="170">
        <f t="shared" si="26"/>
        <v>-4.7192071731949031E-2</v>
      </c>
      <c r="O56" s="170">
        <f t="shared" si="26"/>
        <v>-4.7192071731949031E-2</v>
      </c>
      <c r="P56" s="170">
        <f t="shared" si="26"/>
        <v>-4.7192071731949031E-2</v>
      </c>
      <c r="Q56" s="170">
        <f t="shared" si="26"/>
        <v>-4.7192071731949031E-2</v>
      </c>
      <c r="R56" s="170">
        <f t="shared" si="26"/>
        <v>-4.7192071731949031E-2</v>
      </c>
      <c r="S56" s="170">
        <f t="shared" si="26"/>
        <v>-4.7192071731949031E-2</v>
      </c>
      <c r="T56" s="245"/>
    </row>
    <row r="57" spans="2:20" ht="15" customHeight="1">
      <c r="B57" s="222" t="s">
        <v>978</v>
      </c>
      <c r="C57" s="169">
        <f>Inputs!C57</f>
        <v>24</v>
      </c>
      <c r="D57" s="169">
        <f t="shared" ref="D57:S57" si="27">C57</f>
        <v>24</v>
      </c>
      <c r="E57" s="169">
        <f t="shared" si="27"/>
        <v>24</v>
      </c>
      <c r="F57" s="169">
        <f t="shared" si="27"/>
        <v>24</v>
      </c>
      <c r="G57" s="169">
        <f t="shared" si="27"/>
        <v>24</v>
      </c>
      <c r="H57" s="169">
        <f t="shared" si="27"/>
        <v>24</v>
      </c>
      <c r="I57" s="169">
        <f t="shared" si="27"/>
        <v>24</v>
      </c>
      <c r="J57" s="169">
        <f t="shared" si="27"/>
        <v>24</v>
      </c>
      <c r="K57" s="169">
        <f t="shared" si="27"/>
        <v>24</v>
      </c>
      <c r="L57" s="169">
        <f t="shared" si="27"/>
        <v>24</v>
      </c>
      <c r="M57" s="169">
        <f t="shared" si="27"/>
        <v>24</v>
      </c>
      <c r="N57" s="169">
        <f t="shared" si="27"/>
        <v>24</v>
      </c>
      <c r="O57" s="169">
        <f t="shared" si="27"/>
        <v>24</v>
      </c>
      <c r="P57" s="169">
        <f t="shared" si="27"/>
        <v>24</v>
      </c>
      <c r="Q57" s="169">
        <f t="shared" si="27"/>
        <v>24</v>
      </c>
      <c r="R57" s="169">
        <f t="shared" si="27"/>
        <v>24</v>
      </c>
      <c r="S57" s="169">
        <f t="shared" si="27"/>
        <v>24</v>
      </c>
      <c r="T57" s="245"/>
    </row>
    <row r="58" spans="2:20" ht="15" customHeight="1">
      <c r="B58" s="222" t="s">
        <v>979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04">
        <f t="shared" si="28"/>
        <v>10.199999999999999</v>
      </c>
      <c r="T58" s="245"/>
    </row>
    <row r="59" spans="2:20" ht="15" customHeight="1">
      <c r="B59" s="222" t="s">
        <v>980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245"/>
    </row>
    <row r="60" spans="2:20" ht="15" customHeight="1">
      <c r="B60" s="222" t="s">
        <v>981</v>
      </c>
      <c r="C60" s="115">
        <f>Inputs!C60</f>
        <v>25</v>
      </c>
      <c r="D60" s="115">
        <f t="shared" ref="D60:S60" si="30">C60</f>
        <v>25</v>
      </c>
      <c r="E60" s="115">
        <f t="shared" si="30"/>
        <v>25</v>
      </c>
      <c r="F60" s="115">
        <f t="shared" si="30"/>
        <v>25</v>
      </c>
      <c r="G60" s="115">
        <f t="shared" si="30"/>
        <v>25</v>
      </c>
      <c r="H60" s="115">
        <f t="shared" si="30"/>
        <v>25</v>
      </c>
      <c r="I60" s="115">
        <f t="shared" si="30"/>
        <v>25</v>
      </c>
      <c r="J60" s="115">
        <f t="shared" si="30"/>
        <v>25</v>
      </c>
      <c r="K60" s="115">
        <f t="shared" si="30"/>
        <v>25</v>
      </c>
      <c r="L60" s="115">
        <f t="shared" si="30"/>
        <v>25</v>
      </c>
      <c r="M60" s="115">
        <f t="shared" si="30"/>
        <v>25</v>
      </c>
      <c r="N60" s="115">
        <f t="shared" si="30"/>
        <v>25</v>
      </c>
      <c r="O60" s="115">
        <f t="shared" si="30"/>
        <v>25</v>
      </c>
      <c r="P60" s="115">
        <f t="shared" si="30"/>
        <v>25</v>
      </c>
      <c r="Q60" s="115">
        <f t="shared" si="30"/>
        <v>25</v>
      </c>
      <c r="R60" s="115">
        <f t="shared" si="30"/>
        <v>25</v>
      </c>
      <c r="S60" s="115">
        <f t="shared" si="30"/>
        <v>25</v>
      </c>
      <c r="T60" s="245"/>
    </row>
    <row r="61" spans="2:20" ht="15" customHeight="1">
      <c r="B61" s="222" t="s">
        <v>982</v>
      </c>
      <c r="C61" s="174">
        <f>Inputs!C61</f>
        <v>10.199999999999999</v>
      </c>
      <c r="D61" s="174">
        <f t="shared" ref="D61:S61" si="31">C61</f>
        <v>10.199999999999999</v>
      </c>
      <c r="E61" s="174">
        <f t="shared" si="31"/>
        <v>10.199999999999999</v>
      </c>
      <c r="F61" s="174">
        <f t="shared" si="31"/>
        <v>10.199999999999999</v>
      </c>
      <c r="G61" s="174">
        <f t="shared" si="31"/>
        <v>10.199999999999999</v>
      </c>
      <c r="H61" s="174">
        <f t="shared" si="31"/>
        <v>10.199999999999999</v>
      </c>
      <c r="I61" s="174">
        <f t="shared" si="31"/>
        <v>10.199999999999999</v>
      </c>
      <c r="J61" s="174">
        <f t="shared" si="31"/>
        <v>10.199999999999999</v>
      </c>
      <c r="K61" s="174">
        <f t="shared" si="31"/>
        <v>10.199999999999999</v>
      </c>
      <c r="L61" s="174">
        <f t="shared" si="31"/>
        <v>10.199999999999999</v>
      </c>
      <c r="M61" s="174">
        <f t="shared" si="31"/>
        <v>10.199999999999999</v>
      </c>
      <c r="N61" s="174">
        <f t="shared" si="31"/>
        <v>10.199999999999999</v>
      </c>
      <c r="O61" s="174">
        <f t="shared" si="31"/>
        <v>10.199999999999999</v>
      </c>
      <c r="P61" s="174">
        <f t="shared" si="31"/>
        <v>10.199999999999999</v>
      </c>
      <c r="Q61" s="174">
        <f t="shared" si="31"/>
        <v>10.199999999999999</v>
      </c>
      <c r="R61" s="174">
        <f t="shared" si="31"/>
        <v>10.199999999999999</v>
      </c>
      <c r="S61" s="174">
        <f t="shared" si="31"/>
        <v>10.199999999999999</v>
      </c>
      <c r="T61" s="245"/>
    </row>
    <row r="62" spans="2:20" ht="15" customHeight="1">
      <c r="B62" s="222" t="s">
        <v>983</v>
      </c>
      <c r="C62" s="170">
        <f>Inputs!C62</f>
        <v>-2.3596035865974516E-2</v>
      </c>
      <c r="D62" s="170">
        <f t="shared" ref="D62:S62" si="32">C62</f>
        <v>-2.3596035865974516E-2</v>
      </c>
      <c r="E62" s="170">
        <f t="shared" si="32"/>
        <v>-2.3596035865974516E-2</v>
      </c>
      <c r="F62" s="170">
        <f t="shared" si="32"/>
        <v>-2.3596035865974516E-2</v>
      </c>
      <c r="G62" s="170">
        <f t="shared" si="32"/>
        <v>-2.3596035865974516E-2</v>
      </c>
      <c r="H62" s="170">
        <f t="shared" si="32"/>
        <v>-2.3596035865974516E-2</v>
      </c>
      <c r="I62" s="170">
        <f t="shared" si="32"/>
        <v>-2.3596035865974516E-2</v>
      </c>
      <c r="J62" s="170">
        <f t="shared" si="32"/>
        <v>-2.3596035865974516E-2</v>
      </c>
      <c r="K62" s="170">
        <f t="shared" si="32"/>
        <v>-2.3596035865974516E-2</v>
      </c>
      <c r="L62" s="170">
        <f t="shared" si="32"/>
        <v>-2.3596035865974516E-2</v>
      </c>
      <c r="M62" s="170">
        <f t="shared" si="32"/>
        <v>-2.3596035865974516E-2</v>
      </c>
      <c r="N62" s="170">
        <f t="shared" si="32"/>
        <v>-2.3596035865974516E-2</v>
      </c>
      <c r="O62" s="170">
        <f t="shared" si="32"/>
        <v>-2.3596035865974516E-2</v>
      </c>
      <c r="P62" s="170">
        <f t="shared" si="32"/>
        <v>-2.3596035865974516E-2</v>
      </c>
      <c r="Q62" s="170">
        <f t="shared" si="32"/>
        <v>-2.3596035865974516E-2</v>
      </c>
      <c r="R62" s="170">
        <f t="shared" si="32"/>
        <v>-2.3596035865974516E-2</v>
      </c>
      <c r="S62" s="170">
        <f t="shared" si="32"/>
        <v>-2.3596035865974516E-2</v>
      </c>
    </row>
    <row r="63" spans="2:20" ht="15" customHeight="1">
      <c r="B63" s="222" t="s">
        <v>984</v>
      </c>
      <c r="C63" s="169">
        <f>Inputs!C63</f>
        <v>26</v>
      </c>
      <c r="D63" s="169">
        <f t="shared" ref="D63:S72" si="33">C63</f>
        <v>26</v>
      </c>
      <c r="E63" s="169">
        <f t="shared" si="33"/>
        <v>26</v>
      </c>
      <c r="F63" s="169">
        <f t="shared" si="33"/>
        <v>26</v>
      </c>
      <c r="G63" s="169">
        <f t="shared" si="33"/>
        <v>26</v>
      </c>
      <c r="H63" s="169">
        <f t="shared" si="33"/>
        <v>26</v>
      </c>
      <c r="I63" s="169">
        <f t="shared" si="33"/>
        <v>26</v>
      </c>
      <c r="J63" s="169">
        <f t="shared" si="33"/>
        <v>26</v>
      </c>
      <c r="K63" s="169">
        <f t="shared" si="33"/>
        <v>26</v>
      </c>
      <c r="L63" s="169">
        <f t="shared" si="33"/>
        <v>26</v>
      </c>
      <c r="M63" s="169">
        <f t="shared" si="33"/>
        <v>26</v>
      </c>
      <c r="N63" s="169">
        <f t="shared" si="33"/>
        <v>26</v>
      </c>
      <c r="O63" s="169">
        <f t="shared" si="33"/>
        <v>26</v>
      </c>
      <c r="P63" s="169">
        <f t="shared" si="33"/>
        <v>26</v>
      </c>
      <c r="Q63" s="169">
        <f t="shared" si="33"/>
        <v>26</v>
      </c>
      <c r="R63" s="169">
        <f t="shared" si="33"/>
        <v>26</v>
      </c>
      <c r="S63" s="169">
        <f t="shared" si="33"/>
        <v>26</v>
      </c>
    </row>
    <row r="64" spans="2:20" ht="15" customHeight="1">
      <c r="B64" s="222" t="s">
        <v>985</v>
      </c>
      <c r="C64" s="8">
        <f>Inputs!C64</f>
        <v>10.199999999999999</v>
      </c>
      <c r="D64" s="8">
        <f t="shared" si="33"/>
        <v>10.199999999999999</v>
      </c>
      <c r="E64" s="8">
        <f t="shared" si="33"/>
        <v>10.199999999999999</v>
      </c>
      <c r="F64" s="8">
        <f t="shared" si="33"/>
        <v>10.199999999999999</v>
      </c>
      <c r="G64" s="8">
        <f t="shared" si="33"/>
        <v>10.199999999999999</v>
      </c>
      <c r="H64" s="8">
        <f t="shared" si="33"/>
        <v>10.199999999999999</v>
      </c>
      <c r="I64" s="8">
        <f t="shared" si="33"/>
        <v>10.199999999999999</v>
      </c>
      <c r="J64" s="8">
        <f t="shared" si="33"/>
        <v>10.199999999999999</v>
      </c>
      <c r="K64" s="8">
        <f t="shared" si="33"/>
        <v>10.199999999999999</v>
      </c>
      <c r="L64" s="8">
        <f t="shared" si="33"/>
        <v>10.199999999999999</v>
      </c>
      <c r="M64" s="8">
        <f t="shared" si="33"/>
        <v>10.199999999999999</v>
      </c>
      <c r="N64" s="8">
        <f t="shared" si="33"/>
        <v>10.199999999999999</v>
      </c>
      <c r="O64" s="8">
        <f t="shared" si="33"/>
        <v>10.199999999999999</v>
      </c>
      <c r="P64" s="8">
        <f t="shared" si="33"/>
        <v>10.199999999999999</v>
      </c>
      <c r="Q64" s="8">
        <f t="shared" si="33"/>
        <v>10.199999999999999</v>
      </c>
      <c r="R64" s="8">
        <f t="shared" si="33"/>
        <v>10.199999999999999</v>
      </c>
      <c r="S64" s="204">
        <f t="shared" si="33"/>
        <v>10.199999999999999</v>
      </c>
    </row>
    <row r="65" spans="1:20" ht="15" customHeight="1">
      <c r="B65" s="222" t="s">
        <v>986</v>
      </c>
      <c r="C65" s="6">
        <f>Inputs!C65</f>
        <v>-2.3596035865974516E-2</v>
      </c>
      <c r="D65" s="6">
        <f t="shared" si="33"/>
        <v>-2.3596035865974516E-2</v>
      </c>
      <c r="E65" s="6">
        <f t="shared" si="33"/>
        <v>-2.3596035865974516E-2</v>
      </c>
      <c r="F65" s="6">
        <f t="shared" si="33"/>
        <v>-2.3596035865974516E-2</v>
      </c>
      <c r="G65" s="6">
        <f t="shared" si="33"/>
        <v>-2.3596035865974516E-2</v>
      </c>
      <c r="H65" s="6">
        <f t="shared" si="33"/>
        <v>-2.3596035865974516E-2</v>
      </c>
      <c r="I65" s="6">
        <f t="shared" si="33"/>
        <v>-2.3596035865974516E-2</v>
      </c>
      <c r="J65" s="6">
        <f t="shared" si="33"/>
        <v>-2.3596035865974516E-2</v>
      </c>
      <c r="K65" s="6">
        <f t="shared" si="33"/>
        <v>-2.3596035865974516E-2</v>
      </c>
      <c r="L65" s="6">
        <f t="shared" si="33"/>
        <v>-2.3596035865974516E-2</v>
      </c>
      <c r="M65" s="6">
        <f t="shared" si="33"/>
        <v>-2.3596035865974516E-2</v>
      </c>
      <c r="N65" s="6">
        <f t="shared" si="33"/>
        <v>-2.3596035865974516E-2</v>
      </c>
      <c r="O65" s="6">
        <f t="shared" si="33"/>
        <v>-2.3596035865974516E-2</v>
      </c>
      <c r="P65" s="6">
        <f t="shared" si="33"/>
        <v>-2.3596035865974516E-2</v>
      </c>
      <c r="Q65" s="6">
        <f t="shared" si="33"/>
        <v>-2.3596035865974516E-2</v>
      </c>
      <c r="R65" s="6">
        <f t="shared" si="33"/>
        <v>-2.3596035865974516E-2</v>
      </c>
      <c r="S65" s="6">
        <f t="shared" si="33"/>
        <v>-2.3596035865974516E-2</v>
      </c>
    </row>
    <row r="66" spans="1:20" ht="15" customHeight="1">
      <c r="B66" s="222" t="s">
        <v>987</v>
      </c>
      <c r="C66" s="115">
        <f>Inputs!C66</f>
        <v>26</v>
      </c>
      <c r="D66" s="115">
        <f t="shared" si="33"/>
        <v>26</v>
      </c>
      <c r="E66" s="115">
        <f t="shared" si="33"/>
        <v>26</v>
      </c>
      <c r="F66" s="115">
        <f t="shared" si="33"/>
        <v>26</v>
      </c>
      <c r="G66" s="115">
        <f t="shared" si="33"/>
        <v>26</v>
      </c>
      <c r="H66" s="115">
        <f t="shared" si="33"/>
        <v>26</v>
      </c>
      <c r="I66" s="115">
        <f t="shared" si="33"/>
        <v>26</v>
      </c>
      <c r="J66" s="115">
        <f t="shared" si="33"/>
        <v>26</v>
      </c>
      <c r="K66" s="115">
        <f t="shared" si="33"/>
        <v>26</v>
      </c>
      <c r="L66" s="115">
        <f t="shared" si="33"/>
        <v>26</v>
      </c>
      <c r="M66" s="115">
        <f t="shared" si="33"/>
        <v>26</v>
      </c>
      <c r="N66" s="115">
        <f t="shared" si="33"/>
        <v>26</v>
      </c>
      <c r="O66" s="115">
        <f t="shared" si="33"/>
        <v>26</v>
      </c>
      <c r="P66" s="115">
        <f t="shared" si="33"/>
        <v>26</v>
      </c>
      <c r="Q66" s="115">
        <f t="shared" si="33"/>
        <v>26</v>
      </c>
      <c r="R66" s="115">
        <f t="shared" si="33"/>
        <v>26</v>
      </c>
      <c r="S66" s="115">
        <f t="shared" si="33"/>
        <v>26</v>
      </c>
    </row>
    <row r="67" spans="1:20" s="111" customFormat="1" ht="15" customHeight="1">
      <c r="A67" s="222"/>
      <c r="B67" s="222" t="s">
        <v>988</v>
      </c>
      <c r="C67" s="190">
        <v>0</v>
      </c>
      <c r="D67" s="190">
        <v>0</v>
      </c>
      <c r="E67" s="190">
        <v>0</v>
      </c>
      <c r="F67" s="190">
        <v>0</v>
      </c>
      <c r="G67" s="190">
        <v>0</v>
      </c>
      <c r="H67" s="190">
        <v>0</v>
      </c>
      <c r="I67" s="190">
        <v>0</v>
      </c>
      <c r="J67" s="190">
        <v>0</v>
      </c>
      <c r="K67" s="190">
        <v>0</v>
      </c>
      <c r="L67" s="190">
        <v>0</v>
      </c>
      <c r="M67" s="190">
        <v>0</v>
      </c>
      <c r="N67" s="190">
        <v>0</v>
      </c>
      <c r="O67" s="190">
        <v>0</v>
      </c>
      <c r="P67" s="190">
        <v>0</v>
      </c>
      <c r="Q67" s="190">
        <v>0</v>
      </c>
      <c r="R67" s="190">
        <v>0</v>
      </c>
      <c r="S67" s="190">
        <v>0</v>
      </c>
      <c r="T67" s="56"/>
    </row>
    <row r="68" spans="1:20" s="111" customFormat="1" ht="15" customHeight="1">
      <c r="A68" s="222"/>
      <c r="B68" s="222" t="s">
        <v>989</v>
      </c>
      <c r="C68" s="229">
        <v>0</v>
      </c>
      <c r="D68" s="229">
        <v>0</v>
      </c>
      <c r="E68" s="229">
        <v>0</v>
      </c>
      <c r="F68" s="229">
        <v>0</v>
      </c>
      <c r="G68" s="229">
        <v>0</v>
      </c>
      <c r="H68" s="229">
        <v>0</v>
      </c>
      <c r="I68" s="229">
        <v>0</v>
      </c>
      <c r="J68" s="229">
        <v>0</v>
      </c>
      <c r="K68" s="229">
        <v>0</v>
      </c>
      <c r="L68" s="229">
        <v>0</v>
      </c>
      <c r="M68" s="229">
        <v>0</v>
      </c>
      <c r="N68" s="229">
        <v>0</v>
      </c>
      <c r="O68" s="229">
        <v>0</v>
      </c>
      <c r="P68" s="229">
        <v>0</v>
      </c>
      <c r="Q68" s="229">
        <v>0</v>
      </c>
      <c r="R68" s="229">
        <v>0</v>
      </c>
      <c r="S68" s="229">
        <v>0</v>
      </c>
      <c r="T68" s="56"/>
    </row>
    <row r="69" spans="1:20" s="111" customFormat="1" ht="15" customHeight="1">
      <c r="A69" s="222"/>
      <c r="B69" s="222" t="s">
        <v>990</v>
      </c>
      <c r="C69" s="169">
        <v>0</v>
      </c>
      <c r="D69" s="169">
        <v>0</v>
      </c>
      <c r="E69" s="169">
        <v>0</v>
      </c>
      <c r="F69" s="169">
        <v>0</v>
      </c>
      <c r="G69" s="169">
        <v>0</v>
      </c>
      <c r="H69" s="169">
        <v>0</v>
      </c>
      <c r="I69" s="169">
        <v>0</v>
      </c>
      <c r="J69" s="169">
        <v>0</v>
      </c>
      <c r="K69" s="169">
        <v>0</v>
      </c>
      <c r="L69" s="169">
        <v>0</v>
      </c>
      <c r="M69" s="169">
        <v>0</v>
      </c>
      <c r="N69" s="169">
        <v>0</v>
      </c>
      <c r="O69" s="169">
        <v>0</v>
      </c>
      <c r="P69" s="169">
        <v>0</v>
      </c>
      <c r="Q69" s="169">
        <v>0</v>
      </c>
      <c r="R69" s="169">
        <v>0</v>
      </c>
      <c r="S69" s="169">
        <v>0</v>
      </c>
      <c r="T69" s="56"/>
    </row>
    <row r="70" spans="1:20" s="111" customFormat="1" ht="15" customHeight="1">
      <c r="A70" s="222"/>
      <c r="B70" s="222" t="s">
        <v>991</v>
      </c>
      <c r="C70" s="174">
        <f>Inputs!C70</f>
        <v>0</v>
      </c>
      <c r="D70" s="174">
        <f t="shared" si="33"/>
        <v>0</v>
      </c>
      <c r="E70" s="174">
        <f t="shared" ref="E70:Q70" si="34">D70</f>
        <v>0</v>
      </c>
      <c r="F70" s="174">
        <f t="shared" si="34"/>
        <v>0</v>
      </c>
      <c r="G70" s="174">
        <f t="shared" si="34"/>
        <v>0</v>
      </c>
      <c r="H70" s="174">
        <f t="shared" si="34"/>
        <v>0</v>
      </c>
      <c r="I70" s="174">
        <f t="shared" si="34"/>
        <v>0</v>
      </c>
      <c r="J70" s="174">
        <f t="shared" si="34"/>
        <v>0</v>
      </c>
      <c r="K70" s="174">
        <f t="shared" si="34"/>
        <v>0</v>
      </c>
      <c r="L70" s="174">
        <f t="shared" si="34"/>
        <v>0</v>
      </c>
      <c r="M70" s="174">
        <f t="shared" si="34"/>
        <v>0</v>
      </c>
      <c r="N70" s="174">
        <f t="shared" si="34"/>
        <v>0</v>
      </c>
      <c r="O70" s="174">
        <f t="shared" si="34"/>
        <v>0</v>
      </c>
      <c r="P70" s="174">
        <f t="shared" si="34"/>
        <v>0</v>
      </c>
      <c r="Q70" s="174">
        <f t="shared" si="34"/>
        <v>0</v>
      </c>
      <c r="R70" s="174">
        <f t="shared" ref="R70:S72" si="35">Q70</f>
        <v>0</v>
      </c>
      <c r="S70" s="174">
        <f t="shared" si="35"/>
        <v>0</v>
      </c>
      <c r="T70" s="56"/>
    </row>
    <row r="71" spans="1:20" s="111" customFormat="1" ht="15" customHeight="1">
      <c r="A71" s="222"/>
      <c r="B71" s="222" t="s">
        <v>992</v>
      </c>
      <c r="C71" s="170">
        <f>Inputs!C71</f>
        <v>0</v>
      </c>
      <c r="D71" s="170">
        <f t="shared" si="33"/>
        <v>0</v>
      </c>
      <c r="E71" s="170">
        <f t="shared" si="33"/>
        <v>0</v>
      </c>
      <c r="F71" s="170">
        <f t="shared" si="33"/>
        <v>0</v>
      </c>
      <c r="G71" s="170">
        <f t="shared" si="33"/>
        <v>0</v>
      </c>
      <c r="H71" s="170">
        <f t="shared" si="33"/>
        <v>0</v>
      </c>
      <c r="I71" s="170">
        <f t="shared" si="33"/>
        <v>0</v>
      </c>
      <c r="J71" s="170">
        <f t="shared" si="33"/>
        <v>0</v>
      </c>
      <c r="K71" s="170">
        <f t="shared" si="33"/>
        <v>0</v>
      </c>
      <c r="L71" s="170">
        <f t="shared" si="33"/>
        <v>0</v>
      </c>
      <c r="M71" s="170">
        <f t="shared" si="33"/>
        <v>0</v>
      </c>
      <c r="N71" s="170">
        <f t="shared" si="33"/>
        <v>0</v>
      </c>
      <c r="O71" s="170">
        <f t="shared" si="33"/>
        <v>0</v>
      </c>
      <c r="P71" s="170">
        <f t="shared" si="33"/>
        <v>0</v>
      </c>
      <c r="Q71" s="170">
        <f t="shared" si="33"/>
        <v>0</v>
      </c>
      <c r="R71" s="170">
        <f t="shared" si="35"/>
        <v>0</v>
      </c>
      <c r="S71" s="170">
        <f t="shared" si="35"/>
        <v>0</v>
      </c>
      <c r="T71" s="56"/>
    </row>
    <row r="72" spans="1:20" s="111" customFormat="1" ht="15" customHeight="1">
      <c r="A72" s="222"/>
      <c r="B72" s="222" t="s">
        <v>993</v>
      </c>
      <c r="C72" s="169">
        <f>Inputs!C72</f>
        <v>0</v>
      </c>
      <c r="D72" s="169">
        <f t="shared" si="33"/>
        <v>0</v>
      </c>
      <c r="E72" s="169">
        <f t="shared" si="33"/>
        <v>0</v>
      </c>
      <c r="F72" s="169">
        <f t="shared" si="33"/>
        <v>0</v>
      </c>
      <c r="G72" s="169">
        <f t="shared" si="33"/>
        <v>0</v>
      </c>
      <c r="H72" s="169">
        <f t="shared" si="33"/>
        <v>0</v>
      </c>
      <c r="I72" s="169">
        <f t="shared" si="33"/>
        <v>0</v>
      </c>
      <c r="J72" s="169">
        <f t="shared" si="33"/>
        <v>0</v>
      </c>
      <c r="K72" s="169">
        <f t="shared" si="33"/>
        <v>0</v>
      </c>
      <c r="L72" s="169">
        <f t="shared" si="33"/>
        <v>0</v>
      </c>
      <c r="M72" s="169">
        <f t="shared" si="33"/>
        <v>0</v>
      </c>
      <c r="N72" s="169">
        <f t="shared" si="33"/>
        <v>0</v>
      </c>
      <c r="O72" s="169">
        <f t="shared" si="33"/>
        <v>0</v>
      </c>
      <c r="P72" s="169">
        <f t="shared" si="33"/>
        <v>0</v>
      </c>
      <c r="Q72" s="169">
        <f t="shared" si="33"/>
        <v>0</v>
      </c>
      <c r="R72" s="169">
        <f t="shared" si="35"/>
        <v>0</v>
      </c>
      <c r="S72" s="169">
        <f t="shared" si="35"/>
        <v>0</v>
      </c>
      <c r="T72" s="56"/>
    </row>
    <row r="73" spans="1:20" ht="15" customHeight="1">
      <c r="A73" s="222" t="s">
        <v>57</v>
      </c>
      <c r="B73" s="222" t="s">
        <v>380</v>
      </c>
      <c r="C73" s="139">
        <f>Inputs!C73</f>
        <v>18.415367088607596</v>
      </c>
      <c r="D73" s="139">
        <f t="shared" ref="D73:S73" si="36">C73</f>
        <v>18.415367088607596</v>
      </c>
      <c r="E73" s="139">
        <f t="shared" si="36"/>
        <v>18.415367088607596</v>
      </c>
      <c r="F73" s="139">
        <f t="shared" si="36"/>
        <v>18.415367088607596</v>
      </c>
      <c r="G73" s="139">
        <f t="shared" si="36"/>
        <v>18.415367088607596</v>
      </c>
      <c r="H73" s="139">
        <f t="shared" si="36"/>
        <v>18.415367088607596</v>
      </c>
      <c r="I73" s="139">
        <f t="shared" si="36"/>
        <v>18.415367088607596</v>
      </c>
      <c r="J73" s="139">
        <f t="shared" si="36"/>
        <v>18.415367088607596</v>
      </c>
      <c r="K73" s="139">
        <f t="shared" si="36"/>
        <v>18.415367088607596</v>
      </c>
      <c r="L73" s="139">
        <f t="shared" si="36"/>
        <v>18.415367088607596</v>
      </c>
      <c r="M73" s="139">
        <f t="shared" si="36"/>
        <v>18.415367088607596</v>
      </c>
      <c r="N73" s="139">
        <f t="shared" si="36"/>
        <v>18.415367088607596</v>
      </c>
      <c r="O73" s="139">
        <f t="shared" si="36"/>
        <v>18.415367088607596</v>
      </c>
      <c r="P73" s="139">
        <f t="shared" si="36"/>
        <v>18.415367088607596</v>
      </c>
      <c r="Q73" s="139">
        <f t="shared" si="36"/>
        <v>18.415367088607596</v>
      </c>
      <c r="R73" s="139">
        <f t="shared" si="36"/>
        <v>18.415367088607596</v>
      </c>
      <c r="S73" s="139">
        <f t="shared" si="36"/>
        <v>18.415367088607596</v>
      </c>
    </row>
    <row r="74" spans="1:20" ht="15" customHeight="1">
      <c r="B74" s="222" t="s">
        <v>381</v>
      </c>
      <c r="C74" s="139">
        <f>Inputs!C74</f>
        <v>15.875316455696202</v>
      </c>
      <c r="D74" s="139">
        <f t="shared" ref="D74:S74" si="37">C74</f>
        <v>15.875316455696202</v>
      </c>
      <c r="E74" s="139">
        <f t="shared" si="37"/>
        <v>15.875316455696202</v>
      </c>
      <c r="F74" s="139">
        <f t="shared" si="37"/>
        <v>15.875316455696202</v>
      </c>
      <c r="G74" s="139">
        <f t="shared" si="37"/>
        <v>15.875316455696202</v>
      </c>
      <c r="H74" s="139">
        <f t="shared" si="37"/>
        <v>15.875316455696202</v>
      </c>
      <c r="I74" s="139">
        <f t="shared" si="37"/>
        <v>15.875316455696202</v>
      </c>
      <c r="J74" s="139">
        <f t="shared" si="37"/>
        <v>15.875316455696202</v>
      </c>
      <c r="K74" s="139">
        <f t="shared" si="37"/>
        <v>15.875316455696202</v>
      </c>
      <c r="L74" s="139">
        <f t="shared" si="37"/>
        <v>15.875316455696202</v>
      </c>
      <c r="M74" s="139">
        <f t="shared" si="37"/>
        <v>15.875316455696202</v>
      </c>
      <c r="N74" s="139">
        <f t="shared" si="37"/>
        <v>15.875316455696202</v>
      </c>
      <c r="O74" s="139">
        <f t="shared" si="37"/>
        <v>15.875316455696202</v>
      </c>
      <c r="P74" s="139">
        <f t="shared" si="37"/>
        <v>15.875316455696202</v>
      </c>
      <c r="Q74" s="139">
        <f t="shared" si="37"/>
        <v>15.875316455696202</v>
      </c>
      <c r="R74" s="139">
        <f t="shared" si="37"/>
        <v>15.875316455696202</v>
      </c>
      <c r="S74" s="139">
        <f t="shared" si="37"/>
        <v>15.875316455696202</v>
      </c>
    </row>
    <row r="75" spans="1:20" ht="15" customHeight="1">
      <c r="B75" s="222" t="s">
        <v>382</v>
      </c>
      <c r="C75" s="139">
        <f>Inputs!C75</f>
        <v>15.875316455696202</v>
      </c>
      <c r="D75" s="139">
        <f t="shared" ref="D75:S90" si="38">C75</f>
        <v>15.875316455696202</v>
      </c>
      <c r="E75" s="139">
        <f t="shared" si="38"/>
        <v>15.875316455696202</v>
      </c>
      <c r="F75" s="139">
        <f t="shared" si="38"/>
        <v>15.875316455696202</v>
      </c>
      <c r="G75" s="139">
        <f t="shared" si="38"/>
        <v>15.875316455696202</v>
      </c>
      <c r="H75" s="139">
        <f t="shared" si="38"/>
        <v>15.875316455696202</v>
      </c>
      <c r="I75" s="139">
        <f t="shared" si="38"/>
        <v>15.875316455696202</v>
      </c>
      <c r="J75" s="139">
        <f t="shared" si="38"/>
        <v>15.875316455696202</v>
      </c>
      <c r="K75" s="139">
        <f t="shared" si="38"/>
        <v>15.875316455696202</v>
      </c>
      <c r="L75" s="139">
        <f t="shared" si="38"/>
        <v>15.875316455696202</v>
      </c>
      <c r="M75" s="139">
        <f t="shared" si="38"/>
        <v>15.875316455696202</v>
      </c>
      <c r="N75" s="139">
        <f t="shared" si="38"/>
        <v>15.875316455696202</v>
      </c>
      <c r="O75" s="139">
        <f t="shared" si="38"/>
        <v>15.875316455696202</v>
      </c>
      <c r="P75" s="139">
        <f t="shared" si="38"/>
        <v>15.875316455696202</v>
      </c>
      <c r="Q75" s="139">
        <f t="shared" si="38"/>
        <v>15.875316455696202</v>
      </c>
      <c r="R75" s="139">
        <f t="shared" si="38"/>
        <v>15.875316455696202</v>
      </c>
      <c r="S75" s="139">
        <f t="shared" si="38"/>
        <v>15.875316455696202</v>
      </c>
    </row>
    <row r="76" spans="1:20" ht="15" customHeight="1">
      <c r="B76" s="222" t="s">
        <v>994</v>
      </c>
      <c r="C76" s="150">
        <f>UA!AC8</f>
        <v>0.25</v>
      </c>
      <c r="D76" s="150">
        <f>UA!AD8</f>
        <v>0.25</v>
      </c>
      <c r="E76" s="150">
        <f>UA!AE8</f>
        <v>0.25</v>
      </c>
      <c r="F76" s="150">
        <f>UA!AF8</f>
        <v>0.25</v>
      </c>
      <c r="G76" s="150">
        <f>UA!AG8</f>
        <v>0.25</v>
      </c>
      <c r="H76" s="150">
        <f>UA!AH8</f>
        <v>0.25</v>
      </c>
      <c r="I76" s="150">
        <f>UA!AI8</f>
        <v>0.25</v>
      </c>
      <c r="J76" s="150">
        <f>UA!AJ8</f>
        <v>0.25</v>
      </c>
      <c r="K76" s="150">
        <f>UA!AK8</f>
        <v>0.25</v>
      </c>
      <c r="L76" s="150">
        <f>UA!AL8</f>
        <v>0.25</v>
      </c>
      <c r="M76" s="150">
        <f>UA!AM8</f>
        <v>0.25</v>
      </c>
      <c r="N76" s="150">
        <f>UA!AN8</f>
        <v>0.25</v>
      </c>
      <c r="O76" s="150">
        <f>UA!AO8</f>
        <v>0.25</v>
      </c>
      <c r="P76" s="150">
        <f>UA!AP8</f>
        <v>0.25</v>
      </c>
      <c r="Q76" s="150">
        <f>UA!AQ8</f>
        <v>0.25</v>
      </c>
      <c r="R76" s="150">
        <f>UA!AR8</f>
        <v>0.25</v>
      </c>
      <c r="S76" s="150">
        <f>UA!AS8</f>
        <v>0</v>
      </c>
    </row>
    <row r="77" spans="1:20" ht="15" customHeight="1">
      <c r="B77" s="222" t="s">
        <v>1309</v>
      </c>
      <c r="C77" s="10">
        <f>IF(AtticType="Sealed",1.7/RvalConv,UA!AC18)</f>
        <v>0.29938537942694116</v>
      </c>
      <c r="D77" s="10">
        <f>IF(AtticType="Sealed",1.7/RvalConv,UA!AD18)</f>
        <v>0.29938537942694116</v>
      </c>
      <c r="E77" s="10">
        <f>IF(AtticType="Sealed",1.7/RvalConv,UA!AE18)</f>
        <v>0.29938537942694116</v>
      </c>
      <c r="F77" s="10">
        <f>IF(AtticType="Sealed",1.7/RvalConv,UA!AF18)</f>
        <v>0.29938537942694116</v>
      </c>
      <c r="G77" s="10">
        <f>IF(AtticType="Sealed",1.7/RvalConv,UA!AG18)</f>
        <v>0.29938537942694116</v>
      </c>
      <c r="H77" s="10">
        <f>IF(AtticType="Sealed",1.7/RvalConv,UA!AH18)</f>
        <v>0.29938537942694116</v>
      </c>
      <c r="I77" s="10">
        <f>IF(AtticType="Sealed",1.7/RvalConv,UA!AI18)</f>
        <v>0.29938537942694116</v>
      </c>
      <c r="J77" s="10">
        <f>IF(AtticType="Sealed",1.7/RvalConv,UA!AJ18)</f>
        <v>0.29938537942694116</v>
      </c>
      <c r="K77" s="10">
        <f>IF(AtticType="Sealed",1.7/RvalConv,UA!AK18)</f>
        <v>0.29938537942694116</v>
      </c>
      <c r="L77" s="10">
        <f>IF(AtticType="Sealed",1.7/RvalConv,UA!AL18)</f>
        <v>0.29938537942694116</v>
      </c>
      <c r="M77" s="10">
        <f>IF(AtticType="Sealed",1.7/RvalConv,UA!AM18)</f>
        <v>0.29938537942694116</v>
      </c>
      <c r="N77" s="10">
        <f>IF(AtticType="Sealed",1.7/RvalConv,UA!AN18)</f>
        <v>0.29938537942694116</v>
      </c>
      <c r="O77" s="10">
        <f>IF(AtticType="Sealed",1.7/RvalConv,UA!AO18)</f>
        <v>0.29938537942694116</v>
      </c>
      <c r="P77" s="10">
        <f>IF(AtticType="Sealed",1.7/RvalConv,UA!AP18)</f>
        <v>0.29938537942694116</v>
      </c>
      <c r="Q77" s="10">
        <f>IF(AtticType="Sealed",1.7/RvalConv,UA!AQ18)</f>
        <v>0.29938537942694116</v>
      </c>
      <c r="R77" s="10">
        <f>IF(AtticType="Sealed",1.7/RvalConv,UA!AR18)</f>
        <v>0.29938537942694116</v>
      </c>
      <c r="S77" s="10">
        <f>IF(AtticType="Sealed",1.7/RvalConv,UA!AS18)</f>
        <v>0.29938537942694116</v>
      </c>
    </row>
    <row r="78" spans="1:20" ht="15" customHeight="1">
      <c r="B78" s="222" t="s">
        <v>995</v>
      </c>
      <c r="C78" s="173">
        <f>Inputs!C78</f>
        <v>1.3657407407407409E-4</v>
      </c>
      <c r="D78" s="173">
        <f t="shared" ref="D78:D94" si="39">C78</f>
        <v>1.3657407407407409E-4</v>
      </c>
      <c r="E78" s="173">
        <f t="shared" si="38"/>
        <v>1.3657407407407409E-4</v>
      </c>
      <c r="F78" s="173">
        <f t="shared" si="38"/>
        <v>1.3657407407407409E-4</v>
      </c>
      <c r="G78" s="173">
        <f t="shared" si="38"/>
        <v>1.3657407407407409E-4</v>
      </c>
      <c r="H78" s="173">
        <f t="shared" si="38"/>
        <v>1.3657407407407409E-4</v>
      </c>
      <c r="I78" s="173">
        <f t="shared" si="38"/>
        <v>1.3657407407407409E-4</v>
      </c>
      <c r="J78" s="173">
        <f t="shared" si="38"/>
        <v>1.3657407407407409E-4</v>
      </c>
      <c r="K78" s="173">
        <f t="shared" si="38"/>
        <v>1.3657407407407409E-4</v>
      </c>
      <c r="L78" s="173">
        <f t="shared" si="38"/>
        <v>1.3657407407407409E-4</v>
      </c>
      <c r="M78" s="173">
        <f t="shared" si="38"/>
        <v>1.3657407407407409E-4</v>
      </c>
      <c r="N78" s="173">
        <f t="shared" si="38"/>
        <v>1.3657407407407409E-4</v>
      </c>
      <c r="O78" s="173">
        <f t="shared" si="38"/>
        <v>1.3657407407407409E-4</v>
      </c>
      <c r="P78" s="173">
        <f t="shared" si="38"/>
        <v>1.3657407407407409E-4</v>
      </c>
      <c r="Q78" s="173">
        <f t="shared" si="38"/>
        <v>1.3657407407407409E-4</v>
      </c>
      <c r="R78" s="173">
        <f t="shared" si="38"/>
        <v>1.3657407407407409E-4</v>
      </c>
      <c r="S78" s="173">
        <f t="shared" si="38"/>
        <v>1.3657407407407409E-4</v>
      </c>
    </row>
    <row r="79" spans="1:20" ht="15" customHeight="1">
      <c r="B79" s="222" t="s">
        <v>996</v>
      </c>
      <c r="C79" s="8">
        <f>Inputs!C79</f>
        <v>1002.4057248925362</v>
      </c>
      <c r="D79" s="8">
        <f t="shared" si="39"/>
        <v>1002.4057248925362</v>
      </c>
      <c r="E79" s="8">
        <f t="shared" si="38"/>
        <v>1002.4057248925362</v>
      </c>
      <c r="F79" s="8">
        <f t="shared" si="38"/>
        <v>1002.4057248925362</v>
      </c>
      <c r="G79" s="8">
        <f t="shared" si="38"/>
        <v>1002.4057248925362</v>
      </c>
      <c r="H79" s="8">
        <f t="shared" si="38"/>
        <v>1002.4057248925362</v>
      </c>
      <c r="I79" s="8">
        <f t="shared" si="38"/>
        <v>1002.4057248925362</v>
      </c>
      <c r="J79" s="8">
        <f t="shared" si="38"/>
        <v>1002.4057248925362</v>
      </c>
      <c r="K79" s="8">
        <f t="shared" si="38"/>
        <v>1002.4057248925362</v>
      </c>
      <c r="L79" s="8">
        <f t="shared" si="38"/>
        <v>1002.4057248925362</v>
      </c>
      <c r="M79" s="8">
        <f t="shared" si="38"/>
        <v>1002.4057248925362</v>
      </c>
      <c r="N79" s="8">
        <f t="shared" si="38"/>
        <v>1002.4057248925362</v>
      </c>
      <c r="O79" s="8">
        <f t="shared" si="38"/>
        <v>1002.4057248925362</v>
      </c>
      <c r="P79" s="8">
        <f t="shared" si="38"/>
        <v>1002.4057248925362</v>
      </c>
      <c r="Q79" s="8">
        <f t="shared" si="38"/>
        <v>1002.4057248925362</v>
      </c>
      <c r="R79" s="8">
        <f t="shared" si="38"/>
        <v>1002.4057248925362</v>
      </c>
      <c r="S79" s="204">
        <f t="shared" si="38"/>
        <v>1002.4057248925362</v>
      </c>
    </row>
    <row r="80" spans="1:20" ht="15" customHeight="1">
      <c r="A80" s="222" t="s">
        <v>68</v>
      </c>
      <c r="B80" s="222" t="s">
        <v>997</v>
      </c>
      <c r="C80" s="8">
        <f>Inputs!C80</f>
        <v>171.07534452558892</v>
      </c>
      <c r="D80" s="8">
        <f t="shared" si="39"/>
        <v>171.07534452558892</v>
      </c>
      <c r="E80" s="8">
        <f t="shared" si="38"/>
        <v>171.07534452558892</v>
      </c>
      <c r="F80" s="8">
        <f t="shared" si="38"/>
        <v>171.07534452558892</v>
      </c>
      <c r="G80" s="8">
        <f t="shared" si="38"/>
        <v>171.07534452558892</v>
      </c>
      <c r="H80" s="8">
        <f t="shared" si="38"/>
        <v>171.07534452558892</v>
      </c>
      <c r="I80" s="8">
        <f t="shared" si="38"/>
        <v>171.07534452558892</v>
      </c>
      <c r="J80" s="8">
        <f t="shared" si="38"/>
        <v>171.07534452558892</v>
      </c>
      <c r="K80" s="8">
        <f t="shared" si="38"/>
        <v>171.07534452558892</v>
      </c>
      <c r="L80" s="8">
        <f t="shared" si="38"/>
        <v>171.07534452558892</v>
      </c>
      <c r="M80" s="8">
        <f t="shared" si="38"/>
        <v>171.07534452558892</v>
      </c>
      <c r="N80" s="8">
        <f t="shared" si="38"/>
        <v>171.07534452558892</v>
      </c>
      <c r="O80" s="8">
        <f t="shared" si="38"/>
        <v>171.07534452558892</v>
      </c>
      <c r="P80" s="8">
        <f t="shared" si="38"/>
        <v>171.07534452558892</v>
      </c>
      <c r="Q80" s="8">
        <f t="shared" si="38"/>
        <v>171.07534452558892</v>
      </c>
      <c r="R80" s="8">
        <f t="shared" si="38"/>
        <v>171.07534452558892</v>
      </c>
      <c r="S80" s="204">
        <f t="shared" si="38"/>
        <v>171.07534452558892</v>
      </c>
    </row>
    <row r="81" spans="1:19" ht="15" customHeight="1">
      <c r="B81" s="222" t="s">
        <v>998</v>
      </c>
      <c r="C81" s="173">
        <f>IF(AtticType="Sealed", Leakage!B22, C_Attic)</f>
        <v>1.8186232784484689E-2</v>
      </c>
      <c r="D81" s="139">
        <f>IF(AtticType="Sealed", Leakage!C22, C_Attic)</f>
        <v>1.8186232784484689E-2</v>
      </c>
      <c r="E81" s="139">
        <f>IF(AtticType="Sealed", Leakage!D22, C_Attic)</f>
        <v>1.8186232784484689E-2</v>
      </c>
      <c r="F81" s="139">
        <f>IF(AtticType="Sealed", Leakage!E22, C_Attic)</f>
        <v>1.8186232784484689E-2</v>
      </c>
      <c r="G81" s="139">
        <f>IF(AtticType="Sealed", Leakage!F22, C_Attic)</f>
        <v>1.8186232784484689E-2</v>
      </c>
      <c r="H81" s="139">
        <f>IF(AtticType="Sealed", Leakage!G22, C_Attic)</f>
        <v>1.8186232784484689E-2</v>
      </c>
      <c r="I81" s="139">
        <f>IF(AtticType="Sealed", Leakage!H22, C_Attic)</f>
        <v>1.8186232784484689E-2</v>
      </c>
      <c r="J81" s="139">
        <f>IF(AtticType="Sealed", Leakage!I22, C_Attic)</f>
        <v>1.8186232784484689E-2</v>
      </c>
      <c r="K81" s="139">
        <f>IF(AtticType="Sealed", Leakage!J22, C_Attic)</f>
        <v>1.8186232784484689E-2</v>
      </c>
      <c r="L81" s="139">
        <f>IF(AtticType="Sealed", Leakage!K22, C_Attic)</f>
        <v>1.8186232784484689E-2</v>
      </c>
      <c r="M81" s="139">
        <f>IF(AtticType="Sealed", Leakage!L22, C_Attic)</f>
        <v>1.8186232784484689E-2</v>
      </c>
      <c r="N81" s="139">
        <f>IF(AtticType="Sealed", Leakage!M22, C_Attic)</f>
        <v>1.8186232784484689E-2</v>
      </c>
      <c r="O81" s="139">
        <f>IF(AtticType="Sealed", Leakage!N22, C_Attic)</f>
        <v>1.8186232784484689E-2</v>
      </c>
      <c r="P81" s="139">
        <f>IF(AtticType="Sealed", Leakage!O22, C_Attic)</f>
        <v>1.8186232784484689E-2</v>
      </c>
      <c r="Q81" s="139">
        <f>IF(AtticType="Sealed", Leakage!P22, C_Attic)</f>
        <v>1.8186232784484689E-2</v>
      </c>
      <c r="R81" s="139">
        <f>IF(AtticType="Sealed", Leakage!Q22, C_Attic)</f>
        <v>1.8186232784484689E-2</v>
      </c>
      <c r="S81" s="139">
        <f>IF(AtticType="Sealed", Leakage!R22, C_Attic)</f>
        <v>0</v>
      </c>
    </row>
    <row r="82" spans="1:19" ht="15" customHeight="1">
      <c r="B82" s="222" t="s">
        <v>999</v>
      </c>
      <c r="C82" s="139">
        <f>Inputs!C82</f>
        <v>0.67</v>
      </c>
      <c r="D82" s="139">
        <f t="shared" si="39"/>
        <v>0.67</v>
      </c>
      <c r="E82" s="139">
        <f t="shared" si="38"/>
        <v>0.67</v>
      </c>
      <c r="F82" s="139">
        <f t="shared" si="38"/>
        <v>0.67</v>
      </c>
      <c r="G82" s="139">
        <f t="shared" si="38"/>
        <v>0.67</v>
      </c>
      <c r="H82" s="139">
        <f t="shared" si="38"/>
        <v>0.67</v>
      </c>
      <c r="I82" s="139">
        <f t="shared" si="38"/>
        <v>0.67</v>
      </c>
      <c r="J82" s="139">
        <f t="shared" si="38"/>
        <v>0.67</v>
      </c>
      <c r="K82" s="139">
        <f t="shared" si="38"/>
        <v>0.67</v>
      </c>
      <c r="L82" s="139">
        <f t="shared" si="38"/>
        <v>0.67</v>
      </c>
      <c r="M82" s="139">
        <f t="shared" si="38"/>
        <v>0.67</v>
      </c>
      <c r="N82" s="139">
        <f t="shared" si="38"/>
        <v>0.67</v>
      </c>
      <c r="O82" s="139">
        <f t="shared" si="38"/>
        <v>0.67</v>
      </c>
      <c r="P82" s="139">
        <f t="shared" si="38"/>
        <v>0.67</v>
      </c>
      <c r="Q82" s="139">
        <f t="shared" si="38"/>
        <v>0.67</v>
      </c>
      <c r="R82" s="139">
        <f t="shared" si="38"/>
        <v>0.67</v>
      </c>
      <c r="S82" s="139">
        <f t="shared" si="38"/>
        <v>0.67</v>
      </c>
    </row>
    <row r="83" spans="1:19" ht="15" customHeight="1">
      <c r="B83" s="222" t="s">
        <v>1000</v>
      </c>
      <c r="C83" s="139">
        <f>Inputs!C83</f>
        <v>0.2848101265822785</v>
      </c>
      <c r="D83" s="139">
        <f t="shared" si="39"/>
        <v>0.2848101265822785</v>
      </c>
      <c r="E83" s="139">
        <f t="shared" si="38"/>
        <v>0.2848101265822785</v>
      </c>
      <c r="F83" s="139">
        <f t="shared" si="38"/>
        <v>0.2848101265822785</v>
      </c>
      <c r="G83" s="139">
        <f t="shared" si="38"/>
        <v>0.2848101265822785</v>
      </c>
      <c r="H83" s="139">
        <f t="shared" si="38"/>
        <v>0.2848101265822785</v>
      </c>
      <c r="I83" s="139">
        <f t="shared" si="38"/>
        <v>0.2848101265822785</v>
      </c>
      <c r="J83" s="139">
        <f t="shared" si="38"/>
        <v>0.2848101265822785</v>
      </c>
      <c r="K83" s="139">
        <f t="shared" si="38"/>
        <v>0.2848101265822785</v>
      </c>
      <c r="L83" s="139">
        <f t="shared" si="38"/>
        <v>0.2848101265822785</v>
      </c>
      <c r="M83" s="139">
        <f t="shared" si="38"/>
        <v>0.2848101265822785</v>
      </c>
      <c r="N83" s="139">
        <f t="shared" si="38"/>
        <v>0.2848101265822785</v>
      </c>
      <c r="O83" s="139">
        <f t="shared" si="38"/>
        <v>0.2848101265822785</v>
      </c>
      <c r="P83" s="139">
        <f t="shared" si="38"/>
        <v>0.2848101265822785</v>
      </c>
      <c r="Q83" s="139">
        <f t="shared" si="38"/>
        <v>0.2848101265822785</v>
      </c>
      <c r="R83" s="139">
        <f t="shared" si="38"/>
        <v>0.2848101265822785</v>
      </c>
      <c r="S83" s="139">
        <f t="shared" si="38"/>
        <v>0.2848101265822785</v>
      </c>
    </row>
    <row r="84" spans="1:19" ht="15.75" customHeight="1">
      <c r="B84" s="222" t="s">
        <v>1001</v>
      </c>
      <c r="C84" s="139">
        <f>Inputs!C84</f>
        <v>0.2848101265822785</v>
      </c>
      <c r="D84" s="139">
        <f t="shared" si="39"/>
        <v>0.2848101265822785</v>
      </c>
      <c r="E84" s="139">
        <f t="shared" si="38"/>
        <v>0.2848101265822785</v>
      </c>
      <c r="F84" s="139">
        <f t="shared" si="38"/>
        <v>0.2848101265822785</v>
      </c>
      <c r="G84" s="139">
        <f t="shared" si="38"/>
        <v>0.2848101265822785</v>
      </c>
      <c r="H84" s="139">
        <f t="shared" si="38"/>
        <v>0.2848101265822785</v>
      </c>
      <c r="I84" s="139">
        <f t="shared" si="38"/>
        <v>0.2848101265822785</v>
      </c>
      <c r="J84" s="139">
        <f t="shared" si="38"/>
        <v>0.2848101265822785</v>
      </c>
      <c r="K84" s="139">
        <f t="shared" si="38"/>
        <v>0.2848101265822785</v>
      </c>
      <c r="L84" s="139">
        <f t="shared" si="38"/>
        <v>0.2848101265822785</v>
      </c>
      <c r="M84" s="139">
        <f t="shared" si="38"/>
        <v>0.2848101265822785</v>
      </c>
      <c r="N84" s="139">
        <f t="shared" si="38"/>
        <v>0.2848101265822785</v>
      </c>
      <c r="O84" s="139">
        <f t="shared" si="38"/>
        <v>0.2848101265822785</v>
      </c>
      <c r="P84" s="139">
        <f t="shared" si="38"/>
        <v>0.2848101265822785</v>
      </c>
      <c r="Q84" s="139">
        <f t="shared" si="38"/>
        <v>0.2848101265822785</v>
      </c>
      <c r="R84" s="139">
        <f t="shared" si="38"/>
        <v>0.2848101265822785</v>
      </c>
      <c r="S84" s="139">
        <f t="shared" si="38"/>
        <v>0.2848101265822785</v>
      </c>
    </row>
    <row r="85" spans="1:19" ht="15" customHeight="1">
      <c r="B85" s="222" t="s">
        <v>1002</v>
      </c>
      <c r="C85" s="139">
        <f>Inputs!C85</f>
        <v>0.16518987341772157</v>
      </c>
      <c r="D85" s="139">
        <f t="shared" si="39"/>
        <v>0.16518987341772157</v>
      </c>
      <c r="E85" s="139">
        <f t="shared" si="38"/>
        <v>0.16518987341772157</v>
      </c>
      <c r="F85" s="139">
        <f t="shared" si="38"/>
        <v>0.16518987341772157</v>
      </c>
      <c r="G85" s="139">
        <f t="shared" si="38"/>
        <v>0.16518987341772157</v>
      </c>
      <c r="H85" s="139">
        <f t="shared" si="38"/>
        <v>0.16518987341772157</v>
      </c>
      <c r="I85" s="139">
        <f t="shared" si="38"/>
        <v>0.16518987341772157</v>
      </c>
      <c r="J85" s="139">
        <f t="shared" si="38"/>
        <v>0.16518987341772157</v>
      </c>
      <c r="K85" s="139">
        <f t="shared" si="38"/>
        <v>0.16518987341772157</v>
      </c>
      <c r="L85" s="139">
        <f t="shared" si="38"/>
        <v>0.16518987341772157</v>
      </c>
      <c r="M85" s="139">
        <f t="shared" si="38"/>
        <v>0.16518987341772157</v>
      </c>
      <c r="N85" s="139">
        <f t="shared" si="38"/>
        <v>0.16518987341772157</v>
      </c>
      <c r="O85" s="139">
        <f t="shared" si="38"/>
        <v>0.16518987341772157</v>
      </c>
      <c r="P85" s="139">
        <f t="shared" si="38"/>
        <v>0.16518987341772157</v>
      </c>
      <c r="Q85" s="139">
        <f t="shared" si="38"/>
        <v>0.16518987341772157</v>
      </c>
      <c r="R85" s="139">
        <f t="shared" si="38"/>
        <v>0.16518987341772157</v>
      </c>
      <c r="S85" s="139">
        <f t="shared" si="38"/>
        <v>0.16518987341772157</v>
      </c>
    </row>
    <row r="86" spans="1:19" ht="15" customHeight="1">
      <c r="B86" s="222" t="s">
        <v>1003</v>
      </c>
      <c r="C86" s="139">
        <f>Inputs!C86</f>
        <v>0.16518987341772157</v>
      </c>
      <c r="D86" s="139">
        <f t="shared" si="39"/>
        <v>0.16518987341772157</v>
      </c>
      <c r="E86" s="139">
        <f t="shared" si="38"/>
        <v>0.16518987341772157</v>
      </c>
      <c r="F86" s="139">
        <f t="shared" si="38"/>
        <v>0.16518987341772157</v>
      </c>
      <c r="G86" s="139">
        <f t="shared" si="38"/>
        <v>0.16518987341772157</v>
      </c>
      <c r="H86" s="139">
        <f t="shared" si="38"/>
        <v>0.16518987341772157</v>
      </c>
      <c r="I86" s="139">
        <f t="shared" si="38"/>
        <v>0.16518987341772157</v>
      </c>
      <c r="J86" s="139">
        <f t="shared" si="38"/>
        <v>0.16518987341772157</v>
      </c>
      <c r="K86" s="139">
        <f t="shared" si="38"/>
        <v>0.16518987341772157</v>
      </c>
      <c r="L86" s="139">
        <f t="shared" si="38"/>
        <v>0.16518987341772157</v>
      </c>
      <c r="M86" s="139">
        <f t="shared" si="38"/>
        <v>0.16518987341772157</v>
      </c>
      <c r="N86" s="139">
        <f t="shared" si="38"/>
        <v>0.16518987341772157</v>
      </c>
      <c r="O86" s="139">
        <f t="shared" si="38"/>
        <v>0.16518987341772157</v>
      </c>
      <c r="P86" s="139">
        <f t="shared" si="38"/>
        <v>0.16518987341772157</v>
      </c>
      <c r="Q86" s="139">
        <f t="shared" si="38"/>
        <v>0.16518987341772157</v>
      </c>
      <c r="R86" s="139">
        <f t="shared" si="38"/>
        <v>0.16518987341772157</v>
      </c>
      <c r="S86" s="139">
        <f t="shared" si="38"/>
        <v>0.16518987341772157</v>
      </c>
    </row>
    <row r="87" spans="1:19" ht="15" customHeight="1">
      <c r="B87" s="222" t="s">
        <v>1004</v>
      </c>
      <c r="C87" s="139">
        <f>Inputs!C87</f>
        <v>0.1</v>
      </c>
      <c r="D87" s="139">
        <f t="shared" si="39"/>
        <v>0.1</v>
      </c>
      <c r="E87" s="139">
        <f t="shared" si="38"/>
        <v>0.1</v>
      </c>
      <c r="F87" s="139">
        <f t="shared" si="38"/>
        <v>0.1</v>
      </c>
      <c r="G87" s="139">
        <f t="shared" si="38"/>
        <v>0.1</v>
      </c>
      <c r="H87" s="139">
        <f t="shared" si="38"/>
        <v>0.1</v>
      </c>
      <c r="I87" s="139">
        <f t="shared" si="38"/>
        <v>0.1</v>
      </c>
      <c r="J87" s="139">
        <f t="shared" si="38"/>
        <v>0.1</v>
      </c>
      <c r="K87" s="139">
        <f t="shared" si="38"/>
        <v>0.1</v>
      </c>
      <c r="L87" s="139">
        <f t="shared" si="38"/>
        <v>0.1</v>
      </c>
      <c r="M87" s="139">
        <f t="shared" si="38"/>
        <v>0.1</v>
      </c>
      <c r="N87" s="139">
        <f t="shared" si="38"/>
        <v>0.1</v>
      </c>
      <c r="O87" s="139">
        <f t="shared" si="38"/>
        <v>0.1</v>
      </c>
      <c r="P87" s="139">
        <f t="shared" si="38"/>
        <v>0.1</v>
      </c>
      <c r="Q87" s="139">
        <f t="shared" si="38"/>
        <v>0.1</v>
      </c>
      <c r="R87" s="139">
        <f t="shared" si="38"/>
        <v>0.1</v>
      </c>
      <c r="S87" s="139">
        <f t="shared" si="38"/>
        <v>0.1</v>
      </c>
    </row>
    <row r="88" spans="1:19" ht="15" customHeight="1">
      <c r="B88" s="222" t="s">
        <v>1005</v>
      </c>
      <c r="C88" s="139">
        <f>Inputs!C88</f>
        <v>6.095999804928006</v>
      </c>
      <c r="D88" s="139">
        <f t="shared" si="39"/>
        <v>6.095999804928006</v>
      </c>
      <c r="E88" s="139">
        <f t="shared" si="38"/>
        <v>6.095999804928006</v>
      </c>
      <c r="F88" s="139">
        <f t="shared" si="38"/>
        <v>6.095999804928006</v>
      </c>
      <c r="G88" s="139">
        <f t="shared" si="38"/>
        <v>6.095999804928006</v>
      </c>
      <c r="H88" s="139">
        <f t="shared" si="38"/>
        <v>6.095999804928006</v>
      </c>
      <c r="I88" s="139">
        <f t="shared" si="38"/>
        <v>6.095999804928006</v>
      </c>
      <c r="J88" s="139">
        <f t="shared" si="38"/>
        <v>6.095999804928006</v>
      </c>
      <c r="K88" s="139">
        <f t="shared" si="38"/>
        <v>6.095999804928006</v>
      </c>
      <c r="L88" s="139">
        <f t="shared" si="38"/>
        <v>6.095999804928006</v>
      </c>
      <c r="M88" s="139">
        <f t="shared" si="38"/>
        <v>6.095999804928006</v>
      </c>
      <c r="N88" s="139">
        <f t="shared" si="38"/>
        <v>6.095999804928006</v>
      </c>
      <c r="O88" s="139">
        <f t="shared" si="38"/>
        <v>6.095999804928006</v>
      </c>
      <c r="P88" s="139">
        <f t="shared" si="38"/>
        <v>6.095999804928006</v>
      </c>
      <c r="Q88" s="139">
        <f t="shared" si="38"/>
        <v>6.095999804928006</v>
      </c>
      <c r="R88" s="139">
        <f t="shared" si="38"/>
        <v>6.095999804928006</v>
      </c>
      <c r="S88" s="139">
        <f t="shared" si="38"/>
        <v>6.095999804928006</v>
      </c>
    </row>
    <row r="89" spans="1:19" ht="15" customHeight="1">
      <c r="B89" s="222" t="s">
        <v>1006</v>
      </c>
      <c r="C89" s="139">
        <f>Inputs!C89</f>
        <v>6.095999804928006</v>
      </c>
      <c r="D89" s="139">
        <f t="shared" si="39"/>
        <v>6.095999804928006</v>
      </c>
      <c r="E89" s="139">
        <f t="shared" si="38"/>
        <v>6.095999804928006</v>
      </c>
      <c r="F89" s="139">
        <f t="shared" si="38"/>
        <v>6.095999804928006</v>
      </c>
      <c r="G89" s="139">
        <f t="shared" si="38"/>
        <v>6.095999804928006</v>
      </c>
      <c r="H89" s="139">
        <f t="shared" si="38"/>
        <v>6.095999804928006</v>
      </c>
      <c r="I89" s="139">
        <f t="shared" si="38"/>
        <v>6.095999804928006</v>
      </c>
      <c r="J89" s="139">
        <f t="shared" si="38"/>
        <v>6.095999804928006</v>
      </c>
      <c r="K89" s="139">
        <f t="shared" si="38"/>
        <v>6.095999804928006</v>
      </c>
      <c r="L89" s="139">
        <f t="shared" si="38"/>
        <v>6.095999804928006</v>
      </c>
      <c r="M89" s="139">
        <f t="shared" si="38"/>
        <v>6.095999804928006</v>
      </c>
      <c r="N89" s="139">
        <f t="shared" si="38"/>
        <v>6.095999804928006</v>
      </c>
      <c r="O89" s="139">
        <f t="shared" si="38"/>
        <v>6.095999804928006</v>
      </c>
      <c r="P89" s="139">
        <f t="shared" si="38"/>
        <v>6.095999804928006</v>
      </c>
      <c r="Q89" s="139">
        <f t="shared" si="38"/>
        <v>6.095999804928006</v>
      </c>
      <c r="R89" s="139">
        <f t="shared" si="38"/>
        <v>6.095999804928006</v>
      </c>
      <c r="S89" s="139">
        <f t="shared" si="38"/>
        <v>6.095999804928006</v>
      </c>
    </row>
    <row r="90" spans="1:19" ht="15" customHeight="1">
      <c r="B90" s="222" t="s">
        <v>1007</v>
      </c>
      <c r="C90" s="139">
        <f>Inputs!C90</f>
        <v>6.095999804928006</v>
      </c>
      <c r="D90" s="139">
        <f t="shared" si="39"/>
        <v>6.095999804928006</v>
      </c>
      <c r="E90" s="139">
        <f t="shared" si="38"/>
        <v>6.095999804928006</v>
      </c>
      <c r="F90" s="139">
        <f t="shared" si="38"/>
        <v>6.095999804928006</v>
      </c>
      <c r="G90" s="139">
        <f t="shared" si="38"/>
        <v>6.095999804928006</v>
      </c>
      <c r="H90" s="139">
        <f t="shared" si="38"/>
        <v>6.095999804928006</v>
      </c>
      <c r="I90" s="139">
        <f t="shared" si="38"/>
        <v>6.095999804928006</v>
      </c>
      <c r="J90" s="139">
        <f t="shared" si="38"/>
        <v>6.095999804928006</v>
      </c>
      <c r="K90" s="139">
        <f t="shared" si="38"/>
        <v>6.095999804928006</v>
      </c>
      <c r="L90" s="139">
        <f t="shared" si="38"/>
        <v>6.095999804928006</v>
      </c>
      <c r="M90" s="139">
        <f t="shared" si="38"/>
        <v>6.095999804928006</v>
      </c>
      <c r="N90" s="139">
        <f t="shared" si="38"/>
        <v>6.095999804928006</v>
      </c>
      <c r="O90" s="139">
        <f t="shared" si="38"/>
        <v>6.095999804928006</v>
      </c>
      <c r="P90" s="139">
        <f t="shared" si="38"/>
        <v>6.095999804928006</v>
      </c>
      <c r="Q90" s="139">
        <f t="shared" si="38"/>
        <v>6.095999804928006</v>
      </c>
      <c r="R90" s="139">
        <f t="shared" si="38"/>
        <v>6.095999804928006</v>
      </c>
      <c r="S90" s="139">
        <f t="shared" si="38"/>
        <v>6.095999804928006</v>
      </c>
    </row>
    <row r="91" spans="1:19" ht="15" customHeight="1">
      <c r="B91" s="222" t="s">
        <v>1008</v>
      </c>
      <c r="C91" s="139">
        <f>Inputs!C91</f>
        <v>6.095999804928006</v>
      </c>
      <c r="D91" s="139">
        <f t="shared" si="39"/>
        <v>6.095999804928006</v>
      </c>
      <c r="E91" s="139">
        <f t="shared" ref="E91:S91" si="40">D91</f>
        <v>6.095999804928006</v>
      </c>
      <c r="F91" s="139">
        <f t="shared" si="40"/>
        <v>6.095999804928006</v>
      </c>
      <c r="G91" s="139">
        <f t="shared" si="40"/>
        <v>6.095999804928006</v>
      </c>
      <c r="H91" s="139">
        <f t="shared" si="40"/>
        <v>6.095999804928006</v>
      </c>
      <c r="I91" s="139">
        <f t="shared" si="40"/>
        <v>6.095999804928006</v>
      </c>
      <c r="J91" s="139">
        <f t="shared" si="40"/>
        <v>6.095999804928006</v>
      </c>
      <c r="K91" s="139">
        <f t="shared" si="40"/>
        <v>6.095999804928006</v>
      </c>
      <c r="L91" s="139">
        <f t="shared" si="40"/>
        <v>6.095999804928006</v>
      </c>
      <c r="M91" s="139">
        <f t="shared" si="40"/>
        <v>6.095999804928006</v>
      </c>
      <c r="N91" s="139">
        <f t="shared" si="40"/>
        <v>6.095999804928006</v>
      </c>
      <c r="O91" s="139">
        <f t="shared" si="40"/>
        <v>6.095999804928006</v>
      </c>
      <c r="P91" s="139">
        <f t="shared" si="40"/>
        <v>6.095999804928006</v>
      </c>
      <c r="Q91" s="139">
        <f t="shared" si="40"/>
        <v>6.095999804928006</v>
      </c>
      <c r="R91" s="139">
        <f t="shared" si="40"/>
        <v>6.095999804928006</v>
      </c>
      <c r="S91" s="139">
        <f t="shared" si="40"/>
        <v>6.095999804928006</v>
      </c>
    </row>
    <row r="92" spans="1:19" ht="15" customHeight="1">
      <c r="A92" s="222" t="s">
        <v>85</v>
      </c>
      <c r="B92" s="222" t="s">
        <v>1009</v>
      </c>
      <c r="C92" s="115">
        <f>Inputs!C92</f>
        <v>0</v>
      </c>
      <c r="D92" s="115">
        <f t="shared" si="39"/>
        <v>0</v>
      </c>
      <c r="E92" s="115">
        <f t="shared" ref="E92:S92" si="41">D92</f>
        <v>0</v>
      </c>
      <c r="F92" s="115">
        <f t="shared" si="41"/>
        <v>0</v>
      </c>
      <c r="G92" s="115">
        <f t="shared" si="41"/>
        <v>0</v>
      </c>
      <c r="H92" s="115">
        <f t="shared" si="41"/>
        <v>0</v>
      </c>
      <c r="I92" s="115">
        <f t="shared" si="41"/>
        <v>0</v>
      </c>
      <c r="J92" s="115">
        <f t="shared" si="41"/>
        <v>0</v>
      </c>
      <c r="K92" s="115">
        <f t="shared" si="41"/>
        <v>0</v>
      </c>
      <c r="L92" s="115">
        <f t="shared" si="41"/>
        <v>0</v>
      </c>
      <c r="M92" s="115">
        <f t="shared" si="41"/>
        <v>0</v>
      </c>
      <c r="N92" s="115">
        <f t="shared" si="41"/>
        <v>0</v>
      </c>
      <c r="O92" s="115">
        <f t="shared" si="41"/>
        <v>0</v>
      </c>
      <c r="P92" s="115">
        <f t="shared" si="41"/>
        <v>0</v>
      </c>
      <c r="Q92" s="115">
        <f t="shared" si="41"/>
        <v>0</v>
      </c>
      <c r="R92" s="115">
        <f t="shared" si="41"/>
        <v>0</v>
      </c>
      <c r="S92" s="115">
        <f t="shared" si="41"/>
        <v>0</v>
      </c>
    </row>
    <row r="93" spans="1:19" ht="15" customHeight="1">
      <c r="B93" s="222" t="s">
        <v>1115</v>
      </c>
      <c r="C93" s="6">
        <f>Inputs!C93</f>
        <v>1</v>
      </c>
      <c r="D93" s="6">
        <f t="shared" si="39"/>
        <v>1</v>
      </c>
      <c r="E93" s="6">
        <f t="shared" ref="E93:S93" si="42">D93</f>
        <v>1</v>
      </c>
      <c r="F93" s="6">
        <f t="shared" si="42"/>
        <v>1</v>
      </c>
      <c r="G93" s="6">
        <f t="shared" si="42"/>
        <v>1</v>
      </c>
      <c r="H93" s="6">
        <f t="shared" si="42"/>
        <v>1</v>
      </c>
      <c r="I93" s="6">
        <f t="shared" si="42"/>
        <v>1</v>
      </c>
      <c r="J93" s="6">
        <f t="shared" si="42"/>
        <v>1</v>
      </c>
      <c r="K93" s="6">
        <f t="shared" si="42"/>
        <v>1</v>
      </c>
      <c r="L93" s="6">
        <f t="shared" si="42"/>
        <v>1</v>
      </c>
      <c r="M93" s="6">
        <f t="shared" si="42"/>
        <v>1</v>
      </c>
      <c r="N93" s="6">
        <f t="shared" si="42"/>
        <v>1</v>
      </c>
      <c r="O93" s="6">
        <f t="shared" si="42"/>
        <v>1</v>
      </c>
      <c r="P93" s="6">
        <f t="shared" si="42"/>
        <v>1</v>
      </c>
      <c r="Q93" s="6">
        <f t="shared" si="42"/>
        <v>1</v>
      </c>
      <c r="R93" s="6">
        <f t="shared" si="42"/>
        <v>1</v>
      </c>
      <c r="S93" s="6">
        <f t="shared" si="42"/>
        <v>1</v>
      </c>
    </row>
    <row r="94" spans="1:19" ht="15" customHeight="1">
      <c r="B94" s="222" t="s">
        <v>1116</v>
      </c>
      <c r="C94" s="6">
        <f>Inputs!C94</f>
        <v>7.3659997642880075</v>
      </c>
      <c r="D94" s="6">
        <f t="shared" si="39"/>
        <v>7.3659997642880075</v>
      </c>
      <c r="E94" s="6">
        <f t="shared" ref="E94:S94" si="43">D94</f>
        <v>7.3659997642880075</v>
      </c>
      <c r="F94" s="6">
        <f t="shared" si="43"/>
        <v>7.3659997642880075</v>
      </c>
      <c r="G94" s="6">
        <f t="shared" si="43"/>
        <v>7.3659997642880075</v>
      </c>
      <c r="H94" s="6">
        <f t="shared" si="43"/>
        <v>7.3659997642880075</v>
      </c>
      <c r="I94" s="6">
        <f t="shared" si="43"/>
        <v>7.3659997642880075</v>
      </c>
      <c r="J94" s="6">
        <f t="shared" si="43"/>
        <v>7.3659997642880075</v>
      </c>
      <c r="K94" s="6">
        <f t="shared" si="43"/>
        <v>7.3659997642880075</v>
      </c>
      <c r="L94" s="6">
        <f t="shared" si="43"/>
        <v>7.3659997642880075</v>
      </c>
      <c r="M94" s="6">
        <f t="shared" si="43"/>
        <v>7.3659997642880075</v>
      </c>
      <c r="N94" s="6">
        <f t="shared" si="43"/>
        <v>7.3659997642880075</v>
      </c>
      <c r="O94" s="6">
        <f t="shared" si="43"/>
        <v>7.3659997642880075</v>
      </c>
      <c r="P94" s="6">
        <f t="shared" si="43"/>
        <v>7.3659997642880075</v>
      </c>
      <c r="Q94" s="6">
        <f t="shared" si="43"/>
        <v>7.3659997642880075</v>
      </c>
      <c r="R94" s="6">
        <f t="shared" si="43"/>
        <v>7.3659997642880075</v>
      </c>
      <c r="S94" s="6">
        <f t="shared" si="43"/>
        <v>7.3659997642880075</v>
      </c>
    </row>
    <row r="95" spans="1:19" ht="15" customHeight="1">
      <c r="B95" s="222" t="s">
        <v>1117</v>
      </c>
      <c r="C95" s="6">
        <f>Inputs!C95</f>
        <v>0</v>
      </c>
      <c r="D95" s="6">
        <f t="shared" ref="D95:S113" si="44">C95</f>
        <v>0</v>
      </c>
      <c r="E95" s="6">
        <f t="shared" si="44"/>
        <v>0</v>
      </c>
      <c r="F95" s="6">
        <f t="shared" si="44"/>
        <v>0</v>
      </c>
      <c r="G95" s="6">
        <f t="shared" si="44"/>
        <v>0</v>
      </c>
      <c r="H95" s="6">
        <f t="shared" si="44"/>
        <v>0</v>
      </c>
      <c r="I95" s="6">
        <f t="shared" si="44"/>
        <v>0</v>
      </c>
      <c r="J95" s="6">
        <f t="shared" si="44"/>
        <v>0</v>
      </c>
      <c r="K95" s="6">
        <f t="shared" si="44"/>
        <v>0</v>
      </c>
      <c r="L95" s="6">
        <f t="shared" si="44"/>
        <v>0</v>
      </c>
      <c r="M95" s="6">
        <f t="shared" si="44"/>
        <v>0</v>
      </c>
      <c r="N95" s="6">
        <f t="shared" si="44"/>
        <v>0</v>
      </c>
      <c r="O95" s="6">
        <f t="shared" si="44"/>
        <v>0</v>
      </c>
      <c r="P95" s="6">
        <f t="shared" si="44"/>
        <v>0</v>
      </c>
      <c r="Q95" s="6">
        <f t="shared" si="44"/>
        <v>0</v>
      </c>
      <c r="R95" s="6">
        <f t="shared" si="44"/>
        <v>0</v>
      </c>
      <c r="S95" s="6">
        <f t="shared" si="44"/>
        <v>0</v>
      </c>
    </row>
    <row r="96" spans="1:19" ht="15" customHeight="1">
      <c r="B96" s="222" t="s">
        <v>1118</v>
      </c>
      <c r="C96" s="6">
        <f>Inputs!C96</f>
        <v>0.5</v>
      </c>
      <c r="D96" s="6">
        <f t="shared" si="44"/>
        <v>0.5</v>
      </c>
      <c r="E96" s="6">
        <f t="shared" si="44"/>
        <v>0.5</v>
      </c>
      <c r="F96" s="6">
        <f t="shared" si="44"/>
        <v>0.5</v>
      </c>
      <c r="G96" s="6">
        <f t="shared" si="44"/>
        <v>0.5</v>
      </c>
      <c r="H96" s="6">
        <f t="shared" si="44"/>
        <v>0.5</v>
      </c>
      <c r="I96" s="6">
        <f t="shared" si="44"/>
        <v>0.5</v>
      </c>
      <c r="J96" s="6">
        <f t="shared" si="44"/>
        <v>0.5</v>
      </c>
      <c r="K96" s="6">
        <f t="shared" si="44"/>
        <v>0.5</v>
      </c>
      <c r="L96" s="6">
        <f t="shared" si="44"/>
        <v>0.5</v>
      </c>
      <c r="M96" s="6">
        <f t="shared" si="44"/>
        <v>0.5</v>
      </c>
      <c r="N96" s="6">
        <f t="shared" si="44"/>
        <v>0.5</v>
      </c>
      <c r="O96" s="6">
        <f t="shared" si="44"/>
        <v>0.5</v>
      </c>
      <c r="P96" s="6">
        <f t="shared" si="44"/>
        <v>0.5</v>
      </c>
      <c r="Q96" s="6">
        <f t="shared" si="44"/>
        <v>0.5</v>
      </c>
      <c r="R96" s="6">
        <f t="shared" si="44"/>
        <v>0.5</v>
      </c>
      <c r="S96" s="6">
        <f t="shared" si="44"/>
        <v>0.5</v>
      </c>
    </row>
    <row r="97" spans="1:20" ht="15" customHeight="1">
      <c r="B97" s="222" t="s">
        <v>1119</v>
      </c>
      <c r="C97" s="115">
        <f>Inputs!C97</f>
        <v>3</v>
      </c>
      <c r="D97" s="115">
        <f t="shared" si="44"/>
        <v>3</v>
      </c>
      <c r="E97" s="115">
        <f t="shared" si="44"/>
        <v>3</v>
      </c>
      <c r="F97" s="115">
        <f t="shared" si="44"/>
        <v>3</v>
      </c>
      <c r="G97" s="115">
        <f t="shared" si="44"/>
        <v>3</v>
      </c>
      <c r="H97" s="115">
        <f t="shared" si="44"/>
        <v>3</v>
      </c>
      <c r="I97" s="115">
        <f t="shared" si="44"/>
        <v>3</v>
      </c>
      <c r="J97" s="115">
        <f t="shared" si="44"/>
        <v>3</v>
      </c>
      <c r="K97" s="115">
        <f t="shared" si="44"/>
        <v>3</v>
      </c>
      <c r="L97" s="115">
        <f t="shared" si="44"/>
        <v>3</v>
      </c>
      <c r="M97" s="115">
        <f t="shared" si="44"/>
        <v>3</v>
      </c>
      <c r="N97" s="115">
        <f t="shared" si="44"/>
        <v>3</v>
      </c>
      <c r="O97" s="115">
        <f t="shared" si="44"/>
        <v>3</v>
      </c>
      <c r="P97" s="115">
        <f t="shared" si="44"/>
        <v>3</v>
      </c>
      <c r="Q97" s="115">
        <f t="shared" si="44"/>
        <v>3</v>
      </c>
      <c r="R97" s="115">
        <f t="shared" si="44"/>
        <v>3</v>
      </c>
      <c r="S97" s="115">
        <f t="shared" si="44"/>
        <v>3</v>
      </c>
    </row>
    <row r="98" spans="1:20" ht="15" customHeight="1">
      <c r="B98" s="222" t="s">
        <v>1120</v>
      </c>
      <c r="C98" s="139">
        <f>Inputs!C98</f>
        <v>7.3659997642880075</v>
      </c>
      <c r="D98" s="139">
        <f t="shared" si="44"/>
        <v>7.3659997642880075</v>
      </c>
      <c r="E98" s="139">
        <f t="shared" si="44"/>
        <v>7.3659997642880075</v>
      </c>
      <c r="F98" s="139">
        <f t="shared" si="44"/>
        <v>7.3659997642880075</v>
      </c>
      <c r="G98" s="139">
        <f t="shared" si="44"/>
        <v>7.3659997642880075</v>
      </c>
      <c r="H98" s="139">
        <f t="shared" si="44"/>
        <v>7.3659997642880075</v>
      </c>
      <c r="I98" s="139">
        <f t="shared" si="44"/>
        <v>7.3659997642880075</v>
      </c>
      <c r="J98" s="139">
        <f t="shared" si="44"/>
        <v>7.3659997642880075</v>
      </c>
      <c r="K98" s="139">
        <f t="shared" si="44"/>
        <v>7.3659997642880075</v>
      </c>
      <c r="L98" s="139">
        <f t="shared" si="44"/>
        <v>7.3659997642880075</v>
      </c>
      <c r="M98" s="139">
        <f t="shared" si="44"/>
        <v>7.3659997642880075</v>
      </c>
      <c r="N98" s="139">
        <f t="shared" si="44"/>
        <v>7.3659997642880075</v>
      </c>
      <c r="O98" s="139">
        <f t="shared" si="44"/>
        <v>7.3659997642880075</v>
      </c>
      <c r="P98" s="139">
        <f t="shared" si="44"/>
        <v>7.3659997642880075</v>
      </c>
      <c r="Q98" s="139">
        <f t="shared" si="44"/>
        <v>7.3659997642880075</v>
      </c>
      <c r="R98" s="139">
        <f t="shared" si="44"/>
        <v>7.3659997642880075</v>
      </c>
      <c r="S98" s="139">
        <f t="shared" si="44"/>
        <v>7.3659997642880075</v>
      </c>
    </row>
    <row r="99" spans="1:20" ht="15" customHeight="1">
      <c r="B99" s="222" t="s">
        <v>1121</v>
      </c>
      <c r="C99" s="139">
        <f>Inputs!C99</f>
        <v>0</v>
      </c>
      <c r="D99" s="139">
        <f t="shared" si="44"/>
        <v>0</v>
      </c>
      <c r="E99" s="139">
        <f t="shared" si="44"/>
        <v>0</v>
      </c>
      <c r="F99" s="139">
        <f t="shared" si="44"/>
        <v>0</v>
      </c>
      <c r="G99" s="139">
        <f t="shared" si="44"/>
        <v>0</v>
      </c>
      <c r="H99" s="139">
        <f t="shared" si="44"/>
        <v>0</v>
      </c>
      <c r="I99" s="139">
        <f t="shared" si="44"/>
        <v>0</v>
      </c>
      <c r="J99" s="139">
        <f t="shared" si="44"/>
        <v>0</v>
      </c>
      <c r="K99" s="139">
        <f t="shared" si="44"/>
        <v>0</v>
      </c>
      <c r="L99" s="139">
        <f t="shared" si="44"/>
        <v>0</v>
      </c>
      <c r="M99" s="139">
        <f t="shared" si="44"/>
        <v>0</v>
      </c>
      <c r="N99" s="139">
        <f t="shared" si="44"/>
        <v>0</v>
      </c>
      <c r="O99" s="139">
        <f t="shared" si="44"/>
        <v>0</v>
      </c>
      <c r="P99" s="139">
        <f t="shared" si="44"/>
        <v>0</v>
      </c>
      <c r="Q99" s="139">
        <f t="shared" si="44"/>
        <v>0</v>
      </c>
      <c r="R99" s="139">
        <f t="shared" si="44"/>
        <v>0</v>
      </c>
      <c r="S99" s="139">
        <f t="shared" si="44"/>
        <v>0</v>
      </c>
    </row>
    <row r="100" spans="1:20" ht="15" customHeight="1">
      <c r="B100" s="222" t="s">
        <v>1122</v>
      </c>
      <c r="C100" s="8">
        <f>Inputs!C100</f>
        <v>0.5</v>
      </c>
      <c r="D100" s="8">
        <f t="shared" si="44"/>
        <v>0.5</v>
      </c>
      <c r="E100" s="8">
        <f t="shared" si="44"/>
        <v>0.5</v>
      </c>
      <c r="F100" s="8">
        <f t="shared" si="44"/>
        <v>0.5</v>
      </c>
      <c r="G100" s="8">
        <f t="shared" si="44"/>
        <v>0.5</v>
      </c>
      <c r="H100" s="8">
        <f t="shared" si="44"/>
        <v>0.5</v>
      </c>
      <c r="I100" s="8">
        <f t="shared" si="44"/>
        <v>0.5</v>
      </c>
      <c r="J100" s="8">
        <f t="shared" si="44"/>
        <v>0.5</v>
      </c>
      <c r="K100" s="8">
        <f t="shared" si="44"/>
        <v>0.5</v>
      </c>
      <c r="L100" s="8">
        <f t="shared" si="44"/>
        <v>0.5</v>
      </c>
      <c r="M100" s="8">
        <f t="shared" si="44"/>
        <v>0.5</v>
      </c>
      <c r="N100" s="8">
        <f t="shared" si="44"/>
        <v>0.5</v>
      </c>
      <c r="O100" s="8">
        <f t="shared" si="44"/>
        <v>0.5</v>
      </c>
      <c r="P100" s="8">
        <f t="shared" si="44"/>
        <v>0.5</v>
      </c>
      <c r="Q100" s="8">
        <f t="shared" si="44"/>
        <v>0.5</v>
      </c>
      <c r="R100" s="8">
        <f t="shared" si="44"/>
        <v>0.5</v>
      </c>
      <c r="S100" s="204">
        <f t="shared" si="44"/>
        <v>0.5</v>
      </c>
    </row>
    <row r="101" spans="1:20" ht="15" customHeight="1">
      <c r="A101" s="222" t="s">
        <v>148</v>
      </c>
      <c r="B101" s="222" t="s">
        <v>1010</v>
      </c>
      <c r="C101" s="139">
        <f>Inputs!C101</f>
        <v>18.43494882292201</v>
      </c>
      <c r="D101" s="139">
        <f t="shared" si="44"/>
        <v>18.43494882292201</v>
      </c>
      <c r="E101" s="139">
        <f t="shared" si="44"/>
        <v>18.43494882292201</v>
      </c>
      <c r="F101" s="139">
        <f t="shared" si="44"/>
        <v>18.43494882292201</v>
      </c>
      <c r="G101" s="139">
        <f t="shared" si="44"/>
        <v>18.43494882292201</v>
      </c>
      <c r="H101" s="139">
        <f t="shared" si="44"/>
        <v>18.43494882292201</v>
      </c>
      <c r="I101" s="139">
        <f t="shared" si="44"/>
        <v>18.43494882292201</v>
      </c>
      <c r="J101" s="139">
        <f t="shared" si="44"/>
        <v>18.43494882292201</v>
      </c>
      <c r="K101" s="139">
        <f t="shared" si="44"/>
        <v>18.43494882292201</v>
      </c>
      <c r="L101" s="139">
        <f t="shared" si="44"/>
        <v>18.43494882292201</v>
      </c>
      <c r="M101" s="139">
        <f t="shared" si="44"/>
        <v>18.43494882292201</v>
      </c>
      <c r="N101" s="139">
        <f t="shared" si="44"/>
        <v>18.43494882292201</v>
      </c>
      <c r="O101" s="139">
        <f t="shared" si="44"/>
        <v>18.43494882292201</v>
      </c>
      <c r="P101" s="139">
        <f t="shared" si="44"/>
        <v>18.43494882292201</v>
      </c>
      <c r="Q101" s="139">
        <f t="shared" si="44"/>
        <v>18.43494882292201</v>
      </c>
      <c r="R101" s="139">
        <f t="shared" si="44"/>
        <v>18.43494882292201</v>
      </c>
      <c r="S101" s="139">
        <f t="shared" si="44"/>
        <v>18.43494882292201</v>
      </c>
    </row>
    <row r="102" spans="1:20" ht="15" customHeight="1">
      <c r="B102" s="222" t="s">
        <v>1011</v>
      </c>
      <c r="C102" s="6" t="str">
        <f>Inputs!C102</f>
        <v>P</v>
      </c>
      <c r="D102" s="6" t="str">
        <f t="shared" si="44"/>
        <v>P</v>
      </c>
      <c r="E102" s="6" t="str">
        <f t="shared" si="44"/>
        <v>P</v>
      </c>
      <c r="F102" s="6" t="str">
        <f t="shared" si="44"/>
        <v>P</v>
      </c>
      <c r="G102" s="6" t="str">
        <f t="shared" si="44"/>
        <v>P</v>
      </c>
      <c r="H102" s="6" t="str">
        <f t="shared" si="44"/>
        <v>P</v>
      </c>
      <c r="I102" s="6" t="str">
        <f t="shared" si="44"/>
        <v>P</v>
      </c>
      <c r="J102" s="6" t="str">
        <f t="shared" si="44"/>
        <v>P</v>
      </c>
      <c r="K102" s="6" t="str">
        <f t="shared" si="44"/>
        <v>P</v>
      </c>
      <c r="L102" s="6" t="str">
        <f t="shared" si="44"/>
        <v>P</v>
      </c>
      <c r="M102" s="6" t="str">
        <f t="shared" si="44"/>
        <v>P</v>
      </c>
      <c r="N102" s="6" t="str">
        <f t="shared" si="44"/>
        <v>P</v>
      </c>
      <c r="O102" s="6" t="str">
        <f t="shared" si="44"/>
        <v>P</v>
      </c>
      <c r="P102" s="6" t="str">
        <f t="shared" si="44"/>
        <v>P</v>
      </c>
      <c r="Q102" s="6" t="str">
        <f t="shared" si="44"/>
        <v>P</v>
      </c>
      <c r="R102" s="6" t="str">
        <f t="shared" si="44"/>
        <v>P</v>
      </c>
      <c r="S102" s="6" t="str">
        <f t="shared" si="44"/>
        <v>P</v>
      </c>
    </row>
    <row r="103" spans="1:20" ht="15" customHeight="1">
      <c r="B103" s="222" t="s">
        <v>1012</v>
      </c>
      <c r="C103" s="8">
        <f>Inputs!C103</f>
        <v>8.6359997236480091</v>
      </c>
      <c r="D103" s="8">
        <f>C103</f>
        <v>8.6359997236480091</v>
      </c>
      <c r="E103" s="8">
        <f t="shared" si="44"/>
        <v>8.6359997236480091</v>
      </c>
      <c r="F103" s="8">
        <f t="shared" si="44"/>
        <v>8.6359997236480091</v>
      </c>
      <c r="G103" s="8">
        <f t="shared" si="44"/>
        <v>8.6359997236480091</v>
      </c>
      <c r="H103" s="8">
        <f t="shared" si="44"/>
        <v>8.6359997236480091</v>
      </c>
      <c r="I103" s="8">
        <f t="shared" si="44"/>
        <v>8.6359997236480091</v>
      </c>
      <c r="J103" s="8">
        <f t="shared" si="44"/>
        <v>8.6359997236480091</v>
      </c>
      <c r="K103" s="8">
        <f t="shared" si="44"/>
        <v>8.6359997236480091</v>
      </c>
      <c r="L103" s="8">
        <f t="shared" si="44"/>
        <v>8.6359997236480091</v>
      </c>
      <c r="M103" s="8">
        <f t="shared" si="44"/>
        <v>8.6359997236480091</v>
      </c>
      <c r="N103" s="8">
        <f t="shared" si="44"/>
        <v>8.6359997236480091</v>
      </c>
      <c r="O103" s="8">
        <f t="shared" si="44"/>
        <v>8.6359997236480091</v>
      </c>
      <c r="P103" s="8">
        <f t="shared" si="44"/>
        <v>8.6359997236480091</v>
      </c>
      <c r="Q103" s="8">
        <f t="shared" si="44"/>
        <v>8.6359997236480091</v>
      </c>
      <c r="R103" s="8">
        <f t="shared" si="44"/>
        <v>8.6359997236480091</v>
      </c>
      <c r="S103" s="204">
        <f t="shared" si="44"/>
        <v>8.6359997236480091</v>
      </c>
    </row>
    <row r="104" spans="1:20" ht="15" customHeight="1">
      <c r="B104" s="222" t="s">
        <v>1013</v>
      </c>
      <c r="C104" s="115">
        <f>Inputs!C104</f>
        <v>0</v>
      </c>
      <c r="D104" s="115">
        <f t="shared" si="44"/>
        <v>0</v>
      </c>
      <c r="E104" s="115">
        <f t="shared" si="44"/>
        <v>0</v>
      </c>
      <c r="F104" s="115">
        <f t="shared" si="44"/>
        <v>0</v>
      </c>
      <c r="G104" s="115">
        <f t="shared" si="44"/>
        <v>0</v>
      </c>
      <c r="H104" s="115">
        <f t="shared" si="44"/>
        <v>0</v>
      </c>
      <c r="I104" s="115">
        <f t="shared" si="44"/>
        <v>0</v>
      </c>
      <c r="J104" s="115">
        <f t="shared" si="44"/>
        <v>0</v>
      </c>
      <c r="K104" s="115">
        <f t="shared" si="44"/>
        <v>0</v>
      </c>
      <c r="L104" s="115">
        <f t="shared" si="44"/>
        <v>0</v>
      </c>
      <c r="M104" s="115">
        <f t="shared" si="44"/>
        <v>0</v>
      </c>
      <c r="N104" s="115">
        <f t="shared" si="44"/>
        <v>0</v>
      </c>
      <c r="O104" s="115">
        <f t="shared" si="44"/>
        <v>0</v>
      </c>
      <c r="P104" s="115">
        <f t="shared" si="44"/>
        <v>0</v>
      </c>
      <c r="Q104" s="115">
        <f t="shared" si="44"/>
        <v>0</v>
      </c>
      <c r="R104" s="115">
        <f t="shared" si="44"/>
        <v>0</v>
      </c>
      <c r="S104" s="115">
        <f t="shared" si="44"/>
        <v>0</v>
      </c>
    </row>
    <row r="105" spans="1:20" ht="15" customHeight="1">
      <c r="B105" s="222" t="s">
        <v>1014</v>
      </c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</row>
    <row r="106" spans="1:20" ht="15" customHeight="1">
      <c r="B106" s="222" t="s">
        <v>1015</v>
      </c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</row>
    <row r="107" spans="1:20" ht="15" customHeight="1">
      <c r="B107" s="222" t="s">
        <v>1016</v>
      </c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</row>
    <row r="108" spans="1:20" ht="15" customHeight="1">
      <c r="B108" s="222" t="s">
        <v>1311</v>
      </c>
      <c r="C108" s="204">
        <f>IF(AtticType="Vented", UA!AC30,IF(AtticType="HPA", UA!AC26,UA!AC18))</f>
        <v>7.0443618688692036</v>
      </c>
      <c r="D108" s="204">
        <f>IF(AtticType="Vented", UA!AD30,IF(AtticType="HPA", UA!AD26,UA!AD18))</f>
        <v>7.0443618688692036</v>
      </c>
      <c r="E108" s="204">
        <f>IF(AtticType="Vented", UA!AE30,IF(AtticType="HPA", UA!AE26,UA!AE18))</f>
        <v>5.6809369910235512</v>
      </c>
      <c r="F108" s="204">
        <f>IF(AtticType="Vented", UA!AF30,IF(AtticType="HPA", UA!AF26,UA!AF18))</f>
        <v>7.0443618688692036</v>
      </c>
      <c r="G108" s="204">
        <f>IF(AtticType="Vented", UA!AG30,IF(AtticType="HPA", UA!AG26,UA!AG18))</f>
        <v>5.6809369910235512</v>
      </c>
      <c r="H108" s="204">
        <f>IF(AtticType="Vented", UA!AH30,IF(AtticType="HPA", UA!AH26,UA!AH18))</f>
        <v>5.6809369910235512</v>
      </c>
      <c r="I108" s="204">
        <f>IF(AtticType="Vented", UA!AI30,IF(AtticType="HPA", UA!AI26,UA!AI18))</f>
        <v>5.6809369910235512</v>
      </c>
      <c r="J108" s="204">
        <f>IF(AtticType="Vented", UA!AJ30,IF(AtticType="HPA", UA!AJ26,UA!AJ18))</f>
        <v>7.0443618688692036</v>
      </c>
      <c r="K108" s="204">
        <f>IF(AtticType="Vented", UA!AK30,IF(AtticType="HPA", UA!AK26,UA!AK18))</f>
        <v>7.0443618688692036</v>
      </c>
      <c r="L108" s="204">
        <f>IF(AtticType="Vented", UA!AL30,IF(AtticType="HPA", UA!AL26,UA!AL18))</f>
        <v>7.0443618688692036</v>
      </c>
      <c r="M108" s="204">
        <f>IF(AtticType="Vented", UA!AM30,IF(AtticType="HPA", UA!AM26,UA!AM18))</f>
        <v>7.0443618688692036</v>
      </c>
      <c r="N108" s="204">
        <f>IF(AtticType="Vented", UA!AN30,IF(AtticType="HPA", UA!AN26,UA!AN18))</f>
        <v>7.0443618688692036</v>
      </c>
      <c r="O108" s="204">
        <f>IF(AtticType="Vented", UA!AO30,IF(AtticType="HPA", UA!AO26,UA!AO18))</f>
        <v>7.0443618688692036</v>
      </c>
      <c r="P108" s="204">
        <f>IF(AtticType="Vented", UA!AP30,IF(AtticType="HPA", UA!AP26,UA!AP18))</f>
        <v>7.0443618688692036</v>
      </c>
      <c r="Q108" s="204">
        <f>IF(AtticType="Vented", UA!AQ30,IF(AtticType="HPA", UA!AQ26,UA!AQ18))</f>
        <v>7.0443618688692036</v>
      </c>
      <c r="R108" s="204">
        <f>IF(AtticType="Vented", UA!AR30,IF(AtticType="HPA", UA!AR26,UA!AR18))</f>
        <v>7.0443618688692036</v>
      </c>
      <c r="S108" s="204">
        <f>IF(AtticType="Vented", UA!AS30,IF(AtticType="HPA", UA!AS26,UA!AS18))</f>
        <v>0</v>
      </c>
    </row>
    <row r="109" spans="1:20" s="222" customFormat="1" ht="15" customHeight="1">
      <c r="B109" s="222" t="s">
        <v>1317</v>
      </c>
      <c r="C109" s="180">
        <f>C108/(3.5*39.3701/RvalConv)</f>
        <v>0.29028555753151319</v>
      </c>
      <c r="D109" s="204">
        <f>D108/(3.5*39.3701/RvalConv)</f>
        <v>0.29028555753151319</v>
      </c>
      <c r="E109" s="204">
        <f>E108/(3.5*39.3701/RvalConv)</f>
        <v>0.23410125607380095</v>
      </c>
      <c r="F109" s="204">
        <f>F108/(3.5*39.3701/RvalConv)</f>
        <v>0.29028555753151319</v>
      </c>
      <c r="G109" s="204">
        <f>G108/(3.5*39.3701/RvalConv)</f>
        <v>0.23410125607380095</v>
      </c>
      <c r="H109" s="204">
        <f>H108/(3.5*39.3701/RvalConv)</f>
        <v>0.23410125607380095</v>
      </c>
      <c r="I109" s="204">
        <f>I108/(3.5*39.3701/RvalConv)</f>
        <v>0.23410125607380095</v>
      </c>
      <c r="J109" s="204">
        <f>J108/(3.5*39.3701/RvalConv)</f>
        <v>0.29028555753151319</v>
      </c>
      <c r="K109" s="204">
        <f>K108/(3.5*39.3701/RvalConv)</f>
        <v>0.29028555753151319</v>
      </c>
      <c r="L109" s="204">
        <f>L108/(3.5*39.3701/RvalConv)</f>
        <v>0.29028555753151319</v>
      </c>
      <c r="M109" s="204">
        <f>M108/(3.5*39.3701/RvalConv)</f>
        <v>0.29028555753151319</v>
      </c>
      <c r="N109" s="204">
        <f>N108/(3.5*39.3701/RvalConv)</f>
        <v>0.29028555753151319</v>
      </c>
      <c r="O109" s="204">
        <f>O108/(3.5*39.3701/RvalConv)</f>
        <v>0.29028555753151319</v>
      </c>
      <c r="P109" s="204">
        <f>P108/(3.5*39.3701/RvalConv)</f>
        <v>0.29028555753151319</v>
      </c>
      <c r="Q109" s="204">
        <f>Q108/(3.5*39.3701/RvalConv)</f>
        <v>0.29028555753151319</v>
      </c>
      <c r="R109" s="204">
        <f>R108/(3.5*39.3701/RvalConv)</f>
        <v>0.29028555753151319</v>
      </c>
      <c r="S109" s="204">
        <f>S108/(3.5*39.3701/RvalConv)</f>
        <v>0</v>
      </c>
      <c r="T109" s="56"/>
    </row>
    <row r="110" spans="1:20" s="222" customFormat="1" ht="15" customHeight="1">
      <c r="B110" s="222" t="s">
        <v>1310</v>
      </c>
      <c r="C110" s="204">
        <f>Inputs!C110</f>
        <v>0</v>
      </c>
      <c r="D110" s="204">
        <f t="shared" si="44"/>
        <v>0</v>
      </c>
      <c r="E110" s="204">
        <f t="shared" ref="E108:E111" si="45">D110</f>
        <v>0</v>
      </c>
      <c r="F110" s="204">
        <f t="shared" ref="F108:F111" si="46">E110</f>
        <v>0</v>
      </c>
      <c r="G110" s="204">
        <f t="shared" ref="G108:G111" si="47">F110</f>
        <v>0</v>
      </c>
      <c r="H110" s="204">
        <f t="shared" ref="H108:H111" si="48">G110</f>
        <v>0</v>
      </c>
      <c r="I110" s="204">
        <f t="shared" ref="I108:I111" si="49">H110</f>
        <v>0</v>
      </c>
      <c r="J110" s="204">
        <f t="shared" ref="J108:J111" si="50">I110</f>
        <v>0</v>
      </c>
      <c r="K110" s="204">
        <f t="shared" ref="K108:K111" si="51">J110</f>
        <v>0</v>
      </c>
      <c r="L110" s="204">
        <f t="shared" ref="L108:L111" si="52">K110</f>
        <v>0</v>
      </c>
      <c r="M110" s="204">
        <f t="shared" ref="M108:M111" si="53">L110</f>
        <v>0</v>
      </c>
      <c r="N110" s="204">
        <f t="shared" ref="N108:N111" si="54">M110</f>
        <v>0</v>
      </c>
      <c r="O110" s="204">
        <f t="shared" ref="O108:O111" si="55">N110</f>
        <v>0</v>
      </c>
      <c r="P110" s="204">
        <f t="shared" ref="P108:P111" si="56">O110</f>
        <v>0</v>
      </c>
      <c r="Q110" s="204">
        <f t="shared" ref="Q108:Q111" si="57">P110</f>
        <v>0</v>
      </c>
      <c r="R110" s="204">
        <f t="shared" ref="R108:R111" si="58">Q110</f>
        <v>0</v>
      </c>
      <c r="S110" s="204">
        <f t="shared" ref="S108:S111" si="59">R110</f>
        <v>0</v>
      </c>
      <c r="T110" s="56"/>
    </row>
    <row r="111" spans="1:20" s="222" customFormat="1" ht="15" customHeight="1">
      <c r="B111" s="222" t="s">
        <v>1312</v>
      </c>
      <c r="C111" s="204">
        <f>IF(AtticType="Sealed", UA!AC6/RvalConv, 0.5)</f>
        <v>3.4531185631711785</v>
      </c>
      <c r="D111" s="204">
        <f>IF(AtticType="Sealed", UA!AD6/RvalConv, 0.5)</f>
        <v>3.4531185631711785</v>
      </c>
      <c r="E111" s="204">
        <f>IF(AtticType="Sealed", UA!AE6/RvalConv, 0.5)</f>
        <v>3.4531185631711785</v>
      </c>
      <c r="F111" s="204">
        <f>IF(AtticType="Sealed", UA!AF6/RvalConv, 0.5)</f>
        <v>3.4531185631711785</v>
      </c>
      <c r="G111" s="204">
        <f>IF(AtticType="Sealed", UA!AG6/RvalConv, 0.5)</f>
        <v>3.4531185631711785</v>
      </c>
      <c r="H111" s="204">
        <f>IF(AtticType="Sealed", UA!AH6/RvalConv, 0.5)</f>
        <v>2.7093699495650783</v>
      </c>
      <c r="I111" s="204">
        <f>IF(AtticType="Sealed", UA!AI6/RvalConv, 0.5)</f>
        <v>2.7093699495650783</v>
      </c>
      <c r="J111" s="204">
        <f>IF(AtticType="Sealed", UA!AJ6/RvalConv, 0.5)</f>
        <v>3.4531185631711785</v>
      </c>
      <c r="K111" s="204">
        <f>IF(AtticType="Sealed", UA!AK6/RvalConv, 0.5)</f>
        <v>3.4531185631711785</v>
      </c>
      <c r="L111" s="204">
        <f>IF(AtticType="Sealed", UA!AL6/RvalConv, 0.5)</f>
        <v>3.4531185631711785</v>
      </c>
      <c r="M111" s="204">
        <f>IF(AtticType="Sealed", UA!AM6/RvalConv, 0.5)</f>
        <v>3.4531185631711785</v>
      </c>
      <c r="N111" s="204">
        <f>IF(AtticType="Sealed", UA!AN6/RvalConv, 0.5)</f>
        <v>3.4531185631711785</v>
      </c>
      <c r="O111" s="204">
        <f>IF(AtticType="Sealed", UA!AO6/RvalConv, 0.5)</f>
        <v>3.4531185631711785</v>
      </c>
      <c r="P111" s="204">
        <f>IF(AtticType="Sealed", UA!AP6/RvalConv, 0.5)</f>
        <v>3.4531185631711785</v>
      </c>
      <c r="Q111" s="204">
        <f>IF(AtticType="Sealed", UA!AQ6/RvalConv, 0.5)</f>
        <v>3.4531185631711785</v>
      </c>
      <c r="R111" s="204">
        <f>IF(AtticType="Sealed", UA!AR6/RvalConv, 0.5)</f>
        <v>3.4531185631711785</v>
      </c>
      <c r="S111" s="204">
        <f>IF(AtticType="Sealed", UA!AS6/RvalConv, 0.5)</f>
        <v>0</v>
      </c>
      <c r="T111" s="56"/>
    </row>
    <row r="112" spans="1:20" ht="15" customHeight="1">
      <c r="B112" s="222" t="s">
        <v>1017</v>
      </c>
      <c r="C112" s="115">
        <f>Inputs!C112</f>
        <v>5</v>
      </c>
      <c r="D112" s="115">
        <f t="shared" si="44"/>
        <v>5</v>
      </c>
      <c r="E112" s="115">
        <f t="shared" si="44"/>
        <v>5</v>
      </c>
      <c r="F112" s="115">
        <f t="shared" si="44"/>
        <v>5</v>
      </c>
      <c r="G112" s="115">
        <f t="shared" si="44"/>
        <v>5</v>
      </c>
      <c r="H112" s="115">
        <f t="shared" si="44"/>
        <v>5</v>
      </c>
      <c r="I112" s="115">
        <f t="shared" si="44"/>
        <v>5</v>
      </c>
      <c r="J112" s="115">
        <f t="shared" si="44"/>
        <v>5</v>
      </c>
      <c r="K112" s="115">
        <f t="shared" si="44"/>
        <v>5</v>
      </c>
      <c r="L112" s="115">
        <f t="shared" si="44"/>
        <v>5</v>
      </c>
      <c r="M112" s="115">
        <f t="shared" si="44"/>
        <v>5</v>
      </c>
      <c r="N112" s="115">
        <f t="shared" si="44"/>
        <v>5</v>
      </c>
      <c r="O112" s="115">
        <f t="shared" si="44"/>
        <v>5</v>
      </c>
      <c r="P112" s="115">
        <f t="shared" si="44"/>
        <v>5</v>
      </c>
      <c r="Q112" s="115">
        <f t="shared" si="44"/>
        <v>5</v>
      </c>
      <c r="R112" s="115">
        <f t="shared" si="44"/>
        <v>5</v>
      </c>
      <c r="S112" s="115">
        <f t="shared" si="44"/>
        <v>5</v>
      </c>
    </row>
    <row r="113" spans="1:19" ht="15" customHeight="1">
      <c r="A113" s="222" t="s">
        <v>96</v>
      </c>
      <c r="B113" s="222" t="s">
        <v>1018</v>
      </c>
      <c r="C113" s="115">
        <f>Inputs!C113</f>
        <v>0</v>
      </c>
      <c r="D113" s="115">
        <f t="shared" si="44"/>
        <v>0</v>
      </c>
      <c r="E113" s="115">
        <f t="shared" si="44"/>
        <v>0</v>
      </c>
      <c r="F113" s="115">
        <f t="shared" si="44"/>
        <v>0</v>
      </c>
      <c r="G113" s="115">
        <f t="shared" si="44"/>
        <v>0</v>
      </c>
      <c r="H113" s="115">
        <f t="shared" si="44"/>
        <v>0</v>
      </c>
      <c r="I113" s="115">
        <f t="shared" si="44"/>
        <v>0</v>
      </c>
      <c r="J113" s="115">
        <f t="shared" si="44"/>
        <v>0</v>
      </c>
      <c r="K113" s="115">
        <f t="shared" si="44"/>
        <v>0</v>
      </c>
      <c r="L113" s="115">
        <f t="shared" si="44"/>
        <v>0</v>
      </c>
      <c r="M113" s="115">
        <f t="shared" si="44"/>
        <v>0</v>
      </c>
      <c r="N113" s="115">
        <f t="shared" si="44"/>
        <v>0</v>
      </c>
      <c r="O113" s="115">
        <f t="shared" si="44"/>
        <v>0</v>
      </c>
      <c r="P113" s="115">
        <f t="shared" si="44"/>
        <v>0</v>
      </c>
      <c r="Q113" s="115">
        <f t="shared" si="44"/>
        <v>0</v>
      </c>
      <c r="R113" s="115">
        <f t="shared" si="44"/>
        <v>0</v>
      </c>
      <c r="S113" s="115">
        <f t="shared" si="44"/>
        <v>0</v>
      </c>
    </row>
    <row r="114" spans="1:19" ht="15" customHeight="1">
      <c r="B114" s="222" t="s">
        <v>1019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22" t="s">
        <v>1020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22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22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22" t="s">
        <v>1150</v>
      </c>
      <c r="C118" s="139">
        <f>Inputs!C118</f>
        <v>2.5000000000000001E-2</v>
      </c>
      <c r="D118" s="139">
        <f t="shared" ref="D118:S127" si="60">C118</f>
        <v>2.5000000000000001E-2</v>
      </c>
      <c r="E118" s="139">
        <f t="shared" si="60"/>
        <v>2.5000000000000001E-2</v>
      </c>
      <c r="F118" s="139">
        <f t="shared" si="60"/>
        <v>2.5000000000000001E-2</v>
      </c>
      <c r="G118" s="139">
        <f t="shared" si="60"/>
        <v>2.5000000000000001E-2</v>
      </c>
      <c r="H118" s="139">
        <f t="shared" si="60"/>
        <v>2.5000000000000001E-2</v>
      </c>
      <c r="I118" s="139">
        <f t="shared" si="60"/>
        <v>2.5000000000000001E-2</v>
      </c>
      <c r="J118" s="139">
        <f t="shared" si="60"/>
        <v>2.5000000000000001E-2</v>
      </c>
      <c r="K118" s="139">
        <f t="shared" si="60"/>
        <v>2.5000000000000001E-2</v>
      </c>
      <c r="L118" s="139">
        <f t="shared" si="60"/>
        <v>2.5000000000000001E-2</v>
      </c>
      <c r="M118" s="139">
        <f t="shared" si="60"/>
        <v>2.5000000000000001E-2</v>
      </c>
      <c r="N118" s="139">
        <f t="shared" si="60"/>
        <v>2.5000000000000001E-2</v>
      </c>
      <c r="O118" s="139">
        <f t="shared" si="60"/>
        <v>2.5000000000000001E-2</v>
      </c>
      <c r="P118" s="139">
        <f t="shared" si="60"/>
        <v>2.5000000000000001E-2</v>
      </c>
      <c r="Q118" s="139">
        <f t="shared" si="60"/>
        <v>2.5000000000000001E-2</v>
      </c>
      <c r="R118" s="139">
        <f t="shared" si="60"/>
        <v>2.5000000000000001E-2</v>
      </c>
      <c r="S118" s="139">
        <f t="shared" si="60"/>
        <v>2.5000000000000001E-2</v>
      </c>
    </row>
    <row r="119" spans="1:19" ht="15" customHeight="1">
      <c r="B119" s="222" t="s">
        <v>1151</v>
      </c>
      <c r="C119" s="139">
        <f>Inputs!C119</f>
        <v>2.5000000000000001E-2</v>
      </c>
      <c r="D119" s="139">
        <f t="shared" si="60"/>
        <v>2.5000000000000001E-2</v>
      </c>
      <c r="E119" s="139">
        <f t="shared" si="60"/>
        <v>2.5000000000000001E-2</v>
      </c>
      <c r="F119" s="139">
        <f t="shared" si="60"/>
        <v>2.5000000000000001E-2</v>
      </c>
      <c r="G119" s="139">
        <f t="shared" si="60"/>
        <v>2.5000000000000001E-2</v>
      </c>
      <c r="H119" s="139">
        <f t="shared" si="60"/>
        <v>2.5000000000000001E-2</v>
      </c>
      <c r="I119" s="139">
        <f t="shared" si="60"/>
        <v>2.5000000000000001E-2</v>
      </c>
      <c r="J119" s="139">
        <f t="shared" si="60"/>
        <v>2.5000000000000001E-2</v>
      </c>
      <c r="K119" s="139">
        <f t="shared" si="60"/>
        <v>2.5000000000000001E-2</v>
      </c>
      <c r="L119" s="139">
        <f t="shared" si="60"/>
        <v>2.5000000000000001E-2</v>
      </c>
      <c r="M119" s="139">
        <f t="shared" si="60"/>
        <v>2.5000000000000001E-2</v>
      </c>
      <c r="N119" s="139">
        <f t="shared" si="60"/>
        <v>2.5000000000000001E-2</v>
      </c>
      <c r="O119" s="139">
        <f t="shared" si="60"/>
        <v>2.5000000000000001E-2</v>
      </c>
      <c r="P119" s="139">
        <f t="shared" si="60"/>
        <v>2.5000000000000001E-2</v>
      </c>
      <c r="Q119" s="139">
        <f t="shared" si="60"/>
        <v>2.5000000000000001E-2</v>
      </c>
      <c r="R119" s="139">
        <f t="shared" si="60"/>
        <v>2.5000000000000001E-2</v>
      </c>
      <c r="S119" s="139">
        <f t="shared" si="60"/>
        <v>2.5000000000000001E-2</v>
      </c>
    </row>
    <row r="120" spans="1:19" ht="15" customHeight="1">
      <c r="B120" s="222" t="s">
        <v>1021</v>
      </c>
      <c r="C120" s="8">
        <f>Inputs!C120</f>
        <v>56.050685570196265</v>
      </c>
      <c r="D120" s="8">
        <f t="shared" si="60"/>
        <v>56.050685570196265</v>
      </c>
      <c r="E120" s="8">
        <f t="shared" si="60"/>
        <v>56.050685570196265</v>
      </c>
      <c r="F120" s="8">
        <f t="shared" si="60"/>
        <v>56.050685570196265</v>
      </c>
      <c r="G120" s="8">
        <f t="shared" si="60"/>
        <v>56.050685570196265</v>
      </c>
      <c r="H120" s="8">
        <f t="shared" si="60"/>
        <v>56.050685570196265</v>
      </c>
      <c r="I120" s="8">
        <f t="shared" si="60"/>
        <v>56.050685570196265</v>
      </c>
      <c r="J120" s="8">
        <f t="shared" si="60"/>
        <v>56.050685570196265</v>
      </c>
      <c r="K120" s="8">
        <f t="shared" si="60"/>
        <v>56.050685570196265</v>
      </c>
      <c r="L120" s="8">
        <f t="shared" si="60"/>
        <v>56.050685570196265</v>
      </c>
      <c r="M120" s="8">
        <f t="shared" si="60"/>
        <v>56.050685570196265</v>
      </c>
      <c r="N120" s="8">
        <f t="shared" si="60"/>
        <v>56.050685570196265</v>
      </c>
      <c r="O120" s="8">
        <f t="shared" si="60"/>
        <v>56.050685570196265</v>
      </c>
      <c r="P120" s="8">
        <f t="shared" si="60"/>
        <v>56.050685570196265</v>
      </c>
      <c r="Q120" s="8">
        <f t="shared" si="60"/>
        <v>56.050685570196265</v>
      </c>
      <c r="R120" s="8">
        <f t="shared" si="60"/>
        <v>56.050685570196265</v>
      </c>
      <c r="S120" s="204">
        <f t="shared" si="60"/>
        <v>56.050685570196265</v>
      </c>
    </row>
    <row r="121" spans="1:19" ht="15" customHeight="1">
      <c r="B121" s="222" t="s">
        <v>1022</v>
      </c>
      <c r="C121" s="8">
        <f>Inputs!C121</f>
        <v>17.743173653116894</v>
      </c>
      <c r="D121" s="8">
        <f t="shared" si="60"/>
        <v>17.743173653116894</v>
      </c>
      <c r="E121" s="8">
        <f t="shared" si="60"/>
        <v>17.743173653116894</v>
      </c>
      <c r="F121" s="8">
        <f t="shared" si="60"/>
        <v>17.743173653116894</v>
      </c>
      <c r="G121" s="8">
        <f t="shared" si="60"/>
        <v>17.743173653116894</v>
      </c>
      <c r="H121" s="8">
        <f t="shared" si="60"/>
        <v>17.743173653116894</v>
      </c>
      <c r="I121" s="8">
        <f t="shared" si="60"/>
        <v>17.743173653116894</v>
      </c>
      <c r="J121" s="8">
        <f t="shared" si="60"/>
        <v>17.743173653116894</v>
      </c>
      <c r="K121" s="8">
        <f t="shared" si="60"/>
        <v>17.743173653116894</v>
      </c>
      <c r="L121" s="8">
        <f t="shared" si="60"/>
        <v>17.743173653116894</v>
      </c>
      <c r="M121" s="8">
        <f t="shared" si="60"/>
        <v>17.743173653116894</v>
      </c>
      <c r="N121" s="8">
        <f t="shared" si="60"/>
        <v>17.743173653116894</v>
      </c>
      <c r="O121" s="8">
        <f t="shared" si="60"/>
        <v>17.743173653116894</v>
      </c>
      <c r="P121" s="8">
        <f t="shared" si="60"/>
        <v>17.743173653116894</v>
      </c>
      <c r="Q121" s="8">
        <f t="shared" si="60"/>
        <v>17.743173653116894</v>
      </c>
      <c r="R121" s="8">
        <f t="shared" si="60"/>
        <v>17.743173653116894</v>
      </c>
      <c r="S121" s="204">
        <f t="shared" si="60"/>
        <v>17.743173653116894</v>
      </c>
    </row>
    <row r="122" spans="1:19" ht="15" customHeight="1">
      <c r="B122" s="222" t="s">
        <v>1023</v>
      </c>
      <c r="C122" s="6">
        <f>Inputs!C122</f>
        <v>0.25</v>
      </c>
      <c r="D122" s="6">
        <f t="shared" si="60"/>
        <v>0.25</v>
      </c>
      <c r="E122" s="6">
        <f t="shared" si="60"/>
        <v>0.25</v>
      </c>
      <c r="F122" s="6">
        <f t="shared" si="60"/>
        <v>0.25</v>
      </c>
      <c r="G122" s="6">
        <f t="shared" si="60"/>
        <v>0.25</v>
      </c>
      <c r="H122" s="6">
        <f t="shared" si="60"/>
        <v>0.25</v>
      </c>
      <c r="I122" s="6">
        <f t="shared" si="60"/>
        <v>0.25</v>
      </c>
      <c r="J122" s="6">
        <f t="shared" si="60"/>
        <v>0.25</v>
      </c>
      <c r="K122" s="6">
        <f t="shared" si="60"/>
        <v>0.25</v>
      </c>
      <c r="L122" s="6">
        <f t="shared" si="60"/>
        <v>0.25</v>
      </c>
      <c r="M122" s="6">
        <f t="shared" si="60"/>
        <v>0.25</v>
      </c>
      <c r="N122" s="6">
        <f t="shared" si="60"/>
        <v>0.25</v>
      </c>
      <c r="O122" s="6">
        <f t="shared" si="60"/>
        <v>0.25</v>
      </c>
      <c r="P122" s="6">
        <f t="shared" si="60"/>
        <v>0.25</v>
      </c>
      <c r="Q122" s="6">
        <f t="shared" si="60"/>
        <v>0.25</v>
      </c>
      <c r="R122" s="6">
        <f t="shared" si="60"/>
        <v>0.25</v>
      </c>
      <c r="S122" s="6">
        <f t="shared" si="60"/>
        <v>0.25</v>
      </c>
    </row>
    <row r="123" spans="1:19" ht="15" customHeight="1">
      <c r="B123" s="222" t="s">
        <v>1024</v>
      </c>
      <c r="C123" s="6">
        <f>Inputs!C123</f>
        <v>0.45</v>
      </c>
      <c r="D123" s="6">
        <f t="shared" si="60"/>
        <v>0.45</v>
      </c>
      <c r="E123" s="6">
        <f t="shared" si="60"/>
        <v>0.45</v>
      </c>
      <c r="F123" s="6">
        <f t="shared" si="60"/>
        <v>0.45</v>
      </c>
      <c r="G123" s="6">
        <f t="shared" si="60"/>
        <v>0.45</v>
      </c>
      <c r="H123" s="6">
        <f t="shared" si="60"/>
        <v>0.45</v>
      </c>
      <c r="I123" s="6">
        <f t="shared" si="60"/>
        <v>0.45</v>
      </c>
      <c r="J123" s="6">
        <f t="shared" si="60"/>
        <v>0.45</v>
      </c>
      <c r="K123" s="6">
        <f t="shared" si="60"/>
        <v>0.45</v>
      </c>
      <c r="L123" s="6">
        <f t="shared" si="60"/>
        <v>0.45</v>
      </c>
      <c r="M123" s="6">
        <f t="shared" si="60"/>
        <v>0.45</v>
      </c>
      <c r="N123" s="6">
        <f t="shared" si="60"/>
        <v>0.45</v>
      </c>
      <c r="O123" s="6">
        <f t="shared" si="60"/>
        <v>0.45</v>
      </c>
      <c r="P123" s="6">
        <f t="shared" si="60"/>
        <v>0.45</v>
      </c>
      <c r="Q123" s="6">
        <f t="shared" si="60"/>
        <v>0.45</v>
      </c>
      <c r="R123" s="6">
        <f t="shared" si="60"/>
        <v>0.45</v>
      </c>
      <c r="S123" s="6">
        <f t="shared" si="60"/>
        <v>0.45</v>
      </c>
    </row>
    <row r="124" spans="1:19" ht="15" customHeight="1">
      <c r="B124" s="222" t="s">
        <v>1025</v>
      </c>
      <c r="C124" s="323">
        <f>HVAC!B135</f>
        <v>0.37759999999999999</v>
      </c>
      <c r="D124" s="323">
        <f>HVAC!C135</f>
        <v>0.47199999999999998</v>
      </c>
      <c r="E124" s="323">
        <f>HVAC!D135</f>
        <v>0.37759999999999999</v>
      </c>
      <c r="F124" s="323">
        <f>HVAC!E135</f>
        <v>0.47199999999999998</v>
      </c>
      <c r="G124" s="323">
        <f>HVAC!F135</f>
        <v>0.37759999999999999</v>
      </c>
      <c r="H124" s="323">
        <f>HVAC!G135</f>
        <v>0.37759999999999999</v>
      </c>
      <c r="I124" s="323">
        <f>HVAC!H135</f>
        <v>0.47199999999999998</v>
      </c>
      <c r="J124" s="323">
        <f>HVAC!I135</f>
        <v>0.37759999999999999</v>
      </c>
      <c r="K124" s="323">
        <f>HVAC!J135</f>
        <v>0.47199999999999998</v>
      </c>
      <c r="L124" s="323">
        <f>HVAC!K135</f>
        <v>0.47199999999999998</v>
      </c>
      <c r="M124" s="323">
        <f>HVAC!L135</f>
        <v>0.47199999999999998</v>
      </c>
      <c r="N124" s="323">
        <f>HVAC!M135</f>
        <v>0.47199999999999998</v>
      </c>
      <c r="O124" s="323">
        <f>HVAC!N135</f>
        <v>0.47199999999999998</v>
      </c>
      <c r="P124" s="323">
        <f>HVAC!O135</f>
        <v>0.47199999999999998</v>
      </c>
      <c r="Q124" s="323">
        <f>HVAC!P135</f>
        <v>0.56640000000000001</v>
      </c>
      <c r="R124" s="323">
        <f>HVAC!Q135</f>
        <v>0.37759999999999999</v>
      </c>
      <c r="S124" s="323">
        <f>HVAC!R135</f>
        <v>0</v>
      </c>
    </row>
    <row r="125" spans="1:19" ht="15" customHeight="1">
      <c r="B125" s="222" t="s">
        <v>1026</v>
      </c>
      <c r="C125" s="323">
        <f>HVAC!B139</f>
        <v>0.19031039999999999</v>
      </c>
      <c r="D125" s="323">
        <f>HVAC!C139</f>
        <v>0.23788799999999999</v>
      </c>
      <c r="E125" s="323">
        <f>HVAC!D139</f>
        <v>0.19031039999999999</v>
      </c>
      <c r="F125" s="323">
        <f>HVAC!E139</f>
        <v>0.23788799999999999</v>
      </c>
      <c r="G125" s="323">
        <f>HVAC!F139</f>
        <v>0.19031039999999999</v>
      </c>
      <c r="H125" s="323">
        <f>HVAC!G139</f>
        <v>0.19031039999999999</v>
      </c>
      <c r="I125" s="323">
        <f>HVAC!H139</f>
        <v>0.23788799999999999</v>
      </c>
      <c r="J125" s="323">
        <f>HVAC!I139</f>
        <v>0.19031039999999999</v>
      </c>
      <c r="K125" s="323">
        <f>HVAC!J139</f>
        <v>0.23788799999999999</v>
      </c>
      <c r="L125" s="323">
        <f>HVAC!K139</f>
        <v>0.23788799999999999</v>
      </c>
      <c r="M125" s="323">
        <f>HVAC!L139</f>
        <v>0.23788799999999999</v>
      </c>
      <c r="N125" s="323">
        <f>HVAC!M139</f>
        <v>0.23788799999999999</v>
      </c>
      <c r="O125" s="323">
        <f>HVAC!N139</f>
        <v>0.23788799999999999</v>
      </c>
      <c r="P125" s="323">
        <f>HVAC!O139</f>
        <v>0.23788799999999999</v>
      </c>
      <c r="Q125" s="323">
        <f>HVAC!P139</f>
        <v>0.28546560000000004</v>
      </c>
      <c r="R125" s="323">
        <f>HVAC!Q139</f>
        <v>0.23788799999999999</v>
      </c>
      <c r="S125" s="323">
        <f>HVAC!R139</f>
        <v>0</v>
      </c>
    </row>
    <row r="126" spans="1:19" ht="15" customHeight="1">
      <c r="B126" s="222" t="s">
        <v>110</v>
      </c>
      <c r="C126" s="8">
        <f>Inputs!C126</f>
        <v>0.6</v>
      </c>
      <c r="D126" s="8">
        <f>C126</f>
        <v>0.6</v>
      </c>
      <c r="E126" s="8">
        <f t="shared" si="60"/>
        <v>0.6</v>
      </c>
      <c r="F126" s="8">
        <f t="shared" si="60"/>
        <v>0.6</v>
      </c>
      <c r="G126" s="8">
        <f t="shared" si="60"/>
        <v>0.6</v>
      </c>
      <c r="H126" s="8">
        <f t="shared" si="60"/>
        <v>0.6</v>
      </c>
      <c r="I126" s="8">
        <f t="shared" si="60"/>
        <v>0.6</v>
      </c>
      <c r="J126" s="8">
        <f t="shared" si="60"/>
        <v>0.6</v>
      </c>
      <c r="K126" s="8">
        <f t="shared" si="60"/>
        <v>0.6</v>
      </c>
      <c r="L126" s="8">
        <f t="shared" si="60"/>
        <v>0.6</v>
      </c>
      <c r="M126" s="8">
        <f t="shared" si="60"/>
        <v>0.6</v>
      </c>
      <c r="N126" s="8">
        <f t="shared" si="60"/>
        <v>0.6</v>
      </c>
      <c r="O126" s="8">
        <f t="shared" si="60"/>
        <v>0.6</v>
      </c>
      <c r="P126" s="8">
        <f t="shared" si="60"/>
        <v>0.6</v>
      </c>
      <c r="Q126" s="8">
        <f t="shared" si="60"/>
        <v>0.6</v>
      </c>
      <c r="R126" s="8">
        <f t="shared" si="60"/>
        <v>0.6</v>
      </c>
      <c r="S126" s="204">
        <f t="shared" si="60"/>
        <v>0.6</v>
      </c>
    </row>
    <row r="127" spans="1:19" ht="15" customHeight="1">
      <c r="B127" s="222" t="s">
        <v>112</v>
      </c>
      <c r="C127" s="8">
        <f>Inputs!C127</f>
        <v>0.6</v>
      </c>
      <c r="D127" s="8">
        <f>C127</f>
        <v>0.6</v>
      </c>
      <c r="E127" s="8">
        <f t="shared" si="60"/>
        <v>0.6</v>
      </c>
      <c r="F127" s="8">
        <f t="shared" si="60"/>
        <v>0.6</v>
      </c>
      <c r="G127" s="8">
        <f t="shared" si="60"/>
        <v>0.6</v>
      </c>
      <c r="H127" s="8">
        <f t="shared" si="60"/>
        <v>0.6</v>
      </c>
      <c r="I127" s="8">
        <f t="shared" si="60"/>
        <v>0.6</v>
      </c>
      <c r="J127" s="8">
        <f t="shared" si="60"/>
        <v>0.6</v>
      </c>
      <c r="K127" s="8">
        <f t="shared" si="60"/>
        <v>0.6</v>
      </c>
      <c r="L127" s="8">
        <f t="shared" si="60"/>
        <v>0.6</v>
      </c>
      <c r="M127" s="8">
        <f t="shared" si="60"/>
        <v>0.6</v>
      </c>
      <c r="N127" s="8">
        <f t="shared" si="60"/>
        <v>0.6</v>
      </c>
      <c r="O127" s="8">
        <f t="shared" si="60"/>
        <v>0.6</v>
      </c>
      <c r="P127" s="8">
        <f t="shared" si="60"/>
        <v>0.6</v>
      </c>
      <c r="Q127" s="8">
        <f t="shared" si="60"/>
        <v>0.6</v>
      </c>
      <c r="R127" s="8">
        <f t="shared" si="60"/>
        <v>0.6</v>
      </c>
      <c r="S127" s="204">
        <f t="shared" si="60"/>
        <v>0.6</v>
      </c>
    </row>
    <row r="128" spans="1:19" ht="15" customHeight="1">
      <c r="B128" s="222" t="s">
        <v>114</v>
      </c>
      <c r="C128" s="325">
        <f>HVAC!B141</f>
        <v>1.3683840050234895E-3</v>
      </c>
      <c r="D128" s="325">
        <f>HVAC!C141</f>
        <v>1.7104800062793617E-3</v>
      </c>
      <c r="E128" s="325">
        <f>HVAC!D141</f>
        <v>1.3683840050234895E-3</v>
      </c>
      <c r="F128" s="325">
        <f>HVAC!E141</f>
        <v>1.7104800062793617E-3</v>
      </c>
      <c r="G128" s="325">
        <f>HVAC!F141</f>
        <v>1.3683840050234895E-3</v>
      </c>
      <c r="H128" s="325">
        <f>HVAC!G141</f>
        <v>1.3683840050234895E-3</v>
      </c>
      <c r="I128" s="325">
        <f>HVAC!H141</f>
        <v>1.7104800062793617E-3</v>
      </c>
      <c r="J128" s="325">
        <f>HVAC!I141</f>
        <v>1.3683840050234895E-3</v>
      </c>
      <c r="K128" s="325">
        <f>HVAC!J141</f>
        <v>1.7104800062793617E-3</v>
      </c>
      <c r="L128" s="325">
        <f>HVAC!K141</f>
        <v>1.7104800062793617E-3</v>
      </c>
      <c r="M128" s="325">
        <f>HVAC!L141</f>
        <v>1.7104800062793617E-3</v>
      </c>
      <c r="N128" s="325">
        <f>HVAC!M141</f>
        <v>1.7104800062793617E-3</v>
      </c>
      <c r="O128" s="325">
        <f>HVAC!N141</f>
        <v>1.7104800062793617E-3</v>
      </c>
      <c r="P128" s="325">
        <f>HVAC!O141</f>
        <v>1.7104800062793617E-3</v>
      </c>
      <c r="Q128" s="325">
        <f>HVAC!P141</f>
        <v>2.0525760075352341E-3</v>
      </c>
      <c r="R128" s="325">
        <f>HVAC!Q141</f>
        <v>1.3683840050234895E-3</v>
      </c>
      <c r="S128" s="325">
        <f>HVAC!R141</f>
        <v>0</v>
      </c>
    </row>
    <row r="129" spans="1:20" ht="15" customHeight="1">
      <c r="B129" s="222" t="s">
        <v>116</v>
      </c>
      <c r="C129" s="325">
        <f>HVAC!B142</f>
        <v>1.3683840050234895E-3</v>
      </c>
      <c r="D129" s="325">
        <f>HVAC!C142</f>
        <v>1.7104800062793617E-3</v>
      </c>
      <c r="E129" s="325">
        <f>HVAC!D142</f>
        <v>1.3683840050234895E-3</v>
      </c>
      <c r="F129" s="325">
        <f>HVAC!E142</f>
        <v>1.7104800062793617E-3</v>
      </c>
      <c r="G129" s="325">
        <f>HVAC!F142</f>
        <v>1.3683840050234895E-3</v>
      </c>
      <c r="H129" s="325">
        <f>HVAC!G142</f>
        <v>1.3683840050234895E-3</v>
      </c>
      <c r="I129" s="325">
        <f>HVAC!H142</f>
        <v>1.7104800062793617E-3</v>
      </c>
      <c r="J129" s="325">
        <f>HVAC!I142</f>
        <v>1.3683840050234895E-3</v>
      </c>
      <c r="K129" s="325">
        <f>HVAC!J142</f>
        <v>1.7104800062793617E-3</v>
      </c>
      <c r="L129" s="325">
        <f>HVAC!K142</f>
        <v>1.7104800062793617E-3</v>
      </c>
      <c r="M129" s="325">
        <f>HVAC!L142</f>
        <v>1.7104800062793617E-3</v>
      </c>
      <c r="N129" s="325">
        <f>HVAC!M142</f>
        <v>1.7104800062793617E-3</v>
      </c>
      <c r="O129" s="325">
        <f>HVAC!N142</f>
        <v>1.7104800062793617E-3</v>
      </c>
      <c r="P129" s="325">
        <f>HVAC!O142</f>
        <v>1.7104800062793617E-3</v>
      </c>
      <c r="Q129" s="325">
        <f>HVAC!P142</f>
        <v>2.0525760075352341E-3</v>
      </c>
      <c r="R129" s="325">
        <f>HVAC!Q142</f>
        <v>1.3683840050234895E-3</v>
      </c>
      <c r="S129" s="325">
        <f>HVAC!R142</f>
        <v>0</v>
      </c>
    </row>
    <row r="130" spans="1:20" ht="15" customHeight="1">
      <c r="A130" s="222" t="s">
        <v>476</v>
      </c>
      <c r="B130" s="222" t="s">
        <v>384</v>
      </c>
      <c r="C130" s="323">
        <f>HVAC!B133</f>
        <v>2</v>
      </c>
      <c r="D130" s="323">
        <f>HVAC!C133</f>
        <v>2.5</v>
      </c>
      <c r="E130" s="323">
        <f>HVAC!D133</f>
        <v>2</v>
      </c>
      <c r="F130" s="323">
        <f>HVAC!E133</f>
        <v>2.5</v>
      </c>
      <c r="G130" s="323">
        <f>HVAC!F133</f>
        <v>2</v>
      </c>
      <c r="H130" s="323">
        <f>HVAC!G133</f>
        <v>2</v>
      </c>
      <c r="I130" s="323">
        <f>HVAC!H133</f>
        <v>2.5</v>
      </c>
      <c r="J130" s="323">
        <f>HVAC!I133</f>
        <v>2</v>
      </c>
      <c r="K130" s="323">
        <f>HVAC!J133</f>
        <v>2.5</v>
      </c>
      <c r="L130" s="323">
        <f>HVAC!K133</f>
        <v>2.5</v>
      </c>
      <c r="M130" s="323">
        <f>HVAC!L133</f>
        <v>2.5</v>
      </c>
      <c r="N130" s="323">
        <f>HVAC!M133</f>
        <v>2.5</v>
      </c>
      <c r="O130" s="323">
        <f>HVAC!N133</f>
        <v>2.5</v>
      </c>
      <c r="P130" s="323">
        <f>HVAC!O133</f>
        <v>2.5</v>
      </c>
      <c r="Q130" s="323">
        <f>HVAC!P133</f>
        <v>3</v>
      </c>
      <c r="R130" s="323">
        <f>HVAC!Q133</f>
        <v>2</v>
      </c>
      <c r="S130" s="323">
        <f>HVAC!R133</f>
        <v>0</v>
      </c>
    </row>
    <row r="131" spans="1:20" ht="15" customHeight="1">
      <c r="B131" s="222" t="s">
        <v>385</v>
      </c>
      <c r="C131" s="326">
        <f>12*C130</f>
        <v>24</v>
      </c>
      <c r="D131" s="326">
        <f t="shared" ref="D131:S131" si="61">12*D130</f>
        <v>30</v>
      </c>
      <c r="E131" s="326">
        <f t="shared" si="61"/>
        <v>24</v>
      </c>
      <c r="F131" s="326">
        <f t="shared" si="61"/>
        <v>30</v>
      </c>
      <c r="G131" s="326">
        <f t="shared" si="61"/>
        <v>24</v>
      </c>
      <c r="H131" s="326">
        <f t="shared" si="61"/>
        <v>24</v>
      </c>
      <c r="I131" s="326">
        <f t="shared" si="61"/>
        <v>30</v>
      </c>
      <c r="J131" s="326">
        <f t="shared" si="61"/>
        <v>24</v>
      </c>
      <c r="K131" s="326">
        <f t="shared" si="61"/>
        <v>30</v>
      </c>
      <c r="L131" s="326">
        <f t="shared" si="61"/>
        <v>30</v>
      </c>
      <c r="M131" s="326">
        <f t="shared" si="61"/>
        <v>30</v>
      </c>
      <c r="N131" s="326">
        <f t="shared" si="61"/>
        <v>30</v>
      </c>
      <c r="O131" s="326">
        <f t="shared" si="61"/>
        <v>30</v>
      </c>
      <c r="P131" s="326">
        <f t="shared" si="61"/>
        <v>30</v>
      </c>
      <c r="Q131" s="326">
        <f t="shared" si="61"/>
        <v>36</v>
      </c>
      <c r="R131" s="326">
        <f t="shared" si="61"/>
        <v>24</v>
      </c>
      <c r="S131" s="326">
        <f t="shared" si="61"/>
        <v>0</v>
      </c>
    </row>
    <row r="132" spans="1:20" ht="15" customHeight="1">
      <c r="B132" s="222" t="s">
        <v>383</v>
      </c>
      <c r="C132" s="324">
        <f>HVAC!C10</f>
        <v>12.8</v>
      </c>
      <c r="D132" s="324">
        <f>HVAC!D10</f>
        <v>12.8</v>
      </c>
      <c r="E132" s="324">
        <f>HVAC!E10</f>
        <v>12.8</v>
      </c>
      <c r="F132" s="324">
        <f>HVAC!F10</f>
        <v>12.8</v>
      </c>
      <c r="G132" s="324">
        <f>HVAC!G10</f>
        <v>12.8</v>
      </c>
      <c r="H132" s="324">
        <f>HVAC!H10</f>
        <v>12.8</v>
      </c>
      <c r="I132" s="324">
        <f>HVAC!I10</f>
        <v>12.8</v>
      </c>
      <c r="J132" s="324">
        <f>HVAC!J10</f>
        <v>12.8</v>
      </c>
      <c r="K132" s="324">
        <f>HVAC!K10</f>
        <v>12.8</v>
      </c>
      <c r="L132" s="324">
        <f>HVAC!L10</f>
        <v>12.8</v>
      </c>
      <c r="M132" s="324">
        <f>HVAC!M10</f>
        <v>12.8</v>
      </c>
      <c r="N132" s="324">
        <f>HVAC!N10</f>
        <v>12.8</v>
      </c>
      <c r="O132" s="324">
        <f>HVAC!O10</f>
        <v>12.8</v>
      </c>
      <c r="P132" s="324">
        <f>HVAC!P10</f>
        <v>12.8</v>
      </c>
      <c r="Q132" s="324">
        <f>HVAC!Q10</f>
        <v>12.8</v>
      </c>
      <c r="R132" s="324">
        <f>HVAC!R10</f>
        <v>12.8</v>
      </c>
      <c r="S132" s="324">
        <f>HVAC!S10</f>
        <v>12.8</v>
      </c>
    </row>
    <row r="133" spans="1:20" ht="15" customHeight="1">
      <c r="B133" s="222" t="s">
        <v>1027</v>
      </c>
      <c r="C133" s="324">
        <f>12000/1000*HVAC!B137</f>
        <v>24</v>
      </c>
      <c r="D133" s="324">
        <f>12000/1000*HVAC!C137</f>
        <v>30</v>
      </c>
      <c r="E133" s="324">
        <f>12000/1000*HVAC!D137</f>
        <v>24</v>
      </c>
      <c r="F133" s="324">
        <f>12000/1000*HVAC!E137</f>
        <v>30</v>
      </c>
      <c r="G133" s="324">
        <f>12000/1000*HVAC!F137</f>
        <v>24</v>
      </c>
      <c r="H133" s="324">
        <f>12000/1000*HVAC!G137</f>
        <v>24</v>
      </c>
      <c r="I133" s="324">
        <f>12000/1000*HVAC!H137</f>
        <v>30</v>
      </c>
      <c r="J133" s="324">
        <f>12000/1000*HVAC!I137</f>
        <v>24</v>
      </c>
      <c r="K133" s="324">
        <f>12000/1000*HVAC!J137</f>
        <v>30</v>
      </c>
      <c r="L133" s="324">
        <f>12000/1000*HVAC!K137</f>
        <v>30</v>
      </c>
      <c r="M133" s="324">
        <f>12000/1000*HVAC!L137</f>
        <v>30</v>
      </c>
      <c r="N133" s="324">
        <f>12000/1000*HVAC!M137</f>
        <v>30</v>
      </c>
      <c r="O133" s="324">
        <f>12000/1000*HVAC!N137</f>
        <v>30</v>
      </c>
      <c r="P133" s="324">
        <f>12000/1000*HVAC!O137</f>
        <v>30</v>
      </c>
      <c r="Q133" s="324">
        <f>12000/1000*HVAC!P137</f>
        <v>36</v>
      </c>
      <c r="R133" s="324">
        <f>12000/1000*HVAC!Q137</f>
        <v>30</v>
      </c>
      <c r="S133" s="324">
        <f>12000/1000*HVAC!R137</f>
        <v>0</v>
      </c>
    </row>
    <row r="134" spans="1:20" ht="15" customHeight="1">
      <c r="B134" s="222" t="s">
        <v>1028</v>
      </c>
      <c r="C134" s="324">
        <f>HVAC!B140</f>
        <v>161.28</v>
      </c>
      <c r="D134" s="324">
        <f>HVAC!C140</f>
        <v>201.6</v>
      </c>
      <c r="E134" s="324">
        <f>HVAC!D140</f>
        <v>161.28</v>
      </c>
      <c r="F134" s="324">
        <f>HVAC!E140</f>
        <v>201.6</v>
      </c>
      <c r="G134" s="324">
        <f>HVAC!F140</f>
        <v>161.28</v>
      </c>
      <c r="H134" s="324">
        <f>HVAC!G140</f>
        <v>161.28</v>
      </c>
      <c r="I134" s="324">
        <f>HVAC!H140</f>
        <v>201.6</v>
      </c>
      <c r="J134" s="324">
        <f>HVAC!I140</f>
        <v>161.28</v>
      </c>
      <c r="K134" s="324">
        <f>HVAC!J140</f>
        <v>201.6</v>
      </c>
      <c r="L134" s="324">
        <f>HVAC!K140</f>
        <v>201.6</v>
      </c>
      <c r="M134" s="324">
        <f>HVAC!L140</f>
        <v>201.6</v>
      </c>
      <c r="N134" s="324">
        <f>HVAC!M140</f>
        <v>201.6</v>
      </c>
      <c r="O134" s="324">
        <f>HVAC!N140</f>
        <v>201.6</v>
      </c>
      <c r="P134" s="324">
        <f>HVAC!O140</f>
        <v>201.6</v>
      </c>
      <c r="Q134" s="324">
        <f>HVAC!P140</f>
        <v>241.92000000000002</v>
      </c>
      <c r="R134" s="324">
        <f>HVAC!Q140</f>
        <v>201.6</v>
      </c>
      <c r="S134" s="324">
        <f>HVAC!R140</f>
        <v>0</v>
      </c>
    </row>
    <row r="135" spans="1:20" ht="15" customHeight="1">
      <c r="B135" s="222" t="s">
        <v>1029</v>
      </c>
      <c r="C135" s="324">
        <f>HVAC!B136</f>
        <v>320</v>
      </c>
      <c r="D135" s="324">
        <f>HVAC!C136</f>
        <v>400</v>
      </c>
      <c r="E135" s="324">
        <f>HVAC!D136</f>
        <v>320</v>
      </c>
      <c r="F135" s="324">
        <f>HVAC!E136</f>
        <v>400</v>
      </c>
      <c r="G135" s="324">
        <f>HVAC!F136</f>
        <v>320</v>
      </c>
      <c r="H135" s="324">
        <f>HVAC!G136</f>
        <v>320</v>
      </c>
      <c r="I135" s="324">
        <f>HVAC!H136</f>
        <v>400</v>
      </c>
      <c r="J135" s="324">
        <f>HVAC!I136</f>
        <v>320</v>
      </c>
      <c r="K135" s="324">
        <f>HVAC!J136</f>
        <v>400</v>
      </c>
      <c r="L135" s="324">
        <f>HVAC!K136</f>
        <v>400</v>
      </c>
      <c r="M135" s="324">
        <f>HVAC!L136</f>
        <v>400</v>
      </c>
      <c r="N135" s="324">
        <f>HVAC!M136</f>
        <v>400</v>
      </c>
      <c r="O135" s="324">
        <f>HVAC!N136</f>
        <v>400</v>
      </c>
      <c r="P135" s="324">
        <f>HVAC!O136</f>
        <v>400</v>
      </c>
      <c r="Q135" s="324">
        <f>HVAC!P136</f>
        <v>480</v>
      </c>
      <c r="R135" s="324">
        <f>HVAC!Q136</f>
        <v>320</v>
      </c>
      <c r="S135" s="324">
        <f>HVAC!R136</f>
        <v>0</v>
      </c>
    </row>
    <row r="136" spans="1:20" ht="15" customHeight="1">
      <c r="B136" s="222" t="s">
        <v>386</v>
      </c>
      <c r="C136" s="8">
        <f>Inputs!C136</f>
        <v>1</v>
      </c>
      <c r="D136" s="8">
        <f t="shared" ref="D136:S136" si="62">C136</f>
        <v>1</v>
      </c>
      <c r="E136" s="8">
        <f t="shared" si="62"/>
        <v>1</v>
      </c>
      <c r="F136" s="8">
        <f t="shared" si="62"/>
        <v>1</v>
      </c>
      <c r="G136" s="8">
        <f t="shared" si="62"/>
        <v>1</v>
      </c>
      <c r="H136" s="8">
        <f t="shared" si="62"/>
        <v>1</v>
      </c>
      <c r="I136" s="8">
        <f t="shared" si="62"/>
        <v>1</v>
      </c>
      <c r="J136" s="8">
        <f t="shared" si="62"/>
        <v>1</v>
      </c>
      <c r="K136" s="8">
        <f t="shared" si="62"/>
        <v>1</v>
      </c>
      <c r="L136" s="8">
        <f t="shared" si="62"/>
        <v>1</v>
      </c>
      <c r="M136" s="8">
        <f t="shared" si="62"/>
        <v>1</v>
      </c>
      <c r="N136" s="8">
        <f t="shared" si="62"/>
        <v>1</v>
      </c>
      <c r="O136" s="8">
        <f t="shared" si="62"/>
        <v>1</v>
      </c>
      <c r="P136" s="8">
        <f t="shared" si="62"/>
        <v>1</v>
      </c>
      <c r="Q136" s="8">
        <f t="shared" si="62"/>
        <v>1</v>
      </c>
      <c r="R136" s="8">
        <f t="shared" si="62"/>
        <v>1</v>
      </c>
      <c r="S136" s="204">
        <f t="shared" si="62"/>
        <v>1</v>
      </c>
    </row>
    <row r="137" spans="1:20" ht="15" customHeight="1">
      <c r="B137" s="222" t="s">
        <v>366</v>
      </c>
      <c r="C137" s="139">
        <f>HVAC!C14</f>
        <v>0.92</v>
      </c>
      <c r="D137" s="139">
        <f>HVAC!D14</f>
        <v>0.92</v>
      </c>
      <c r="E137" s="139">
        <f>HVAC!E14</f>
        <v>0.92</v>
      </c>
      <c r="F137" s="139">
        <f>HVAC!F14</f>
        <v>0.92</v>
      </c>
      <c r="G137" s="139">
        <f>HVAC!G14</f>
        <v>0.92</v>
      </c>
      <c r="H137" s="139">
        <f>HVAC!H14</f>
        <v>0.92</v>
      </c>
      <c r="I137" s="139">
        <f>HVAC!I14</f>
        <v>0.92</v>
      </c>
      <c r="J137" s="139">
        <f>HVAC!J14</f>
        <v>0.92</v>
      </c>
      <c r="K137" s="139">
        <f>HVAC!K14</f>
        <v>0.92</v>
      </c>
      <c r="L137" s="139">
        <f>HVAC!L14</f>
        <v>0.92</v>
      </c>
      <c r="M137" s="139">
        <f>HVAC!M14</f>
        <v>0.92</v>
      </c>
      <c r="N137" s="139">
        <f>HVAC!N14</f>
        <v>0.92</v>
      </c>
      <c r="O137" s="139">
        <f>HVAC!O14</f>
        <v>0.92</v>
      </c>
      <c r="P137" s="139">
        <f>HVAC!P14</f>
        <v>0.92</v>
      </c>
      <c r="Q137" s="139">
        <f>HVAC!Q14</f>
        <v>0.92</v>
      </c>
      <c r="R137" s="139">
        <f>HVAC!R14</f>
        <v>0.92</v>
      </c>
      <c r="S137" s="139">
        <f>HVAC!S14</f>
        <v>0.92</v>
      </c>
    </row>
    <row r="138" spans="1:20" s="222" customFormat="1" ht="15" customHeight="1">
      <c r="A138" s="222" t="s">
        <v>1044</v>
      </c>
      <c r="B138" s="222" t="s">
        <v>1030</v>
      </c>
      <c r="C138" s="115">
        <f>Inputs!C138</f>
        <v>5</v>
      </c>
      <c r="D138" s="115">
        <f>C138</f>
        <v>5</v>
      </c>
      <c r="E138" s="115">
        <f t="shared" ref="E138:S138" si="63">D138</f>
        <v>5</v>
      </c>
      <c r="F138" s="115">
        <f t="shared" si="63"/>
        <v>5</v>
      </c>
      <c r="G138" s="115">
        <f t="shared" si="63"/>
        <v>5</v>
      </c>
      <c r="H138" s="115">
        <f t="shared" si="63"/>
        <v>5</v>
      </c>
      <c r="I138" s="115">
        <f t="shared" si="63"/>
        <v>5</v>
      </c>
      <c r="J138" s="115">
        <f t="shared" si="63"/>
        <v>5</v>
      </c>
      <c r="K138" s="115">
        <f t="shared" si="63"/>
        <v>5</v>
      </c>
      <c r="L138" s="115">
        <f t="shared" si="63"/>
        <v>5</v>
      </c>
      <c r="M138" s="115">
        <f t="shared" si="63"/>
        <v>5</v>
      </c>
      <c r="N138" s="115">
        <f t="shared" si="63"/>
        <v>5</v>
      </c>
      <c r="O138" s="115">
        <f t="shared" si="63"/>
        <v>5</v>
      </c>
      <c r="P138" s="115">
        <f t="shared" si="63"/>
        <v>5</v>
      </c>
      <c r="Q138" s="115">
        <f t="shared" si="63"/>
        <v>5</v>
      </c>
      <c r="R138" s="115">
        <f t="shared" si="63"/>
        <v>5</v>
      </c>
      <c r="S138" s="115">
        <f t="shared" si="63"/>
        <v>5</v>
      </c>
      <c r="T138" s="56"/>
    </row>
    <row r="139" spans="1:20" s="222" customFormat="1" ht="15" customHeight="1">
      <c r="B139" s="222" t="s">
        <v>1031</v>
      </c>
      <c r="C139" s="115">
        <f>Inputs!C139</f>
        <v>2</v>
      </c>
      <c r="D139" s="115">
        <f>C139</f>
        <v>2</v>
      </c>
      <c r="E139" s="115">
        <f t="shared" ref="E139:S139" si="64">D139</f>
        <v>2</v>
      </c>
      <c r="F139" s="115">
        <f t="shared" si="64"/>
        <v>2</v>
      </c>
      <c r="G139" s="115">
        <f t="shared" si="64"/>
        <v>2</v>
      </c>
      <c r="H139" s="115">
        <f t="shared" si="64"/>
        <v>2</v>
      </c>
      <c r="I139" s="115">
        <f t="shared" si="64"/>
        <v>2</v>
      </c>
      <c r="J139" s="115">
        <f t="shared" si="64"/>
        <v>2</v>
      </c>
      <c r="K139" s="115">
        <f t="shared" si="64"/>
        <v>2</v>
      </c>
      <c r="L139" s="115">
        <f t="shared" si="64"/>
        <v>2</v>
      </c>
      <c r="M139" s="115">
        <f t="shared" si="64"/>
        <v>2</v>
      </c>
      <c r="N139" s="115">
        <f t="shared" si="64"/>
        <v>2</v>
      </c>
      <c r="O139" s="115">
        <f t="shared" si="64"/>
        <v>2</v>
      </c>
      <c r="P139" s="115">
        <f t="shared" si="64"/>
        <v>2</v>
      </c>
      <c r="Q139" s="115">
        <f t="shared" si="64"/>
        <v>2</v>
      </c>
      <c r="R139" s="115">
        <f t="shared" si="64"/>
        <v>2</v>
      </c>
      <c r="S139" s="115">
        <f t="shared" si="64"/>
        <v>2</v>
      </c>
      <c r="T139" s="56"/>
    </row>
    <row r="140" spans="1:20" s="222" customFormat="1" ht="15" customHeight="1">
      <c r="B140" s="222" t="s">
        <v>592</v>
      </c>
      <c r="C140" s="139">
        <f>Weather!B25</f>
        <v>0.41</v>
      </c>
      <c r="D140" s="139">
        <f>Weather!C25</f>
        <v>0.42</v>
      </c>
      <c r="E140" s="139">
        <f>Weather!D25</f>
        <v>0.43</v>
      </c>
      <c r="F140" s="139">
        <f>Weather!E25</f>
        <v>0.46</v>
      </c>
      <c r="G140" s="139">
        <f>Weather!F25</f>
        <v>0.48</v>
      </c>
      <c r="H140" s="139">
        <f>Weather!G25</f>
        <v>0.6</v>
      </c>
      <c r="I140" s="139">
        <f>Weather!H25</f>
        <v>0.5</v>
      </c>
      <c r="J140" s="139">
        <f>Weather!I25</f>
        <v>0.54</v>
      </c>
      <c r="K140" s="139">
        <f>Weather!J25</f>
        <v>0.55000000000000004</v>
      </c>
      <c r="L140" s="139">
        <f>Weather!K25</f>
        <v>0.6</v>
      </c>
      <c r="M140" s="139">
        <f>Weather!L25</f>
        <v>0.56000000000000005</v>
      </c>
      <c r="N140" s="139">
        <f>Weather!M25</f>
        <v>0.61</v>
      </c>
      <c r="O140" s="139">
        <f>Weather!N25</f>
        <v>0.63</v>
      </c>
      <c r="P140" s="139">
        <f>Weather!O25</f>
        <v>0.7</v>
      </c>
      <c r="Q140" s="139">
        <f>Weather!P25</f>
        <v>0.7</v>
      </c>
      <c r="R140" s="139">
        <f>Weather!Q25</f>
        <v>0.38</v>
      </c>
      <c r="S140" s="139">
        <f>Weather!R25</f>
        <v>0.43</v>
      </c>
      <c r="T140" s="56"/>
    </row>
    <row r="141" spans="1:20" s="222" customFormat="1" ht="15" customHeight="1">
      <c r="B141" s="222" t="s">
        <v>876</v>
      </c>
      <c r="C141" s="115">
        <f>Inputs!C141</f>
        <v>2</v>
      </c>
      <c r="D141" s="115">
        <f>C141</f>
        <v>2</v>
      </c>
      <c r="E141" s="115">
        <f t="shared" ref="E141:S143" si="65">D141</f>
        <v>2</v>
      </c>
      <c r="F141" s="115">
        <f t="shared" si="65"/>
        <v>2</v>
      </c>
      <c r="G141" s="115">
        <f t="shared" si="65"/>
        <v>2</v>
      </c>
      <c r="H141" s="115">
        <f t="shared" si="65"/>
        <v>2</v>
      </c>
      <c r="I141" s="115">
        <f t="shared" si="65"/>
        <v>2</v>
      </c>
      <c r="J141" s="115">
        <f t="shared" si="65"/>
        <v>2</v>
      </c>
      <c r="K141" s="115">
        <f t="shared" si="65"/>
        <v>2</v>
      </c>
      <c r="L141" s="115">
        <f t="shared" si="65"/>
        <v>2</v>
      </c>
      <c r="M141" s="115">
        <f t="shared" si="65"/>
        <v>2</v>
      </c>
      <c r="N141" s="115">
        <f t="shared" si="65"/>
        <v>2</v>
      </c>
      <c r="O141" s="115">
        <f t="shared" si="65"/>
        <v>2</v>
      </c>
      <c r="P141" s="115">
        <f t="shared" si="65"/>
        <v>2</v>
      </c>
      <c r="Q141" s="115">
        <f t="shared" si="65"/>
        <v>2</v>
      </c>
      <c r="R141" s="115">
        <f t="shared" si="65"/>
        <v>2</v>
      </c>
      <c r="S141" s="115">
        <f t="shared" si="65"/>
        <v>2</v>
      </c>
      <c r="T141" s="56"/>
    </row>
    <row r="142" spans="1:20" s="222" customFormat="1" ht="15" customHeight="1">
      <c r="B142" s="222" t="s">
        <v>1181</v>
      </c>
      <c r="C142" s="180">
        <f>Inputs!C142</f>
        <v>0.28944092693359219</v>
      </c>
      <c r="D142" s="180">
        <f>C142</f>
        <v>0.28944092693359219</v>
      </c>
      <c r="E142" s="180">
        <f t="shared" si="65"/>
        <v>0.28944092693359219</v>
      </c>
      <c r="F142" s="180">
        <f t="shared" si="65"/>
        <v>0.28944092693359219</v>
      </c>
      <c r="G142" s="180">
        <f t="shared" si="65"/>
        <v>0.28944092693359219</v>
      </c>
      <c r="H142" s="180">
        <f t="shared" si="65"/>
        <v>0.28944092693359219</v>
      </c>
      <c r="I142" s="180">
        <f t="shared" si="65"/>
        <v>0.28944092693359219</v>
      </c>
      <c r="J142" s="180">
        <f t="shared" si="65"/>
        <v>0.28944092693359219</v>
      </c>
      <c r="K142" s="180">
        <f t="shared" si="65"/>
        <v>0.28944092693359219</v>
      </c>
      <c r="L142" s="180">
        <f t="shared" si="65"/>
        <v>0.28944092693359219</v>
      </c>
      <c r="M142" s="180">
        <f t="shared" si="65"/>
        <v>0.28944092693359219</v>
      </c>
      <c r="N142" s="180">
        <f t="shared" si="65"/>
        <v>0.28944092693359219</v>
      </c>
      <c r="O142" s="180">
        <f t="shared" si="65"/>
        <v>0.28944092693359219</v>
      </c>
      <c r="P142" s="180">
        <f t="shared" si="65"/>
        <v>0.28944092693359219</v>
      </c>
      <c r="Q142" s="180">
        <f t="shared" si="65"/>
        <v>0.28944092693359219</v>
      </c>
      <c r="R142" s="180">
        <f t="shared" si="65"/>
        <v>0.28944092693359219</v>
      </c>
      <c r="S142" s="180">
        <f t="shared" si="65"/>
        <v>0.28944092693359219</v>
      </c>
      <c r="T142" s="56"/>
    </row>
    <row r="143" spans="1:20" s="222" customFormat="1" ht="15" customHeight="1">
      <c r="B143" s="222" t="s">
        <v>1183</v>
      </c>
      <c r="C143" s="180">
        <f>Inputs!C143</f>
        <v>0</v>
      </c>
      <c r="D143" s="180">
        <f>C143</f>
        <v>0</v>
      </c>
      <c r="E143" s="180">
        <f t="shared" si="65"/>
        <v>0</v>
      </c>
      <c r="F143" s="180">
        <f t="shared" si="65"/>
        <v>0</v>
      </c>
      <c r="G143" s="180">
        <f t="shared" si="65"/>
        <v>0</v>
      </c>
      <c r="H143" s="180">
        <f t="shared" si="65"/>
        <v>0</v>
      </c>
      <c r="I143" s="180">
        <f t="shared" si="65"/>
        <v>0</v>
      </c>
      <c r="J143" s="180">
        <f t="shared" si="65"/>
        <v>0</v>
      </c>
      <c r="K143" s="180">
        <f t="shared" si="65"/>
        <v>0</v>
      </c>
      <c r="L143" s="180">
        <f t="shared" si="65"/>
        <v>0</v>
      </c>
      <c r="M143" s="180">
        <f t="shared" si="65"/>
        <v>0</v>
      </c>
      <c r="N143" s="180">
        <f t="shared" si="65"/>
        <v>0</v>
      </c>
      <c r="O143" s="180">
        <f t="shared" si="65"/>
        <v>0</v>
      </c>
      <c r="P143" s="180">
        <f t="shared" si="65"/>
        <v>0</v>
      </c>
      <c r="Q143" s="180">
        <f t="shared" si="65"/>
        <v>0</v>
      </c>
      <c r="R143" s="180">
        <f t="shared" si="65"/>
        <v>0</v>
      </c>
      <c r="S143" s="180">
        <f t="shared" si="65"/>
        <v>0</v>
      </c>
      <c r="T143" s="56"/>
    </row>
    <row r="144" spans="1:20" s="222" customFormat="1" ht="15" customHeight="1">
      <c r="B144" s="222" t="s">
        <v>877</v>
      </c>
      <c r="C144" s="115">
        <f>Inputs!C144</f>
        <v>0</v>
      </c>
      <c r="D144" s="115">
        <f t="shared" ref="D144:S151" si="66">C144</f>
        <v>0</v>
      </c>
      <c r="E144" s="115">
        <f t="shared" si="66"/>
        <v>0</v>
      </c>
      <c r="F144" s="115">
        <f t="shared" si="66"/>
        <v>0</v>
      </c>
      <c r="G144" s="115">
        <f t="shared" si="66"/>
        <v>0</v>
      </c>
      <c r="H144" s="115">
        <f t="shared" si="66"/>
        <v>0</v>
      </c>
      <c r="I144" s="115">
        <f t="shared" si="66"/>
        <v>0</v>
      </c>
      <c r="J144" s="115">
        <f t="shared" si="66"/>
        <v>0</v>
      </c>
      <c r="K144" s="115">
        <f t="shared" si="66"/>
        <v>0</v>
      </c>
      <c r="L144" s="115">
        <f t="shared" si="66"/>
        <v>0</v>
      </c>
      <c r="M144" s="115">
        <f t="shared" si="66"/>
        <v>0</v>
      </c>
      <c r="N144" s="115">
        <f t="shared" si="66"/>
        <v>0</v>
      </c>
      <c r="O144" s="115">
        <f t="shared" si="66"/>
        <v>0</v>
      </c>
      <c r="P144" s="115">
        <f t="shared" si="66"/>
        <v>0</v>
      </c>
      <c r="Q144" s="115">
        <f t="shared" si="66"/>
        <v>0</v>
      </c>
      <c r="R144" s="115">
        <f t="shared" si="66"/>
        <v>0</v>
      </c>
      <c r="S144" s="115">
        <f t="shared" si="66"/>
        <v>0</v>
      </c>
      <c r="T144" s="56"/>
    </row>
    <row r="145" spans="1:20" s="222" customFormat="1" ht="15" customHeight="1">
      <c r="A145" s="222" t="s">
        <v>1045</v>
      </c>
      <c r="B145" s="222" t="s">
        <v>878</v>
      </c>
      <c r="C145" s="139">
        <f>Inputs!C145</f>
        <v>0.82</v>
      </c>
      <c r="D145" s="139">
        <f t="shared" si="66"/>
        <v>0.82</v>
      </c>
      <c r="E145" s="139">
        <f t="shared" si="66"/>
        <v>0.82</v>
      </c>
      <c r="F145" s="139">
        <f t="shared" si="66"/>
        <v>0.82</v>
      </c>
      <c r="G145" s="139">
        <f t="shared" si="66"/>
        <v>0.82</v>
      </c>
      <c r="H145" s="139">
        <f t="shared" si="66"/>
        <v>0.82</v>
      </c>
      <c r="I145" s="139">
        <f t="shared" si="66"/>
        <v>0.82</v>
      </c>
      <c r="J145" s="139">
        <f t="shared" si="66"/>
        <v>0.82</v>
      </c>
      <c r="K145" s="139">
        <f t="shared" si="66"/>
        <v>0.82</v>
      </c>
      <c r="L145" s="139">
        <f t="shared" si="66"/>
        <v>0.82</v>
      </c>
      <c r="M145" s="139">
        <f t="shared" si="66"/>
        <v>0.82</v>
      </c>
      <c r="N145" s="139">
        <f t="shared" si="66"/>
        <v>0.82</v>
      </c>
      <c r="O145" s="139">
        <f t="shared" si="66"/>
        <v>0.82</v>
      </c>
      <c r="P145" s="139">
        <f t="shared" si="66"/>
        <v>0.82</v>
      </c>
      <c r="Q145" s="139">
        <f t="shared" si="66"/>
        <v>0.82</v>
      </c>
      <c r="R145" s="139">
        <f t="shared" si="66"/>
        <v>0.82</v>
      </c>
      <c r="S145" s="139">
        <f t="shared" si="66"/>
        <v>0.82</v>
      </c>
      <c r="T145" s="56"/>
    </row>
    <row r="146" spans="1:20" s="222" customFormat="1" ht="15" customHeight="1">
      <c r="B146" s="222" t="s">
        <v>879</v>
      </c>
      <c r="C146" s="139">
        <f>Inputs!C146</f>
        <v>0.63</v>
      </c>
      <c r="D146" s="139">
        <f t="shared" si="66"/>
        <v>0.63</v>
      </c>
      <c r="E146" s="139">
        <f t="shared" si="66"/>
        <v>0.63</v>
      </c>
      <c r="F146" s="139">
        <f t="shared" si="66"/>
        <v>0.63</v>
      </c>
      <c r="G146" s="139">
        <f t="shared" si="66"/>
        <v>0.63</v>
      </c>
      <c r="H146" s="139">
        <f t="shared" si="66"/>
        <v>0.63</v>
      </c>
      <c r="I146" s="139">
        <f t="shared" si="66"/>
        <v>0.63</v>
      </c>
      <c r="J146" s="139">
        <f t="shared" si="66"/>
        <v>0.63</v>
      </c>
      <c r="K146" s="139">
        <f t="shared" si="66"/>
        <v>0.63</v>
      </c>
      <c r="L146" s="139">
        <f t="shared" si="66"/>
        <v>0.63</v>
      </c>
      <c r="M146" s="139">
        <f t="shared" si="66"/>
        <v>0.63</v>
      </c>
      <c r="N146" s="139">
        <f t="shared" si="66"/>
        <v>0.63</v>
      </c>
      <c r="O146" s="139">
        <f t="shared" si="66"/>
        <v>0.63</v>
      </c>
      <c r="P146" s="139">
        <f t="shared" si="66"/>
        <v>0.63</v>
      </c>
      <c r="Q146" s="139">
        <f t="shared" si="66"/>
        <v>0.63</v>
      </c>
      <c r="R146" s="139">
        <f t="shared" si="66"/>
        <v>0.63</v>
      </c>
      <c r="S146" s="139">
        <f t="shared" si="66"/>
        <v>0.63</v>
      </c>
      <c r="T146" s="56"/>
    </row>
    <row r="147" spans="1:20" s="222" customFormat="1" ht="15" customHeight="1">
      <c r="B147" s="222" t="s">
        <v>880</v>
      </c>
      <c r="C147" s="139">
        <f>Inputs!C147</f>
        <v>0.51</v>
      </c>
      <c r="D147" s="139">
        <f t="shared" si="66"/>
        <v>0.51</v>
      </c>
      <c r="E147" s="139">
        <f t="shared" si="66"/>
        <v>0.51</v>
      </c>
      <c r="F147" s="139">
        <f t="shared" si="66"/>
        <v>0.51</v>
      </c>
      <c r="G147" s="139">
        <f t="shared" si="66"/>
        <v>0.51</v>
      </c>
      <c r="H147" s="139">
        <f t="shared" si="66"/>
        <v>0.51</v>
      </c>
      <c r="I147" s="139">
        <f t="shared" si="66"/>
        <v>0.51</v>
      </c>
      <c r="J147" s="139">
        <f t="shared" si="66"/>
        <v>0.51</v>
      </c>
      <c r="K147" s="139">
        <f t="shared" si="66"/>
        <v>0.51</v>
      </c>
      <c r="L147" s="139">
        <f t="shared" si="66"/>
        <v>0.51</v>
      </c>
      <c r="M147" s="139">
        <f t="shared" si="66"/>
        <v>0.51</v>
      </c>
      <c r="N147" s="139">
        <f t="shared" si="66"/>
        <v>0.51</v>
      </c>
      <c r="O147" s="139">
        <f t="shared" si="66"/>
        <v>0.51</v>
      </c>
      <c r="P147" s="139">
        <f t="shared" si="66"/>
        <v>0.51</v>
      </c>
      <c r="Q147" s="139">
        <f t="shared" si="66"/>
        <v>0.51</v>
      </c>
      <c r="R147" s="139">
        <f t="shared" si="66"/>
        <v>0.51</v>
      </c>
      <c r="S147" s="139">
        <f t="shared" si="66"/>
        <v>0.51</v>
      </c>
      <c r="T147" s="56"/>
    </row>
    <row r="148" spans="1:20" s="222" customFormat="1" ht="15" customHeight="1">
      <c r="B148" s="222" t="s">
        <v>881</v>
      </c>
      <c r="C148" s="115">
        <f>Inputs!C148</f>
        <v>0</v>
      </c>
      <c r="D148" s="115">
        <f t="shared" si="66"/>
        <v>0</v>
      </c>
      <c r="E148" s="115">
        <f t="shared" si="66"/>
        <v>0</v>
      </c>
      <c r="F148" s="115">
        <f t="shared" si="66"/>
        <v>0</v>
      </c>
      <c r="G148" s="115">
        <f t="shared" si="66"/>
        <v>0</v>
      </c>
      <c r="H148" s="115">
        <f t="shared" si="66"/>
        <v>0</v>
      </c>
      <c r="I148" s="115">
        <f t="shared" si="66"/>
        <v>0</v>
      </c>
      <c r="J148" s="115">
        <f t="shared" si="66"/>
        <v>0</v>
      </c>
      <c r="K148" s="115">
        <f t="shared" si="66"/>
        <v>0</v>
      </c>
      <c r="L148" s="115">
        <f t="shared" si="66"/>
        <v>0</v>
      </c>
      <c r="M148" s="115">
        <f t="shared" si="66"/>
        <v>0</v>
      </c>
      <c r="N148" s="115">
        <f t="shared" si="66"/>
        <v>0</v>
      </c>
      <c r="O148" s="115">
        <f t="shared" si="66"/>
        <v>0</v>
      </c>
      <c r="P148" s="115">
        <f t="shared" si="66"/>
        <v>0</v>
      </c>
      <c r="Q148" s="115">
        <f t="shared" si="66"/>
        <v>0</v>
      </c>
      <c r="R148" s="115">
        <f t="shared" si="66"/>
        <v>0</v>
      </c>
      <c r="S148" s="115">
        <f t="shared" si="66"/>
        <v>0</v>
      </c>
      <c r="T148" s="56"/>
    </row>
    <row r="149" spans="1:20" ht="15" customHeight="1">
      <c r="B149" s="222" t="s">
        <v>882</v>
      </c>
      <c r="C149" s="115">
        <f>Inputs!C149</f>
        <v>8</v>
      </c>
      <c r="D149" s="115">
        <f t="shared" si="66"/>
        <v>8</v>
      </c>
      <c r="E149" s="115">
        <f t="shared" si="66"/>
        <v>8</v>
      </c>
      <c r="F149" s="115">
        <f t="shared" si="66"/>
        <v>8</v>
      </c>
      <c r="G149" s="115">
        <f t="shared" si="66"/>
        <v>8</v>
      </c>
      <c r="H149" s="115">
        <f t="shared" si="66"/>
        <v>8</v>
      </c>
      <c r="I149" s="115">
        <f t="shared" si="66"/>
        <v>8</v>
      </c>
      <c r="J149" s="115">
        <f t="shared" si="66"/>
        <v>8</v>
      </c>
      <c r="K149" s="115">
        <f t="shared" si="66"/>
        <v>8</v>
      </c>
      <c r="L149" s="115">
        <f t="shared" si="66"/>
        <v>8</v>
      </c>
      <c r="M149" s="115">
        <f t="shared" si="66"/>
        <v>8</v>
      </c>
      <c r="N149" s="115">
        <f t="shared" si="66"/>
        <v>8</v>
      </c>
      <c r="O149" s="115">
        <f t="shared" si="66"/>
        <v>8</v>
      </c>
      <c r="P149" s="115">
        <f t="shared" si="66"/>
        <v>8</v>
      </c>
      <c r="Q149" s="115">
        <f t="shared" si="66"/>
        <v>8</v>
      </c>
      <c r="R149" s="115">
        <f t="shared" si="66"/>
        <v>8</v>
      </c>
      <c r="S149" s="115">
        <f t="shared" si="66"/>
        <v>8</v>
      </c>
    </row>
    <row r="150" spans="1:20" ht="15" customHeight="1">
      <c r="B150" s="222" t="s">
        <v>883</v>
      </c>
      <c r="C150" s="115">
        <f>Inputs!C150</f>
        <v>0</v>
      </c>
      <c r="D150" s="115">
        <f t="shared" si="66"/>
        <v>0</v>
      </c>
      <c r="E150" s="115">
        <f t="shared" si="66"/>
        <v>0</v>
      </c>
      <c r="F150" s="115">
        <f t="shared" si="66"/>
        <v>0</v>
      </c>
      <c r="G150" s="115">
        <f t="shared" si="66"/>
        <v>0</v>
      </c>
      <c r="H150" s="115">
        <f t="shared" si="66"/>
        <v>0</v>
      </c>
      <c r="I150" s="115">
        <f t="shared" si="66"/>
        <v>0</v>
      </c>
      <c r="J150" s="115">
        <f t="shared" si="66"/>
        <v>0</v>
      </c>
      <c r="K150" s="115">
        <f t="shared" si="66"/>
        <v>0</v>
      </c>
      <c r="L150" s="115">
        <f t="shared" si="66"/>
        <v>0</v>
      </c>
      <c r="M150" s="115">
        <f t="shared" si="66"/>
        <v>0</v>
      </c>
      <c r="N150" s="115">
        <f t="shared" si="66"/>
        <v>0</v>
      </c>
      <c r="O150" s="115">
        <f t="shared" si="66"/>
        <v>0</v>
      </c>
      <c r="P150" s="115">
        <f t="shared" si="66"/>
        <v>0</v>
      </c>
      <c r="Q150" s="115">
        <f t="shared" si="66"/>
        <v>0</v>
      </c>
      <c r="R150" s="115">
        <f t="shared" si="66"/>
        <v>0</v>
      </c>
      <c r="S150" s="115">
        <f t="shared" si="66"/>
        <v>0</v>
      </c>
    </row>
    <row r="151" spans="1:20" ht="15" customHeight="1">
      <c r="B151" s="222" t="s">
        <v>884</v>
      </c>
      <c r="C151" s="115">
        <f>Inputs!C151</f>
        <v>1</v>
      </c>
      <c r="D151" s="115">
        <f t="shared" si="66"/>
        <v>1</v>
      </c>
      <c r="E151" s="115">
        <f t="shared" si="66"/>
        <v>1</v>
      </c>
      <c r="F151" s="115">
        <f t="shared" si="66"/>
        <v>1</v>
      </c>
      <c r="G151" s="115">
        <f t="shared" si="66"/>
        <v>1</v>
      </c>
      <c r="H151" s="115">
        <f t="shared" si="66"/>
        <v>1</v>
      </c>
      <c r="I151" s="115">
        <f t="shared" si="66"/>
        <v>1</v>
      </c>
      <c r="J151" s="115">
        <f t="shared" si="66"/>
        <v>1</v>
      </c>
      <c r="K151" s="115">
        <f t="shared" si="66"/>
        <v>1</v>
      </c>
      <c r="L151" s="115">
        <f t="shared" si="66"/>
        <v>1</v>
      </c>
      <c r="M151" s="115">
        <f t="shared" si="66"/>
        <v>1</v>
      </c>
      <c r="N151" s="115">
        <f t="shared" si="66"/>
        <v>1</v>
      </c>
      <c r="O151" s="115">
        <f t="shared" si="66"/>
        <v>1</v>
      </c>
      <c r="P151" s="115">
        <f t="shared" si="66"/>
        <v>1</v>
      </c>
      <c r="Q151" s="115">
        <f t="shared" si="66"/>
        <v>1</v>
      </c>
      <c r="R151" s="115">
        <f t="shared" si="66"/>
        <v>1</v>
      </c>
      <c r="S151" s="115">
        <f t="shared" si="66"/>
        <v>1</v>
      </c>
    </row>
    <row r="152" spans="1:20" s="222" customFormat="1" ht="15" customHeight="1">
      <c r="A152" s="222" t="s">
        <v>775</v>
      </c>
      <c r="B152" s="222" t="s">
        <v>814</v>
      </c>
      <c r="C152" s="203">
        <f>Inputs!C152</f>
        <v>0</v>
      </c>
      <c r="D152" s="203">
        <f>C152</f>
        <v>0</v>
      </c>
      <c r="E152" s="203">
        <f t="shared" ref="E152:S152" si="67">D152</f>
        <v>0</v>
      </c>
      <c r="F152" s="203">
        <f t="shared" si="67"/>
        <v>0</v>
      </c>
      <c r="G152" s="203">
        <f t="shared" si="67"/>
        <v>0</v>
      </c>
      <c r="H152" s="203">
        <f t="shared" si="67"/>
        <v>0</v>
      </c>
      <c r="I152" s="203">
        <f t="shared" si="67"/>
        <v>0</v>
      </c>
      <c r="J152" s="203">
        <f t="shared" si="67"/>
        <v>0</v>
      </c>
      <c r="K152" s="203">
        <f t="shared" si="67"/>
        <v>0</v>
      </c>
      <c r="L152" s="203">
        <f t="shared" si="67"/>
        <v>0</v>
      </c>
      <c r="M152" s="203">
        <f t="shared" si="67"/>
        <v>0</v>
      </c>
      <c r="N152" s="203">
        <f t="shared" si="67"/>
        <v>0</v>
      </c>
      <c r="O152" s="203">
        <f t="shared" si="67"/>
        <v>0</v>
      </c>
      <c r="P152" s="203">
        <f t="shared" si="67"/>
        <v>0</v>
      </c>
      <c r="Q152" s="203">
        <f t="shared" si="67"/>
        <v>0</v>
      </c>
      <c r="R152" s="203">
        <f t="shared" si="67"/>
        <v>0</v>
      </c>
      <c r="S152" s="203">
        <f t="shared" si="67"/>
        <v>0</v>
      </c>
      <c r="T152" s="56"/>
    </row>
    <row r="153" spans="1:20" ht="15" customHeight="1">
      <c r="B153" s="222" t="s">
        <v>815</v>
      </c>
      <c r="C153" s="203">
        <f>Inputs!C153</f>
        <v>0</v>
      </c>
      <c r="D153" s="203">
        <f>C153</f>
        <v>0</v>
      </c>
      <c r="E153" s="203">
        <f t="shared" ref="E153:S153" si="68">D153</f>
        <v>0</v>
      </c>
      <c r="F153" s="203">
        <f t="shared" si="68"/>
        <v>0</v>
      </c>
      <c r="G153" s="203">
        <f t="shared" si="68"/>
        <v>0</v>
      </c>
      <c r="H153" s="203">
        <f t="shared" si="68"/>
        <v>0</v>
      </c>
      <c r="I153" s="203">
        <f t="shared" si="68"/>
        <v>0</v>
      </c>
      <c r="J153" s="203">
        <f t="shared" si="68"/>
        <v>0</v>
      </c>
      <c r="K153" s="203">
        <f t="shared" si="68"/>
        <v>0</v>
      </c>
      <c r="L153" s="203">
        <f t="shared" si="68"/>
        <v>0</v>
      </c>
      <c r="M153" s="203">
        <f t="shared" si="68"/>
        <v>0</v>
      </c>
      <c r="N153" s="203">
        <f t="shared" si="68"/>
        <v>0</v>
      </c>
      <c r="O153" s="203">
        <f t="shared" si="68"/>
        <v>0</v>
      </c>
      <c r="P153" s="203">
        <f t="shared" si="68"/>
        <v>0</v>
      </c>
      <c r="Q153" s="203">
        <f t="shared" si="68"/>
        <v>0</v>
      </c>
      <c r="R153" s="203">
        <f t="shared" si="68"/>
        <v>0</v>
      </c>
      <c r="S153" s="203">
        <f t="shared" si="68"/>
        <v>0</v>
      </c>
    </row>
    <row r="154" spans="1:20" s="222" customFormat="1" ht="15" customHeight="1">
      <c r="B154" s="214" t="s">
        <v>1206</v>
      </c>
      <c r="C154" s="203">
        <f>Inputs!$C$154</f>
        <v>0</v>
      </c>
      <c r="D154" s="203">
        <f>Inputs!$C$154</f>
        <v>0</v>
      </c>
      <c r="E154" s="203">
        <f>Inputs!$C$154</f>
        <v>0</v>
      </c>
      <c r="F154" s="203">
        <f>Inputs!$C$154</f>
        <v>0</v>
      </c>
      <c r="G154" s="203">
        <f>Inputs!$C$154</f>
        <v>0</v>
      </c>
      <c r="H154" s="203">
        <f>Inputs!$C$154</f>
        <v>0</v>
      </c>
      <c r="I154" s="203">
        <f>Inputs!$C$154</f>
        <v>0</v>
      </c>
      <c r="J154" s="203">
        <f>Inputs!$C$154</f>
        <v>0</v>
      </c>
      <c r="K154" s="203">
        <f>Inputs!$C$154</f>
        <v>0</v>
      </c>
      <c r="L154" s="203">
        <f>Inputs!$C$154</f>
        <v>0</v>
      </c>
      <c r="M154" s="203">
        <f>Inputs!$C$154</f>
        <v>0</v>
      </c>
      <c r="N154" s="203">
        <f>Inputs!$C$154</f>
        <v>0</v>
      </c>
      <c r="O154" s="203">
        <f>Inputs!$C$154</f>
        <v>0</v>
      </c>
      <c r="P154" s="203">
        <f>Inputs!$C$154</f>
        <v>0</v>
      </c>
      <c r="Q154" s="203">
        <f>Inputs!$C$154</f>
        <v>0</v>
      </c>
      <c r="R154" s="203">
        <f>Inputs!$C$154</f>
        <v>0</v>
      </c>
      <c r="S154" s="203">
        <f>Inputs!$C$154</f>
        <v>0</v>
      </c>
      <c r="T154" s="56"/>
    </row>
    <row r="155" spans="1:20" ht="15" customHeight="1">
      <c r="A155" s="222" t="s">
        <v>1046</v>
      </c>
      <c r="B155" s="222" t="s">
        <v>1035</v>
      </c>
      <c r="C155" s="115">
        <f>Inputs!C155</f>
        <v>0</v>
      </c>
      <c r="D155" s="115">
        <f>C155</f>
        <v>0</v>
      </c>
      <c r="E155" s="115">
        <f t="shared" ref="E155:S155" si="69">D155</f>
        <v>0</v>
      </c>
      <c r="F155" s="115">
        <f t="shared" si="69"/>
        <v>0</v>
      </c>
      <c r="G155" s="115">
        <f t="shared" si="69"/>
        <v>0</v>
      </c>
      <c r="H155" s="115">
        <f t="shared" si="69"/>
        <v>0</v>
      </c>
      <c r="I155" s="115">
        <f t="shared" si="69"/>
        <v>0</v>
      </c>
      <c r="J155" s="115">
        <f t="shared" si="69"/>
        <v>0</v>
      </c>
      <c r="K155" s="115">
        <f t="shared" si="69"/>
        <v>0</v>
      </c>
      <c r="L155" s="115">
        <f t="shared" si="69"/>
        <v>0</v>
      </c>
      <c r="M155" s="115">
        <f t="shared" si="69"/>
        <v>0</v>
      </c>
      <c r="N155" s="115">
        <f t="shared" si="69"/>
        <v>0</v>
      </c>
      <c r="O155" s="115">
        <f t="shared" si="69"/>
        <v>0</v>
      </c>
      <c r="P155" s="115">
        <f t="shared" si="69"/>
        <v>0</v>
      </c>
      <c r="Q155" s="115">
        <f t="shared" si="69"/>
        <v>0</v>
      </c>
      <c r="R155" s="115">
        <f t="shared" si="69"/>
        <v>0</v>
      </c>
      <c r="S155" s="115">
        <f t="shared" si="69"/>
        <v>0</v>
      </c>
    </row>
    <row r="156" spans="1:20" ht="15" customHeight="1">
      <c r="B156" s="222" t="s">
        <v>1037</v>
      </c>
      <c r="C156" s="139">
        <f>Inputs!C156</f>
        <v>1.85</v>
      </c>
      <c r="D156" s="139">
        <f t="shared" ref="D156:S158" si="70">C156</f>
        <v>1.85</v>
      </c>
      <c r="E156" s="139">
        <f t="shared" si="70"/>
        <v>1.85</v>
      </c>
      <c r="F156" s="139">
        <f t="shared" si="70"/>
        <v>1.85</v>
      </c>
      <c r="G156" s="139">
        <f t="shared" si="70"/>
        <v>1.85</v>
      </c>
      <c r="H156" s="139">
        <f t="shared" si="70"/>
        <v>1.85</v>
      </c>
      <c r="I156" s="139">
        <f t="shared" si="70"/>
        <v>1.85</v>
      </c>
      <c r="J156" s="139">
        <f t="shared" si="70"/>
        <v>1.85</v>
      </c>
      <c r="K156" s="139">
        <f t="shared" si="70"/>
        <v>1.85</v>
      </c>
      <c r="L156" s="139">
        <f t="shared" si="70"/>
        <v>1.85</v>
      </c>
      <c r="M156" s="139">
        <f t="shared" si="70"/>
        <v>1.85</v>
      </c>
      <c r="N156" s="139">
        <f t="shared" si="70"/>
        <v>1.85</v>
      </c>
      <c r="O156" s="139">
        <f t="shared" si="70"/>
        <v>1.85</v>
      </c>
      <c r="P156" s="139">
        <f t="shared" si="70"/>
        <v>1.85</v>
      </c>
      <c r="Q156" s="139">
        <f t="shared" si="70"/>
        <v>1.85</v>
      </c>
      <c r="R156" s="139">
        <f t="shared" si="70"/>
        <v>1.85</v>
      </c>
      <c r="S156" s="139">
        <f t="shared" si="70"/>
        <v>1.85</v>
      </c>
    </row>
    <row r="157" spans="1:20" ht="15" customHeight="1">
      <c r="B157" s="222" t="s">
        <v>1038</v>
      </c>
      <c r="C157" s="115">
        <f>Inputs!C157</f>
        <v>55</v>
      </c>
      <c r="D157" s="115">
        <f t="shared" si="70"/>
        <v>55</v>
      </c>
      <c r="E157" s="115">
        <f t="shared" si="70"/>
        <v>55</v>
      </c>
      <c r="F157" s="115">
        <f t="shared" si="70"/>
        <v>55</v>
      </c>
      <c r="G157" s="115">
        <f t="shared" si="70"/>
        <v>55</v>
      </c>
      <c r="H157" s="115">
        <f t="shared" si="70"/>
        <v>55</v>
      </c>
      <c r="I157" s="115">
        <f t="shared" si="70"/>
        <v>55</v>
      </c>
      <c r="J157" s="115">
        <f t="shared" si="70"/>
        <v>55</v>
      </c>
      <c r="K157" s="115">
        <f t="shared" si="70"/>
        <v>55</v>
      </c>
      <c r="L157" s="115">
        <f t="shared" si="70"/>
        <v>55</v>
      </c>
      <c r="M157" s="115">
        <f t="shared" si="70"/>
        <v>55</v>
      </c>
      <c r="N157" s="115">
        <f t="shared" si="70"/>
        <v>55</v>
      </c>
      <c r="O157" s="115">
        <f t="shared" si="70"/>
        <v>55</v>
      </c>
      <c r="P157" s="115">
        <f t="shared" si="70"/>
        <v>55</v>
      </c>
      <c r="Q157" s="115">
        <f t="shared" si="70"/>
        <v>55</v>
      </c>
      <c r="R157" s="115">
        <f t="shared" si="70"/>
        <v>55</v>
      </c>
      <c r="S157" s="115">
        <f t="shared" si="70"/>
        <v>55</v>
      </c>
    </row>
    <row r="158" spans="1:20" ht="15" customHeight="1">
      <c r="A158" s="222" t="s">
        <v>1074</v>
      </c>
      <c r="C158" s="204" t="str">
        <f>Inputs!C158</f>
        <v>E_O_F</v>
      </c>
      <c r="D158" s="204" t="str">
        <f t="shared" si="70"/>
        <v>E_O_F</v>
      </c>
      <c r="E158" s="204" t="str">
        <f t="shared" si="70"/>
        <v>E_O_F</v>
      </c>
      <c r="F158" s="204" t="str">
        <f t="shared" si="70"/>
        <v>E_O_F</v>
      </c>
      <c r="G158" s="204" t="str">
        <f t="shared" si="70"/>
        <v>E_O_F</v>
      </c>
      <c r="H158" s="204" t="str">
        <f t="shared" si="70"/>
        <v>E_O_F</v>
      </c>
      <c r="I158" s="204" t="str">
        <f t="shared" si="70"/>
        <v>E_O_F</v>
      </c>
      <c r="J158" s="204" t="str">
        <f t="shared" si="70"/>
        <v>E_O_F</v>
      </c>
      <c r="K158" s="204" t="str">
        <f t="shared" si="70"/>
        <v>E_O_F</v>
      </c>
      <c r="L158" s="204" t="str">
        <f t="shared" si="70"/>
        <v>E_O_F</v>
      </c>
      <c r="M158" s="204" t="str">
        <f t="shared" si="70"/>
        <v>E_O_F</v>
      </c>
      <c r="N158" s="204" t="str">
        <f t="shared" si="70"/>
        <v>E_O_F</v>
      </c>
      <c r="O158" s="204" t="str">
        <f t="shared" si="70"/>
        <v>E_O_F</v>
      </c>
      <c r="P158" s="204" t="str">
        <f t="shared" si="70"/>
        <v>E_O_F</v>
      </c>
      <c r="Q158" s="204" t="str">
        <f t="shared" si="70"/>
        <v>E_O_F</v>
      </c>
      <c r="R158" s="204" t="str">
        <f t="shared" si="70"/>
        <v>E_O_F</v>
      </c>
      <c r="S158" s="204" t="str">
        <f t="shared" si="70"/>
        <v>E_O_F</v>
      </c>
    </row>
    <row r="159" spans="1:20" ht="15" customHeight="1">
      <c r="D159" s="203"/>
      <c r="E159" s="203"/>
      <c r="F159" s="203"/>
      <c r="G159" s="203"/>
      <c r="H159" s="203"/>
      <c r="I159" s="203"/>
      <c r="J159" s="203"/>
      <c r="K159" s="203"/>
      <c r="L159" s="203"/>
      <c r="M159" s="203"/>
      <c r="N159" s="203"/>
      <c r="O159" s="203"/>
      <c r="P159" s="203"/>
      <c r="Q159" s="203"/>
      <c r="R159" s="203"/>
      <c r="S159" s="203"/>
    </row>
    <row r="160" spans="1:20" ht="15" customHeight="1">
      <c r="D160" s="203"/>
      <c r="E160" s="203"/>
      <c r="F160" s="203"/>
      <c r="G160" s="203"/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203"/>
      <c r="S160" s="20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8" workbookViewId="0">
      <selection activeCell="P12" sqref="P12"/>
    </sheetView>
  </sheetViews>
  <sheetFormatPr baseColWidth="10" defaultColWidth="8.83203125" defaultRowHeight="15" customHeight="1" x14ac:dyDescent="0"/>
  <cols>
    <col min="1" max="1" width="18.1640625" style="222" customWidth="1"/>
    <col min="2" max="2" width="10.6640625" style="222" customWidth="1"/>
    <col min="3" max="3" width="5.6640625" style="222" customWidth="1"/>
    <col min="4" max="4" width="9.33203125" style="222" customWidth="1"/>
    <col min="5" max="5" width="6" style="222" customWidth="1"/>
    <col min="6" max="6" width="8.1640625" style="222" customWidth="1"/>
    <col min="7" max="7" width="29.33203125" style="222" bestFit="1" customWidth="1"/>
    <col min="8" max="8" width="27.5" style="222" bestFit="1" customWidth="1"/>
    <col min="9" max="9" width="13.6640625" style="222" customWidth="1"/>
    <col min="10" max="10" width="8.83203125" style="222" customWidth="1"/>
    <col min="11" max="11" width="9.83203125" style="222" customWidth="1"/>
    <col min="12" max="12" width="8.1640625" style="222" customWidth="1"/>
    <col min="13" max="16384" width="8.83203125" style="222"/>
  </cols>
  <sheetData>
    <row r="1" spans="1:19" ht="15" customHeight="1">
      <c r="A1" s="112" t="s">
        <v>123</v>
      </c>
      <c r="B1" s="112"/>
      <c r="C1" s="112"/>
      <c r="D1" s="112"/>
      <c r="E1" s="112"/>
      <c r="I1" s="112" t="s">
        <v>1323</v>
      </c>
      <c r="J1" s="112"/>
      <c r="K1" s="112"/>
      <c r="L1" s="112"/>
      <c r="M1" s="112"/>
      <c r="N1" s="112"/>
      <c r="O1" s="112"/>
      <c r="P1" s="112"/>
      <c r="Q1" s="112"/>
    </row>
    <row r="2" spans="1:19" ht="15" customHeight="1">
      <c r="A2" s="114" t="s">
        <v>493</v>
      </c>
      <c r="I2" s="114" t="s">
        <v>493</v>
      </c>
    </row>
    <row r="3" spans="1:19" ht="15" customHeight="1">
      <c r="A3" s="113" t="s">
        <v>494</v>
      </c>
      <c r="B3" s="480" t="s">
        <v>1324</v>
      </c>
      <c r="C3" s="480"/>
      <c r="D3" s="480"/>
      <c r="E3" s="480"/>
      <c r="I3" s="113" t="s">
        <v>494</v>
      </c>
      <c r="J3" s="480" t="s">
        <v>1325</v>
      </c>
      <c r="K3" s="480"/>
      <c r="L3" s="480"/>
      <c r="M3" s="480"/>
      <c r="N3" s="480" t="s">
        <v>1326</v>
      </c>
      <c r="O3" s="480"/>
      <c r="P3" s="480"/>
      <c r="Q3" s="480"/>
    </row>
    <row r="4" spans="1:19" ht="15" customHeight="1">
      <c r="A4" s="90" t="s">
        <v>125</v>
      </c>
      <c r="B4" s="91" t="s">
        <v>126</v>
      </c>
      <c r="C4" s="91" t="s">
        <v>127</v>
      </c>
      <c r="D4" s="91" t="s">
        <v>128</v>
      </c>
      <c r="E4" s="91" t="s">
        <v>127</v>
      </c>
      <c r="I4" s="90" t="s">
        <v>125</v>
      </c>
      <c r="J4" s="91" t="s">
        <v>126</v>
      </c>
      <c r="K4" s="91" t="s">
        <v>127</v>
      </c>
      <c r="L4" s="91" t="s">
        <v>128</v>
      </c>
      <c r="M4" s="91" t="s">
        <v>127</v>
      </c>
      <c r="N4" s="91" t="s">
        <v>126</v>
      </c>
      <c r="O4" s="91" t="s">
        <v>127</v>
      </c>
      <c r="P4" s="91" t="s">
        <v>128</v>
      </c>
      <c r="Q4" s="91" t="s">
        <v>127</v>
      </c>
      <c r="R4" s="222" t="s">
        <v>2</v>
      </c>
    </row>
    <row r="5" spans="1:19" ht="15" customHeight="1">
      <c r="A5" s="183" t="s">
        <v>561</v>
      </c>
      <c r="B5" s="222">
        <f>IF(HomeSize="Med",VLOOKUP(Geometry!A5,Geometry!$I$5:$Q$40,2,FALSE),VLOOKUP(Geometry!A5,Geometry!$I5:$Q$40,6,FALSE))</f>
        <v>2</v>
      </c>
      <c r="C5" s="214"/>
      <c r="D5" s="222">
        <f>IF(HomeSize="Med",VLOOKUP(Geometry!A5,Geometry!$I$5:$Q$40,4,FALSE),VLOOKUP(Geometry!A5,Geometry!$I$5:$Q$40,8,FALSE))</f>
        <v>2</v>
      </c>
      <c r="E5" s="222" t="s">
        <v>11</v>
      </c>
      <c r="I5" s="183" t="s">
        <v>561</v>
      </c>
      <c r="J5" s="233">
        <v>1</v>
      </c>
      <c r="K5" s="214"/>
      <c r="L5" s="224">
        <v>1</v>
      </c>
      <c r="M5" s="224" t="s">
        <v>11</v>
      </c>
      <c r="N5" s="233">
        <v>2</v>
      </c>
      <c r="O5" s="233"/>
      <c r="P5" s="224">
        <v>2</v>
      </c>
      <c r="Q5" s="222" t="s">
        <v>11</v>
      </c>
    </row>
    <row r="6" spans="1:19" ht="15" customHeight="1">
      <c r="A6" s="183" t="s">
        <v>129</v>
      </c>
      <c r="B6" s="222">
        <f>IF(HomeSize="Med",VLOOKUP(Geometry!A6,Geometry!$I$5:$Q$40,2,FALSE),VLOOKUP(Geometry!A6,Geometry!$I6:$Q$40,6,FALSE))</f>
        <v>50</v>
      </c>
      <c r="C6" s="224" t="s">
        <v>130</v>
      </c>
      <c r="D6" s="222">
        <f>IF(HomeSize="Med",VLOOKUP(Geometry!A6,Geometry!$I$5:$Q$40,4,FALSE),VLOOKUP(Geometry!A6,Geometry!$I$5:$Q$40,8,FALSE))</f>
        <v>15.239999512320015</v>
      </c>
      <c r="E6" s="224" t="s">
        <v>131</v>
      </c>
      <c r="I6" s="183" t="s">
        <v>129</v>
      </c>
      <c r="J6" s="224">
        <v>50</v>
      </c>
      <c r="K6" s="224" t="s">
        <v>130</v>
      </c>
      <c r="L6" s="224">
        <f t="shared" ref="L6:L7" si="0">J6/3.28084</f>
        <v>15.239999512320015</v>
      </c>
      <c r="M6" s="224" t="s">
        <v>131</v>
      </c>
      <c r="N6" s="224">
        <v>50</v>
      </c>
      <c r="O6" s="224" t="s">
        <v>130</v>
      </c>
      <c r="P6" s="224">
        <f t="shared" ref="P6:P7" si="1">N6/3.28084</f>
        <v>15.239999512320015</v>
      </c>
      <c r="Q6" s="224" t="s">
        <v>131</v>
      </c>
      <c r="R6" s="222" t="s">
        <v>491</v>
      </c>
    </row>
    <row r="7" spans="1:19" ht="15" customHeight="1">
      <c r="A7" s="183" t="s">
        <v>132</v>
      </c>
      <c r="B7" s="222">
        <f>IF(HomeSize="Med",VLOOKUP(Geometry!A7,Geometry!$I$5:$Q$40,2,FALSE),VLOOKUP(Geometry!A7,Geometry!$I7:$Q$40,6,FALSE))</f>
        <v>29</v>
      </c>
      <c r="C7" s="224" t="s">
        <v>130</v>
      </c>
      <c r="D7" s="222">
        <f>IF(HomeSize="Med",VLOOKUP(Geometry!A7,Geometry!$I$5:$Q$40,4,FALSE),VLOOKUP(Geometry!A7,Geometry!$I$5:$Q$40,8,FALSE))</f>
        <v>8.8391997171456094</v>
      </c>
      <c r="E7" s="224" t="s">
        <v>131</v>
      </c>
      <c r="I7" s="183" t="s">
        <v>132</v>
      </c>
      <c r="J7" s="224">
        <v>46</v>
      </c>
      <c r="K7" s="224" t="s">
        <v>130</v>
      </c>
      <c r="L7" s="224">
        <f t="shared" si="0"/>
        <v>14.020799551334415</v>
      </c>
      <c r="M7" s="224" t="s">
        <v>131</v>
      </c>
      <c r="N7" s="224">
        <v>29</v>
      </c>
      <c r="O7" s="224" t="s">
        <v>130</v>
      </c>
      <c r="P7" s="224">
        <f t="shared" si="1"/>
        <v>8.8391997171456094</v>
      </c>
      <c r="Q7" s="224" t="s">
        <v>131</v>
      </c>
      <c r="R7" s="214"/>
      <c r="S7" s="224"/>
    </row>
    <row r="8" spans="1:19" ht="15" customHeight="1">
      <c r="A8" s="183" t="s">
        <v>133</v>
      </c>
      <c r="B8" s="222">
        <f>IF(HomeSize="Med",VLOOKUP(Geometry!A8,Geometry!$I$5:$Q$40,2,FALSE),VLOOKUP(Geometry!A8,Geometry!$I8:$Q$40,6,FALSE))</f>
        <v>2700</v>
      </c>
      <c r="C8" s="224" t="s">
        <v>488</v>
      </c>
      <c r="D8" s="222">
        <f>IF(HomeSize="Med",VLOOKUP(Geometry!A8,Geometry!$I$5:$Q$40,4,FALSE),VLOOKUP(Geometry!A8,Geometry!$I$5:$Q$40,8,FALSE))</f>
        <v>250.82999999999998</v>
      </c>
      <c r="E8" s="224" t="s">
        <v>487</v>
      </c>
      <c r="I8" s="183" t="s">
        <v>133</v>
      </c>
      <c r="J8" s="211">
        <v>2100</v>
      </c>
      <c r="K8" s="224" t="s">
        <v>488</v>
      </c>
      <c r="L8" s="213">
        <f t="shared" ref="L8:L12" si="2">J8*0.0929</f>
        <v>195.09</v>
      </c>
      <c r="M8" s="224" t="s">
        <v>487</v>
      </c>
      <c r="N8" s="211">
        <v>2700</v>
      </c>
      <c r="O8" s="224" t="s">
        <v>488</v>
      </c>
      <c r="P8" s="213">
        <f t="shared" ref="P8:P12" si="3">N8*0.0929</f>
        <v>250.82999999999998</v>
      </c>
      <c r="Q8" s="224" t="s">
        <v>487</v>
      </c>
      <c r="R8" s="214"/>
      <c r="S8" s="214"/>
    </row>
    <row r="9" spans="1:19" ht="15" customHeight="1">
      <c r="A9" s="183" t="s">
        <v>486</v>
      </c>
      <c r="B9" s="222">
        <f>IF(HomeSize="Med",VLOOKUP(Geometry!A9,Geometry!$I$5:$Q$40,2,FALSE),VLOOKUP(Geometry!A9,Geometry!$I9:$Q$40,6,FALSE))</f>
        <v>1250</v>
      </c>
      <c r="C9" s="224" t="s">
        <v>488</v>
      </c>
      <c r="D9" s="222">
        <f>IF(HomeSize="Med",VLOOKUP(Geometry!A9,Geometry!$I$5:$Q$40,4,FALSE),VLOOKUP(Geometry!A9,Geometry!$I$5:$Q$40,8,FALSE))</f>
        <v>116.125</v>
      </c>
      <c r="E9" s="224" t="s">
        <v>487</v>
      </c>
      <c r="I9" s="183" t="s">
        <v>486</v>
      </c>
      <c r="J9" s="224">
        <f>J8/J5</f>
        <v>2100</v>
      </c>
      <c r="K9" s="224" t="s">
        <v>488</v>
      </c>
      <c r="L9" s="213">
        <f t="shared" si="2"/>
        <v>195.09</v>
      </c>
      <c r="M9" s="224" t="s">
        <v>487</v>
      </c>
      <c r="N9" s="224">
        <v>1250</v>
      </c>
      <c r="O9" s="224" t="s">
        <v>488</v>
      </c>
      <c r="P9" s="213">
        <f t="shared" si="3"/>
        <v>116.125</v>
      </c>
      <c r="Q9" s="224" t="s">
        <v>487</v>
      </c>
      <c r="R9" s="214"/>
      <c r="S9" s="214"/>
    </row>
    <row r="10" spans="1:19" ht="15" customHeight="1">
      <c r="A10" s="183" t="s">
        <v>136</v>
      </c>
      <c r="B10" s="222">
        <f>IF(HomeSize="Med",VLOOKUP(Geometry!A10,Geometry!$I$5:$Q$40,2,FALSE),VLOOKUP(Geometry!A10,Geometry!$I10:$Q$40,6,FALSE))</f>
        <v>1450</v>
      </c>
      <c r="C10" s="224" t="s">
        <v>488</v>
      </c>
      <c r="D10" s="222">
        <f>IF(HomeSize="Med",VLOOKUP(Geometry!A10,Geometry!$I$5:$Q$40,4,FALSE),VLOOKUP(Geometry!A10,Geometry!$I$5:$Q$40,8,FALSE))</f>
        <v>134.70499999999998</v>
      </c>
      <c r="E10" s="224" t="s">
        <v>487</v>
      </c>
      <c r="I10" s="183" t="s">
        <v>136</v>
      </c>
      <c r="J10" s="224">
        <f>IF(J5=2,J8/J5,0)</f>
        <v>0</v>
      </c>
      <c r="K10" s="224" t="s">
        <v>488</v>
      </c>
      <c r="L10" s="213">
        <f t="shared" si="2"/>
        <v>0</v>
      </c>
      <c r="M10" s="224" t="s">
        <v>487</v>
      </c>
      <c r="N10" s="224">
        <v>1450</v>
      </c>
      <c r="O10" s="224" t="s">
        <v>488</v>
      </c>
      <c r="P10" s="213">
        <f t="shared" si="3"/>
        <v>134.70499999999998</v>
      </c>
      <c r="Q10" s="224" t="s">
        <v>487</v>
      </c>
      <c r="R10" s="214"/>
    </row>
    <row r="11" spans="1:19" ht="15" customHeight="1">
      <c r="A11" s="183" t="s">
        <v>137</v>
      </c>
      <c r="B11" s="222">
        <f>IF(HomeSize="Med",VLOOKUP(Geometry!A11,Geometry!$I$5:$Q$40,2,FALSE),VLOOKUP(Geometry!A11,Geometry!$I11:$Q$40,6,FALSE))</f>
        <v>158</v>
      </c>
      <c r="C11" s="224" t="s">
        <v>130</v>
      </c>
      <c r="D11" s="222">
        <f>IF(HomeSize="Med",VLOOKUP(Geometry!A11,Geometry!$I$5:$Q$40,4,FALSE),VLOOKUP(Geometry!A11,Geometry!$I$5:$Q$40,8,FALSE))</f>
        <v>48.158398458931252</v>
      </c>
      <c r="E11" s="224" t="s">
        <v>131</v>
      </c>
      <c r="I11" s="183" t="s">
        <v>137</v>
      </c>
      <c r="J11" s="212">
        <v>192</v>
      </c>
      <c r="K11" s="224" t="s">
        <v>130</v>
      </c>
      <c r="L11" s="224">
        <f>J11/3.28084</f>
        <v>58.521598127308863</v>
      </c>
      <c r="M11" s="224" t="s">
        <v>131</v>
      </c>
      <c r="N11" s="212">
        <v>158</v>
      </c>
      <c r="O11" s="224" t="s">
        <v>130</v>
      </c>
      <c r="P11" s="224">
        <f>N11/3.28084</f>
        <v>48.158398458931252</v>
      </c>
      <c r="Q11" s="224" t="s">
        <v>131</v>
      </c>
      <c r="R11" s="214"/>
      <c r="S11" s="222" t="s">
        <v>1327</v>
      </c>
    </row>
    <row r="12" spans="1:19" ht="15" customHeight="1">
      <c r="A12" s="183" t="s">
        <v>1328</v>
      </c>
      <c r="B12" s="222">
        <f>IF(HomeSize="Med",VLOOKUP(Geometry!A12,Geometry!$I$5:$Q$40,2,FALSE),VLOOKUP(Geometry!A12,Geometry!$I12:$Q$40,6,FALSE))</f>
        <v>200</v>
      </c>
      <c r="C12" s="224" t="s">
        <v>488</v>
      </c>
      <c r="D12" s="222">
        <f>IF(HomeSize="Med",VLOOKUP(Geometry!A12,Geometry!$I$5:$Q$40,4,FALSE),VLOOKUP(Geometry!A12,Geometry!$I$5:$Q$40,8,FALSE))</f>
        <v>18.579999999999998</v>
      </c>
      <c r="E12" s="224" t="s">
        <v>487</v>
      </c>
      <c r="I12" s="183" t="s">
        <v>1328</v>
      </c>
      <c r="J12" s="481">
        <f>J8-J9</f>
        <v>0</v>
      </c>
      <c r="K12" s="224" t="s">
        <v>488</v>
      </c>
      <c r="L12" s="213">
        <f t="shared" si="2"/>
        <v>0</v>
      </c>
      <c r="M12" s="224" t="s">
        <v>487</v>
      </c>
      <c r="N12" s="481">
        <f>N10-N9</f>
        <v>200</v>
      </c>
      <c r="O12" s="224" t="s">
        <v>488</v>
      </c>
      <c r="P12" s="213">
        <f t="shared" si="3"/>
        <v>18.579999999999998</v>
      </c>
      <c r="Q12" s="224" t="s">
        <v>487</v>
      </c>
      <c r="R12" s="214"/>
    </row>
    <row r="13" spans="1:19" ht="15" customHeight="1">
      <c r="A13" s="183" t="s">
        <v>138</v>
      </c>
      <c r="B13" s="222">
        <f>IF(HomeSize="Med",VLOOKUP(Geometry!A13,Geometry!$I$5:$Q$40,2,FALSE),VLOOKUP(Geometry!A13,Geometry!$I13:$Q$40,6,FALSE))</f>
        <v>1</v>
      </c>
      <c r="C13" s="224" t="s">
        <v>130</v>
      </c>
      <c r="D13" s="222">
        <f>IF(HomeSize="Med",VLOOKUP(Geometry!A13,Geometry!$I$5:$Q$40,4,FALSE),VLOOKUP(Geometry!A13,Geometry!$I$5:$Q$40,8,FALSE))</f>
        <v>0.30479999024640031</v>
      </c>
      <c r="E13" s="224" t="s">
        <v>131</v>
      </c>
      <c r="I13" s="183" t="s">
        <v>138</v>
      </c>
      <c r="J13" s="224">
        <v>1</v>
      </c>
      <c r="K13" s="224" t="s">
        <v>130</v>
      </c>
      <c r="L13" s="224">
        <f>J13/3.28084</f>
        <v>0.30479999024640031</v>
      </c>
      <c r="M13" s="224" t="s">
        <v>131</v>
      </c>
      <c r="N13" s="224">
        <v>1</v>
      </c>
      <c r="O13" s="224" t="s">
        <v>130</v>
      </c>
      <c r="P13" s="224">
        <f>N13/3.28084</f>
        <v>0.30479999024640031</v>
      </c>
      <c r="Q13" s="224" t="s">
        <v>131</v>
      </c>
      <c r="R13" s="214"/>
    </row>
    <row r="14" spans="1:19" ht="15" customHeight="1">
      <c r="A14" s="183" t="s">
        <v>139</v>
      </c>
      <c r="B14" s="222">
        <f>IF(HomeSize="Med",VLOOKUP(Geometry!A14,Geometry!$I$5:$Q$40,2,FALSE),VLOOKUP(Geometry!A14,Geometry!$I14:$Q$40,6,FALSE))</f>
        <v>9</v>
      </c>
      <c r="C14" s="224" t="s">
        <v>130</v>
      </c>
      <c r="D14" s="222">
        <f>IF(HomeSize="Med",VLOOKUP(Geometry!A14,Geometry!$I$5:$Q$40,4,FALSE),VLOOKUP(Geometry!A14,Geometry!$I$5:$Q$40,8,FALSE))</f>
        <v>2.743199912217603</v>
      </c>
      <c r="E14" s="224" t="s">
        <v>131</v>
      </c>
      <c r="I14" s="183" t="s">
        <v>139</v>
      </c>
      <c r="J14" s="224">
        <v>9</v>
      </c>
      <c r="K14" s="224" t="s">
        <v>130</v>
      </c>
      <c r="L14" s="224">
        <f>J14/3.28084</f>
        <v>2.743199912217603</v>
      </c>
      <c r="M14" s="224" t="s">
        <v>131</v>
      </c>
      <c r="N14" s="224">
        <v>9</v>
      </c>
      <c r="O14" s="224" t="s">
        <v>130</v>
      </c>
      <c r="P14" s="224">
        <f>N14/3.28084</f>
        <v>2.743199912217603</v>
      </c>
      <c r="Q14" s="224" t="s">
        <v>131</v>
      </c>
      <c r="R14" s="214"/>
    </row>
    <row r="15" spans="1:19" ht="15" customHeight="1">
      <c r="A15" s="183" t="s">
        <v>140</v>
      </c>
      <c r="B15" s="222">
        <f>IF(HomeSize="Med",VLOOKUP(Geometry!A15,Geometry!$I$5:$Q$40,2,FALSE),VLOOKUP(Geometry!A15,Geometry!$I15:$Q$40,6,FALSE))</f>
        <v>1</v>
      </c>
      <c r="C15" s="224" t="s">
        <v>130</v>
      </c>
      <c r="D15" s="222">
        <f>IF(HomeSize="Med",VLOOKUP(Geometry!A15,Geometry!$I$5:$Q$40,4,FALSE),VLOOKUP(Geometry!A15,Geometry!$I$5:$Q$40,8,FALSE))</f>
        <v>0.30479999024640031</v>
      </c>
      <c r="E15" s="224" t="s">
        <v>131</v>
      </c>
      <c r="I15" s="183" t="s">
        <v>140</v>
      </c>
      <c r="J15" s="224">
        <v>1</v>
      </c>
      <c r="K15" s="224" t="s">
        <v>130</v>
      </c>
      <c r="L15" s="224">
        <f>J15/3.28084</f>
        <v>0.30479999024640031</v>
      </c>
      <c r="M15" s="224" t="s">
        <v>131</v>
      </c>
      <c r="N15" s="224">
        <v>1</v>
      </c>
      <c r="O15" s="224" t="s">
        <v>130</v>
      </c>
      <c r="P15" s="224">
        <f>N15/3.28084</f>
        <v>0.30479999024640031</v>
      </c>
      <c r="Q15" s="224" t="s">
        <v>131</v>
      </c>
      <c r="R15" s="214"/>
    </row>
    <row r="16" spans="1:19" ht="15" customHeight="1">
      <c r="A16" s="183" t="s">
        <v>141</v>
      </c>
      <c r="B16" s="222">
        <f>IF(HomeSize="Med",VLOOKUP(Geometry!A16,Geometry!$I$5:$Q$40,2,FALSE),VLOOKUP(Geometry!A16,Geometry!$I16:$Q$40,6,FALSE))</f>
        <v>20</v>
      </c>
      <c r="C16" s="224" t="s">
        <v>130</v>
      </c>
      <c r="D16" s="222">
        <f>IF(HomeSize="Med",VLOOKUP(Geometry!A16,Geometry!$I$5:$Q$40,4,FALSE),VLOOKUP(Geometry!A16,Geometry!$I$5:$Q$40,8,FALSE))</f>
        <v>6.095999804928006</v>
      </c>
      <c r="E16" s="224" t="s">
        <v>131</v>
      </c>
      <c r="I16" s="183" t="s">
        <v>141</v>
      </c>
      <c r="J16" s="224">
        <f>J13+(J14*J5)+J15</f>
        <v>11</v>
      </c>
      <c r="K16" s="224" t="s">
        <v>130</v>
      </c>
      <c r="L16" s="224">
        <f>J16/3.28084</f>
        <v>3.3527998927104035</v>
      </c>
      <c r="M16" s="224" t="s">
        <v>131</v>
      </c>
      <c r="N16" s="224">
        <f>N13+(N14*N5)+N15</f>
        <v>20</v>
      </c>
      <c r="O16" s="224" t="s">
        <v>130</v>
      </c>
      <c r="P16" s="224">
        <f>N16/3.28084</f>
        <v>6.095999804928006</v>
      </c>
      <c r="Q16" s="224" t="s">
        <v>131</v>
      </c>
      <c r="R16" s="214"/>
      <c r="S16" s="222" t="s">
        <v>142</v>
      </c>
    </row>
    <row r="17" spans="1:19" ht="15" customHeight="1">
      <c r="A17" s="183" t="s">
        <v>143</v>
      </c>
      <c r="B17" s="222">
        <f>IF(HomeSize="Med",VLOOKUP(Geometry!A17,Geometry!$I$5:$Q$40,2,FALSE),VLOOKUP(Geometry!A17,Geometry!$I17:$Q$40,6,FALSE))</f>
        <v>540</v>
      </c>
      <c r="C17" s="224" t="s">
        <v>488</v>
      </c>
      <c r="D17" s="222">
        <f>IF(HomeSize="Med",VLOOKUP(Geometry!A17,Geometry!$I$5:$Q$40,4,FALSE),VLOOKUP(Geometry!A17,Geometry!$I$5:$Q$40,8,FALSE))</f>
        <v>50.165999999999997</v>
      </c>
      <c r="E17" s="224" t="s">
        <v>487</v>
      </c>
      <c r="G17" s="222" t="s">
        <v>1329</v>
      </c>
      <c r="I17" s="183" t="s">
        <v>143</v>
      </c>
      <c r="J17" s="213">
        <f>0.2*J8</f>
        <v>420</v>
      </c>
      <c r="K17" s="224" t="s">
        <v>488</v>
      </c>
      <c r="L17" s="213">
        <f>J17*0.0929</f>
        <v>39.018000000000001</v>
      </c>
      <c r="M17" s="224" t="s">
        <v>487</v>
      </c>
      <c r="N17" s="213">
        <f>0.2*N8</f>
        <v>540</v>
      </c>
      <c r="O17" s="224" t="s">
        <v>488</v>
      </c>
      <c r="P17" s="213">
        <f>N17*0.0929</f>
        <v>50.165999999999997</v>
      </c>
      <c r="Q17" s="224" t="s">
        <v>487</v>
      </c>
      <c r="R17" s="222" t="s">
        <v>492</v>
      </c>
      <c r="S17" s="222" t="s">
        <v>144</v>
      </c>
    </row>
    <row r="18" spans="1:19" ht="15" customHeight="1">
      <c r="A18" s="183" t="s">
        <v>901</v>
      </c>
      <c r="B18" s="222">
        <f>IF(HomeSize="Med",VLOOKUP(Geometry!A18,Geometry!$I$5:$Q$40,2,FALSE),VLOOKUP(Geometry!A18,Geometry!$I18:$Q$40,6,FALSE))</f>
        <v>40</v>
      </c>
      <c r="C18" s="224" t="s">
        <v>488</v>
      </c>
      <c r="D18" s="222">
        <f>IF(HomeSize="Med",VLOOKUP(Geometry!A18,Geometry!$I$5:$Q$40,4,FALSE),VLOOKUP(Geometry!A18,Geometry!$I$5:$Q$40,8,FALSE))</f>
        <v>3.7159999999999997</v>
      </c>
      <c r="E18" s="224" t="s">
        <v>487</v>
      </c>
      <c r="I18" s="183" t="s">
        <v>901</v>
      </c>
      <c r="J18" s="213">
        <v>40</v>
      </c>
      <c r="K18" s="224" t="s">
        <v>488</v>
      </c>
      <c r="L18" s="213">
        <f>J18*0.0929</f>
        <v>3.7159999999999997</v>
      </c>
      <c r="M18" s="224" t="s">
        <v>487</v>
      </c>
      <c r="N18" s="213">
        <v>40</v>
      </c>
      <c r="O18" s="224" t="s">
        <v>488</v>
      </c>
      <c r="P18" s="213">
        <f>N18*0.0929</f>
        <v>3.7159999999999997</v>
      </c>
      <c r="Q18" s="224" t="s">
        <v>487</v>
      </c>
    </row>
    <row r="19" spans="1:19" ht="15" customHeight="1">
      <c r="A19" s="183" t="s">
        <v>145</v>
      </c>
      <c r="B19" s="222">
        <f>IF(HomeSize="Med",VLOOKUP(Geometry!A19,Geometry!$I$5:$Q$40,2,FALSE),VLOOKUP(Geometry!A19,Geometry!$I19:$Q$40,6,FALSE))</f>
        <v>0</v>
      </c>
      <c r="C19" s="224"/>
      <c r="D19" s="222">
        <f>IF(HomeSize="Med",VLOOKUP(Geometry!A19,Geometry!$I$5:$Q$40,4,FALSE),VLOOKUP(Geometry!A19,Geometry!$I$5:$Q$40,8,FALSE))</f>
        <v>0</v>
      </c>
      <c r="E19" s="224" t="s">
        <v>11</v>
      </c>
      <c r="I19" s="183" t="s">
        <v>145</v>
      </c>
      <c r="J19" s="224"/>
      <c r="K19" s="224"/>
      <c r="L19" s="224"/>
      <c r="M19" s="224" t="s">
        <v>11</v>
      </c>
      <c r="N19" s="224"/>
      <c r="O19" s="224"/>
      <c r="P19" s="224"/>
      <c r="Q19" s="224" t="s">
        <v>11</v>
      </c>
      <c r="R19" s="233" t="s">
        <v>157</v>
      </c>
    </row>
    <row r="20" spans="1:19" ht="15" customHeight="1">
      <c r="A20" s="183" t="s">
        <v>1330</v>
      </c>
      <c r="B20" s="222">
        <f>IF(HomeSize="Med",VLOOKUP(Geometry!A20,Geometry!$I$5:$Q$40,2,FALSE),VLOOKUP(Geometry!A20,Geometry!$I20:$Q$40,6,FALSE))</f>
        <v>270</v>
      </c>
      <c r="C20" s="224" t="s">
        <v>488</v>
      </c>
      <c r="D20" s="222">
        <f>IF(HomeSize="Med",VLOOKUP(Geometry!A20,Geometry!$I$5:$Q$40,4,FALSE),VLOOKUP(Geometry!A20,Geometry!$I$5:$Q$40,8,FALSE))</f>
        <v>25.082999999999998</v>
      </c>
      <c r="E20" s="224" t="s">
        <v>487</v>
      </c>
      <c r="I20" s="183" t="s">
        <v>1330</v>
      </c>
      <c r="J20" s="224">
        <v>270</v>
      </c>
      <c r="K20" s="224" t="s">
        <v>488</v>
      </c>
      <c r="L20" s="213">
        <f t="shared" ref="L20:L28" si="4">J20*0.0929</f>
        <v>25.082999999999998</v>
      </c>
      <c r="M20" s="224" t="s">
        <v>487</v>
      </c>
      <c r="N20" s="224">
        <v>270</v>
      </c>
      <c r="O20" s="224" t="s">
        <v>488</v>
      </c>
      <c r="P20" s="213">
        <f t="shared" ref="P20:P28" si="5">N20*0.0929</f>
        <v>25.082999999999998</v>
      </c>
      <c r="Q20" s="224" t="s">
        <v>487</v>
      </c>
      <c r="R20" s="233"/>
    </row>
    <row r="21" spans="1:19" ht="15" customHeight="1">
      <c r="A21" s="183" t="s">
        <v>1331</v>
      </c>
      <c r="B21" s="222">
        <f>IF(HomeSize="Med",VLOOKUP(Geometry!A21,Geometry!$I$5:$Q$40,2,FALSE),VLOOKUP(Geometry!A21,Geometry!$I21:$Q$40,6,FALSE))</f>
        <v>180</v>
      </c>
      <c r="C21" s="224" t="s">
        <v>488</v>
      </c>
      <c r="D21" s="222">
        <f>IF(HomeSize="Med",VLOOKUP(Geometry!A21,Geometry!$I$5:$Q$40,4,FALSE),VLOOKUP(Geometry!A21,Geometry!$I$5:$Q$40,8,FALSE))</f>
        <v>16.721999999999998</v>
      </c>
      <c r="E21" s="224" t="s">
        <v>487</v>
      </c>
      <c r="I21" s="183" t="s">
        <v>1331</v>
      </c>
      <c r="J21" s="224">
        <v>180</v>
      </c>
      <c r="K21" s="224" t="s">
        <v>488</v>
      </c>
      <c r="L21" s="213">
        <f t="shared" si="4"/>
        <v>16.721999999999998</v>
      </c>
      <c r="M21" s="224" t="s">
        <v>487</v>
      </c>
      <c r="N21" s="224">
        <v>180</v>
      </c>
      <c r="O21" s="224" t="s">
        <v>488</v>
      </c>
      <c r="P21" s="213">
        <f t="shared" si="5"/>
        <v>16.721999999999998</v>
      </c>
      <c r="Q21" s="224" t="s">
        <v>487</v>
      </c>
      <c r="R21" s="233"/>
    </row>
    <row r="22" spans="1:19" ht="15" customHeight="1">
      <c r="A22" s="183" t="s">
        <v>1332</v>
      </c>
      <c r="B22" s="222">
        <f>IF(HomeSize="Med",VLOOKUP(Geometry!A22,Geometry!$I$5:$Q$40,2,FALSE),VLOOKUP(Geometry!A22,Geometry!$I22:$Q$40,6,FALSE))</f>
        <v>551</v>
      </c>
      <c r="C22" s="224" t="s">
        <v>488</v>
      </c>
      <c r="D22" s="222">
        <f>IF(HomeSize="Med",VLOOKUP(Geometry!A22,Geometry!$I$5:$Q$40,4,FALSE),VLOOKUP(Geometry!A22,Geometry!$I$5:$Q$40,8,FALSE))</f>
        <v>51.187899999999999</v>
      </c>
      <c r="E22" s="224" t="s">
        <v>487</v>
      </c>
      <c r="I22" s="183" t="s">
        <v>1332</v>
      </c>
      <c r="J22" s="224">
        <v>324</v>
      </c>
      <c r="K22" s="224" t="s">
        <v>488</v>
      </c>
      <c r="L22" s="213">
        <f t="shared" si="4"/>
        <v>30.099599999999999</v>
      </c>
      <c r="M22" s="224" t="s">
        <v>487</v>
      </c>
      <c r="N22" s="224">
        <v>551</v>
      </c>
      <c r="O22" s="224" t="s">
        <v>488</v>
      </c>
      <c r="P22" s="213">
        <f t="shared" si="5"/>
        <v>51.187899999999999</v>
      </c>
      <c r="Q22" s="224" t="s">
        <v>487</v>
      </c>
      <c r="R22" s="233"/>
    </row>
    <row r="23" spans="1:19" ht="15" customHeight="1">
      <c r="A23" s="183" t="s">
        <v>1333</v>
      </c>
      <c r="B23" s="222">
        <f>IF(HomeSize="Med",VLOOKUP(Geometry!A23,Geometry!$I$5:$Q$40,2,FALSE),VLOOKUP(Geometry!A23,Geometry!$I23:$Q$40,6,FALSE))</f>
        <v>0</v>
      </c>
      <c r="C23" s="224" t="s">
        <v>488</v>
      </c>
      <c r="D23" s="222">
        <f>IF(HomeSize="Med",VLOOKUP(Geometry!A23,Geometry!$I$5:$Q$40,4,FALSE),VLOOKUP(Geometry!A23,Geometry!$I$5:$Q$40,8,FALSE))</f>
        <v>0</v>
      </c>
      <c r="E23" s="224" t="s">
        <v>487</v>
      </c>
      <c r="I23" s="183" t="s">
        <v>1333</v>
      </c>
      <c r="J23" s="224">
        <v>90</v>
      </c>
      <c r="K23" s="224" t="s">
        <v>488</v>
      </c>
      <c r="L23" s="213">
        <f t="shared" si="4"/>
        <v>8.3609999999999989</v>
      </c>
      <c r="M23" s="224" t="s">
        <v>487</v>
      </c>
      <c r="N23" s="224">
        <v>0</v>
      </c>
      <c r="O23" s="224" t="s">
        <v>488</v>
      </c>
      <c r="P23" s="213">
        <f t="shared" si="5"/>
        <v>0</v>
      </c>
      <c r="Q23" s="224" t="s">
        <v>487</v>
      </c>
      <c r="R23" s="233"/>
    </row>
    <row r="24" spans="1:19" ht="15" customHeight="1">
      <c r="A24" s="183" t="s">
        <v>1334</v>
      </c>
      <c r="B24" s="222">
        <f>IF(HomeSize="Med",VLOOKUP(Geometry!A24,Geometry!$I$5:$Q$40,2,FALSE),VLOOKUP(Geometry!A24,Geometry!$I24:$Q$40,6,FALSE))</f>
        <v>950</v>
      </c>
      <c r="C24" s="224" t="s">
        <v>488</v>
      </c>
      <c r="D24" s="222">
        <f>IF(HomeSize="Med",VLOOKUP(Geometry!A24,Geometry!$I$5:$Q$40,4,FALSE),VLOOKUP(Geometry!A24,Geometry!$I$5:$Q$40,8,FALSE))</f>
        <v>88.254999999999995</v>
      </c>
      <c r="E24" s="224" t="s">
        <v>487</v>
      </c>
      <c r="I24" s="183" t="s">
        <v>1334</v>
      </c>
      <c r="J24" s="224">
        <v>450</v>
      </c>
      <c r="K24" s="224" t="s">
        <v>488</v>
      </c>
      <c r="L24" s="213">
        <f t="shared" si="4"/>
        <v>41.805</v>
      </c>
      <c r="M24" s="224" t="s">
        <v>487</v>
      </c>
      <c r="N24" s="224">
        <v>950</v>
      </c>
      <c r="O24" s="224" t="s">
        <v>488</v>
      </c>
      <c r="P24" s="213">
        <f t="shared" si="5"/>
        <v>88.254999999999995</v>
      </c>
      <c r="Q24" s="224" t="s">
        <v>487</v>
      </c>
      <c r="R24" s="233"/>
    </row>
    <row r="25" spans="1:19" ht="15" customHeight="1">
      <c r="A25" s="183" t="s">
        <v>1335</v>
      </c>
      <c r="B25" s="222">
        <f>IF(HomeSize="Med",VLOOKUP(Geometry!A25,Geometry!$I$5:$Q$40,2,FALSE),VLOOKUP(Geometry!A25,Geometry!$I25:$Q$40,6,FALSE))</f>
        <v>461</v>
      </c>
      <c r="C25" s="224" t="s">
        <v>488</v>
      </c>
      <c r="D25" s="222">
        <f>IF(HomeSize="Med",VLOOKUP(Geometry!A25,Geometry!$I$5:$Q$40,4,FALSE),VLOOKUP(Geometry!A25,Geometry!$I$5:$Q$40,8,FALSE))</f>
        <v>42.826899999999995</v>
      </c>
      <c r="E25" s="224" t="s">
        <v>487</v>
      </c>
      <c r="I25" s="183" t="s">
        <v>1335</v>
      </c>
      <c r="J25" s="224">
        <v>414</v>
      </c>
      <c r="K25" s="224" t="s">
        <v>488</v>
      </c>
      <c r="L25" s="213">
        <f t="shared" si="4"/>
        <v>38.460599999999999</v>
      </c>
      <c r="M25" s="224" t="s">
        <v>487</v>
      </c>
      <c r="N25" s="224">
        <v>461</v>
      </c>
      <c r="O25" s="224" t="s">
        <v>488</v>
      </c>
      <c r="P25" s="213">
        <f t="shared" si="5"/>
        <v>42.826899999999995</v>
      </c>
      <c r="Q25" s="224" t="s">
        <v>487</v>
      </c>
      <c r="R25" s="233"/>
    </row>
    <row r="26" spans="1:19" ht="15" customHeight="1">
      <c r="A26" s="183" t="s">
        <v>1336</v>
      </c>
      <c r="B26" s="222">
        <f>IF(HomeSize="Med",VLOOKUP(Geometry!A26,Geometry!$I$5:$Q$40,2,FALSE),VLOOKUP(Geometry!A26,Geometry!$I26:$Q$40,6,FALSE))</f>
        <v>90</v>
      </c>
      <c r="C26" s="224" t="s">
        <v>488</v>
      </c>
      <c r="D26" s="222">
        <f>IF(HomeSize="Med",VLOOKUP(Geometry!A26,Geometry!$I$5:$Q$40,4,FALSE),VLOOKUP(Geometry!A26,Geometry!$I$5:$Q$40,8,FALSE))</f>
        <v>8.3609999999999989</v>
      </c>
      <c r="E26" s="224" t="s">
        <v>487</v>
      </c>
      <c r="I26" s="183" t="s">
        <v>1336</v>
      </c>
      <c r="J26" s="224">
        <v>0</v>
      </c>
      <c r="K26" s="224" t="s">
        <v>488</v>
      </c>
      <c r="L26" s="213">
        <f t="shared" si="4"/>
        <v>0</v>
      </c>
      <c r="M26" s="224" t="s">
        <v>487</v>
      </c>
      <c r="N26" s="224">
        <v>90</v>
      </c>
      <c r="O26" s="224"/>
      <c r="P26" s="213">
        <f t="shared" si="5"/>
        <v>8.3609999999999989</v>
      </c>
      <c r="Q26" s="224"/>
      <c r="R26" s="233"/>
    </row>
    <row r="27" spans="1:19" ht="15" customHeight="1">
      <c r="A27" s="183" t="s">
        <v>1337</v>
      </c>
      <c r="B27" s="222">
        <f>IF(HomeSize="Med",VLOOKUP(Geometry!A27,Geometry!$I$5:$Q$40,2,FALSE),VLOOKUP(Geometry!A27,Geometry!$I27:$Q$40,6,FALSE))</f>
        <v>2502</v>
      </c>
      <c r="C27" s="224" t="s">
        <v>488</v>
      </c>
      <c r="D27" s="222">
        <f>IF(HomeSize="Med",VLOOKUP(Geometry!A27,Geometry!$I$5:$Q$40,4,FALSE),VLOOKUP(Geometry!A27,Geometry!$I$5:$Q$40,8,FALSE))</f>
        <v>232.4358</v>
      </c>
      <c r="E27" s="224" t="s">
        <v>487</v>
      </c>
      <c r="G27" s="222" t="s">
        <v>1338</v>
      </c>
      <c r="I27" s="183" t="s">
        <v>1337</v>
      </c>
      <c r="J27" s="233">
        <f>SUM(J20:J26)</f>
        <v>1728</v>
      </c>
      <c r="K27" s="224" t="s">
        <v>488</v>
      </c>
      <c r="L27" s="213">
        <f t="shared" si="4"/>
        <v>160.53119999999998</v>
      </c>
      <c r="M27" s="224" t="s">
        <v>487</v>
      </c>
      <c r="N27" s="233">
        <f>SUM(N20:N26)</f>
        <v>2502</v>
      </c>
      <c r="O27" s="224" t="s">
        <v>488</v>
      </c>
      <c r="P27" s="213">
        <f t="shared" si="5"/>
        <v>232.4358</v>
      </c>
      <c r="Q27" s="224" t="s">
        <v>487</v>
      </c>
      <c r="R27" s="214"/>
      <c r="S27" s="222">
        <f>((L11*L14*Stories))-A_windowSI</f>
        <v>270.90688569133505</v>
      </c>
    </row>
    <row r="28" spans="1:19" ht="15" customHeight="1">
      <c r="A28" s="183" t="s">
        <v>1339</v>
      </c>
      <c r="B28" s="222">
        <f>IF(HomeSize="Med",VLOOKUP(Geometry!A28,Geometry!$I$5:$Q$40,2,FALSE),VLOOKUP(Geometry!A28,Geometry!$I28:$Q$40,6,FALSE))</f>
        <v>1962</v>
      </c>
      <c r="C28" s="224" t="s">
        <v>1340</v>
      </c>
      <c r="D28" s="222">
        <f>IF(HomeSize="Med",VLOOKUP(Geometry!A28,Geometry!$I$5:$Q$40,4,FALSE),VLOOKUP(Geometry!A28,Geometry!$I$5:$Q$40,8,FALSE))</f>
        <v>182.2698</v>
      </c>
      <c r="E28" s="224" t="s">
        <v>1341</v>
      </c>
      <c r="I28" s="183" t="s">
        <v>1339</v>
      </c>
      <c r="J28" s="482">
        <f>J27-J17</f>
        <v>1308</v>
      </c>
      <c r="K28" s="224" t="s">
        <v>488</v>
      </c>
      <c r="L28" s="213">
        <f t="shared" si="4"/>
        <v>121.5132</v>
      </c>
      <c r="M28" s="224" t="s">
        <v>487</v>
      </c>
      <c r="N28" s="482">
        <f>N27-N17</f>
        <v>1962</v>
      </c>
      <c r="O28" s="224" t="s">
        <v>488</v>
      </c>
      <c r="P28" s="213">
        <f t="shared" si="5"/>
        <v>182.2698</v>
      </c>
      <c r="Q28" s="224" t="s">
        <v>487</v>
      </c>
      <c r="R28" s="214"/>
    </row>
    <row r="29" spans="1:19" ht="15" customHeight="1">
      <c r="A29" s="183" t="s">
        <v>146</v>
      </c>
      <c r="B29" s="222">
        <f>IF(HomeSize="Med",VLOOKUP(Geometry!A29,Geometry!$I$5:$Q$40,2,FALSE),VLOOKUP(Geometry!A29,Geometry!$I29:$Q$40,6,FALSE))</f>
        <v>25750</v>
      </c>
      <c r="C29" s="224" t="s">
        <v>1342</v>
      </c>
      <c r="D29" s="222">
        <f>IF(HomeSize="Med",VLOOKUP(Geometry!A29,Geometry!$I$5:$Q$40,4,FALSE),VLOOKUP(Geometry!A29,Geometry!$I$5:$Q$40,8,FALSE))</f>
        <v>729.1581126273195</v>
      </c>
      <c r="E29" s="222" t="s">
        <v>147</v>
      </c>
      <c r="I29" s="183" t="s">
        <v>146</v>
      </c>
      <c r="J29" s="233">
        <v>18900</v>
      </c>
      <c r="K29" s="224" t="s">
        <v>1342</v>
      </c>
      <c r="L29" s="211">
        <f>J29/35.3147</f>
        <v>535.18789625849854</v>
      </c>
      <c r="M29" s="224" t="s">
        <v>147</v>
      </c>
      <c r="N29" s="233">
        <v>25750</v>
      </c>
      <c r="O29" s="224" t="s">
        <v>1342</v>
      </c>
      <c r="P29" s="211">
        <f>N29/35.3147</f>
        <v>729.1581126273195</v>
      </c>
      <c r="Q29" s="222" t="s">
        <v>147</v>
      </c>
      <c r="R29" s="214"/>
    </row>
    <row r="30" spans="1:19" ht="15" customHeight="1">
      <c r="A30" s="222" t="s">
        <v>1458</v>
      </c>
      <c r="B30" s="224"/>
      <c r="D30" s="222">
        <f>IF(Stories=2,A_2nd_floor, A_1st_floor)</f>
        <v>134.70499999999998</v>
      </c>
      <c r="E30" s="222" t="s">
        <v>135</v>
      </c>
      <c r="J30" s="224"/>
      <c r="L30" s="224"/>
      <c r="M30" s="224"/>
      <c r="N30" s="224"/>
      <c r="O30" s="224"/>
      <c r="P30" s="224"/>
    </row>
    <row r="31" spans="1:19" ht="15" customHeight="1">
      <c r="A31" s="90" t="s">
        <v>148</v>
      </c>
      <c r="B31" s="91" t="s">
        <v>126</v>
      </c>
      <c r="C31" s="91" t="s">
        <v>127</v>
      </c>
      <c r="D31" s="91" t="s">
        <v>128</v>
      </c>
      <c r="E31" s="91" t="s">
        <v>127</v>
      </c>
      <c r="I31" s="90" t="s">
        <v>148</v>
      </c>
      <c r="J31" s="91" t="s">
        <v>126</v>
      </c>
      <c r="K31" s="91" t="s">
        <v>127</v>
      </c>
      <c r="L31" s="483" t="s">
        <v>128</v>
      </c>
      <c r="M31" s="483" t="s">
        <v>127</v>
      </c>
      <c r="N31" s="483" t="s">
        <v>126</v>
      </c>
      <c r="O31" s="483" t="s">
        <v>127</v>
      </c>
      <c r="P31" s="483" t="s">
        <v>128</v>
      </c>
      <c r="Q31" s="91" t="s">
        <v>127</v>
      </c>
      <c r="R31" s="214"/>
    </row>
    <row r="32" spans="1:19" ht="15" customHeight="1">
      <c r="A32" s="183" t="s">
        <v>149</v>
      </c>
      <c r="B32" s="215"/>
      <c r="C32" s="222" t="s">
        <v>11</v>
      </c>
      <c r="D32" s="222">
        <f>IF(HomeSize="Med",VLOOKUP(Geometry!A32,Geometry!$I$5:$Q$40,4,FALSE),VLOOKUP(Geometry!A32,Geometry!$I$5:$Q$40,8,FALSE))</f>
        <v>18.43494882292201</v>
      </c>
      <c r="E32" s="222" t="s">
        <v>150</v>
      </c>
      <c r="I32" s="183" t="s">
        <v>149</v>
      </c>
      <c r="J32" s="484" t="s">
        <v>1343</v>
      </c>
      <c r="K32" s="222" t="s">
        <v>11</v>
      </c>
      <c r="L32" s="213">
        <f>DEGREES(ATAN(5/12))</f>
        <v>22.61986494804043</v>
      </c>
      <c r="M32" s="224" t="s">
        <v>150</v>
      </c>
      <c r="N32" s="485" t="s">
        <v>1344</v>
      </c>
      <c r="O32" s="224" t="s">
        <v>11</v>
      </c>
      <c r="P32" s="213">
        <f>DEGREES(ATAN(4/12))</f>
        <v>18.43494882292201</v>
      </c>
      <c r="Q32" s="222" t="s">
        <v>150</v>
      </c>
      <c r="R32" s="222" t="s">
        <v>519</v>
      </c>
    </row>
    <row r="33" spans="1:19" ht="15" customHeight="1">
      <c r="A33" s="183" t="s">
        <v>151</v>
      </c>
      <c r="B33" s="214"/>
      <c r="C33" s="214"/>
      <c r="D33" s="222">
        <f>IF(HomeSize="Med",VLOOKUP(Geometry!A33,Geometry!$I$5:$Q$40,4,FALSE),VLOOKUP(Geometry!A33,Geometry!$I$5:$Q$40,8,FALSE))</f>
        <v>2.5399999187200022</v>
      </c>
      <c r="E33" s="222" t="s">
        <v>131</v>
      </c>
      <c r="I33" s="183" t="s">
        <v>151</v>
      </c>
      <c r="J33" s="214"/>
      <c r="K33" s="214"/>
      <c r="L33" s="52">
        <f>TAN(RADIANS(L32))*(L6/2)</f>
        <v>3.1749998984000034</v>
      </c>
      <c r="M33" s="224" t="s">
        <v>131</v>
      </c>
      <c r="N33" s="233"/>
      <c r="O33" s="233"/>
      <c r="P33" s="52">
        <f>TAN(RADIANS(P32))*(P6/2)</f>
        <v>2.5399999187200022</v>
      </c>
      <c r="Q33" s="222" t="s">
        <v>131</v>
      </c>
    </row>
    <row r="34" spans="1:19" ht="15" customHeight="1">
      <c r="A34" s="183" t="s">
        <v>152</v>
      </c>
      <c r="B34" s="214"/>
      <c r="C34" s="214"/>
      <c r="D34" s="222">
        <f>IF(HomeSize="Med",VLOOKUP(Geometry!A34,Geometry!$I$5:$Q$40,4,FALSE),VLOOKUP(Geometry!A34,Geometry!$I$5:$Q$40,8,FALSE))</f>
        <v>171.07534452558892</v>
      </c>
      <c r="E34" s="222" t="s">
        <v>489</v>
      </c>
      <c r="I34" s="183" t="s">
        <v>152</v>
      </c>
      <c r="J34" s="214"/>
      <c r="K34" s="214"/>
      <c r="L34" s="213">
        <f>0.5*L9*L33</f>
        <v>309.70536508942831</v>
      </c>
      <c r="M34" s="224" t="s">
        <v>489</v>
      </c>
      <c r="N34" s="233"/>
      <c r="O34" s="233"/>
      <c r="P34" s="213">
        <f>0.5*P10*P33</f>
        <v>171.07534452558892</v>
      </c>
      <c r="Q34" s="222" t="s">
        <v>489</v>
      </c>
    </row>
    <row r="35" spans="1:19" ht="15" customHeight="1">
      <c r="A35" s="183" t="s">
        <v>153</v>
      </c>
      <c r="B35" s="214"/>
      <c r="C35" s="214"/>
      <c r="D35" s="222">
        <f>IF(HomeSize="Med",VLOOKUP(Geometry!A35,Geometry!$I$5:$Q$40,4,FALSE),VLOOKUP(Geometry!A35,Geometry!$I$5:$Q$40,8,FALSE))</f>
        <v>8.6359997236480091</v>
      </c>
      <c r="E35" s="222" t="s">
        <v>131</v>
      </c>
      <c r="I35" s="183" t="s">
        <v>153</v>
      </c>
      <c r="J35" s="214"/>
      <c r="K35" s="214"/>
      <c r="L35" s="213">
        <f>L16+L33</f>
        <v>6.5277997911104073</v>
      </c>
      <c r="M35" s="224" t="s">
        <v>131</v>
      </c>
      <c r="N35" s="233"/>
      <c r="O35" s="233"/>
      <c r="P35" s="213">
        <f>P16+P33</f>
        <v>8.6359997236480091</v>
      </c>
      <c r="Q35" s="222" t="s">
        <v>131</v>
      </c>
    </row>
    <row r="36" spans="1:19" ht="15" customHeight="1">
      <c r="A36" s="183" t="s">
        <v>154</v>
      </c>
      <c r="B36" s="214"/>
      <c r="C36" s="214"/>
      <c r="D36" s="222">
        <f>IF(HomeSize="Med",VLOOKUP(Geometry!A36,Geometry!$I$5:$Q$40,4,FALSE),VLOOKUP(Geometry!A36,Geometry!$I$5:$Q$40,8,FALSE))</f>
        <v>7.3659997642880075</v>
      </c>
      <c r="E36" s="222" t="s">
        <v>131</v>
      </c>
      <c r="I36" s="183" t="s">
        <v>154</v>
      </c>
      <c r="J36" s="214"/>
      <c r="K36" s="214"/>
      <c r="L36" s="213">
        <f>L16+(0.5*L33)</f>
        <v>4.9402998419104049</v>
      </c>
      <c r="M36" s="224" t="s">
        <v>131</v>
      </c>
      <c r="N36" s="233"/>
      <c r="O36" s="233"/>
      <c r="P36" s="213">
        <f>P16+(0.5*P33)</f>
        <v>7.3659997642880075</v>
      </c>
      <c r="Q36" s="222" t="s">
        <v>131</v>
      </c>
      <c r="R36" s="222" t="s">
        <v>501</v>
      </c>
    </row>
    <row r="37" spans="1:19" ht="15" customHeight="1">
      <c r="A37" s="183" t="s">
        <v>155</v>
      </c>
      <c r="B37" s="214"/>
      <c r="C37" s="214"/>
      <c r="D37" s="222">
        <f>IF(HomeSize="Med",VLOOKUP(Geometry!A37,Geometry!$I$5:$Q$40,4,FALSE),VLOOKUP(Geometry!A37,Geometry!$I$5:$Q$40,8,FALSE))</f>
        <v>0.3</v>
      </c>
      <c r="E37" s="222" t="s">
        <v>131</v>
      </c>
      <c r="I37" s="183" t="s">
        <v>155</v>
      </c>
      <c r="J37" s="214"/>
      <c r="K37" s="214"/>
      <c r="L37" s="224">
        <v>0.3</v>
      </c>
      <c r="M37" s="224" t="s">
        <v>131</v>
      </c>
      <c r="N37" s="233"/>
      <c r="O37" s="233"/>
      <c r="P37" s="224">
        <v>0.3</v>
      </c>
      <c r="Q37" s="222" t="s">
        <v>131</v>
      </c>
      <c r="R37" s="222" t="s">
        <v>156</v>
      </c>
      <c r="S37" s="222" t="s">
        <v>157</v>
      </c>
    </row>
    <row r="38" spans="1:19" ht="15" customHeight="1">
      <c r="A38" s="183" t="s">
        <v>158</v>
      </c>
      <c r="B38" s="214"/>
      <c r="C38" s="214"/>
      <c r="D38" s="222">
        <f>IF(HomeSize="Med",VLOOKUP(Geometry!A38,Geometry!$I$5:$Q$40,4,FALSE),VLOOKUP(Geometry!A38,Geometry!$I$5:$Q$40,8,FALSE))</f>
        <v>8.6359997236480091</v>
      </c>
      <c r="E38" s="222" t="s">
        <v>131</v>
      </c>
      <c r="I38" s="183" t="s">
        <v>158</v>
      </c>
      <c r="J38" s="214"/>
      <c r="K38" s="214"/>
      <c r="L38" s="213">
        <f>L35</f>
        <v>6.5277997911104073</v>
      </c>
      <c r="M38" s="224" t="s">
        <v>131</v>
      </c>
      <c r="N38" s="233"/>
      <c r="O38" s="233"/>
      <c r="P38" s="213">
        <f>P35</f>
        <v>8.6359997236480091</v>
      </c>
      <c r="Q38" s="222" t="s">
        <v>131</v>
      </c>
      <c r="S38" s="222" t="s">
        <v>159</v>
      </c>
    </row>
    <row r="39" spans="1:19" ht="15" customHeight="1">
      <c r="A39" s="183" t="s">
        <v>387</v>
      </c>
      <c r="B39" s="214"/>
      <c r="C39" s="214"/>
      <c r="D39" s="222">
        <f>IF(HomeSize="Med",VLOOKUP(Geometry!A39,Geometry!$I$5:$Q$40,4,FALSE),VLOOKUP(Geometry!A39,Geometry!$I$5:$Q$40,8,FALSE))</f>
        <v>0.30479999024640031</v>
      </c>
      <c r="E39" s="222" t="s">
        <v>131</v>
      </c>
      <c r="I39" s="183" t="s">
        <v>387</v>
      </c>
      <c r="J39" s="214">
        <v>1</v>
      </c>
      <c r="K39" s="214"/>
      <c r="L39" s="224">
        <f>J39/3.28084</f>
        <v>0.30479999024640031</v>
      </c>
      <c r="M39" s="224" t="s">
        <v>131</v>
      </c>
      <c r="N39" s="233">
        <v>1</v>
      </c>
      <c r="O39" s="233"/>
      <c r="P39" s="224">
        <f>N39/3.28084</f>
        <v>0.30479999024640031</v>
      </c>
      <c r="Q39" s="222" t="s">
        <v>131</v>
      </c>
    </row>
    <row r="40" spans="1:19" ht="15" customHeight="1">
      <c r="A40" s="222" t="s">
        <v>521</v>
      </c>
      <c r="C40" s="214"/>
      <c r="D40" s="222">
        <f>IF(HomeSize="Med",VLOOKUP(Geometry!A40,Geometry!$I$5:$Q$40,4,FALSE),VLOOKUP(Geometry!A40,Geometry!$I$5:$Q$40,8,FALSE))</f>
        <v>170.031718482922</v>
      </c>
      <c r="E40" s="222" t="s">
        <v>487</v>
      </c>
      <c r="I40" s="222" t="s">
        <v>521</v>
      </c>
      <c r="K40" s="214"/>
      <c r="L40" s="223">
        <f>(((L7/2+L39)^2+(L33^2))^0.5)*(L6+2*L39)*2</f>
        <v>252.78550423366531</v>
      </c>
      <c r="M40" s="222" t="s">
        <v>487</v>
      </c>
      <c r="O40" s="214"/>
      <c r="P40" s="223">
        <f>(((P7/2+P39)^2+(P33^2))^0.5)*(P6+2*P39)*2</f>
        <v>170.031718482922</v>
      </c>
      <c r="Q40" s="222" t="s">
        <v>487</v>
      </c>
      <c r="R40" s="222" t="s">
        <v>520</v>
      </c>
      <c r="S40" s="222" t="s">
        <v>388</v>
      </c>
    </row>
    <row r="42" spans="1:19" ht="15" customHeight="1">
      <c r="A42" s="21" t="s">
        <v>1345</v>
      </c>
      <c r="D42" s="21" t="s">
        <v>1346</v>
      </c>
      <c r="E42" s="21"/>
      <c r="F42" s="486" t="s">
        <v>1347</v>
      </c>
      <c r="L42" s="223"/>
    </row>
    <row r="43" spans="1:19" ht="15" customHeight="1">
      <c r="A43" s="214" t="s">
        <v>938</v>
      </c>
      <c r="D43" s="222">
        <f>L_houseSI/(2*L_houseSI+2*W_houseSI)</f>
        <v>0.31645569620253167</v>
      </c>
      <c r="F43" s="222" t="s">
        <v>1348</v>
      </c>
    </row>
    <row r="44" spans="1:19" ht="15" customHeight="1">
      <c r="A44" s="214" t="s">
        <v>939</v>
      </c>
      <c r="D44" s="222">
        <f>L_houseSI/(2*L_houseSI+2*W_houseSI)</f>
        <v>0.31645569620253167</v>
      </c>
      <c r="F44" s="222" t="s">
        <v>1349</v>
      </c>
    </row>
    <row r="45" spans="1:19" ht="15" customHeight="1">
      <c r="A45" s="214" t="s">
        <v>940</v>
      </c>
      <c r="D45" s="222">
        <f>W_houseSI/(2*L_houseSI+2*W_houseSI)</f>
        <v>0.18354430379746839</v>
      </c>
      <c r="F45" s="222" t="s">
        <v>1350</v>
      </c>
    </row>
    <row r="46" spans="1:19" ht="15" customHeight="1">
      <c r="A46" s="305" t="s">
        <v>941</v>
      </c>
      <c r="D46" s="222">
        <f>W_houseSI/(2*L_houseSI+2*W_houseSI)</f>
        <v>0.18354430379746839</v>
      </c>
      <c r="F46" s="222" t="s">
        <v>1351</v>
      </c>
    </row>
    <row r="51" spans="1:17" ht="15" customHeight="1">
      <c r="N51" s="461"/>
      <c r="O51" s="461"/>
      <c r="P51" s="461"/>
      <c r="Q51" s="461"/>
    </row>
    <row r="52" spans="1:17" ht="15" customHeight="1">
      <c r="N52" s="224"/>
      <c r="O52" s="224"/>
      <c r="P52" s="224"/>
      <c r="Q52" s="224"/>
    </row>
    <row r="53" spans="1:17" ht="15" customHeight="1">
      <c r="N53" s="224"/>
      <c r="O53" s="224"/>
      <c r="P53" s="224"/>
      <c r="Q53" s="224"/>
    </row>
    <row r="58" spans="1:17" ht="15" customHeight="1">
      <c r="A58" s="222" t="s">
        <v>490</v>
      </c>
      <c r="D58" s="222">
        <f>W_houseSI/(W_houseSI+L_houseSI)</f>
        <v>0.36708860759493678</v>
      </c>
      <c r="I58" s="222" t="s">
        <v>490</v>
      </c>
      <c r="L58" s="222">
        <f>W_houseSI/(W_houseSI+L_houseSI)</f>
        <v>0.36708860759493678</v>
      </c>
    </row>
    <row r="59" spans="1:17" ht="15" customHeight="1">
      <c r="A59" s="222" t="s">
        <v>394</v>
      </c>
      <c r="I59" s="222" t="s">
        <v>394</v>
      </c>
    </row>
    <row r="61" spans="1:17" ht="15" customHeight="1">
      <c r="A61" s="112" t="s">
        <v>124</v>
      </c>
      <c r="I61" s="112" t="s">
        <v>124</v>
      </c>
    </row>
    <row r="64" spans="1:17" ht="15" customHeight="1">
      <c r="A64" s="74"/>
      <c r="B64" s="91" t="s">
        <v>126</v>
      </c>
      <c r="C64" s="91" t="s">
        <v>127</v>
      </c>
      <c r="D64" s="91" t="s">
        <v>128</v>
      </c>
      <c r="E64" s="91" t="s">
        <v>127</v>
      </c>
      <c r="I64" s="74"/>
      <c r="J64" s="91" t="s">
        <v>126</v>
      </c>
      <c r="K64" s="91" t="s">
        <v>127</v>
      </c>
      <c r="L64" s="91" t="s">
        <v>128</v>
      </c>
      <c r="M64" s="91" t="s">
        <v>127</v>
      </c>
    </row>
    <row r="65" spans="1:13" ht="15" customHeight="1">
      <c r="A65" s="116" t="s">
        <v>410</v>
      </c>
      <c r="B65" s="224">
        <v>200</v>
      </c>
      <c r="C65" s="224" t="s">
        <v>134</v>
      </c>
      <c r="D65" s="213">
        <f>B65*0.3048^2</f>
        <v>18.580608000000002</v>
      </c>
      <c r="E65" s="224" t="s">
        <v>487</v>
      </c>
      <c r="I65" s="116" t="s">
        <v>410</v>
      </c>
      <c r="J65" s="224">
        <v>200</v>
      </c>
      <c r="K65" s="224" t="s">
        <v>134</v>
      </c>
      <c r="L65" s="213">
        <f>J65*0.3048^2</f>
        <v>18.580608000000002</v>
      </c>
      <c r="M65" s="224" t="s">
        <v>487</v>
      </c>
    </row>
    <row r="66" spans="1:13" ht="15" customHeight="1">
      <c r="A66" s="116" t="s">
        <v>411</v>
      </c>
      <c r="B66" s="224">
        <v>240</v>
      </c>
      <c r="C66" s="224" t="s">
        <v>134</v>
      </c>
      <c r="D66" s="213">
        <f>B66*0.3048^2</f>
        <v>22.296729600000003</v>
      </c>
      <c r="E66" s="224" t="s">
        <v>487</v>
      </c>
      <c r="I66" s="116" t="s">
        <v>411</v>
      </c>
      <c r="J66" s="224">
        <v>240</v>
      </c>
      <c r="K66" s="224" t="s">
        <v>134</v>
      </c>
      <c r="L66" s="213">
        <f>J66*0.3048^2</f>
        <v>22.296729600000003</v>
      </c>
      <c r="M66" s="224" t="s">
        <v>487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98"/>
  <sheetViews>
    <sheetView zoomScale="85" zoomScaleNormal="85" zoomScalePageLayoutView="85" workbookViewId="0">
      <selection activeCell="A8" sqref="A8"/>
    </sheetView>
  </sheetViews>
  <sheetFormatPr baseColWidth="10" defaultColWidth="8.6640625" defaultRowHeight="15" customHeight="1" x14ac:dyDescent="0"/>
  <cols>
    <col min="1" max="1" width="22.6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22" ht="15" customHeight="1">
      <c r="A1" s="21" t="s">
        <v>337</v>
      </c>
      <c r="S1" s="1" t="s">
        <v>1468</v>
      </c>
    </row>
    <row r="2" spans="1:22" ht="15" customHeight="1">
      <c r="A2" s="255" t="s">
        <v>564</v>
      </c>
      <c r="B2" s="214">
        <v>1</v>
      </c>
      <c r="C2" s="214">
        <v>2</v>
      </c>
      <c r="D2" s="214">
        <v>3</v>
      </c>
      <c r="E2" s="214">
        <v>4</v>
      </c>
      <c r="F2" s="214">
        <v>5</v>
      </c>
      <c r="G2" s="214">
        <v>6</v>
      </c>
      <c r="H2" s="214">
        <v>7</v>
      </c>
      <c r="I2" s="214">
        <v>8</v>
      </c>
      <c r="J2" s="214">
        <v>9</v>
      </c>
      <c r="K2" s="214">
        <v>10</v>
      </c>
      <c r="L2" s="214">
        <v>11</v>
      </c>
      <c r="M2" s="214">
        <v>12</v>
      </c>
      <c r="N2" s="214">
        <v>13</v>
      </c>
      <c r="O2" s="214">
        <v>14</v>
      </c>
      <c r="P2" s="214">
        <v>15</v>
      </c>
      <c r="Q2" s="214">
        <v>16</v>
      </c>
      <c r="T2" s="1" t="s">
        <v>793</v>
      </c>
      <c r="U2" s="1" t="s">
        <v>792</v>
      </c>
      <c r="V2" s="1" t="s">
        <v>794</v>
      </c>
    </row>
    <row r="3" spans="1:22" ht="15" customHeight="1">
      <c r="A3" s="1" t="s">
        <v>769</v>
      </c>
      <c r="B3" s="1">
        <f t="shared" ref="B3:Q3" si="0">Airtightness</f>
        <v>5</v>
      </c>
      <c r="C3" s="1">
        <f t="shared" si="0"/>
        <v>5</v>
      </c>
      <c r="D3" s="1">
        <f t="shared" si="0"/>
        <v>5</v>
      </c>
      <c r="E3" s="1">
        <f t="shared" si="0"/>
        <v>5</v>
      </c>
      <c r="F3" s="1">
        <f t="shared" si="0"/>
        <v>5</v>
      </c>
      <c r="G3" s="1">
        <f t="shared" si="0"/>
        <v>5</v>
      </c>
      <c r="H3" s="1">
        <f t="shared" si="0"/>
        <v>5</v>
      </c>
      <c r="I3" s="1">
        <f t="shared" si="0"/>
        <v>5</v>
      </c>
      <c r="J3" s="1">
        <f t="shared" si="0"/>
        <v>5</v>
      </c>
      <c r="K3" s="1">
        <f t="shared" si="0"/>
        <v>5</v>
      </c>
      <c r="L3" s="1">
        <f t="shared" si="0"/>
        <v>5</v>
      </c>
      <c r="M3" s="1">
        <f t="shared" si="0"/>
        <v>5</v>
      </c>
      <c r="N3" s="1">
        <f t="shared" si="0"/>
        <v>5</v>
      </c>
      <c r="O3" s="1">
        <f t="shared" si="0"/>
        <v>5</v>
      </c>
      <c r="P3" s="1">
        <f t="shared" si="0"/>
        <v>5</v>
      </c>
      <c r="Q3" s="1">
        <f t="shared" si="0"/>
        <v>5</v>
      </c>
      <c r="S3" s="1" t="s">
        <v>769</v>
      </c>
      <c r="T3" s="1">
        <v>1</v>
      </c>
      <c r="U3" s="1">
        <v>3</v>
      </c>
      <c r="V3" s="1">
        <v>5</v>
      </c>
    </row>
    <row r="4" spans="1:22" ht="15" customHeight="1">
      <c r="A4" s="1" t="s">
        <v>785</v>
      </c>
      <c r="B4" s="1">
        <f>(B3*IF(AtticType="Sealed", SUM(V_houseSI, V_atticSI), V_houseSI)/3600)/((2*4/1.2)^0.5*(50/4)^n)</f>
        <v>8.915353620994057E-2</v>
      </c>
      <c r="C4" s="1">
        <f>(C3*IF(AtticType="Sealed", SUM(V_houseSI, V_atticSI), V_houseSI)/3600)/((2*4/1.2)^0.5*(50/4)^n)</f>
        <v>8.915353620994057E-2</v>
      </c>
      <c r="D4" s="1">
        <f>(D3*IF(AtticType="Sealed", SUM(V_houseSI, V_atticSI), V_houseSI)/3600)/((2*4/1.2)^0.5*(50/4)^n)</f>
        <v>8.915353620994057E-2</v>
      </c>
      <c r="E4" s="1">
        <f>(E3*IF(AtticType="Sealed", SUM(V_houseSI, V_atticSI), V_houseSI)/3600)/((2*4/1.2)^0.5*(50/4)^n)</f>
        <v>8.915353620994057E-2</v>
      </c>
      <c r="F4" s="1">
        <f>(F3*IF(AtticType="Sealed", SUM(V_houseSI, V_atticSI), V_houseSI)/3600)/((2*4/1.2)^0.5*(50/4)^n)</f>
        <v>8.915353620994057E-2</v>
      </c>
      <c r="G4" s="1">
        <f>(G3*IF(AtticType="Sealed", SUM(V_houseSI, V_atticSI), V_houseSI)/3600)/((2*4/1.2)^0.5*(50/4)^n)</f>
        <v>8.915353620994057E-2</v>
      </c>
      <c r="H4" s="1">
        <f>(H3*IF(AtticType="Sealed", SUM(V_houseSI, V_atticSI), V_houseSI)/3600)/((2*4/1.2)^0.5*(50/4)^n)</f>
        <v>8.915353620994057E-2</v>
      </c>
      <c r="I4" s="1">
        <f>(I3*IF(AtticType="Sealed", SUM(V_houseSI, V_atticSI), V_houseSI)/3600)/((2*4/1.2)^0.5*(50/4)^n)</f>
        <v>8.915353620994057E-2</v>
      </c>
      <c r="J4" s="1">
        <f>(J3*IF(AtticType="Sealed", SUM(V_houseSI, V_atticSI), V_houseSI)/3600)/((2*4/1.2)^0.5*(50/4)^n)</f>
        <v>8.915353620994057E-2</v>
      </c>
      <c r="K4" s="1">
        <f>(K3*IF(AtticType="Sealed", SUM(V_houseSI, V_atticSI), V_houseSI)/3600)/((2*4/1.2)^0.5*(50/4)^n)</f>
        <v>8.915353620994057E-2</v>
      </c>
      <c r="L4" s="1">
        <f>(L3*IF(AtticType="Sealed", SUM(V_houseSI, V_atticSI), V_houseSI)/3600)/((2*4/1.2)^0.5*(50/4)^n)</f>
        <v>8.915353620994057E-2</v>
      </c>
      <c r="M4" s="1">
        <f>(M3*IF(AtticType="Sealed", SUM(V_houseSI, V_atticSI), V_houseSI)/3600)/((2*4/1.2)^0.5*(50/4)^n)</f>
        <v>8.915353620994057E-2</v>
      </c>
      <c r="N4" s="1">
        <f>(N3*IF(AtticType="Sealed", SUM(V_houseSI, V_atticSI), V_houseSI)/3600)/((2*4/1.2)^0.5*(50/4)^n)</f>
        <v>8.915353620994057E-2</v>
      </c>
      <c r="O4" s="1">
        <f>(O3*IF(AtticType="Sealed", SUM(V_houseSI, V_atticSI), V_houseSI)/3600)/((2*4/1.2)^0.5*(50/4)^n)</f>
        <v>8.915353620994057E-2</v>
      </c>
      <c r="P4" s="1">
        <f>(P3*IF(AtticType="Sealed", SUM(V_houseSI, V_atticSI), V_houseSI)/3600)/((2*4/1.2)^0.5*(50/4)^n)</f>
        <v>8.915353620994057E-2</v>
      </c>
      <c r="Q4" s="1">
        <f>(Q3*IF(AtticType="Sealed", SUM(V_houseSI, V_atticSI), V_houseSI)/3600)/((2*4/1.2)^0.5*(50/4)^n)</f>
        <v>8.915353620994057E-2</v>
      </c>
      <c r="S4" s="1" t="s">
        <v>785</v>
      </c>
      <c r="T4" s="1">
        <f>(T3*V_houseSI/3600)/((2*4/1.2)^0.5*(50/4)^n)</f>
        <v>1.4442259100763445E-2</v>
      </c>
      <c r="U4" s="1">
        <f>(U3*V_houseSI/3600)/((2*4/1.2)^0.5*(50/4)^n)</f>
        <v>4.3326777302290342E-2</v>
      </c>
      <c r="V4" s="1">
        <f>(V3*V_houseSI/3600)/((2*4/1.2)^0.5*(50/4)^n)</f>
        <v>7.2211295503817233E-2</v>
      </c>
    </row>
    <row r="5" spans="1:22" ht="15" customHeight="1">
      <c r="A5" s="1" t="s">
        <v>786</v>
      </c>
      <c r="B5" s="364">
        <f>B4/(SQRT(1.2/2)*4^(n-0.5))</f>
        <v>9.0931163922423452E-2</v>
      </c>
      <c r="C5" s="364">
        <f t="shared" ref="C5:P5" si="1">C4/(SQRT(1.2/2)*4^(n-0.5))</f>
        <v>9.0931163922423452E-2</v>
      </c>
      <c r="D5" s="364">
        <f t="shared" si="1"/>
        <v>9.0931163922423452E-2</v>
      </c>
      <c r="E5" s="364">
        <f t="shared" si="1"/>
        <v>9.0931163922423452E-2</v>
      </c>
      <c r="F5" s="364">
        <f t="shared" si="1"/>
        <v>9.0931163922423452E-2</v>
      </c>
      <c r="G5" s="364">
        <f t="shared" si="1"/>
        <v>9.0931163922423452E-2</v>
      </c>
      <c r="H5" s="364">
        <f t="shared" si="1"/>
        <v>9.0931163922423452E-2</v>
      </c>
      <c r="I5" s="364">
        <f t="shared" si="1"/>
        <v>9.0931163922423452E-2</v>
      </c>
      <c r="J5" s="364">
        <f t="shared" si="1"/>
        <v>9.0931163922423452E-2</v>
      </c>
      <c r="K5" s="364">
        <f t="shared" si="1"/>
        <v>9.0931163922423452E-2</v>
      </c>
      <c r="L5" s="364">
        <f t="shared" si="1"/>
        <v>9.0931163922423452E-2</v>
      </c>
      <c r="M5" s="364">
        <f t="shared" si="1"/>
        <v>9.0931163922423452E-2</v>
      </c>
      <c r="N5" s="364">
        <f t="shared" si="1"/>
        <v>9.0931163922423452E-2</v>
      </c>
      <c r="O5" s="364">
        <f t="shared" si="1"/>
        <v>9.0931163922423452E-2</v>
      </c>
      <c r="P5" s="364">
        <f t="shared" si="1"/>
        <v>9.0931163922423452E-2</v>
      </c>
      <c r="Q5" s="364">
        <f>Q4/(SQRT(1.2/2)*4^(n-0.5))</f>
        <v>9.0931163922423452E-2</v>
      </c>
      <c r="S5" s="1" t="s">
        <v>786</v>
      </c>
      <c r="T5" s="1">
        <f>T4/(SQRT(1.2/2)*4^(n-0.5))</f>
        <v>1.4730222552352398E-2</v>
      </c>
      <c r="U5" s="1">
        <f>U4/(SQRT(1.2/2)*4^(n-0.5))</f>
        <v>4.4190667657057203E-2</v>
      </c>
      <c r="V5" s="1">
        <f>V4/(SQRT(1.2/2)*4^(n-0.5))</f>
        <v>7.3651112761761992E-2</v>
      </c>
    </row>
    <row r="6" spans="1:22" ht="15" customHeight="1">
      <c r="A6" s="1" t="s">
        <v>8</v>
      </c>
      <c r="B6" s="364">
        <v>0.67</v>
      </c>
      <c r="C6" s="364">
        <f t="shared" ref="C6:P6" si="2">n</f>
        <v>0.67</v>
      </c>
      <c r="D6" s="364">
        <f t="shared" si="2"/>
        <v>0.67</v>
      </c>
      <c r="E6" s="364">
        <f t="shared" si="2"/>
        <v>0.67</v>
      </c>
      <c r="F6" s="364">
        <f t="shared" si="2"/>
        <v>0.67</v>
      </c>
      <c r="G6" s="364">
        <f t="shared" si="2"/>
        <v>0.67</v>
      </c>
      <c r="H6" s="364">
        <f t="shared" si="2"/>
        <v>0.67</v>
      </c>
      <c r="I6" s="364">
        <f t="shared" si="2"/>
        <v>0.67</v>
      </c>
      <c r="J6" s="364">
        <f t="shared" si="2"/>
        <v>0.67</v>
      </c>
      <c r="K6" s="364">
        <f t="shared" si="2"/>
        <v>0.67</v>
      </c>
      <c r="L6" s="364">
        <f t="shared" si="2"/>
        <v>0.67</v>
      </c>
      <c r="M6" s="377">
        <f t="shared" si="2"/>
        <v>0.67</v>
      </c>
      <c r="N6" s="364">
        <f t="shared" si="2"/>
        <v>0.67</v>
      </c>
      <c r="O6" s="364">
        <f t="shared" si="2"/>
        <v>0.67</v>
      </c>
      <c r="P6" s="364">
        <f t="shared" si="2"/>
        <v>0.67</v>
      </c>
      <c r="Q6" s="364">
        <f>n</f>
        <v>0.67</v>
      </c>
      <c r="S6" s="1" t="s">
        <v>1466</v>
      </c>
      <c r="T6" s="1">
        <f>0.5*T4</f>
        <v>7.2211295503817226E-3</v>
      </c>
      <c r="U6" s="1">
        <f>0.5*U4</f>
        <v>2.1663388651145171E-2</v>
      </c>
      <c r="V6" s="1">
        <f>0.5*V4</f>
        <v>3.6105647751908616E-2</v>
      </c>
    </row>
    <row r="7" spans="1:22" ht="15" customHeight="1">
      <c r="A7" s="1" t="s">
        <v>766</v>
      </c>
      <c r="B7" s="526">
        <f>1000*((B3*V_houseSI/3600)/((2*4/1.2)^0.5*(50/4)^n)/A_houseSI)*((H_soffitSI-H_ground)/2.5)^0.4</f>
        <v>0.40286271457421147</v>
      </c>
      <c r="C7" s="526">
        <f>1000*((C3*V_houseSI/3600)/((2*4/1.2)^0.5*(50/4)^n)/A_houseSI)*((H_soffitSI-H_ground)/2.5)^0.4</f>
        <v>0.40286271457421147</v>
      </c>
      <c r="D7" s="526">
        <f>1000*((D3*V_houseSI/3600)/((2*4/1.2)^0.5*(50/4)^n)/A_houseSI)*((H_soffitSI-H_ground)/2.5)^0.4</f>
        <v>0.40286271457421147</v>
      </c>
      <c r="E7" s="526">
        <f>1000*((E3*V_houseSI/3600)/((2*4/1.2)^0.5*(50/4)^n)/A_houseSI)*((H_soffitSI-H_ground)/2.5)^0.4</f>
        <v>0.40286271457421147</v>
      </c>
      <c r="F7" s="526">
        <f>1000*((F3*V_houseSI/3600)/((2*4/1.2)^0.5*(50/4)^n)/A_houseSI)*((H_soffitSI-H_ground)/2.5)^0.4</f>
        <v>0.40286271457421147</v>
      </c>
      <c r="G7" s="526">
        <f>1000*((G3*V_houseSI/3600)/((2*4/1.2)^0.5*(50/4)^n)/A_houseSI)*((H_soffitSI-H_ground)/2.5)^0.4</f>
        <v>0.40286271457421147</v>
      </c>
      <c r="H7" s="526">
        <f>1000*((H3*V_houseSI/3600)/((2*4/1.2)^0.5*(50/4)^n)/A_houseSI)*((H_soffitSI-H_ground)/2.5)^0.4</f>
        <v>0.40286271457421147</v>
      </c>
      <c r="I7" s="526">
        <f>1000*((I3*V_houseSI/3600)/((2*4/1.2)^0.5*(50/4)^n)/A_houseSI)*((H_soffitSI-H_ground)/2.5)^0.4</f>
        <v>0.40286271457421147</v>
      </c>
      <c r="J7" s="526">
        <f>1000*((J3*V_houseSI/3600)/((2*4/1.2)^0.5*(50/4)^n)/A_houseSI)*((H_soffitSI-H_ground)/2.5)^0.4</f>
        <v>0.40286271457421147</v>
      </c>
      <c r="K7" s="526">
        <f>1000*((K3*V_houseSI/3600)/((2*4/1.2)^0.5*(50/4)^n)/A_houseSI)*((H_soffitSI-H_ground)/2.5)^0.4</f>
        <v>0.40286271457421147</v>
      </c>
      <c r="L7" s="526">
        <f>1000*((L3*V_houseSI/3600)/((2*4/1.2)^0.5*(50/4)^n)/A_houseSI)*((H_soffitSI-H_ground)/2.5)^0.4</f>
        <v>0.40286271457421147</v>
      </c>
      <c r="M7" s="526">
        <f>1000*((M3*V_houseSI/3600)/((2*4/1.2)^0.5*(50/4)^n)/A_houseSI)*((H_soffitSI-H_ground)/2.5)^0.4</f>
        <v>0.40286271457421147</v>
      </c>
      <c r="N7" s="526">
        <f>1000*((N3*V_houseSI/3600)/((2*4/1.2)^0.5*(50/4)^n)/A_houseSI)*((H_soffitSI-H_ground)/2.5)^0.4</f>
        <v>0.40286271457421147</v>
      </c>
      <c r="O7" s="526">
        <f>1000*((O3*V_houseSI/3600)/((2*4/1.2)^0.5*(50/4)^n)/A_houseSI)*((H_soffitSI-H_ground)/2.5)^0.4</f>
        <v>0.40286271457421147</v>
      </c>
      <c r="P7" s="526">
        <f>1000*((P3*V_houseSI/3600)/((2*4/1.2)^0.5*(50/4)^n)/A_houseSI)*((H_soffitSI-H_ground)/2.5)^0.4</f>
        <v>0.40286271457421147</v>
      </c>
      <c r="Q7" s="526">
        <f>1000*((Q3*V_houseSI/3600)/((2*4/1.2)^0.5*(50/4)^n)/A_houseSI)*((H_soffitSI-H_ground)/2.5)^0.4</f>
        <v>0.40286271457421147</v>
      </c>
    </row>
    <row r="8" spans="1:22" ht="15" customHeight="1">
      <c r="T8" s="1">
        <v>72</v>
      </c>
      <c r="U8" s="1">
        <v>216</v>
      </c>
      <c r="V8" s="1">
        <v>361</v>
      </c>
    </row>
    <row r="9" spans="1:22" ht="15" customHeight="1">
      <c r="A9" s="21" t="s">
        <v>1464</v>
      </c>
      <c r="G9" s="21"/>
      <c r="H9" s="21"/>
      <c r="U9" s="1">
        <f>U8-T8</f>
        <v>144</v>
      </c>
      <c r="V9" s="1">
        <f>V8-U8</f>
        <v>145</v>
      </c>
    </row>
    <row r="10" spans="1:22" ht="15" customHeight="1">
      <c r="A10" s="1" t="s">
        <v>1459</v>
      </c>
      <c r="B10" s="1">
        <f>IF(Crawl=0,SUM(Geometry!D27+Geometry!D12+A_roofdeckSI), SUM(Geometry!D27+A_1st_floor+A_roofdeckSI))</f>
        <v>421.04751848292199</v>
      </c>
      <c r="C10" s="1" t="s">
        <v>135</v>
      </c>
      <c r="D10" s="1" t="s">
        <v>1463</v>
      </c>
    </row>
    <row r="11" spans="1:22" ht="15" customHeight="1">
      <c r="A11" s="1" t="s">
        <v>1461</v>
      </c>
      <c r="B11" s="1">
        <f>A_roofdeckSI/B10</f>
        <v>0.40383023535102158</v>
      </c>
    </row>
    <row r="12" spans="1:22" ht="15" customHeight="1">
      <c r="A12" s="1" t="s">
        <v>1462</v>
      </c>
      <c r="B12" s="1">
        <f>1-B11</f>
        <v>0.59616976464897842</v>
      </c>
    </row>
    <row r="13" spans="1:22" ht="15" customHeight="1">
      <c r="G13" s="21"/>
      <c r="H13" s="363"/>
    </row>
    <row r="14" spans="1:22" ht="15" customHeight="1">
      <c r="A14" s="1" t="s">
        <v>1467</v>
      </c>
      <c r="B14" s="1">
        <f>IF(AtticType="Sealed", IF(CeilingLeakage="Low", T6, IF(CeilingLeakage="Med",U6,V6)), 0.5*B4)</f>
        <v>3.6105647751908616E-2</v>
      </c>
      <c r="C14" s="1" t="s">
        <v>135</v>
      </c>
      <c r="G14" s="21"/>
      <c r="H14" s="363"/>
    </row>
    <row r="15" spans="1:22" ht="15" customHeight="1">
      <c r="G15" s="21"/>
      <c r="H15" s="363"/>
    </row>
    <row r="16" spans="1:22" ht="15" customHeight="1">
      <c r="A16" s="21" t="s">
        <v>532</v>
      </c>
    </row>
    <row r="17" spans="1:17" ht="15" customHeight="1">
      <c r="A17" s="1" t="s">
        <v>785</v>
      </c>
      <c r="B17" s="1">
        <f>IF(AtticType="Sealed", (1-IF(AtticType="Sealed",AtticAirtightness,0))*B4+$B$14, B4)</f>
        <v>0.10742847671986108</v>
      </c>
      <c r="C17" s="1">
        <f>IF(AtticType="Sealed", (1-IF(AtticType="Sealed",AtticAirtightness,0))*C4+$B$14, C4)</f>
        <v>0.10742847671986108</v>
      </c>
      <c r="D17" s="1">
        <f>IF(AtticType="Sealed", (1-IF(AtticType="Sealed",AtticAirtightness,0))*D4+$B$14, D4)</f>
        <v>0.10742847671986108</v>
      </c>
      <c r="E17" s="1">
        <f>IF(AtticType="Sealed", (1-IF(AtticType="Sealed",AtticAirtightness,0))*E4+$B$14, E4)</f>
        <v>0.10742847671986108</v>
      </c>
      <c r="F17" s="1">
        <f>IF(AtticType="Sealed", (1-IF(AtticType="Sealed",AtticAirtightness,0))*F4+$B$14, F4)</f>
        <v>0.10742847671986108</v>
      </c>
      <c r="G17" s="1">
        <f>IF(AtticType="Sealed", (1-IF(AtticType="Sealed",AtticAirtightness,0))*G4+$B$14, G4)</f>
        <v>0.10742847671986108</v>
      </c>
      <c r="H17" s="1">
        <f>IF(AtticType="Sealed", (1-IF(AtticType="Sealed",AtticAirtightness,0))*H4+$B$14, H4)</f>
        <v>0.10742847671986108</v>
      </c>
      <c r="I17" s="1">
        <f>IF(AtticType="Sealed", (1-IF(AtticType="Sealed",AtticAirtightness,0))*I4+$B$14, I4)</f>
        <v>0.10742847671986108</v>
      </c>
      <c r="J17" s="1">
        <f>IF(AtticType="Sealed", (1-IF(AtticType="Sealed",AtticAirtightness,0))*J4+$B$14, J4)</f>
        <v>0.10742847671986108</v>
      </c>
      <c r="K17" s="1">
        <f>IF(AtticType="Sealed", (1-IF(AtticType="Sealed",AtticAirtightness,0))*K4+$B$14, K4)</f>
        <v>0.10742847671986108</v>
      </c>
      <c r="L17" s="1">
        <f>IF(AtticType="Sealed", (1-IF(AtticType="Sealed",AtticAirtightness,0))*L4+$B$14, L4)</f>
        <v>0.10742847671986108</v>
      </c>
      <c r="M17" s="1">
        <f>IF(AtticType="Sealed", (1-IF(AtticType="Sealed",AtticAirtightness,0))*M4+$B$14, M4)</f>
        <v>0.10742847671986108</v>
      </c>
      <c r="N17" s="1">
        <f>IF(AtticType="Sealed", (1-IF(AtticType="Sealed",AtticAirtightness,0))*N4+$B$14, N4)</f>
        <v>0.10742847671986108</v>
      </c>
      <c r="O17" s="1">
        <f>IF(AtticType="Sealed", (1-IF(AtticType="Sealed",AtticAirtightness,0))*O4+$B$14, O4)</f>
        <v>0.10742847671986108</v>
      </c>
      <c r="P17" s="1">
        <f>IF(AtticType="Sealed", (1-IF(AtticType="Sealed",AtticAirtightness,0))*P4+$B$14, P4)</f>
        <v>0.10742847671986108</v>
      </c>
      <c r="Q17" s="1">
        <f>IF(AtticType="Sealed", (1-IF(AtticType="Sealed",AtticAirtightness,0))*Q4+$B$14, Q4)</f>
        <v>0.10742847671986108</v>
      </c>
    </row>
    <row r="18" spans="1:17" ht="15" customHeight="1">
      <c r="A18" s="1" t="s">
        <v>786</v>
      </c>
      <c r="B18" s="1">
        <f>B17/(SQRT(1.2/2)*4^(n-0.5))</f>
        <v>0.10957048751881977</v>
      </c>
      <c r="C18" s="1">
        <f>C17/(SQRT(1.2/2)*4^(n-0.5))</f>
        <v>0.10957048751881977</v>
      </c>
      <c r="D18" s="1">
        <f>D17/(SQRT(1.2/2)*4^(n-0.5))</f>
        <v>0.10957048751881977</v>
      </c>
      <c r="E18" s="1">
        <f>E17/(SQRT(1.2/2)*4^(n-0.5))</f>
        <v>0.10957048751881977</v>
      </c>
      <c r="F18" s="1">
        <f>F17/(SQRT(1.2/2)*4^(n-0.5))</f>
        <v>0.10957048751881977</v>
      </c>
      <c r="G18" s="1">
        <f>G17/(SQRT(1.2/2)*4^(n-0.5))</f>
        <v>0.10957048751881977</v>
      </c>
      <c r="H18" s="1">
        <f>H17/(SQRT(1.2/2)*4^(n-0.5))</f>
        <v>0.10957048751881977</v>
      </c>
      <c r="I18" s="1">
        <f>I17/(SQRT(1.2/2)*4^(n-0.5))</f>
        <v>0.10957048751881977</v>
      </c>
      <c r="J18" s="1">
        <f>J17/(SQRT(1.2/2)*4^(n-0.5))</f>
        <v>0.10957048751881977</v>
      </c>
      <c r="K18" s="1">
        <f>K17/(SQRT(1.2/2)*4^(n-0.5))</f>
        <v>0.10957048751881977</v>
      </c>
      <c r="L18" s="1">
        <f>L17/(SQRT(1.2/2)*4^(n-0.5))</f>
        <v>0.10957048751881977</v>
      </c>
      <c r="M18" s="1">
        <f>M17/(SQRT(1.2/2)*4^(n-0.5))</f>
        <v>0.10957048751881977</v>
      </c>
      <c r="N18" s="1">
        <f>N17/(SQRT(1.2/2)*4^(n-0.5))</f>
        <v>0.10957048751881977</v>
      </c>
      <c r="O18" s="1">
        <f>O17/(SQRT(1.2/2)*4^(n-0.5))</f>
        <v>0.10957048751881977</v>
      </c>
      <c r="P18" s="1">
        <f>P17/(SQRT(1.2/2)*4^(n-0.5))</f>
        <v>0.10957048751881977</v>
      </c>
      <c r="Q18" s="1">
        <f>Q17/(SQRT(1.2/2)*4^(n-0.5))</f>
        <v>0.10957048751881977</v>
      </c>
    </row>
    <row r="20" spans="1:17" ht="15" customHeight="1">
      <c r="A20" s="21" t="s">
        <v>72</v>
      </c>
    </row>
    <row r="21" spans="1:17" ht="15" customHeight="1">
      <c r="A21" s="524" t="s">
        <v>785</v>
      </c>
      <c r="B21" s="1">
        <f>IF(AtticType="Sealed", AtticAirtightness*B4,0)</f>
        <v>1.7830707241988115E-2</v>
      </c>
      <c r="C21" s="1">
        <f>IF(AtticType="Sealed", AtticAirtightness*C4,0)</f>
        <v>1.7830707241988115E-2</v>
      </c>
      <c r="D21" s="1">
        <f>IF(AtticType="Sealed", AtticAirtightness*D4,0)</f>
        <v>1.7830707241988115E-2</v>
      </c>
      <c r="E21" s="1">
        <f>IF(AtticType="Sealed", AtticAirtightness*E4,0)</f>
        <v>1.7830707241988115E-2</v>
      </c>
      <c r="F21" s="1">
        <f>IF(AtticType="Sealed", AtticAirtightness*F4,0)</f>
        <v>1.7830707241988115E-2</v>
      </c>
      <c r="G21" s="1">
        <f>IF(AtticType="Sealed", AtticAirtightness*G4,0)</f>
        <v>1.7830707241988115E-2</v>
      </c>
      <c r="H21" s="1">
        <f>IF(AtticType="Sealed", AtticAirtightness*H4,0)</f>
        <v>1.7830707241988115E-2</v>
      </c>
      <c r="I21" s="1">
        <f>IF(AtticType="Sealed", AtticAirtightness*I4,0)</f>
        <v>1.7830707241988115E-2</v>
      </c>
      <c r="J21" s="1">
        <f>IF(AtticType="Sealed", AtticAirtightness*J4,0)</f>
        <v>1.7830707241988115E-2</v>
      </c>
      <c r="K21" s="1">
        <f>IF(AtticType="Sealed", AtticAirtightness*K4,0)</f>
        <v>1.7830707241988115E-2</v>
      </c>
      <c r="L21" s="1">
        <f>IF(AtticType="Sealed", AtticAirtightness*L4,0)</f>
        <v>1.7830707241988115E-2</v>
      </c>
      <c r="M21" s="1">
        <f>IF(AtticType="Sealed", AtticAirtightness*M4,0)</f>
        <v>1.7830707241988115E-2</v>
      </c>
      <c r="N21" s="1">
        <f>IF(AtticType="Sealed", AtticAirtightness*N4,0)</f>
        <v>1.7830707241988115E-2</v>
      </c>
      <c r="O21" s="1">
        <f>IF(AtticType="Sealed", AtticAirtightness*O4,0)</f>
        <v>1.7830707241988115E-2</v>
      </c>
      <c r="P21" s="1">
        <f>IF(AtticType="Sealed", AtticAirtightness*P4,0)</f>
        <v>1.7830707241988115E-2</v>
      </c>
      <c r="Q21" s="1">
        <f>IF(AtticType="Sealed", AtticAirtightness*Q4,0)</f>
        <v>1.7830707241988115E-2</v>
      </c>
    </row>
    <row r="22" spans="1:17" ht="15" customHeight="1">
      <c r="A22" s="524" t="s">
        <v>786</v>
      </c>
      <c r="B22" s="1">
        <f>B21/(SQRT(1.2/2)*4^(n-0.5))</f>
        <v>1.8186232784484689E-2</v>
      </c>
      <c r="C22" s="1">
        <f>C21/(SQRT(1.2/2)*4^(n-0.5))</f>
        <v>1.8186232784484689E-2</v>
      </c>
      <c r="D22" s="1">
        <f>D21/(SQRT(1.2/2)*4^(n-0.5))</f>
        <v>1.8186232784484689E-2</v>
      </c>
      <c r="E22" s="1">
        <f>E21/(SQRT(1.2/2)*4^(n-0.5))</f>
        <v>1.8186232784484689E-2</v>
      </c>
      <c r="F22" s="1">
        <f>F21/(SQRT(1.2/2)*4^(n-0.5))</f>
        <v>1.8186232784484689E-2</v>
      </c>
      <c r="G22" s="1">
        <f>G21/(SQRT(1.2/2)*4^(n-0.5))</f>
        <v>1.8186232784484689E-2</v>
      </c>
      <c r="H22" s="1">
        <f>H21/(SQRT(1.2/2)*4^(n-0.5))</f>
        <v>1.8186232784484689E-2</v>
      </c>
      <c r="I22" s="1">
        <f>I21/(SQRT(1.2/2)*4^(n-0.5))</f>
        <v>1.8186232784484689E-2</v>
      </c>
      <c r="J22" s="1">
        <f>J21/(SQRT(1.2/2)*4^(n-0.5))</f>
        <v>1.8186232784484689E-2</v>
      </c>
      <c r="K22" s="1">
        <f>K21/(SQRT(1.2/2)*4^(n-0.5))</f>
        <v>1.8186232784484689E-2</v>
      </c>
      <c r="L22" s="1">
        <f>L21/(SQRT(1.2/2)*4^(n-0.5))</f>
        <v>1.8186232784484689E-2</v>
      </c>
      <c r="M22" s="1">
        <f>M21/(SQRT(1.2/2)*4^(n-0.5))</f>
        <v>1.8186232784484689E-2</v>
      </c>
      <c r="N22" s="1">
        <f>N21/(SQRT(1.2/2)*4^(n-0.5))</f>
        <v>1.8186232784484689E-2</v>
      </c>
      <c r="O22" s="1">
        <f>O21/(SQRT(1.2/2)*4^(n-0.5))</f>
        <v>1.8186232784484689E-2</v>
      </c>
      <c r="P22" s="1">
        <f>P21/(SQRT(1.2/2)*4^(n-0.5))</f>
        <v>1.8186232784484689E-2</v>
      </c>
      <c r="Q22" s="1">
        <f>Q21/(SQRT(1.2/2)*4^(n-0.5))</f>
        <v>1.8186232784484689E-2</v>
      </c>
    </row>
    <row r="24" spans="1:17" ht="15" customHeight="1">
      <c r="A24" s="1" t="s">
        <v>1460</v>
      </c>
      <c r="B24" s="1">
        <f>IF(SUM(B17,B21)-$B$14=B4,1,0)</f>
        <v>1</v>
      </c>
      <c r="C24" s="1">
        <f t="shared" ref="C24:Q24" si="3">IF(SUM(C17,C21)-$B$14=C4,1,0)</f>
        <v>1</v>
      </c>
      <c r="D24" s="1">
        <f t="shared" si="3"/>
        <v>1</v>
      </c>
      <c r="E24" s="1">
        <f t="shared" si="3"/>
        <v>1</v>
      </c>
      <c r="F24" s="1">
        <f t="shared" si="3"/>
        <v>1</v>
      </c>
      <c r="G24" s="1">
        <f t="shared" si="3"/>
        <v>1</v>
      </c>
      <c r="H24" s="1">
        <f t="shared" si="3"/>
        <v>1</v>
      </c>
      <c r="I24" s="1">
        <f t="shared" si="3"/>
        <v>1</v>
      </c>
      <c r="J24" s="1">
        <f t="shared" si="3"/>
        <v>1</v>
      </c>
      <c r="K24" s="1">
        <f t="shared" si="3"/>
        <v>1</v>
      </c>
      <c r="L24" s="1">
        <f t="shared" si="3"/>
        <v>1</v>
      </c>
      <c r="M24" s="1">
        <f t="shared" si="3"/>
        <v>1</v>
      </c>
      <c r="N24" s="1">
        <f t="shared" si="3"/>
        <v>1</v>
      </c>
      <c r="O24" s="1">
        <f t="shared" si="3"/>
        <v>1</v>
      </c>
      <c r="P24" s="1">
        <f t="shared" si="3"/>
        <v>1</v>
      </c>
      <c r="Q24" s="1">
        <f t="shared" si="3"/>
        <v>1</v>
      </c>
    </row>
    <row r="26" spans="1:17" ht="15" customHeight="1">
      <c r="A26" s="21" t="s">
        <v>1354</v>
      </c>
    </row>
    <row r="27" spans="1:17" ht="15" customHeight="1">
      <c r="A27" s="1" t="s">
        <v>251</v>
      </c>
      <c r="B27" s="1">
        <f>B14</f>
        <v>3.6105647751908616E-2</v>
      </c>
      <c r="C27" s="1">
        <f>B27/SUM(B27:B29)</f>
        <v>0.33609010249731575</v>
      </c>
    </row>
    <row r="28" spans="1:17" ht="15" customHeight="1">
      <c r="A28" s="1" t="s">
        <v>238</v>
      </c>
      <c r="B28" s="1">
        <f>(B17-B27)/2</f>
        <v>3.5661414483976236E-2</v>
      </c>
      <c r="C28" s="1">
        <f>B28/SUM(B27:B29)</f>
        <v>0.33195494875134207</v>
      </c>
    </row>
    <row r="29" spans="1:17" ht="15" customHeight="1">
      <c r="A29" s="1" t="s">
        <v>715</v>
      </c>
      <c r="B29" s="1">
        <f>(B17-B27)/2</f>
        <v>3.5661414483976236E-2</v>
      </c>
      <c r="C29" s="1">
        <f>B29/SUM(B27:B29)</f>
        <v>0.33195494875134207</v>
      </c>
    </row>
    <row r="30" spans="1:17" ht="15" customHeight="1">
      <c r="A30" s="1" t="s">
        <v>1469</v>
      </c>
      <c r="C30" s="1">
        <f>SUM(C27:C29)</f>
        <v>0.99999999999999978</v>
      </c>
    </row>
    <row r="31" spans="1:17" ht="15" customHeight="1">
      <c r="A31" s="90"/>
      <c r="B31" s="91" t="s">
        <v>169</v>
      </c>
      <c r="C31" s="91" t="s">
        <v>127</v>
      </c>
    </row>
    <row r="32" spans="1:17" ht="15" customHeight="1">
      <c r="A32" s="83" t="s">
        <v>177</v>
      </c>
      <c r="B32" s="364">
        <f>SUM(B27,B29)/SUM(B27:B29)</f>
        <v>0.66804505124865787</v>
      </c>
      <c r="C32" s="1" t="s">
        <v>11</v>
      </c>
    </row>
    <row r="33" spans="1:6" ht="15" customHeight="1">
      <c r="A33" s="83" t="s">
        <v>180</v>
      </c>
      <c r="B33" s="364">
        <f>(B27-B28)/SUM(B27:B29)</f>
        <v>4.1351537459736803E-3</v>
      </c>
      <c r="C33" s="1" t="s">
        <v>11</v>
      </c>
      <c r="F33" s="1" t="s">
        <v>1352</v>
      </c>
    </row>
    <row r="34" spans="1:6" ht="15" customHeight="1">
      <c r="A34" s="214" t="s">
        <v>938</v>
      </c>
      <c r="B34" s="364">
        <f>Geometry!D43</f>
        <v>0.31645569620253167</v>
      </c>
    </row>
    <row r="35" spans="1:6" ht="15" customHeight="1">
      <c r="A35" s="214" t="s">
        <v>939</v>
      </c>
      <c r="B35" s="364">
        <f>Geometry!D44</f>
        <v>0.31645569620253167</v>
      </c>
    </row>
    <row r="36" spans="1:6" ht="15" customHeight="1">
      <c r="A36" s="214" t="s">
        <v>940</v>
      </c>
      <c r="B36" s="364">
        <f>Geometry!D45</f>
        <v>0.18354430379746839</v>
      </c>
    </row>
    <row r="37" spans="1:6" ht="15" customHeight="1">
      <c r="A37" s="305" t="s">
        <v>941</v>
      </c>
      <c r="B37" s="364">
        <f>Geometry!D46</f>
        <v>0.18354430379746839</v>
      </c>
    </row>
    <row r="38" spans="1:6" ht="15" customHeight="1">
      <c r="A38" s="214" t="s">
        <v>942</v>
      </c>
      <c r="B38" s="364">
        <f>Geometry!D43</f>
        <v>0.31645569620253167</v>
      </c>
    </row>
    <row r="39" spans="1:6" ht="15" customHeight="1">
      <c r="A39" s="214" t="s">
        <v>943</v>
      </c>
      <c r="B39" s="364">
        <f>Geometry!D44</f>
        <v>0.31645569620253167</v>
      </c>
    </row>
    <row r="40" spans="1:6" ht="15" customHeight="1">
      <c r="A40" s="214" t="s">
        <v>944</v>
      </c>
      <c r="B40" s="364">
        <f>Geometry!D45</f>
        <v>0.18354430379746839</v>
      </c>
    </row>
    <row r="41" spans="1:6" ht="15" customHeight="1">
      <c r="A41" s="305" t="s">
        <v>945</v>
      </c>
      <c r="B41" s="364">
        <f>Geometry!D46</f>
        <v>0.18354430379746839</v>
      </c>
    </row>
    <row r="44" spans="1:6" ht="15" customHeight="1">
      <c r="A44" s="21" t="s">
        <v>1353</v>
      </c>
      <c r="B44" s="21"/>
      <c r="C44" s="21"/>
      <c r="D44" s="21"/>
      <c r="E44" s="21"/>
    </row>
    <row r="45" spans="1:6" ht="15.75" customHeight="1">
      <c r="A45" s="21" t="s">
        <v>1354</v>
      </c>
      <c r="B45" s="21"/>
      <c r="C45" s="21"/>
      <c r="D45" s="21"/>
      <c r="E45" s="21"/>
    </row>
    <row r="46" spans="1:6" ht="15" customHeight="1">
      <c r="A46" s="21"/>
      <c r="B46" s="21" t="s">
        <v>251</v>
      </c>
      <c r="C46" s="21" t="s">
        <v>238</v>
      </c>
      <c r="D46" s="21" t="s">
        <v>715</v>
      </c>
      <c r="E46" s="21" t="s">
        <v>1355</v>
      </c>
    </row>
    <row r="47" spans="1:6" ht="15" customHeight="1">
      <c r="A47" s="1" t="s">
        <v>648</v>
      </c>
      <c r="B47" s="1">
        <v>50</v>
      </c>
      <c r="C47" s="1">
        <v>0</v>
      </c>
    </row>
    <row r="48" spans="1:6" ht="15" customHeight="1">
      <c r="A48" s="1" t="s">
        <v>1328</v>
      </c>
      <c r="B48" s="1">
        <v>40</v>
      </c>
      <c r="C48" s="1">
        <v>10</v>
      </c>
    </row>
    <row r="49" spans="1:24" ht="15" customHeight="1">
      <c r="A49" s="1" t="s">
        <v>1356</v>
      </c>
      <c r="D49" s="1">
        <v>50</v>
      </c>
      <c r="E49" s="1">
        <v>0</v>
      </c>
    </row>
    <row r="50" spans="1:24" ht="15" customHeight="1">
      <c r="A50" s="1" t="s">
        <v>1357</v>
      </c>
      <c r="D50" s="1">
        <v>40</v>
      </c>
      <c r="E50" s="1">
        <v>10</v>
      </c>
    </row>
    <row r="54" spans="1:24" ht="15" customHeight="1">
      <c r="X54" s="364"/>
    </row>
    <row r="55" spans="1:24" ht="15" customHeight="1">
      <c r="A55" s="1" t="s">
        <v>532</v>
      </c>
    </row>
    <row r="56" spans="1:24" ht="15" customHeight="1">
      <c r="A56" s="1" t="s">
        <v>72</v>
      </c>
    </row>
    <row r="57" spans="1:24" ht="15" customHeight="1">
      <c r="A57" s="1" t="s">
        <v>1449</v>
      </c>
    </row>
    <row r="59" spans="1:24" ht="15" customHeight="1">
      <c r="A59" s="1" t="s">
        <v>1450</v>
      </c>
    </row>
    <row r="60" spans="1:24" ht="15" customHeight="1">
      <c r="A60" s="1" t="s">
        <v>1451</v>
      </c>
    </row>
    <row r="70" spans="1:37" ht="15" customHeight="1">
      <c r="A70" s="487" t="s">
        <v>1358</v>
      </c>
    </row>
    <row r="72" spans="1:37" ht="15" customHeight="1">
      <c r="A72" s="112" t="s">
        <v>160</v>
      </c>
      <c r="B72" s="112"/>
      <c r="C72" s="112"/>
      <c r="D72" s="112"/>
      <c r="E72" s="112"/>
      <c r="F72" s="112"/>
      <c r="G72" s="112" t="s">
        <v>161</v>
      </c>
      <c r="H72" s="112"/>
      <c r="I72" s="112"/>
      <c r="J72" s="112"/>
      <c r="K72" s="112"/>
      <c r="L72" s="362" t="s">
        <v>162</v>
      </c>
      <c r="M72" s="362"/>
      <c r="N72" s="36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</row>
    <row r="73" spans="1:37" ht="15" customHeight="1">
      <c r="A73" s="114" t="s">
        <v>6</v>
      </c>
      <c r="G73" s="114" t="s">
        <v>163</v>
      </c>
      <c r="L73" s="59" t="s">
        <v>409</v>
      </c>
      <c r="M73" s="59"/>
      <c r="N73" s="59"/>
    </row>
    <row r="74" spans="1:37" ht="15" customHeight="1">
      <c r="A74" s="114" t="s">
        <v>164</v>
      </c>
      <c r="L74" s="59"/>
      <c r="M74" s="59"/>
      <c r="N74" s="59"/>
    </row>
    <row r="75" spans="1:37" ht="15" customHeight="1">
      <c r="A75" s="114" t="s">
        <v>165</v>
      </c>
      <c r="G75" s="98"/>
      <c r="H75" s="91" t="s">
        <v>166</v>
      </c>
      <c r="I75" s="91" t="s">
        <v>167</v>
      </c>
      <c r="J75" s="77" t="s">
        <v>168</v>
      </c>
      <c r="L75" s="209"/>
      <c r="M75" s="59" t="s">
        <v>169</v>
      </c>
      <c r="N75" s="59" t="s">
        <v>127</v>
      </c>
      <c r="P75" s="106" t="s">
        <v>406</v>
      </c>
      <c r="Q75" s="105" t="s">
        <v>905</v>
      </c>
      <c r="R75" s="105"/>
      <c r="T75" s="106" t="s">
        <v>407</v>
      </c>
      <c r="U75" s="105"/>
      <c r="V75" s="105"/>
      <c r="X75" s="106" t="s">
        <v>408</v>
      </c>
      <c r="Y75" s="105"/>
      <c r="Z75" s="105"/>
      <c r="AB75" s="1" t="s">
        <v>636</v>
      </c>
      <c r="AD75" s="1" t="s">
        <v>637</v>
      </c>
      <c r="AE75" s="1" t="s">
        <v>638</v>
      </c>
      <c r="AF75" s="1" t="s">
        <v>639</v>
      </c>
      <c r="AG75" s="1" t="s">
        <v>640</v>
      </c>
    </row>
    <row r="76" spans="1:37" ht="15" customHeight="1">
      <c r="A76" s="114" t="s">
        <v>170</v>
      </c>
      <c r="G76" s="83" t="s">
        <v>15</v>
      </c>
      <c r="H76" s="1">
        <v>0.65</v>
      </c>
      <c r="I76" s="1">
        <v>0.60000000000000009</v>
      </c>
      <c r="J76" s="161">
        <v>0.5</v>
      </c>
      <c r="L76" s="59" t="s">
        <v>171</v>
      </c>
      <c r="M76" s="364">
        <f>H94</f>
        <v>0.31645569620253167</v>
      </c>
      <c r="N76" s="59" t="s">
        <v>11</v>
      </c>
      <c r="P76" s="107" t="s">
        <v>404</v>
      </c>
      <c r="Q76" s="62">
        <v>4.8</v>
      </c>
      <c r="R76" s="62"/>
      <c r="T76" s="107" t="s">
        <v>404</v>
      </c>
      <c r="U76" s="62">
        <v>5.2</v>
      </c>
      <c r="V76" s="62"/>
      <c r="X76" s="107" t="s">
        <v>404</v>
      </c>
      <c r="Y76" s="62">
        <v>8.6</v>
      </c>
      <c r="Z76" s="62"/>
      <c r="AA76" s="244" t="s">
        <v>404</v>
      </c>
      <c r="AB76" s="62">
        <v>10</v>
      </c>
      <c r="AC76" s="1">
        <v>7</v>
      </c>
      <c r="AD76" s="62">
        <v>5</v>
      </c>
      <c r="AE76" s="62">
        <v>3</v>
      </c>
      <c r="AF76" s="62">
        <v>1.5</v>
      </c>
      <c r="AG76" s="62">
        <v>0.6</v>
      </c>
    </row>
    <row r="77" spans="1:37" ht="15" customHeight="1">
      <c r="G77" s="83" t="s">
        <v>18</v>
      </c>
      <c r="H77" s="1">
        <v>0.35</v>
      </c>
      <c r="I77" s="1">
        <v>0.4</v>
      </c>
      <c r="J77" s="162">
        <v>0</v>
      </c>
      <c r="L77" s="59" t="s">
        <v>172</v>
      </c>
      <c r="M77" s="364">
        <f>H93</f>
        <v>0.18354430379746839</v>
      </c>
      <c r="N77" s="59" t="s">
        <v>11</v>
      </c>
      <c r="P77" s="102" t="s">
        <v>405</v>
      </c>
      <c r="Q77" s="63">
        <f>V_houseSI</f>
        <v>729.1581126273195</v>
      </c>
      <c r="R77" s="62" t="s">
        <v>147</v>
      </c>
      <c r="T77" s="102" t="s">
        <v>405</v>
      </c>
      <c r="U77" s="63">
        <f>V_houseSI</f>
        <v>729.1581126273195</v>
      </c>
      <c r="V77" s="62" t="s">
        <v>147</v>
      </c>
      <c r="X77" s="102" t="s">
        <v>405</v>
      </c>
      <c r="Y77" s="63">
        <f>V_houseSI</f>
        <v>729.1581126273195</v>
      </c>
      <c r="Z77" s="62" t="s">
        <v>147</v>
      </c>
      <c r="AA77" s="100" t="s">
        <v>405</v>
      </c>
      <c r="AB77" s="63">
        <f t="shared" ref="AB77:AG77" si="4">V_houseSI</f>
        <v>729.1581126273195</v>
      </c>
      <c r="AC77" s="63">
        <f t="shared" si="4"/>
        <v>729.1581126273195</v>
      </c>
      <c r="AD77" s="63">
        <f t="shared" si="4"/>
        <v>729.1581126273195</v>
      </c>
      <c r="AE77" s="63">
        <f t="shared" si="4"/>
        <v>729.1581126273195</v>
      </c>
      <c r="AF77" s="63">
        <f t="shared" si="4"/>
        <v>729.1581126273195</v>
      </c>
      <c r="AG77" s="63">
        <f t="shared" si="4"/>
        <v>729.1581126273195</v>
      </c>
    </row>
    <row r="78" spans="1:37" ht="15" customHeight="1">
      <c r="A78" s="98"/>
      <c r="B78" s="91" t="s">
        <v>126</v>
      </c>
      <c r="C78" s="91" t="s">
        <v>127</v>
      </c>
      <c r="D78" s="91" t="s">
        <v>128</v>
      </c>
      <c r="E78" s="91" t="s">
        <v>127</v>
      </c>
      <c r="L78" s="59" t="s">
        <v>173</v>
      </c>
      <c r="M78" s="59">
        <f>M76*2+M77*2</f>
        <v>1</v>
      </c>
      <c r="N78" s="59"/>
      <c r="P78" s="102" t="s">
        <v>192</v>
      </c>
      <c r="Q78" s="64">
        <f>(Q76*Q77)/3600/14</f>
        <v>6.944362977403043E-2</v>
      </c>
      <c r="R78" s="62" t="s">
        <v>135</v>
      </c>
      <c r="T78" s="102" t="s">
        <v>192</v>
      </c>
      <c r="U78" s="64">
        <f>(U76*U77)/3600/14</f>
        <v>7.5230598921866301E-2</v>
      </c>
      <c r="V78" s="62" t="s">
        <v>135</v>
      </c>
      <c r="X78" s="102" t="s">
        <v>192</v>
      </c>
      <c r="Y78" s="64">
        <f>(Y76*Y77)/3600/14</f>
        <v>0.12441983667847119</v>
      </c>
      <c r="Z78" s="62" t="s">
        <v>135</v>
      </c>
      <c r="AA78" s="100" t="s">
        <v>192</v>
      </c>
      <c r="AB78" s="64">
        <f t="shared" ref="AB78:AG78" si="5">(AB76*AB77)/3600/14</f>
        <v>0.14467422869589672</v>
      </c>
      <c r="AC78" s="64">
        <f t="shared" si="5"/>
        <v>0.1012719600871277</v>
      </c>
      <c r="AD78" s="64">
        <f t="shared" si="5"/>
        <v>7.2337114347948359E-2</v>
      </c>
      <c r="AE78" s="64">
        <f t="shared" si="5"/>
        <v>4.3402268608769015E-2</v>
      </c>
      <c r="AF78" s="64">
        <f t="shared" si="5"/>
        <v>2.1701134304384508E-2</v>
      </c>
      <c r="AG78" s="64">
        <f t="shared" si="5"/>
        <v>8.6804537217538037E-3</v>
      </c>
    </row>
    <row r="79" spans="1:37" ht="15" customHeight="1">
      <c r="A79" s="100" t="s">
        <v>174</v>
      </c>
      <c r="B79" s="179"/>
      <c r="C79" s="59"/>
      <c r="D79" s="59"/>
      <c r="E79" s="59"/>
      <c r="L79" s="59"/>
      <c r="M79" s="59"/>
      <c r="N79" s="59"/>
      <c r="P79" s="102" t="s">
        <v>174</v>
      </c>
      <c r="Q79" s="66">
        <f>10000*(Q78/A_houseSI)</f>
        <v>2.7685535930323502</v>
      </c>
      <c r="R79" s="65" t="s">
        <v>11</v>
      </c>
      <c r="T79" s="102" t="s">
        <v>174</v>
      </c>
      <c r="U79" s="66">
        <f>10000*(U78/A_houseSI)</f>
        <v>2.9992663924517124</v>
      </c>
      <c r="V79" s="65" t="s">
        <v>11</v>
      </c>
      <c r="X79" s="102" t="s">
        <v>174</v>
      </c>
      <c r="Y79" s="66">
        <f>10000*(Y78/A_houseSI)</f>
        <v>4.9603251875162941</v>
      </c>
      <c r="Z79" s="65" t="s">
        <v>11</v>
      </c>
      <c r="AA79" s="100" t="s">
        <v>174</v>
      </c>
      <c r="AB79" s="66">
        <f t="shared" ref="AB79:AG79" si="6">10000*(AB78/A_houseSI)</f>
        <v>5.7678199854840626</v>
      </c>
      <c r="AC79" s="66">
        <f t="shared" si="6"/>
        <v>4.0374739898388432</v>
      </c>
      <c r="AD79" s="66">
        <f t="shared" si="6"/>
        <v>2.8839099927420313</v>
      </c>
      <c r="AE79" s="66">
        <f t="shared" si="6"/>
        <v>1.7303459956452185</v>
      </c>
      <c r="AF79" s="66">
        <f t="shared" si="6"/>
        <v>0.86517299782260926</v>
      </c>
      <c r="AG79" s="66">
        <f t="shared" si="6"/>
        <v>0.34606919912904377</v>
      </c>
    </row>
    <row r="80" spans="1:37" ht="15" customHeight="1">
      <c r="A80" s="83" t="s">
        <v>175</v>
      </c>
      <c r="B80" s="16"/>
      <c r="D80" s="366">
        <f>VLOOKUP(Airtightness,[1]Leakage!AB60:AF65,3,FALSE)</f>
        <v>5.3094037327232002E-2</v>
      </c>
      <c r="E80" s="1" t="s">
        <v>135</v>
      </c>
      <c r="L80" s="363" t="s">
        <v>572</v>
      </c>
      <c r="M80" s="59"/>
      <c r="N80" s="59"/>
      <c r="P80" s="1" t="s">
        <v>766</v>
      </c>
      <c r="AA80" s="1" t="s">
        <v>766</v>
      </c>
      <c r="AB80" s="1">
        <f>1000*(AB78/A_houseSI)*(([1]!H_soffitSI-[1]Geometry!L13)/2.5)^0.4</f>
        <v>0.62436949084334459</v>
      </c>
      <c r="AC80" s="1">
        <f>1000*(AC78/A_houseSI)*(([1]!H_soffitSI-[1]Geometry!L13)/2.5)^0.4</f>
        <v>0.43705864359034113</v>
      </c>
      <c r="AD80" s="1">
        <f>1000*(AD78/A_houseSI)*(([1]!H_soffitSI-[1]Geometry!L13)/2.5)^0.4</f>
        <v>0.31218474542167229</v>
      </c>
      <c r="AE80" s="1">
        <f>1000*(AE78/A_houseSI)*(([1]!H_soffitSI-[1]Geometry!L13)/2.5)^0.4</f>
        <v>0.18731084725300334</v>
      </c>
      <c r="AF80" s="1">
        <f>1000*(AF78/A_houseSI)*(([1]!H_soffitSI-[1]Geometry!L13)/2.5)^0.4</f>
        <v>9.3655423626501672E-2</v>
      </c>
      <c r="AG80" s="1">
        <f>1000*(AG78/A_houseSI)*(([1]!H_soffitSI-[1]Geometry!L13)/2.5)^0.4</f>
        <v>3.7462169450600678E-2</v>
      </c>
    </row>
    <row r="81" spans="1:32" ht="15" customHeight="1">
      <c r="A81" s="83" t="s">
        <v>176</v>
      </c>
      <c r="D81" s="1">
        <v>1</v>
      </c>
      <c r="E81" s="1" t="s">
        <v>11</v>
      </c>
      <c r="L81" s="59" t="s">
        <v>171</v>
      </c>
      <c r="M81" s="59">
        <v>0.5</v>
      </c>
      <c r="N81" s="59"/>
      <c r="AB81" s="244" t="s">
        <v>404</v>
      </c>
      <c r="AC81" s="100" t="s">
        <v>405</v>
      </c>
      <c r="AD81" s="100" t="s">
        <v>192</v>
      </c>
      <c r="AE81" s="100" t="s">
        <v>174</v>
      </c>
      <c r="AF81" s="1" t="s">
        <v>766</v>
      </c>
    </row>
    <row r="82" spans="1:32" ht="15" customHeight="1">
      <c r="A82" s="83" t="s">
        <v>178</v>
      </c>
      <c r="D82" s="16">
        <v>1.2</v>
      </c>
      <c r="E82" s="1" t="s">
        <v>179</v>
      </c>
      <c r="L82" s="59" t="s">
        <v>172</v>
      </c>
      <c r="M82" s="59">
        <v>0</v>
      </c>
      <c r="N82" s="59"/>
      <c r="AA82" s="1" t="s">
        <v>636</v>
      </c>
      <c r="AB82" s="62">
        <v>10</v>
      </c>
      <c r="AC82" s="63">
        <f t="shared" ref="AC82:AC87" si="7">V_houseSI</f>
        <v>729.1581126273195</v>
      </c>
      <c r="AD82" s="64">
        <f t="shared" ref="AD82:AD87" si="8">(AB82*AC82)/3600/14</f>
        <v>0.14467422869589672</v>
      </c>
      <c r="AE82" s="66">
        <f t="shared" ref="AE82:AE87" si="9">10000*(AD82/A_houseSI)</f>
        <v>5.7678199854840626</v>
      </c>
      <c r="AF82" s="1">
        <f>1000*(AD82/A_houseSI)*((H_soffitSI-[1]Geometry!$L$13)/[1]Geometry!$L$14)^0.4</f>
        <v>0.77770722590935659</v>
      </c>
    </row>
    <row r="83" spans="1:32" ht="15" customHeight="1">
      <c r="A83" s="100" t="s">
        <v>181</v>
      </c>
      <c r="B83" s="59"/>
      <c r="C83" s="59"/>
      <c r="D83" s="365">
        <v>4</v>
      </c>
      <c r="E83" s="59" t="s">
        <v>392</v>
      </c>
      <c r="G83" s="83"/>
      <c r="L83" s="59" t="s">
        <v>173</v>
      </c>
      <c r="M83" s="59">
        <f>M81*2+M82*2</f>
        <v>1</v>
      </c>
      <c r="N83" s="59"/>
      <c r="AB83" s="1">
        <v>7</v>
      </c>
      <c r="AC83" s="63">
        <f>V_houseSI</f>
        <v>729.1581126273195</v>
      </c>
      <c r="AD83" s="64">
        <f>(AB83*AC83)/3600/14</f>
        <v>0.1012719600871277</v>
      </c>
      <c r="AE83" s="66">
        <f t="shared" si="9"/>
        <v>4.0374739898388432</v>
      </c>
      <c r="AF83" s="1">
        <f>1000*(AD83/A_houseSI)*((H_soffitSI-[1]Geometry!$L$13)/[1]Geometry!$L$14)^0.4</f>
        <v>0.54439505813654954</v>
      </c>
    </row>
    <row r="84" spans="1:32" ht="15" customHeight="1">
      <c r="A84" s="100" t="s">
        <v>4</v>
      </c>
      <c r="B84" s="59"/>
      <c r="C84" s="59"/>
      <c r="D84" s="407" t="e">
        <f>D80*D81/(SQRT(rho_air/2)*D83^(n-0.5))</f>
        <v>#DIV/0!</v>
      </c>
      <c r="E84" s="59" t="s">
        <v>412</v>
      </c>
      <c r="G84" s="83" t="s">
        <v>182</v>
      </c>
      <c r="H84" s="18">
        <f>(B32-B33)/2</f>
        <v>0.33195494875134207</v>
      </c>
      <c r="I84" s="1" t="s">
        <v>11</v>
      </c>
      <c r="L84" s="19"/>
      <c r="M84" s="19"/>
      <c r="N84" s="19"/>
      <c r="O84" s="19"/>
      <c r="AA84" s="1" t="s">
        <v>637</v>
      </c>
      <c r="AB84" s="62">
        <v>5</v>
      </c>
      <c r="AC84" s="63">
        <f t="shared" si="7"/>
        <v>729.1581126273195</v>
      </c>
      <c r="AD84" s="64">
        <f t="shared" si="8"/>
        <v>7.2337114347948359E-2</v>
      </c>
      <c r="AE84" s="66">
        <f t="shared" si="9"/>
        <v>2.8839099927420313</v>
      </c>
      <c r="AF84" s="1">
        <f>1000*(AD84/A_houseSI)*((H_soffitSI-[1]Geometry!$L$13)/[1]Geometry!$L$14)^0.4</f>
        <v>0.3888536129546783</v>
      </c>
    </row>
    <row r="85" spans="1:32" ht="15" customHeight="1">
      <c r="A85" s="100" t="s">
        <v>8</v>
      </c>
      <c r="B85" s="59"/>
      <c r="C85" s="59"/>
      <c r="D85" s="377">
        <v>0.67</v>
      </c>
      <c r="G85" s="83" t="s">
        <v>183</v>
      </c>
      <c r="H85" s="18">
        <f>1-H84-H86</f>
        <v>0.33609010249731586</v>
      </c>
      <c r="I85" s="1" t="s">
        <v>11</v>
      </c>
      <c r="P85" s="21"/>
      <c r="T85" s="21"/>
      <c r="AA85" s="1" t="s">
        <v>638</v>
      </c>
      <c r="AB85" s="62">
        <v>3</v>
      </c>
      <c r="AC85" s="63">
        <f t="shared" si="7"/>
        <v>729.1581126273195</v>
      </c>
      <c r="AD85" s="64">
        <f t="shared" si="8"/>
        <v>4.3402268608769015E-2</v>
      </c>
      <c r="AE85" s="66">
        <f t="shared" si="9"/>
        <v>1.7303459956452185</v>
      </c>
      <c r="AF85" s="1">
        <f>1000*(AD85/A_houseSI)*((H_soffitSI-[1]Geometry!$L$13)/[1]Geometry!$L$14)^0.4</f>
        <v>0.23331216777280694</v>
      </c>
    </row>
    <row r="86" spans="1:32" ht="15" customHeight="1">
      <c r="A86" s="21" t="s">
        <v>184</v>
      </c>
      <c r="G86" s="103" t="s">
        <v>185</v>
      </c>
      <c r="H86" s="22">
        <f>1-B32</f>
        <v>0.33195494875134213</v>
      </c>
      <c r="I86" s="99" t="s">
        <v>11</v>
      </c>
      <c r="Q86" s="19"/>
      <c r="AA86" s="1" t="s">
        <v>639</v>
      </c>
      <c r="AB86" s="62">
        <v>1.5</v>
      </c>
      <c r="AC86" s="63">
        <f t="shared" si="7"/>
        <v>729.1581126273195</v>
      </c>
      <c r="AD86" s="64">
        <f t="shared" si="8"/>
        <v>2.1701134304384508E-2</v>
      </c>
      <c r="AE86" s="66">
        <f t="shared" si="9"/>
        <v>0.86517299782260926</v>
      </c>
      <c r="AF86" s="1">
        <f>1000*(AD86/A_houseSI)*((H_soffitSI-[1]Geometry!$L$13)/[1]Geometry!$L$14)^0.4</f>
        <v>0.11665608388640347</v>
      </c>
    </row>
    <row r="87" spans="1:32" ht="15" customHeight="1">
      <c r="A87" s="90" t="s">
        <v>187</v>
      </c>
      <c r="B87" s="91" t="s">
        <v>188</v>
      </c>
      <c r="C87" s="91" t="s">
        <v>189</v>
      </c>
      <c r="D87" s="91" t="s">
        <v>190</v>
      </c>
      <c r="E87" s="91" t="s">
        <v>191</v>
      </c>
      <c r="G87" s="83" t="s">
        <v>173</v>
      </c>
      <c r="H87" s="1">
        <f>SUM(H84:H86)</f>
        <v>1</v>
      </c>
      <c r="I87" s="1" t="s">
        <v>11</v>
      </c>
      <c r="AA87" s="1" t="s">
        <v>640</v>
      </c>
      <c r="AB87" s="62">
        <v>0.6</v>
      </c>
      <c r="AC87" s="63">
        <f t="shared" si="7"/>
        <v>729.1581126273195</v>
      </c>
      <c r="AD87" s="64">
        <f t="shared" si="8"/>
        <v>8.6804537217538037E-3</v>
      </c>
      <c r="AE87" s="66">
        <f t="shared" si="9"/>
        <v>0.34606919912904377</v>
      </c>
      <c r="AF87" s="1">
        <f>1000*(AD87/A_houseSI)*((H_soffitSI-[1]Geometry!$L$13)/[1]Geometry!$L$14)^0.4</f>
        <v>4.66624335545614E-2</v>
      </c>
    </row>
    <row r="88" spans="1:32" ht="15" customHeight="1">
      <c r="A88" s="83">
        <v>1000</v>
      </c>
      <c r="B88" s="1">
        <v>3.8</v>
      </c>
      <c r="C88" s="16">
        <f>B88*A88*144/10000</f>
        <v>54.72</v>
      </c>
      <c r="D88" s="23">
        <f>C88*(0.3048/12)^2</f>
        <v>3.5303155200000005E-2</v>
      </c>
      <c r="E88" s="17">
        <f>D88/(SQRT(1.2/2)*4^(0.65-0.5))</f>
        <v>3.7019359298582966E-2</v>
      </c>
    </row>
    <row r="89" spans="1:32" ht="15" customHeight="1">
      <c r="A89" s="83">
        <v>2000</v>
      </c>
      <c r="B89" s="1">
        <v>3.8</v>
      </c>
      <c r="C89" s="16">
        <f>B89*A89*144/10000</f>
        <v>109.44</v>
      </c>
      <c r="D89" s="23">
        <f>C89*(0.3048/12)^2</f>
        <v>7.0606310400000011E-2</v>
      </c>
      <c r="E89" s="17">
        <f>D89/(SQRT(1.2/2)*4^(0.65-0.5))</f>
        <v>7.4038718597165931E-2</v>
      </c>
      <c r="Q89" s="19"/>
      <c r="T89" s="114"/>
    </row>
    <row r="90" spans="1:32" ht="15" customHeight="1">
      <c r="A90" s="83">
        <v>2700</v>
      </c>
      <c r="B90" s="1">
        <v>3.8</v>
      </c>
      <c r="C90" s="16">
        <f>B90*A90*144/10000</f>
        <v>147.744</v>
      </c>
      <c r="D90" s="23">
        <f>C90*(0.3048/12)^2</f>
        <v>9.5318519040000008E-2</v>
      </c>
      <c r="E90" s="17">
        <f>D90/(SQRT(1.2/2)*4^(0.65-0.5))</f>
        <v>9.9952270106173996E-2</v>
      </c>
      <c r="G90" s="21" t="s">
        <v>396</v>
      </c>
      <c r="Q90" s="20"/>
    </row>
    <row r="91" spans="1:32" ht="15" customHeight="1">
      <c r="A91" s="83">
        <v>4000</v>
      </c>
      <c r="B91" s="1">
        <v>3.8</v>
      </c>
      <c r="C91" s="16">
        <f>B91*A91*144/10000</f>
        <v>218.88</v>
      </c>
      <c r="D91" s="23">
        <f>C91*(0.3048/12)^2</f>
        <v>0.14121262080000002</v>
      </c>
      <c r="E91" s="17">
        <f>D91/(SQRT(1.2/2)*4^(0.65-0.5))</f>
        <v>0.14807743719433186</v>
      </c>
      <c r="G91" s="83" t="s">
        <v>413</v>
      </c>
      <c r="H91" s="23">
        <f>W_houseSI</f>
        <v>8.8391997171456094</v>
      </c>
    </row>
    <row r="92" spans="1:32" ht="15" customHeight="1">
      <c r="G92" s="83" t="s">
        <v>414</v>
      </c>
      <c r="H92" s="23">
        <f>L_houseSI</f>
        <v>15.239999512320015</v>
      </c>
      <c r="L92" s="19"/>
      <c r="M92" s="19"/>
      <c r="N92" s="19"/>
      <c r="O92" s="19"/>
      <c r="Q92" s="17"/>
    </row>
    <row r="93" spans="1:32" ht="15" customHeight="1">
      <c r="A93" s="21" t="s">
        <v>184</v>
      </c>
      <c r="B93" s="112"/>
      <c r="G93" s="83" t="s">
        <v>415</v>
      </c>
      <c r="H93" s="23">
        <f>H91/(2*H92+2*H91)</f>
        <v>0.18354430379746839</v>
      </c>
      <c r="Q93" s="24"/>
      <c r="S93" s="25"/>
    </row>
    <row r="94" spans="1:32" ht="15" customHeight="1">
      <c r="A94" s="90" t="s">
        <v>187</v>
      </c>
      <c r="B94" s="91" t="s">
        <v>188</v>
      </c>
      <c r="C94" s="91" t="s">
        <v>189</v>
      </c>
      <c r="D94" s="91" t="s">
        <v>190</v>
      </c>
      <c r="E94" s="91" t="s">
        <v>191</v>
      </c>
      <c r="G94" s="104" t="s">
        <v>416</v>
      </c>
      <c r="H94" s="23">
        <f>H92/(2*H91+2*H92)</f>
        <v>0.31645569620253167</v>
      </c>
      <c r="M94" s="23"/>
      <c r="N94" s="23"/>
      <c r="Q94" s="24"/>
      <c r="S94" s="25"/>
    </row>
    <row r="95" spans="1:32" ht="15" customHeight="1">
      <c r="A95" s="83">
        <v>1000</v>
      </c>
      <c r="B95" s="1">
        <v>2.7</v>
      </c>
      <c r="C95" s="16">
        <f>B95*A95*144/10000</f>
        <v>38.880000000000003</v>
      </c>
      <c r="D95" s="23">
        <f>C95*(0.3048/12)^2</f>
        <v>2.5083820800000003E-2</v>
      </c>
      <c r="E95" s="17">
        <f>D95/(SQRT(1.2/2)*4^(0.65-0.5))</f>
        <v>2.630322897530895E-2</v>
      </c>
      <c r="G95" s="18"/>
      <c r="H95" s="18"/>
    </row>
    <row r="96" spans="1:32" ht="15" customHeight="1">
      <c r="A96" s="83">
        <v>2100</v>
      </c>
      <c r="B96" s="1">
        <f>B95</f>
        <v>2.7</v>
      </c>
      <c r="C96" s="16">
        <f>B96*A96*144/10000</f>
        <v>81.647999999999996</v>
      </c>
      <c r="D96" s="23">
        <f>C96*(0.3048/12)^2</f>
        <v>5.2676023680000003E-2</v>
      </c>
      <c r="E96" s="17">
        <f>D96/(SQRT(1.2/2)*4^(0.65-0.5))</f>
        <v>5.5236780848148787E-2</v>
      </c>
      <c r="G96" s="18"/>
      <c r="H96" s="18"/>
      <c r="P96" s="114"/>
    </row>
    <row r="97" spans="1:8" ht="15" customHeight="1">
      <c r="A97" s="83">
        <v>2700</v>
      </c>
      <c r="B97" s="1">
        <f>B96</f>
        <v>2.7</v>
      </c>
      <c r="C97" s="16">
        <f>B97*A97*144/10000</f>
        <v>104.97600000000003</v>
      </c>
      <c r="D97" s="23">
        <f>C97*(0.3048/12)^2</f>
        <v>6.7726316160000022E-2</v>
      </c>
      <c r="E97" s="17">
        <f>D97/(SQRT(1.2/2)*4^(0.65-0.5))</f>
        <v>7.101871823333418E-2</v>
      </c>
      <c r="G97" s="18"/>
      <c r="H97" s="18"/>
    </row>
    <row r="98" spans="1:8" ht="15" customHeight="1">
      <c r="A98" s="83">
        <v>4000</v>
      </c>
      <c r="B98" s="1">
        <f>B97</f>
        <v>2.7</v>
      </c>
      <c r="C98" s="16">
        <f>B98*A98*144/10000</f>
        <v>155.52000000000001</v>
      </c>
      <c r="D98" s="23">
        <f>C98*(0.3048/12)^2</f>
        <v>0.10033528320000001</v>
      </c>
      <c r="E98" s="17">
        <f>D98/(SQRT(1.2/2)*4^(0.65-0.5))</f>
        <v>0.1052129159012358</v>
      </c>
      <c r="G98" s="18"/>
      <c r="H98" s="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6" t="s">
        <v>193</v>
      </c>
      <c r="R1" s="26"/>
      <c r="S1" s="26"/>
    </row>
    <row r="2" spans="1:19" s="222" customFormat="1" ht="15" customHeight="1">
      <c r="A2" s="214" t="s">
        <v>937</v>
      </c>
      <c r="B2" s="394">
        <v>0</v>
      </c>
      <c r="Q2" s="26"/>
      <c r="R2" s="26"/>
      <c r="S2" s="26"/>
    </row>
    <row r="3" spans="1:19" s="222" customFormat="1" ht="15" customHeight="1">
      <c r="A3" s="214"/>
      <c r="B3" s="397"/>
      <c r="Q3" s="26"/>
      <c r="R3" s="26"/>
      <c r="S3" s="26"/>
    </row>
    <row r="4" spans="1:19" s="222" customFormat="1" ht="15" customHeight="1">
      <c r="A4" s="21" t="s">
        <v>194</v>
      </c>
      <c r="B4" s="397"/>
      <c r="Q4" s="26"/>
      <c r="R4" s="26"/>
      <c r="S4" s="26"/>
    </row>
    <row r="5" spans="1:19" ht="15" customHeight="1">
      <c r="A5" s="87"/>
      <c r="B5" s="87"/>
      <c r="C5" s="398" t="s">
        <v>1128</v>
      </c>
      <c r="D5" s="398" t="s">
        <v>1129</v>
      </c>
      <c r="E5" s="87"/>
      <c r="H5" s="91" t="s">
        <v>195</v>
      </c>
      <c r="I5" s="87"/>
      <c r="J5" s="87"/>
      <c r="K5" s="87"/>
      <c r="L5" s="87"/>
      <c r="M5" s="87"/>
      <c r="N5" s="87"/>
      <c r="Q5" s="26" t="s">
        <v>196</v>
      </c>
      <c r="R5" s="26"/>
      <c r="S5" s="26"/>
    </row>
    <row r="6" spans="1:19" ht="15" customHeight="1">
      <c r="A6" s="79" t="s">
        <v>197</v>
      </c>
      <c r="B6" s="15"/>
      <c r="C6" s="5">
        <v>3</v>
      </c>
      <c r="D6" s="222">
        <v>3</v>
      </c>
      <c r="E6" s="5" t="s">
        <v>131</v>
      </c>
      <c r="H6" s="79" t="s">
        <v>198</v>
      </c>
      <c r="I6" s="5">
        <v>6</v>
      </c>
      <c r="J6" s="5" t="s">
        <v>131</v>
      </c>
      <c r="K6"/>
      <c r="Q6" s="26" t="s">
        <v>197</v>
      </c>
      <c r="R6" s="26">
        <v>4.5</v>
      </c>
      <c r="S6" s="26" t="s">
        <v>131</v>
      </c>
    </row>
    <row r="7" spans="1:19" ht="15" customHeight="1">
      <c r="A7" s="79" t="s">
        <v>199</v>
      </c>
      <c r="B7" s="15"/>
      <c r="C7" s="27">
        <v>0.15</v>
      </c>
      <c r="D7" s="27">
        <v>0.15</v>
      </c>
      <c r="E7" s="5" t="s">
        <v>131</v>
      </c>
      <c r="H7" s="79" t="s">
        <v>201</v>
      </c>
      <c r="I7" s="27">
        <f>C7</f>
        <v>0.15</v>
      </c>
      <c r="J7" s="5" t="s">
        <v>131</v>
      </c>
      <c r="Q7" s="26" t="s">
        <v>199</v>
      </c>
      <c r="R7" s="26">
        <v>0.15</v>
      </c>
      <c r="S7" s="26" t="s">
        <v>131</v>
      </c>
    </row>
    <row r="8" spans="1:19" ht="15" customHeight="1">
      <c r="A8" s="79" t="s">
        <v>202</v>
      </c>
      <c r="C8" s="28">
        <f>PI()*(C7/2)^2</f>
        <v>1.7671458676442587E-2</v>
      </c>
      <c r="D8" s="28">
        <f>PI()*(D7/2)^2</f>
        <v>1.7671458676442587E-2</v>
      </c>
      <c r="E8" s="5" t="s">
        <v>135</v>
      </c>
      <c r="H8" s="79" t="s">
        <v>203</v>
      </c>
      <c r="I8" s="5">
        <v>1.3700000000000002E-2</v>
      </c>
      <c r="Q8" s="26" t="s">
        <v>204</v>
      </c>
      <c r="R8" s="26">
        <v>5.4000000000000006E-2</v>
      </c>
      <c r="S8" s="26"/>
    </row>
    <row r="9" spans="1:19" ht="15" customHeight="1">
      <c r="A9" s="79" t="s">
        <v>205</v>
      </c>
      <c r="C9" s="27">
        <f>I11</f>
        <v>2.0000406200209989E-2</v>
      </c>
      <c r="D9" s="27">
        <f>I11</f>
        <v>2.0000406200209989E-2</v>
      </c>
      <c r="E9" s="5" t="s">
        <v>11</v>
      </c>
      <c r="H9" s="79" t="s">
        <v>206</v>
      </c>
      <c r="I9" s="28">
        <f>PI()*(I7/2)^2</f>
        <v>1.7671458676442587E-2</v>
      </c>
      <c r="J9" s="5" t="s">
        <v>135</v>
      </c>
      <c r="L9" s="5" t="s">
        <v>612</v>
      </c>
      <c r="Q9" s="26" t="s">
        <v>202</v>
      </c>
      <c r="R9" s="26">
        <f>PI()*(R7/2)^2</f>
        <v>1.7671458676442587E-2</v>
      </c>
      <c r="S9" s="26" t="s">
        <v>135</v>
      </c>
    </row>
    <row r="10" spans="1:19" ht="15" customHeight="1">
      <c r="A10" s="392" t="s">
        <v>208</v>
      </c>
      <c r="B10" s="393"/>
      <c r="C10" s="391">
        <f>SQRT(2*C8^2/(1.2*(1+C9*C6/C7)))</f>
        <v>1.9281086206186945E-2</v>
      </c>
      <c r="D10" s="391">
        <f>SQRT(2*D8^2/(1.2*(1+D9*D6/D7)))</f>
        <v>1.9281086206186945E-2</v>
      </c>
      <c r="E10" s="393" t="s">
        <v>1110</v>
      </c>
      <c r="H10" s="79" t="s">
        <v>207</v>
      </c>
      <c r="I10" s="5">
        <v>1.9730000000000001</v>
      </c>
      <c r="J10" s="5" t="s">
        <v>11</v>
      </c>
      <c r="L10" s="5">
        <v>2</v>
      </c>
      <c r="Q10" s="26"/>
      <c r="R10" s="26">
        <f>(2/1.2*(R9/R8)^2-1)*R7/R6</f>
        <v>-2.7383774353124182E-2</v>
      </c>
      <c r="S10" s="26"/>
    </row>
    <row r="11" spans="1:19" ht="15" customHeight="1">
      <c r="A11" s="183" t="s">
        <v>1131</v>
      </c>
      <c r="C11" s="231">
        <v>-99</v>
      </c>
      <c r="D11" s="231">
        <v>-99</v>
      </c>
      <c r="E11" s="5" t="s">
        <v>1130</v>
      </c>
      <c r="H11" s="79" t="s">
        <v>209</v>
      </c>
      <c r="I11" s="27">
        <f>(2/1.2*(I9/I8)^2-I10)*I7/I6</f>
        <v>2.0000406200209989E-2</v>
      </c>
      <c r="L11" s="5">
        <v>0.02</v>
      </c>
      <c r="Q11" s="26"/>
      <c r="R11" s="26">
        <f>SQRT(2*R9^2/(1.2*(1+R10*R6/R7)))</f>
        <v>5.4000000000000006E-2</v>
      </c>
      <c r="S11" s="26"/>
    </row>
    <row r="12" spans="1:19" ht="15" customHeight="1">
      <c r="H12" s="97" t="s">
        <v>210</v>
      </c>
    </row>
    <row r="13" spans="1:19" ht="15" customHeight="1">
      <c r="H13" s="79" t="s">
        <v>4</v>
      </c>
      <c r="I13" s="5">
        <f>SQRT(2*I9^2/(1.2*(I10+I11*I6/I7)))</f>
        <v>1.37E-2</v>
      </c>
    </row>
    <row r="15" spans="1:19" ht="15" customHeight="1">
      <c r="A15" s="91" t="s">
        <v>211</v>
      </c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 t="s">
        <v>212</v>
      </c>
    </row>
    <row r="16" spans="1:19" ht="15" customHeight="1">
      <c r="A16" s="79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9">
        <v>3</v>
      </c>
      <c r="I16" s="29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79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9">
        <v>0.2</v>
      </c>
      <c r="I17" s="29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79" t="s">
        <v>217</v>
      </c>
      <c r="B18" s="110">
        <f>B16/B17</f>
        <v>40</v>
      </c>
      <c r="C18" s="110">
        <f t="shared" ref="C18:M18" si="0">C16/C17</f>
        <v>33.333333333333336</v>
      </c>
      <c r="D18" s="110">
        <f t="shared" si="0"/>
        <v>26.666666666666668</v>
      </c>
      <c r="E18" s="110">
        <f t="shared" si="0"/>
        <v>20</v>
      </c>
      <c r="F18" s="110">
        <f t="shared" si="0"/>
        <v>30</v>
      </c>
      <c r="G18" s="110">
        <f t="shared" si="0"/>
        <v>20</v>
      </c>
      <c r="H18" s="110">
        <f t="shared" si="0"/>
        <v>15</v>
      </c>
      <c r="I18" s="110">
        <f t="shared" si="0"/>
        <v>10</v>
      </c>
      <c r="J18" s="110">
        <f t="shared" si="0"/>
        <v>60</v>
      </c>
      <c r="K18" s="110">
        <f t="shared" si="0"/>
        <v>50</v>
      </c>
      <c r="L18" s="110">
        <f t="shared" si="0"/>
        <v>40</v>
      </c>
      <c r="M18" s="110">
        <f t="shared" si="0"/>
        <v>30</v>
      </c>
      <c r="N18" s="110">
        <f>N16/N17</f>
        <v>37.1875</v>
      </c>
      <c r="P18" s="5" t="s">
        <v>218</v>
      </c>
    </row>
    <row r="19" spans="1:16" ht="15" customHeight="1">
      <c r="A19" s="79" t="s">
        <v>219</v>
      </c>
      <c r="B19" s="27">
        <f>SQRT(1/($L$11*B18+$L$10))</f>
        <v>0.59761430466719678</v>
      </c>
      <c r="C19" s="27">
        <f t="shared" ref="C19:N19" si="1">SQRT(1/($L$11*C18+$L$10))</f>
        <v>0.61237243569579447</v>
      </c>
      <c r="D19" s="27">
        <f t="shared" si="1"/>
        <v>0.62828086243754322</v>
      </c>
      <c r="E19" s="27">
        <f t="shared" si="1"/>
        <v>0.6454972243679028</v>
      </c>
      <c r="F19" s="27">
        <f t="shared" si="1"/>
        <v>0.6201736729460422</v>
      </c>
      <c r="G19" s="27">
        <f t="shared" si="1"/>
        <v>0.6454972243679028</v>
      </c>
      <c r="H19" s="27">
        <f t="shared" si="1"/>
        <v>0.65938047339578709</v>
      </c>
      <c r="I19" s="27">
        <f t="shared" si="1"/>
        <v>0.67419986246324204</v>
      </c>
      <c r="J19" s="27">
        <f t="shared" si="1"/>
        <v>0.55901699437494745</v>
      </c>
      <c r="K19" s="27">
        <f t="shared" si="1"/>
        <v>0.57735026918962573</v>
      </c>
      <c r="L19" s="27">
        <f t="shared" si="1"/>
        <v>0.59761430466719678</v>
      </c>
      <c r="M19" s="27">
        <f t="shared" si="1"/>
        <v>0.6201736729460422</v>
      </c>
      <c r="N19" s="27">
        <f t="shared" si="1"/>
        <v>0.60370911247298209</v>
      </c>
    </row>
    <row r="20" spans="1:16" ht="15" customHeight="1">
      <c r="A20" s="79" t="s">
        <v>221</v>
      </c>
      <c r="B20" s="28">
        <f>B19*(PI()*(B17/2)^2)*(2/1.2)^0.5</f>
        <v>1.3633826362458829E-2</v>
      </c>
      <c r="C20" s="28">
        <f t="shared" ref="C20:M20" si="2">C19*(PI()*(C17/2)^2)*(2/1.2)^0.5</f>
        <v>1.3970514748775767E-2</v>
      </c>
      <c r="D20" s="28">
        <f t="shared" si="2"/>
        <v>1.4333445699730302E-2</v>
      </c>
      <c r="E20" s="28">
        <f>E19*(PI()*(E17/2)^2)*(2/1.2)^0.5</f>
        <v>1.4726215563702155E-2</v>
      </c>
      <c r="F20" s="28">
        <f t="shared" si="2"/>
        <v>2.5152871581347911E-2</v>
      </c>
      <c r="G20" s="28">
        <f t="shared" si="2"/>
        <v>2.6179938779914945E-2</v>
      </c>
      <c r="H20" s="28">
        <f t="shared" si="2"/>
        <v>2.6743012633520188E-2</v>
      </c>
      <c r="I20" s="28">
        <f t="shared" si="2"/>
        <v>2.7344054255227592E-2</v>
      </c>
      <c r="J20" s="28">
        <f t="shared" si="2"/>
        <v>5.6681230132319309E-3</v>
      </c>
      <c r="K20" s="28">
        <f t="shared" si="2"/>
        <v>5.8540122758672713E-3</v>
      </c>
      <c r="L20" s="28">
        <f t="shared" si="2"/>
        <v>6.059478383315036E-3</v>
      </c>
      <c r="M20" s="28">
        <f t="shared" si="2"/>
        <v>6.2882178953369778E-3</v>
      </c>
      <c r="N20" s="28">
        <f>N19*(PI()*(N17/2)^2)*(2/1.2)^0.5</f>
        <v>1.5670467487096804E-2</v>
      </c>
      <c r="P20" s="5" t="s">
        <v>220</v>
      </c>
    </row>
    <row r="21" spans="1:16" ht="15" customHeight="1">
      <c r="A21" s="79" t="s">
        <v>222</v>
      </c>
      <c r="B21" s="28">
        <f t="shared" ref="B21:N21" si="3">SQRT(2*(PI()*(B17/2)^2)^2/(1.2*($I$10+$C$9*B16/B17)))</f>
        <v>1.37E-2</v>
      </c>
      <c r="C21" s="28">
        <f t="shared" si="3"/>
        <v>1.4041746112196262E-2</v>
      </c>
      <c r="D21" s="28">
        <f t="shared" si="3"/>
        <v>1.4410412766318437E-2</v>
      </c>
      <c r="E21" s="28">
        <f t="shared" si="3"/>
        <v>1.4809730713123625E-2</v>
      </c>
      <c r="F21" s="28">
        <f t="shared" si="3"/>
        <v>2.5284439222750501E-2</v>
      </c>
      <c r="G21" s="28">
        <f t="shared" si="3"/>
        <v>2.6328410156664223E-2</v>
      </c>
      <c r="H21" s="28">
        <f t="shared" si="3"/>
        <v>2.6901342111746464E-2</v>
      </c>
      <c r="I21" s="28">
        <f t="shared" si="3"/>
        <v>2.7513382025945641E-2</v>
      </c>
      <c r="J21" s="28">
        <f t="shared" si="3"/>
        <v>5.6921659388000255E-3</v>
      </c>
      <c r="K21" s="28">
        <f t="shared" si="3"/>
        <v>5.8805144046425355E-3</v>
      </c>
      <c r="L21" s="28">
        <f t="shared" si="3"/>
        <v>6.0888888888888893E-3</v>
      </c>
      <c r="M21" s="28">
        <f t="shared" si="3"/>
        <v>6.3211098056876252E-3</v>
      </c>
      <c r="N21" s="28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375</v>
      </c>
    </row>
    <row r="29" spans="1:16" ht="15" customHeight="1">
      <c r="A29" s="90"/>
      <c r="B29" s="91" t="s">
        <v>376</v>
      </c>
      <c r="C29" s="91" t="s">
        <v>377</v>
      </c>
      <c r="D29" s="91" t="s">
        <v>374</v>
      </c>
      <c r="E29" s="91"/>
    </row>
    <row r="30" spans="1:16" ht="15" customHeight="1">
      <c r="A30" s="79" t="s">
        <v>372</v>
      </c>
      <c r="C30" s="27">
        <f>Leakage!D31</f>
        <v>0</v>
      </c>
    </row>
    <row r="31" spans="1:16" ht="15" customHeight="1">
      <c r="A31" s="79" t="s">
        <v>373</v>
      </c>
      <c r="B31" s="5">
        <v>0.1</v>
      </c>
      <c r="C31" s="27">
        <f>PI()*(B31/2)^2</f>
        <v>7.8539816339744835E-3</v>
      </c>
      <c r="D31" s="55">
        <f>C31/($C$30+C31)</f>
        <v>1</v>
      </c>
    </row>
    <row r="32" spans="1:16" ht="15" customHeight="1">
      <c r="A32" s="79" t="s">
        <v>373</v>
      </c>
      <c r="B32" s="5">
        <v>0.2</v>
      </c>
      <c r="C32" s="27">
        <f>PI()*(B32/2)^2</f>
        <v>3.1415926535897934E-2</v>
      </c>
      <c r="D32" s="55">
        <f>C32/($C$30+C32)</f>
        <v>1</v>
      </c>
    </row>
    <row r="33" spans="1:4" ht="15" customHeight="1">
      <c r="A33" s="79" t="s">
        <v>373</v>
      </c>
      <c r="B33" s="5">
        <v>0.3</v>
      </c>
      <c r="C33" s="27">
        <f>PI()*(B33/2)^2</f>
        <v>7.0685834705770348E-2</v>
      </c>
      <c r="D33" s="55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L1" zoomScale="85" zoomScaleNormal="85" zoomScalePageLayoutView="85" workbookViewId="0">
      <selection activeCell="AC15" sqref="AC15"/>
    </sheetView>
  </sheetViews>
  <sheetFormatPr baseColWidth="10" defaultColWidth="8.6640625" defaultRowHeight="15" customHeight="1" x14ac:dyDescent="0"/>
  <cols>
    <col min="1" max="1" width="12.33203125" style="222" customWidth="1"/>
    <col min="2" max="2" width="11.5" style="222" bestFit="1" customWidth="1"/>
    <col min="3" max="3" width="10.33203125" style="186" customWidth="1"/>
    <col min="4" max="4" width="16.1640625" style="186" customWidth="1"/>
    <col min="5" max="5" width="16.6640625" style="186" customWidth="1"/>
    <col min="6" max="6" width="8" style="186" customWidth="1"/>
    <col min="7" max="8" width="5.6640625" style="186" bestFit="1" customWidth="1"/>
    <col min="9" max="9" width="7.5" style="186" bestFit="1" customWidth="1"/>
    <col min="10" max="10" width="5.5" style="186" bestFit="1" customWidth="1"/>
    <col min="11" max="11" width="5.83203125" style="186" customWidth="1"/>
    <col min="12" max="15" width="5.5" style="186" bestFit="1" customWidth="1"/>
    <col min="16" max="20" width="5.5" style="222" bestFit="1" customWidth="1"/>
    <col min="21" max="23" width="5.5" style="222" customWidth="1"/>
    <col min="24" max="24" width="5.5" style="222" bestFit="1" customWidth="1"/>
    <col min="25" max="26" width="37.5" style="222" customWidth="1"/>
    <col min="27" max="27" width="56.6640625" style="222" customWidth="1"/>
    <col min="28" max="28" width="13.33203125" style="222" customWidth="1"/>
    <col min="29" max="44" width="6.1640625" style="222" customWidth="1"/>
    <col min="45" max="16384" width="8.6640625" style="222"/>
  </cols>
  <sheetData>
    <row r="1" spans="1:44" ht="15" customHeight="1">
      <c r="A1" s="21" t="s">
        <v>226</v>
      </c>
      <c r="E1" s="242" t="s">
        <v>735</v>
      </c>
      <c r="Y1" s="222">
        <f>1/0.102</f>
        <v>9.8039215686274517</v>
      </c>
    </row>
    <row r="2" spans="1:44" ht="15" customHeight="1">
      <c r="A2" s="114" t="s">
        <v>1359</v>
      </c>
      <c r="C2" s="222"/>
      <c r="F2" s="222"/>
      <c r="P2" s="186"/>
      <c r="AA2" s="487" t="s">
        <v>1360</v>
      </c>
    </row>
    <row r="3" spans="1:44" ht="15" customHeight="1">
      <c r="A3" s="114" t="s">
        <v>513</v>
      </c>
      <c r="C3" s="222"/>
      <c r="F3" s="30"/>
      <c r="P3" s="186"/>
      <c r="AC3" s="21" t="s">
        <v>1361</v>
      </c>
    </row>
    <row r="4" spans="1:44" ht="15" customHeight="1">
      <c r="A4" s="114"/>
      <c r="C4" s="222"/>
      <c r="F4" s="30" t="s">
        <v>229</v>
      </c>
      <c r="P4" s="186"/>
      <c r="AC4" s="30" t="s">
        <v>229</v>
      </c>
    </row>
    <row r="5" spans="1:44" s="114" customFormat="1" ht="15" customHeight="1">
      <c r="A5" s="77" t="s">
        <v>230</v>
      </c>
      <c r="B5" s="75" t="s">
        <v>403</v>
      </c>
      <c r="C5" s="76" t="s">
        <v>231</v>
      </c>
      <c r="D5" s="220" t="s">
        <v>232</v>
      </c>
      <c r="E5" s="68" t="s">
        <v>169</v>
      </c>
      <c r="F5" s="194" t="s">
        <v>626</v>
      </c>
      <c r="G5" s="225" t="s">
        <v>575</v>
      </c>
      <c r="H5" s="225" t="s">
        <v>576</v>
      </c>
      <c r="I5" s="225" t="s">
        <v>577</v>
      </c>
      <c r="J5" s="225" t="s">
        <v>578</v>
      </c>
      <c r="K5" s="225" t="s">
        <v>579</v>
      </c>
      <c r="L5" s="225" t="s">
        <v>580</v>
      </c>
      <c r="M5" s="225" t="s">
        <v>581</v>
      </c>
      <c r="N5" s="225" t="s">
        <v>582</v>
      </c>
      <c r="O5" s="225" t="s">
        <v>583</v>
      </c>
      <c r="P5" s="225" t="s">
        <v>584</v>
      </c>
      <c r="Q5" s="225" t="s">
        <v>585</v>
      </c>
      <c r="R5" s="225" t="s">
        <v>586</v>
      </c>
      <c r="S5" s="225">
        <v>7</v>
      </c>
      <c r="T5" s="194">
        <v>8</v>
      </c>
      <c r="U5" s="194" t="s">
        <v>805</v>
      </c>
      <c r="V5" s="194" t="s">
        <v>806</v>
      </c>
      <c r="W5" s="194"/>
      <c r="X5" s="194"/>
      <c r="Y5" s="21" t="s">
        <v>1</v>
      </c>
      <c r="Z5" s="21"/>
      <c r="AA5" s="21" t="s">
        <v>688</v>
      </c>
      <c r="AB5" s="21" t="s">
        <v>1362</v>
      </c>
      <c r="AC5" s="225">
        <v>1</v>
      </c>
      <c r="AD5" s="225">
        <v>2</v>
      </c>
      <c r="AE5" s="225">
        <v>3</v>
      </c>
      <c r="AF5" s="225">
        <v>4</v>
      </c>
      <c r="AG5" s="225">
        <v>5</v>
      </c>
      <c r="AH5" s="225">
        <v>6</v>
      </c>
      <c r="AI5" s="225">
        <v>7</v>
      </c>
      <c r="AJ5" s="225">
        <v>8</v>
      </c>
      <c r="AK5" s="225">
        <v>9</v>
      </c>
      <c r="AL5" s="225">
        <v>10</v>
      </c>
      <c r="AM5" s="225">
        <v>11</v>
      </c>
      <c r="AN5" s="225">
        <v>12</v>
      </c>
      <c r="AO5" s="225">
        <v>13</v>
      </c>
      <c r="AP5" s="225">
        <v>14</v>
      </c>
      <c r="AQ5" s="225">
        <v>15</v>
      </c>
      <c r="AR5" s="225">
        <v>16</v>
      </c>
    </row>
    <row r="6" spans="1:44" ht="15" customHeight="1">
      <c r="A6" s="78" t="s">
        <v>233</v>
      </c>
      <c r="B6" s="73">
        <f>IF(B10=1, 1.05, IF(B10=2,1, 1.19))</f>
        <v>1</v>
      </c>
      <c r="C6" s="226">
        <f>A_wall_net</f>
        <v>121.5132</v>
      </c>
      <c r="D6" s="221" t="s">
        <v>234</v>
      </c>
      <c r="E6" s="488" t="s">
        <v>235</v>
      </c>
      <c r="F6" s="210">
        <v>13</v>
      </c>
      <c r="G6" s="210">
        <v>13</v>
      </c>
      <c r="H6" s="210">
        <v>13</v>
      </c>
      <c r="I6" s="210">
        <v>20</v>
      </c>
      <c r="J6" s="210">
        <v>20</v>
      </c>
      <c r="K6" s="210">
        <v>20</v>
      </c>
      <c r="L6" s="210">
        <v>20</v>
      </c>
      <c r="M6" s="210">
        <v>20</v>
      </c>
      <c r="N6" s="210">
        <v>20</v>
      </c>
      <c r="O6" s="210">
        <v>20</v>
      </c>
      <c r="P6" s="210">
        <v>20</v>
      </c>
      <c r="Q6" s="210">
        <v>25</v>
      </c>
      <c r="R6" s="210">
        <v>25</v>
      </c>
      <c r="S6" s="210">
        <v>25</v>
      </c>
      <c r="T6" s="210">
        <v>25</v>
      </c>
      <c r="U6" s="200">
        <f>G6</f>
        <v>13</v>
      </c>
      <c r="V6" s="200">
        <f>I6</f>
        <v>20</v>
      </c>
      <c r="W6" s="210"/>
      <c r="X6" s="210"/>
      <c r="AA6" s="114" t="s">
        <v>1363</v>
      </c>
      <c r="AB6" s="69" t="s">
        <v>235</v>
      </c>
      <c r="AC6" s="201">
        <f>1/0.051</f>
        <v>19.607843137254903</v>
      </c>
      <c r="AD6" s="201">
        <f t="shared" ref="AD6:AR6" si="0">1/0.051</f>
        <v>19.607843137254903</v>
      </c>
      <c r="AE6" s="201">
        <f t="shared" si="0"/>
        <v>19.607843137254903</v>
      </c>
      <c r="AF6" s="201">
        <f t="shared" si="0"/>
        <v>19.607843137254903</v>
      </c>
      <c r="AG6" s="201">
        <f t="shared" si="0"/>
        <v>19.607843137254903</v>
      </c>
      <c r="AH6" s="201">
        <f>1/0.065</f>
        <v>15.384615384615383</v>
      </c>
      <c r="AI6" s="201">
        <f>1/0.065</f>
        <v>15.384615384615383</v>
      </c>
      <c r="AJ6" s="201">
        <f t="shared" si="0"/>
        <v>19.607843137254903</v>
      </c>
      <c r="AK6" s="201">
        <f t="shared" si="0"/>
        <v>19.607843137254903</v>
      </c>
      <c r="AL6" s="201">
        <f t="shared" si="0"/>
        <v>19.607843137254903</v>
      </c>
      <c r="AM6" s="201">
        <f t="shared" si="0"/>
        <v>19.607843137254903</v>
      </c>
      <c r="AN6" s="201">
        <f t="shared" si="0"/>
        <v>19.607843137254903</v>
      </c>
      <c r="AO6" s="201">
        <f t="shared" si="0"/>
        <v>19.607843137254903</v>
      </c>
      <c r="AP6" s="201">
        <f t="shared" si="0"/>
        <v>19.607843137254903</v>
      </c>
      <c r="AQ6" s="201">
        <f t="shared" si="0"/>
        <v>19.607843137254903</v>
      </c>
      <c r="AR6" s="201">
        <f t="shared" si="0"/>
        <v>19.607843137254903</v>
      </c>
    </row>
    <row r="7" spans="1:44" ht="15" customHeight="1">
      <c r="A7" s="78" t="s">
        <v>236</v>
      </c>
      <c r="B7" s="73">
        <v>1</v>
      </c>
      <c r="C7" s="226">
        <f>A_windowSI</f>
        <v>50.165999999999997</v>
      </c>
      <c r="D7" s="221" t="s">
        <v>237</v>
      </c>
      <c r="E7" s="488" t="s">
        <v>235</v>
      </c>
      <c r="F7" s="210">
        <f>1/F84</f>
        <v>2.5</v>
      </c>
      <c r="G7" s="210">
        <f t="shared" ref="G7:T7" si="1">1/G84</f>
        <v>2.5</v>
      </c>
      <c r="H7" s="210">
        <f t="shared" si="1"/>
        <v>2.5</v>
      </c>
      <c r="I7" s="210">
        <f t="shared" si="1"/>
        <v>3.3333333333333335</v>
      </c>
      <c r="J7" s="210">
        <f t="shared" si="1"/>
        <v>3.3333333333333335</v>
      </c>
      <c r="K7" s="210">
        <f t="shared" si="1"/>
        <v>3.3333333333333335</v>
      </c>
      <c r="L7" s="210">
        <f t="shared" si="1"/>
        <v>3.3333333333333335</v>
      </c>
      <c r="M7" s="210">
        <f t="shared" si="1"/>
        <v>3.3333333333333335</v>
      </c>
      <c r="N7" s="210">
        <f t="shared" si="1"/>
        <v>3.7037037037037033</v>
      </c>
      <c r="O7" s="210">
        <f t="shared" si="1"/>
        <v>3.7037037037037033</v>
      </c>
      <c r="P7" s="210">
        <f t="shared" si="1"/>
        <v>3.7037037037037033</v>
      </c>
      <c r="Q7" s="210">
        <f t="shared" si="1"/>
        <v>3.7037037037037033</v>
      </c>
      <c r="R7" s="210">
        <f t="shared" si="1"/>
        <v>3.7037037037037033</v>
      </c>
      <c r="S7" s="210">
        <f t="shared" si="1"/>
        <v>3.7037037037037033</v>
      </c>
      <c r="T7" s="210">
        <f t="shared" si="1"/>
        <v>3.7037037037037033</v>
      </c>
      <c r="U7" s="200">
        <f t="shared" ref="U7:U8" si="2">G7</f>
        <v>2.5</v>
      </c>
      <c r="V7" s="200">
        <f t="shared" ref="V7:V8" si="3">I7</f>
        <v>3.3333333333333335</v>
      </c>
      <c r="W7" s="210"/>
      <c r="X7" s="210"/>
      <c r="AA7" s="114" t="s">
        <v>1364</v>
      </c>
      <c r="AB7" s="69" t="s">
        <v>235</v>
      </c>
      <c r="AC7" s="31">
        <f>1/0.32</f>
        <v>3.125</v>
      </c>
      <c r="AD7" s="31">
        <f t="shared" ref="AD7:AR7" si="4">1/0.32</f>
        <v>3.125</v>
      </c>
      <c r="AE7" s="31">
        <f t="shared" si="4"/>
        <v>3.125</v>
      </c>
      <c r="AF7" s="31">
        <f t="shared" si="4"/>
        <v>3.125</v>
      </c>
      <c r="AG7" s="31">
        <f t="shared" si="4"/>
        <v>3.125</v>
      </c>
      <c r="AH7" s="31">
        <f t="shared" si="4"/>
        <v>3.125</v>
      </c>
      <c r="AI7" s="31">
        <f t="shared" si="4"/>
        <v>3.125</v>
      </c>
      <c r="AJ7" s="31">
        <f t="shared" si="4"/>
        <v>3.125</v>
      </c>
      <c r="AK7" s="31">
        <f t="shared" si="4"/>
        <v>3.125</v>
      </c>
      <c r="AL7" s="31">
        <f t="shared" si="4"/>
        <v>3.125</v>
      </c>
      <c r="AM7" s="31">
        <f t="shared" si="4"/>
        <v>3.125</v>
      </c>
      <c r="AN7" s="31">
        <f t="shared" si="4"/>
        <v>3.125</v>
      </c>
      <c r="AO7" s="31">
        <f t="shared" si="4"/>
        <v>3.125</v>
      </c>
      <c r="AP7" s="31">
        <f t="shared" si="4"/>
        <v>3.125</v>
      </c>
      <c r="AQ7" s="31">
        <f t="shared" si="4"/>
        <v>3.125</v>
      </c>
      <c r="AR7" s="31">
        <f t="shared" si="4"/>
        <v>3.125</v>
      </c>
    </row>
    <row r="8" spans="1:44" ht="15" customHeight="1">
      <c r="A8" s="78" t="s">
        <v>238</v>
      </c>
      <c r="B8" s="73">
        <v>1</v>
      </c>
      <c r="C8" s="226">
        <f>RaisedFloorSI</f>
        <v>0</v>
      </c>
      <c r="D8" s="221" t="s">
        <v>239</v>
      </c>
      <c r="E8" s="488" t="s">
        <v>235</v>
      </c>
      <c r="F8" s="210">
        <f>F76</f>
        <v>13</v>
      </c>
      <c r="G8" s="210">
        <f t="shared" ref="G8:T8" si="5">G76</f>
        <v>13</v>
      </c>
      <c r="H8" s="210">
        <f t="shared" si="5"/>
        <v>13</v>
      </c>
      <c r="I8" s="210">
        <f t="shared" si="5"/>
        <v>19</v>
      </c>
      <c r="J8" s="210">
        <f t="shared" si="5"/>
        <v>19</v>
      </c>
      <c r="K8" s="210">
        <f t="shared" si="5"/>
        <v>19</v>
      </c>
      <c r="L8" s="210">
        <f t="shared" si="5"/>
        <v>19</v>
      </c>
      <c r="M8" s="210">
        <f t="shared" si="5"/>
        <v>19</v>
      </c>
      <c r="N8" s="210">
        <f t="shared" si="5"/>
        <v>30</v>
      </c>
      <c r="O8" s="210">
        <f t="shared" si="5"/>
        <v>30</v>
      </c>
      <c r="P8" s="210">
        <f t="shared" si="5"/>
        <v>30</v>
      </c>
      <c r="Q8" s="210">
        <f t="shared" si="5"/>
        <v>30</v>
      </c>
      <c r="R8" s="210">
        <f t="shared" si="5"/>
        <v>30</v>
      </c>
      <c r="S8" s="210">
        <f t="shared" si="5"/>
        <v>38</v>
      </c>
      <c r="T8" s="210">
        <f t="shared" si="5"/>
        <v>38</v>
      </c>
      <c r="U8" s="200">
        <f t="shared" si="2"/>
        <v>13</v>
      </c>
      <c r="V8" s="200">
        <f t="shared" si="3"/>
        <v>19</v>
      </c>
      <c r="W8" s="210"/>
      <c r="X8" s="210"/>
      <c r="AA8" s="231" t="s">
        <v>1365</v>
      </c>
      <c r="AB8" s="231"/>
      <c r="AC8" s="231">
        <v>0.25</v>
      </c>
      <c r="AD8" s="231">
        <v>0.25</v>
      </c>
      <c r="AE8" s="231">
        <v>0.25</v>
      </c>
      <c r="AF8" s="231">
        <v>0.25</v>
      </c>
      <c r="AG8" s="231">
        <v>0.25</v>
      </c>
      <c r="AH8" s="231">
        <v>0.25</v>
      </c>
      <c r="AI8" s="231">
        <v>0.25</v>
      </c>
      <c r="AJ8" s="231">
        <v>0.25</v>
      </c>
      <c r="AK8" s="231">
        <v>0.25</v>
      </c>
      <c r="AL8" s="231">
        <v>0.25</v>
      </c>
      <c r="AM8" s="231">
        <v>0.25</v>
      </c>
      <c r="AN8" s="231">
        <v>0.25</v>
      </c>
      <c r="AO8" s="231">
        <v>0.25</v>
      </c>
      <c r="AP8" s="231">
        <v>0.25</v>
      </c>
      <c r="AQ8" s="231">
        <v>0.25</v>
      </c>
      <c r="AR8" s="231">
        <v>0.25</v>
      </c>
    </row>
    <row r="9" spans="1:44" ht="15" customHeight="1">
      <c r="A9" s="222" t="s">
        <v>902</v>
      </c>
      <c r="B9" s="222">
        <v>1</v>
      </c>
      <c r="C9" s="36">
        <f>A_doors_SI</f>
        <v>3.7159999999999997</v>
      </c>
      <c r="D9" s="221" t="s">
        <v>903</v>
      </c>
      <c r="E9" s="221" t="s">
        <v>235</v>
      </c>
      <c r="F9" s="221">
        <v>5</v>
      </c>
      <c r="G9" s="221">
        <v>5</v>
      </c>
      <c r="H9" s="221">
        <v>5</v>
      </c>
      <c r="I9" s="221">
        <v>5</v>
      </c>
      <c r="J9" s="221">
        <v>5</v>
      </c>
      <c r="K9" s="221">
        <v>5</v>
      </c>
      <c r="L9" s="221">
        <v>5</v>
      </c>
      <c r="M9" s="221">
        <v>5</v>
      </c>
      <c r="N9" s="221">
        <v>5</v>
      </c>
      <c r="O9" s="221">
        <v>5</v>
      </c>
      <c r="P9" s="221">
        <v>5</v>
      </c>
      <c r="Q9" s="221">
        <v>5</v>
      </c>
      <c r="R9" s="221">
        <v>5</v>
      </c>
      <c r="S9" s="221">
        <v>5</v>
      </c>
      <c r="T9" s="221">
        <v>5</v>
      </c>
      <c r="U9" s="221">
        <v>5</v>
      </c>
      <c r="V9" s="221">
        <v>5</v>
      </c>
      <c r="W9" s="224"/>
      <c r="X9" s="224"/>
      <c r="AA9" s="222" t="s">
        <v>1366</v>
      </c>
      <c r="AB9" s="69" t="s">
        <v>235</v>
      </c>
      <c r="AC9" s="222">
        <v>5</v>
      </c>
      <c r="AD9" s="222">
        <v>5</v>
      </c>
      <c r="AE9" s="222">
        <v>5</v>
      </c>
      <c r="AF9" s="222">
        <v>5</v>
      </c>
      <c r="AG9" s="222">
        <v>5</v>
      </c>
      <c r="AH9" s="222">
        <v>5</v>
      </c>
      <c r="AI9" s="222">
        <v>5</v>
      </c>
      <c r="AJ9" s="222">
        <v>5</v>
      </c>
      <c r="AK9" s="222">
        <v>5</v>
      </c>
      <c r="AL9" s="222">
        <v>5</v>
      </c>
      <c r="AM9" s="222">
        <v>5</v>
      </c>
      <c r="AN9" s="222">
        <v>5</v>
      </c>
      <c r="AO9" s="222">
        <v>5</v>
      </c>
      <c r="AP9" s="222">
        <v>5</v>
      </c>
      <c r="AQ9" s="222">
        <v>5</v>
      </c>
      <c r="AR9" s="222">
        <v>5</v>
      </c>
    </row>
    <row r="10" spans="1:44" ht="15" customHeight="1">
      <c r="A10" s="147" t="s">
        <v>417</v>
      </c>
      <c r="B10" s="109">
        <v>2</v>
      </c>
      <c r="C10" s="74"/>
      <c r="D10" s="221" t="s">
        <v>571</v>
      </c>
      <c r="E10" s="488" t="s">
        <v>241</v>
      </c>
      <c r="F10" s="195">
        <f>IF($B$12=0,0,$B$13*$K$59)</f>
        <v>69.829677765450313</v>
      </c>
      <c r="G10" s="195">
        <f t="shared" ref="G10:V10" si="6">IF($B$12=0,0,$B$13*$K$59)</f>
        <v>69.829677765450313</v>
      </c>
      <c r="H10" s="195">
        <f t="shared" si="6"/>
        <v>69.829677765450313</v>
      </c>
      <c r="I10" s="195">
        <f t="shared" si="6"/>
        <v>69.829677765450313</v>
      </c>
      <c r="J10" s="195">
        <f t="shared" si="6"/>
        <v>69.829677765450313</v>
      </c>
      <c r="K10" s="195">
        <f t="shared" si="6"/>
        <v>69.829677765450313</v>
      </c>
      <c r="L10" s="195">
        <f t="shared" si="6"/>
        <v>69.829677765450313</v>
      </c>
      <c r="M10" s="195">
        <f t="shared" si="6"/>
        <v>69.829677765450313</v>
      </c>
      <c r="N10" s="195">
        <f t="shared" si="6"/>
        <v>69.829677765450313</v>
      </c>
      <c r="O10" s="195">
        <f t="shared" si="6"/>
        <v>69.829677765450313</v>
      </c>
      <c r="P10" s="195">
        <f t="shared" si="6"/>
        <v>69.829677765450313</v>
      </c>
      <c r="Q10" s="195">
        <f t="shared" si="6"/>
        <v>69.829677765450313</v>
      </c>
      <c r="R10" s="195">
        <f t="shared" si="6"/>
        <v>69.829677765450313</v>
      </c>
      <c r="S10" s="195">
        <f t="shared" si="6"/>
        <v>69.829677765450313</v>
      </c>
      <c r="T10" s="195">
        <f t="shared" si="6"/>
        <v>69.829677765450313</v>
      </c>
      <c r="U10" s="195">
        <f t="shared" si="6"/>
        <v>69.829677765450313</v>
      </c>
      <c r="V10" s="195">
        <f t="shared" si="6"/>
        <v>69.829677765450313</v>
      </c>
      <c r="W10" s="195"/>
      <c r="X10" s="195"/>
      <c r="AA10" s="114" t="s">
        <v>1367</v>
      </c>
      <c r="AB10" s="186" t="s">
        <v>235</v>
      </c>
      <c r="AC10" s="201">
        <v>19</v>
      </c>
      <c r="AD10" s="201">
        <v>19</v>
      </c>
      <c r="AE10" s="201">
        <v>19</v>
      </c>
      <c r="AF10" s="201">
        <v>19</v>
      </c>
      <c r="AG10" s="201">
        <v>19</v>
      </c>
      <c r="AH10" s="201">
        <v>19</v>
      </c>
      <c r="AI10" s="201">
        <v>19</v>
      </c>
      <c r="AJ10" s="201">
        <v>19</v>
      </c>
      <c r="AK10" s="201">
        <v>19</v>
      </c>
      <c r="AL10" s="201">
        <v>19</v>
      </c>
      <c r="AM10" s="201">
        <v>19</v>
      </c>
      <c r="AN10" s="201">
        <v>19</v>
      </c>
      <c r="AO10" s="201">
        <v>19</v>
      </c>
      <c r="AP10" s="201">
        <v>19</v>
      </c>
      <c r="AQ10" s="201">
        <v>19</v>
      </c>
      <c r="AR10" s="201">
        <v>19</v>
      </c>
    </row>
    <row r="11" spans="1:44" ht="15" customHeight="1">
      <c r="A11" s="114" t="s">
        <v>713</v>
      </c>
      <c r="C11" s="222"/>
      <c r="D11" s="489" t="s">
        <v>240</v>
      </c>
      <c r="E11" s="490" t="s">
        <v>241</v>
      </c>
      <c r="F11" s="491">
        <f>((1/F6)*$B$6*5.6783*$C$6)+(1/F9*$B$9*5.678*$C$9)</f>
        <v>57.295920643076926</v>
      </c>
      <c r="G11" s="491">
        <f t="shared" ref="G11:V11" si="7">((1/G6)*$B$6*5.6783*$C$6)+(1/G9*$B$9*5.678*$C$9)</f>
        <v>57.295920643076926</v>
      </c>
      <c r="H11" s="491">
        <f t="shared" si="7"/>
        <v>57.295920643076926</v>
      </c>
      <c r="I11" s="491">
        <f t="shared" si="7"/>
        <v>38.719309778000003</v>
      </c>
      <c r="J11" s="491">
        <f t="shared" si="7"/>
        <v>38.719309778000003</v>
      </c>
      <c r="K11" s="491">
        <f t="shared" si="7"/>
        <v>38.719309778000003</v>
      </c>
      <c r="L11" s="491">
        <f t="shared" si="7"/>
        <v>38.719309778000003</v>
      </c>
      <c r="M11" s="491">
        <f t="shared" si="7"/>
        <v>38.719309778000003</v>
      </c>
      <c r="N11" s="491">
        <f t="shared" si="7"/>
        <v>38.719309778000003</v>
      </c>
      <c r="O11" s="491">
        <f t="shared" si="7"/>
        <v>38.719309778000003</v>
      </c>
      <c r="P11" s="491">
        <f t="shared" si="7"/>
        <v>38.719309778000003</v>
      </c>
      <c r="Q11" s="491">
        <f t="shared" si="7"/>
        <v>31.819425742399996</v>
      </c>
      <c r="R11" s="491">
        <f t="shared" si="7"/>
        <v>31.819425742399996</v>
      </c>
      <c r="S11" s="491">
        <f t="shared" si="7"/>
        <v>31.819425742399996</v>
      </c>
      <c r="T11" s="491">
        <f t="shared" si="7"/>
        <v>31.819425742399996</v>
      </c>
      <c r="U11" s="491">
        <f t="shared" si="7"/>
        <v>57.295920643076926</v>
      </c>
      <c r="V11" s="491">
        <f t="shared" si="7"/>
        <v>38.719309778000003</v>
      </c>
      <c r="W11" s="200"/>
      <c r="X11" s="200"/>
      <c r="Y11" s="214"/>
      <c r="Z11" s="214"/>
      <c r="AA11" s="114" t="s">
        <v>1368</v>
      </c>
      <c r="AB11" s="186" t="s">
        <v>235</v>
      </c>
      <c r="AC11" s="222">
        <v>0</v>
      </c>
      <c r="AD11" s="222">
        <v>0</v>
      </c>
      <c r="AE11" s="222">
        <v>0</v>
      </c>
      <c r="AF11" s="222">
        <v>0</v>
      </c>
      <c r="AG11" s="222">
        <v>0</v>
      </c>
      <c r="AH11" s="222">
        <v>0</v>
      </c>
      <c r="AI11" s="222">
        <v>0</v>
      </c>
      <c r="AJ11" s="222">
        <v>0</v>
      </c>
      <c r="AK11" s="222">
        <v>0</v>
      </c>
      <c r="AL11" s="222">
        <v>0</v>
      </c>
      <c r="AM11" s="222">
        <v>0</v>
      </c>
      <c r="AN11" s="222">
        <v>0</v>
      </c>
      <c r="AO11" s="222">
        <v>0</v>
      </c>
      <c r="AP11" s="222">
        <v>0</v>
      </c>
      <c r="AQ11" s="222">
        <v>0</v>
      </c>
      <c r="AR11" s="222">
        <v>7</v>
      </c>
    </row>
    <row r="12" spans="1:44" ht="15" customHeight="1">
      <c r="A12" s="119" t="s">
        <v>522</v>
      </c>
      <c r="B12" s="120">
        <v>1</v>
      </c>
      <c r="C12" s="222"/>
      <c r="D12" s="489" t="s">
        <v>242</v>
      </c>
      <c r="E12" s="490" t="s">
        <v>241</v>
      </c>
      <c r="F12" s="491">
        <f>1/F7*$B$7*5.678*$C$7</f>
        <v>113.93701919999998</v>
      </c>
      <c r="G12" s="491">
        <f t="shared" ref="G12:T12" si="8">1/G7*$B$7*5.678*$C$7</f>
        <v>113.93701919999998</v>
      </c>
      <c r="H12" s="491">
        <f t="shared" si="8"/>
        <v>113.93701919999998</v>
      </c>
      <c r="I12" s="491">
        <f t="shared" si="8"/>
        <v>85.452764399999992</v>
      </c>
      <c r="J12" s="491">
        <f t="shared" si="8"/>
        <v>85.452764399999992</v>
      </c>
      <c r="K12" s="491">
        <f t="shared" si="8"/>
        <v>85.452764399999992</v>
      </c>
      <c r="L12" s="491">
        <f t="shared" si="8"/>
        <v>85.452764399999992</v>
      </c>
      <c r="M12" s="491">
        <f t="shared" si="8"/>
        <v>85.452764399999992</v>
      </c>
      <c r="N12" s="491">
        <f t="shared" si="8"/>
        <v>76.907487959999997</v>
      </c>
      <c r="O12" s="491">
        <f t="shared" si="8"/>
        <v>76.907487959999997</v>
      </c>
      <c r="P12" s="491">
        <f t="shared" si="8"/>
        <v>76.907487959999997</v>
      </c>
      <c r="Q12" s="491">
        <f t="shared" si="8"/>
        <v>76.907487959999997</v>
      </c>
      <c r="R12" s="491">
        <f t="shared" si="8"/>
        <v>76.907487959999997</v>
      </c>
      <c r="S12" s="491">
        <f t="shared" si="8"/>
        <v>76.907487959999997</v>
      </c>
      <c r="T12" s="491">
        <f t="shared" si="8"/>
        <v>76.907487959999997</v>
      </c>
      <c r="U12" s="491">
        <f>G12</f>
        <v>113.93701919999998</v>
      </c>
      <c r="V12" s="491">
        <f>I12</f>
        <v>85.452764399999992</v>
      </c>
      <c r="W12" s="200"/>
      <c r="X12" s="200"/>
      <c r="Y12" s="114" t="s">
        <v>246</v>
      </c>
      <c r="Z12" s="114"/>
      <c r="AA12" s="114" t="s">
        <v>962</v>
      </c>
      <c r="AB12" s="69" t="s">
        <v>241</v>
      </c>
      <c r="AC12" s="492">
        <f>(1/AC6*$B$6*RvalConv*$C$6) + (1/AC9*$B$9*RvalConv*$C$9)</f>
        <v>39.409521141560006</v>
      </c>
      <c r="AD12" s="492">
        <f>(1/AD6*$B$6*RvalConv*$C$6) + (1/AD9*$B$9*RvalConv*$C$9)</f>
        <v>39.409521141560006</v>
      </c>
      <c r="AE12" s="492">
        <f>(1/AE6*$B$6*RvalConv*$C$6) + (1/AE9*$B$9*RvalConv*$C$9)</f>
        <v>39.409521141560006</v>
      </c>
      <c r="AF12" s="492">
        <f>(1/AF6*$B$6*RvalConv*$C$6) + (1/AF9*$B$9*RvalConv*$C$9)</f>
        <v>39.409521141560006</v>
      </c>
      <c r="AG12" s="492">
        <f>(1/AG6*$B$6*RvalConv*$C$6) + (1/AG9*$B$9*RvalConv*$C$9)</f>
        <v>39.409521141560006</v>
      </c>
      <c r="AH12" s="492">
        <f>(1/AH6*$B$6*RvalConv*$C$6) + (1/AH9*$B$9*RvalConv*$C$9)</f>
        <v>49.069358791400006</v>
      </c>
      <c r="AI12" s="492">
        <f>(1/AI6*$B$6*RvalConv*$C$6) + (1/AI9*$B$9*RvalConv*$C$9)</f>
        <v>49.069358791400006</v>
      </c>
      <c r="AJ12" s="492">
        <f>(1/AJ6*$B$6*RvalConv*$C$6) + (1/AJ9*$B$9*RvalConv*$C$9)</f>
        <v>39.409521141560006</v>
      </c>
      <c r="AK12" s="492">
        <f>(1/AK6*$B$6*RvalConv*$C$6) + (1/AK9*$B$9*RvalConv*$C$9)</f>
        <v>39.409521141560006</v>
      </c>
      <c r="AL12" s="492">
        <f>(1/AL6*$B$6*RvalConv*$C$6) + (1/AL9*$B$9*RvalConv*$C$9)</f>
        <v>39.409521141560006</v>
      </c>
      <c r="AM12" s="492">
        <f>(1/AM6*$B$6*RvalConv*$C$6) + (1/AM9*$B$9*RvalConv*$C$9)</f>
        <v>39.409521141560006</v>
      </c>
      <c r="AN12" s="492">
        <f>(1/AN6*$B$6*RvalConv*$C$6) + (1/AN9*$B$9*RvalConv*$C$9)</f>
        <v>39.409521141560006</v>
      </c>
      <c r="AO12" s="492">
        <f>(1/AO6*$B$6*RvalConv*$C$6) + (1/AO9*$B$9*RvalConv*$C$9)</f>
        <v>39.409521141560006</v>
      </c>
      <c r="AP12" s="492">
        <f>(1/AP6*$B$6*RvalConv*$C$6) + (1/AP9*$B$9*RvalConv*$C$9)</f>
        <v>39.409521141560006</v>
      </c>
      <c r="AQ12" s="492">
        <f>(1/AQ6*$B$6*RvalConv*$C$6) + (1/AQ9*$B$9*RvalConv*$C$9)</f>
        <v>39.409521141560006</v>
      </c>
      <c r="AR12" s="492">
        <f>(1/AR6*$B$6*RvalConv*$C$6) + (1/AR9*$B$9*RvalConv*$C$9)</f>
        <v>39.409521141560006</v>
      </c>
    </row>
    <row r="13" spans="1:44" ht="15" customHeight="1">
      <c r="A13" s="120" t="s">
        <v>550</v>
      </c>
      <c r="B13" s="135">
        <f>IF(B12=1, Geometry!D11,0)</f>
        <v>48.158398458931252</v>
      </c>
      <c r="C13" s="222" t="s">
        <v>131</v>
      </c>
      <c r="D13" s="489" t="s">
        <v>243</v>
      </c>
      <c r="E13" s="490" t="s">
        <v>241</v>
      </c>
      <c r="F13" s="491">
        <f>IF($B$12=0, 1/F8*$B$8*5.678*$C$8, $B$13*$K$59)</f>
        <v>69.829677765450313</v>
      </c>
      <c r="G13" s="491">
        <f t="shared" ref="G13:V13" si="9">IF($B$12=0, 1/G8*$B$8*5.678*$C$8, $B$13*$K$59)</f>
        <v>69.829677765450313</v>
      </c>
      <c r="H13" s="491">
        <f t="shared" si="9"/>
        <v>69.829677765450313</v>
      </c>
      <c r="I13" s="491">
        <f t="shared" si="9"/>
        <v>69.829677765450313</v>
      </c>
      <c r="J13" s="491">
        <f t="shared" si="9"/>
        <v>69.829677765450313</v>
      </c>
      <c r="K13" s="491">
        <f t="shared" si="9"/>
        <v>69.829677765450313</v>
      </c>
      <c r="L13" s="491">
        <f t="shared" si="9"/>
        <v>69.829677765450313</v>
      </c>
      <c r="M13" s="491">
        <f t="shared" si="9"/>
        <v>69.829677765450313</v>
      </c>
      <c r="N13" s="491">
        <f t="shared" si="9"/>
        <v>69.829677765450313</v>
      </c>
      <c r="O13" s="491">
        <f>IF($B$12=0, 1/O8*$B$8*5.678*$C$8, $B$13*$K$59)</f>
        <v>69.829677765450313</v>
      </c>
      <c r="P13" s="491">
        <f t="shared" si="9"/>
        <v>69.829677765450313</v>
      </c>
      <c r="Q13" s="491">
        <f t="shared" si="9"/>
        <v>69.829677765450313</v>
      </c>
      <c r="R13" s="491">
        <f t="shared" si="9"/>
        <v>69.829677765450313</v>
      </c>
      <c r="S13" s="491">
        <f t="shared" si="9"/>
        <v>69.829677765450313</v>
      </c>
      <c r="T13" s="491">
        <f t="shared" si="9"/>
        <v>69.829677765450313</v>
      </c>
      <c r="U13" s="491">
        <f t="shared" si="9"/>
        <v>69.829677765450313</v>
      </c>
      <c r="V13" s="491">
        <f t="shared" si="9"/>
        <v>69.829677765450313</v>
      </c>
      <c r="W13" s="200"/>
      <c r="X13" s="200"/>
      <c r="Y13" s="114" t="s">
        <v>560</v>
      </c>
      <c r="Z13" s="114"/>
      <c r="AA13" s="209" t="s">
        <v>964</v>
      </c>
      <c r="AB13" s="69" t="s">
        <v>241</v>
      </c>
      <c r="AC13" s="492">
        <f>1/AC7*$B$7*RvalConv*$C$7</f>
        <v>91.154431295999998</v>
      </c>
      <c r="AD13" s="492">
        <f>1/AD7*$B$7*RvalConv*$C$7</f>
        <v>91.154431295999998</v>
      </c>
      <c r="AE13" s="492">
        <f>1/AE7*$B$7*RvalConv*$C$7</f>
        <v>91.154431295999998</v>
      </c>
      <c r="AF13" s="492">
        <f>1/AF7*$B$7*RvalConv*$C$7</f>
        <v>91.154431295999998</v>
      </c>
      <c r="AG13" s="492">
        <f>1/AG7*$B$7*RvalConv*$C$7</f>
        <v>91.154431295999998</v>
      </c>
      <c r="AH13" s="492">
        <f>1/AH7*$B$7*RvalConv*$C$7</f>
        <v>91.154431295999998</v>
      </c>
      <c r="AI13" s="492">
        <f>1/AI7*$B$7*RvalConv*$C$7</f>
        <v>91.154431295999998</v>
      </c>
      <c r="AJ13" s="492">
        <f>1/AJ7*$B$7*RvalConv*$C$7</f>
        <v>91.154431295999998</v>
      </c>
      <c r="AK13" s="492">
        <f>1/AK7*$B$7*RvalConv*$C$7</f>
        <v>91.154431295999998</v>
      </c>
      <c r="AL13" s="492">
        <f>1/AL7*$B$7*RvalConv*$C$7</f>
        <v>91.154431295999998</v>
      </c>
      <c r="AM13" s="492">
        <f>1/AM7*$B$7*RvalConv*$C$7</f>
        <v>91.154431295999998</v>
      </c>
      <c r="AN13" s="492">
        <f>1/AN7*$B$7*RvalConv*$C$7</f>
        <v>91.154431295999998</v>
      </c>
      <c r="AO13" s="492">
        <f>1/AO7*$B$7*RvalConv*$C$7</f>
        <v>91.154431295999998</v>
      </c>
      <c r="AP13" s="492">
        <f>1/AP7*$B$7*RvalConv*$C$7</f>
        <v>91.154431295999998</v>
      </c>
      <c r="AQ13" s="492">
        <f>1/AQ7*$B$7*RvalConv*$C$7</f>
        <v>91.154431295999998</v>
      </c>
      <c r="AR13" s="492">
        <f>1/AR7*$B$7*RvalConv*$C$7</f>
        <v>91.154431295999998</v>
      </c>
    </row>
    <row r="14" spans="1:44" ht="15" customHeight="1">
      <c r="A14" s="73"/>
      <c r="B14" s="73"/>
      <c r="D14" s="221" t="s">
        <v>244</v>
      </c>
      <c r="E14" s="493" t="s">
        <v>241</v>
      </c>
      <c r="F14" s="200">
        <f>1/F9*$B$9*5.678*$C$9</f>
        <v>4.2198895999999992</v>
      </c>
      <c r="G14" s="200">
        <f t="shared" ref="G14:V14" si="10">1/G9*$B$9*5.678*$C$9</f>
        <v>4.2198895999999992</v>
      </c>
      <c r="H14" s="200">
        <f t="shared" si="10"/>
        <v>4.2198895999999992</v>
      </c>
      <c r="I14" s="200">
        <f t="shared" si="10"/>
        <v>4.2198895999999992</v>
      </c>
      <c r="J14" s="200">
        <f t="shared" si="10"/>
        <v>4.2198895999999992</v>
      </c>
      <c r="K14" s="200">
        <f t="shared" si="10"/>
        <v>4.2198895999999992</v>
      </c>
      <c r="L14" s="200">
        <f t="shared" si="10"/>
        <v>4.2198895999999992</v>
      </c>
      <c r="M14" s="200">
        <f t="shared" si="10"/>
        <v>4.2198895999999992</v>
      </c>
      <c r="N14" s="200">
        <f t="shared" si="10"/>
        <v>4.2198895999999992</v>
      </c>
      <c r="O14" s="200">
        <f t="shared" si="10"/>
        <v>4.2198895999999992</v>
      </c>
      <c r="P14" s="200">
        <f t="shared" si="10"/>
        <v>4.2198895999999992</v>
      </c>
      <c r="Q14" s="200">
        <f t="shared" si="10"/>
        <v>4.2198895999999992</v>
      </c>
      <c r="R14" s="200">
        <f t="shared" si="10"/>
        <v>4.2198895999999992</v>
      </c>
      <c r="S14" s="200">
        <f t="shared" si="10"/>
        <v>4.2198895999999992</v>
      </c>
      <c r="T14" s="200">
        <f t="shared" si="10"/>
        <v>4.2198895999999992</v>
      </c>
      <c r="U14" s="200">
        <f t="shared" si="10"/>
        <v>4.2198895999999992</v>
      </c>
      <c r="V14" s="200">
        <f t="shared" si="10"/>
        <v>4.2198895999999992</v>
      </c>
      <c r="W14" s="200"/>
      <c r="X14" s="200"/>
      <c r="Y14" s="21" t="s">
        <v>745</v>
      </c>
      <c r="Z14" s="21"/>
      <c r="AA14" s="114" t="s">
        <v>963</v>
      </c>
      <c r="AB14" s="69" t="s">
        <v>241</v>
      </c>
      <c r="AC14" s="492">
        <f>(1/AC10*$B$8*RvalConv*$C$8) + IF($B$12=0,0,$B$13*$K$59)</f>
        <v>69.829677765450313</v>
      </c>
      <c r="AD14" s="492">
        <f>(1/AD10*$B$8*RvalConv*$C$8) + IF($B$12=0,0,$B$13*$K$59)</f>
        <v>69.829677765450313</v>
      </c>
      <c r="AE14" s="492">
        <f>(1/AE10*$B$8*RvalConv*$C$8) + IF($B$12=0,0,$B$13*$K$59)</f>
        <v>69.829677765450313</v>
      </c>
      <c r="AF14" s="492">
        <f>(1/AF10*$B$8*RvalConv*$C$8) + IF($B$12=0,0,$B$13*$K$59)</f>
        <v>69.829677765450313</v>
      </c>
      <c r="AG14" s="492">
        <f>(1/AG10*$B$8*RvalConv*$C$8) + IF($B$12=0,0,$B$13*$K$59)</f>
        <v>69.829677765450313</v>
      </c>
      <c r="AH14" s="492">
        <f>(1/AH10*$B$8*RvalConv*$C$8) + IF($B$12=0,0,$B$13*$K$59)</f>
        <v>69.829677765450313</v>
      </c>
      <c r="AI14" s="492">
        <f>(1/AI10*$B$8*RvalConv*$C$8) + IF($B$12=0,0,$B$13*$K$59)</f>
        <v>69.829677765450313</v>
      </c>
      <c r="AJ14" s="492">
        <f>(1/AJ10*$B$8*RvalConv*$C$8) + IF($B$12=0,0,$B$13*$K$59)</f>
        <v>69.829677765450313</v>
      </c>
      <c r="AK14" s="492">
        <f>(1/AK10*$B$8*RvalConv*$C$8) + IF($B$12=0,0,$B$13*$K$59)</f>
        <v>69.829677765450313</v>
      </c>
      <c r="AL14" s="492">
        <f>(1/AL10*$B$8*RvalConv*$C$8) + IF($B$12=0,0,$B$13*$K$59)</f>
        <v>69.829677765450313</v>
      </c>
      <c r="AM14" s="492">
        <f>(1/AM10*$B$8*RvalConv*$C$8) + IF($B$12=0,0,$B$13*$K$59)</f>
        <v>69.829677765450313</v>
      </c>
      <c r="AN14" s="492">
        <f>(1/AN10*$B$8*RvalConv*$C$8) + IF($B$12=0,0,$B$13*$K$59)</f>
        <v>69.829677765450313</v>
      </c>
      <c r="AO14" s="492">
        <f>(1/AO10*$B$8*RvalConv*$C$8) + IF($B$12=0,0,$B$13*$K$59)</f>
        <v>69.829677765450313</v>
      </c>
      <c r="AP14" s="492">
        <f>(1/AP10*$B$8*RvalConv*$C$8) + IF($B$12=0,0,$B$13*$K$59)</f>
        <v>69.829677765450313</v>
      </c>
      <c r="AQ14" s="492">
        <f>(1/AQ10*$B$8*RvalConv*$C$8) + IF($B$12=0,0,$B$13*$K$59)</f>
        <v>69.829677765450313</v>
      </c>
      <c r="AR14" s="492">
        <f>(1/AR10*$B$8*RvalConv*$C$8) + IF($B$12=0,0,$B$13*$K$59)</f>
        <v>69.829677765450313</v>
      </c>
    </row>
    <row r="15" spans="1:44" ht="15" customHeight="1">
      <c r="C15" s="222"/>
      <c r="D15" s="260" t="s">
        <v>245</v>
      </c>
      <c r="E15" s="261" t="s">
        <v>241</v>
      </c>
      <c r="F15" s="262">
        <f>IF($B$12=0,SUM(F11:F14),SUM(F10,F11,F12,F14))</f>
        <v>245.28250720852719</v>
      </c>
      <c r="G15" s="262">
        <f>IF($B$12=0,SUM(G11:G14),SUM(G10,G11,G12,G14))</f>
        <v>245.28250720852719</v>
      </c>
      <c r="H15" s="262">
        <f t="shared" ref="H15:V15" si="11">IF($B$12=0,SUM(H11:H14),SUM(H10,H11,H12,H14))</f>
        <v>245.28250720852719</v>
      </c>
      <c r="I15" s="262">
        <f t="shared" si="11"/>
        <v>198.22164154345029</v>
      </c>
      <c r="J15" s="262">
        <f t="shared" si="11"/>
        <v>198.22164154345029</v>
      </c>
      <c r="K15" s="262">
        <f t="shared" si="11"/>
        <v>198.22164154345029</v>
      </c>
      <c r="L15" s="262">
        <f t="shared" si="11"/>
        <v>198.22164154345029</v>
      </c>
      <c r="M15" s="262">
        <f t="shared" si="11"/>
        <v>198.22164154345029</v>
      </c>
      <c r="N15" s="262">
        <f t="shared" si="11"/>
        <v>189.67636510345031</v>
      </c>
      <c r="O15" s="262">
        <f t="shared" si="11"/>
        <v>189.67636510345031</v>
      </c>
      <c r="P15" s="262">
        <f t="shared" si="11"/>
        <v>189.67636510345031</v>
      </c>
      <c r="Q15" s="262">
        <f t="shared" si="11"/>
        <v>182.77648106785028</v>
      </c>
      <c r="R15" s="262">
        <f t="shared" si="11"/>
        <v>182.77648106785028</v>
      </c>
      <c r="S15" s="262">
        <f t="shared" si="11"/>
        <v>182.77648106785028</v>
      </c>
      <c r="T15" s="262">
        <f t="shared" si="11"/>
        <v>182.77648106785028</v>
      </c>
      <c r="U15" s="262">
        <f t="shared" si="11"/>
        <v>245.28250720852719</v>
      </c>
      <c r="V15" s="262">
        <f t="shared" si="11"/>
        <v>198.22164154345029</v>
      </c>
      <c r="W15" s="262"/>
      <c r="X15" s="262"/>
      <c r="Y15" s="21" t="s">
        <v>745</v>
      </c>
      <c r="Z15" s="21"/>
      <c r="AC15" s="30" t="s">
        <v>229</v>
      </c>
      <c r="AD15" s="186"/>
      <c r="AE15" s="186"/>
      <c r="AF15" s="186"/>
      <c r="AG15" s="186"/>
      <c r="AH15" s="186"/>
      <c r="AI15" s="186"/>
      <c r="AJ15" s="186"/>
      <c r="AK15" s="186"/>
      <c r="AL15" s="186"/>
    </row>
    <row r="16" spans="1:44" ht="15" customHeight="1">
      <c r="A16" s="21" t="s">
        <v>248</v>
      </c>
      <c r="C16" s="222"/>
      <c r="D16" s="260" t="s">
        <v>247</v>
      </c>
      <c r="E16" s="261" t="s">
        <v>241</v>
      </c>
      <c r="F16" s="262">
        <f>SUM(F11,F12,F14)</f>
        <v>175.45282944307689</v>
      </c>
      <c r="G16" s="262">
        <f t="shared" ref="G16:V16" si="12">SUM(G11,G12,G14)</f>
        <v>175.45282944307689</v>
      </c>
      <c r="H16" s="262">
        <f t="shared" si="12"/>
        <v>175.45282944307689</v>
      </c>
      <c r="I16" s="262">
        <f t="shared" si="12"/>
        <v>128.39196377799999</v>
      </c>
      <c r="J16" s="262">
        <f t="shared" si="12"/>
        <v>128.39196377799999</v>
      </c>
      <c r="K16" s="262">
        <f t="shared" si="12"/>
        <v>128.39196377799999</v>
      </c>
      <c r="L16" s="262">
        <f t="shared" si="12"/>
        <v>128.39196377799999</v>
      </c>
      <c r="M16" s="262">
        <f t="shared" si="12"/>
        <v>128.39196377799999</v>
      </c>
      <c r="N16" s="262">
        <f t="shared" si="12"/>
        <v>119.846687338</v>
      </c>
      <c r="O16" s="262">
        <f t="shared" si="12"/>
        <v>119.846687338</v>
      </c>
      <c r="P16" s="262">
        <f t="shared" si="12"/>
        <v>119.846687338</v>
      </c>
      <c r="Q16" s="262">
        <f t="shared" si="12"/>
        <v>112.9468033024</v>
      </c>
      <c r="R16" s="262">
        <f t="shared" si="12"/>
        <v>112.9468033024</v>
      </c>
      <c r="S16" s="262">
        <f t="shared" si="12"/>
        <v>112.9468033024</v>
      </c>
      <c r="T16" s="262">
        <f t="shared" si="12"/>
        <v>112.9468033024</v>
      </c>
      <c r="U16" s="262">
        <f t="shared" si="12"/>
        <v>175.45282944307689</v>
      </c>
      <c r="V16" s="262">
        <f t="shared" si="12"/>
        <v>128.39196377799999</v>
      </c>
      <c r="W16" s="262"/>
      <c r="X16" s="262"/>
      <c r="AC16" s="220">
        <v>1</v>
      </c>
      <c r="AD16" s="220">
        <v>2</v>
      </c>
      <c r="AE16" s="220">
        <v>3</v>
      </c>
      <c r="AF16" s="220">
        <v>4</v>
      </c>
      <c r="AG16" s="220">
        <v>5</v>
      </c>
      <c r="AH16" s="220">
        <v>6</v>
      </c>
      <c r="AI16" s="220">
        <v>7</v>
      </c>
      <c r="AJ16" s="220">
        <v>8</v>
      </c>
      <c r="AK16" s="220">
        <v>9</v>
      </c>
      <c r="AL16" s="220">
        <v>10</v>
      </c>
      <c r="AM16" s="220">
        <v>11</v>
      </c>
      <c r="AN16" s="220">
        <v>12</v>
      </c>
      <c r="AO16" s="220">
        <v>13</v>
      </c>
      <c r="AP16" s="220">
        <v>14</v>
      </c>
      <c r="AQ16" s="220">
        <v>15</v>
      </c>
      <c r="AR16" s="220">
        <v>16</v>
      </c>
    </row>
    <row r="17" spans="1:46" ht="15" customHeight="1">
      <c r="A17" s="114" t="s">
        <v>1369</v>
      </c>
      <c r="C17" s="222"/>
      <c r="D17" s="221"/>
      <c r="E17" s="221"/>
      <c r="F17" s="221">
        <f>1/F20</f>
        <v>3.3333333333333333E-2</v>
      </c>
      <c r="G17" s="221">
        <f t="shared" ref="G17:T17" si="13">1/G7</f>
        <v>0.4</v>
      </c>
      <c r="H17" s="221">
        <f t="shared" si="13"/>
        <v>0.4</v>
      </c>
      <c r="I17" s="221">
        <f t="shared" si="13"/>
        <v>0.3</v>
      </c>
      <c r="J17" s="221">
        <f t="shared" si="13"/>
        <v>0.3</v>
      </c>
      <c r="K17" s="221">
        <f t="shared" si="13"/>
        <v>0.3</v>
      </c>
      <c r="L17" s="221">
        <f t="shared" si="13"/>
        <v>0.3</v>
      </c>
      <c r="M17" s="221">
        <f t="shared" si="13"/>
        <v>0.3</v>
      </c>
      <c r="N17" s="221">
        <f t="shared" si="13"/>
        <v>0.27</v>
      </c>
      <c r="O17" s="221">
        <f t="shared" si="13"/>
        <v>0.27</v>
      </c>
      <c r="P17" s="221">
        <f t="shared" si="13"/>
        <v>0.27</v>
      </c>
      <c r="Q17" s="221">
        <f t="shared" si="13"/>
        <v>0.27</v>
      </c>
      <c r="R17" s="221">
        <f t="shared" si="13"/>
        <v>0.27</v>
      </c>
      <c r="S17" s="221">
        <f t="shared" si="13"/>
        <v>0.27</v>
      </c>
      <c r="T17" s="221">
        <f t="shared" si="13"/>
        <v>0.27</v>
      </c>
      <c r="U17" s="221"/>
      <c r="V17" s="221"/>
      <c r="W17" s="221"/>
      <c r="X17" s="221"/>
      <c r="AA17" s="187" t="s">
        <v>252</v>
      </c>
      <c r="AB17" s="69" t="s">
        <v>235</v>
      </c>
      <c r="AC17" s="186">
        <f>1/0.025</f>
        <v>40</v>
      </c>
      <c r="AD17" s="186">
        <f>1/0.025</f>
        <v>40</v>
      </c>
      <c r="AE17" s="186">
        <f>1/0.031</f>
        <v>32.258064516129032</v>
      </c>
      <c r="AF17" s="186">
        <f>1/0.025</f>
        <v>40</v>
      </c>
      <c r="AG17" s="186">
        <f t="shared" ref="AG17:AI17" si="14">1/0.031</f>
        <v>32.258064516129032</v>
      </c>
      <c r="AH17" s="186">
        <f t="shared" si="14"/>
        <v>32.258064516129032</v>
      </c>
      <c r="AI17" s="186">
        <f t="shared" si="14"/>
        <v>32.258064516129032</v>
      </c>
      <c r="AJ17" s="186">
        <f t="shared" ref="AJ17:AR17" si="15">1/0.025</f>
        <v>40</v>
      </c>
      <c r="AK17" s="186">
        <f t="shared" si="15"/>
        <v>40</v>
      </c>
      <c r="AL17" s="186">
        <f t="shared" si="15"/>
        <v>40</v>
      </c>
      <c r="AM17" s="186">
        <f t="shared" si="15"/>
        <v>40</v>
      </c>
      <c r="AN17" s="186">
        <f t="shared" si="15"/>
        <v>40</v>
      </c>
      <c r="AO17" s="186">
        <f t="shared" si="15"/>
        <v>40</v>
      </c>
      <c r="AP17" s="186">
        <f t="shared" si="15"/>
        <v>40</v>
      </c>
      <c r="AQ17" s="186">
        <f t="shared" si="15"/>
        <v>40</v>
      </c>
      <c r="AR17" s="186">
        <f t="shared" si="15"/>
        <v>40</v>
      </c>
      <c r="AS17" s="222" t="s">
        <v>1370</v>
      </c>
    </row>
    <row r="18" spans="1:46" ht="15" customHeight="1">
      <c r="A18" s="77" t="s">
        <v>249</v>
      </c>
      <c r="B18" s="75" t="s">
        <v>1371</v>
      </c>
      <c r="C18" s="76" t="s">
        <v>250</v>
      </c>
      <c r="D18" s="221"/>
      <c r="E18" s="221"/>
      <c r="F18" s="196" t="s">
        <v>229</v>
      </c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AA18" s="494" t="s">
        <v>1372</v>
      </c>
      <c r="AB18" s="495" t="s">
        <v>514</v>
      </c>
      <c r="AC18" s="496">
        <f>IF($A$20=1,AC17,AC17*(0.96-0.00347*AC17))/RvalConv</f>
        <v>7.0443618688692036</v>
      </c>
      <c r="AD18" s="496">
        <f>IF($A$20=1,AD17,AD17*(0.96-0.00347*AD17))/RvalConv</f>
        <v>7.0443618688692036</v>
      </c>
      <c r="AE18" s="496">
        <f>IF($A$20=1,AE17,AE17*(0.96-0.00347*AE17))/RvalConv</f>
        <v>5.6809369910235512</v>
      </c>
      <c r="AF18" s="496">
        <f>IF($A$20=1,AF17,AF17*(0.96-0.00347*AF17))/RvalConv</f>
        <v>7.0443618688692036</v>
      </c>
      <c r="AG18" s="496">
        <f>IF($A$20=1,AG17,AG17*(0.96-0.00347*AG17))/RvalConv</f>
        <v>5.6809369910235512</v>
      </c>
      <c r="AH18" s="496">
        <f>IF($A$20=1,AH17,AH17*(0.96-0.00347*AH17))/RvalConv</f>
        <v>5.6809369910235512</v>
      </c>
      <c r="AI18" s="496">
        <f>IF($A$20=1,AI17,AI17*(0.96-0.00347*AI17))/RvalConv</f>
        <v>5.6809369910235512</v>
      </c>
      <c r="AJ18" s="496">
        <f>IF($A$20=1,AJ17,AJ17*(0.96-0.00347*AJ17))/RvalConv</f>
        <v>7.0443618688692036</v>
      </c>
      <c r="AK18" s="496">
        <f>IF($A$20=1,AK17,AK17*(0.96-0.00347*AK17))/RvalConv</f>
        <v>7.0443618688692036</v>
      </c>
      <c r="AL18" s="496">
        <f>IF($A$20=1,AL17,AL17*(0.96-0.00347*AL17))/RvalConv</f>
        <v>7.0443618688692036</v>
      </c>
      <c r="AM18" s="496">
        <f>IF($A$20=1,AM17,AM17*(0.96-0.00347*AM17))/RvalConv</f>
        <v>7.0443618688692036</v>
      </c>
      <c r="AN18" s="496">
        <f>IF($A$20=1,AN17,AN17*(0.96-0.00347*AN17))/RvalConv</f>
        <v>7.0443618688692036</v>
      </c>
      <c r="AO18" s="496">
        <f>IF($A$20=1,AO17,AO17*(0.96-0.00347*AO17))/RvalConv</f>
        <v>7.0443618688692036</v>
      </c>
      <c r="AP18" s="496">
        <f>IF($A$20=1,AP17,AP17*(0.96-0.00347*AP17))/RvalConv</f>
        <v>7.0443618688692036</v>
      </c>
      <c r="AQ18" s="496">
        <f>IF($A$20=1,AQ17,AQ17*(0.96-0.00347*AQ17))/RvalConv</f>
        <v>7.0443618688692036</v>
      </c>
      <c r="AR18" s="496">
        <f>IF($A$20=1,AR17,AR17*(0.96-0.00347*AR17))/RvalConv</f>
        <v>7.0443618688692036</v>
      </c>
    </row>
    <row r="19" spans="1:46" ht="15" customHeight="1">
      <c r="A19" s="78" t="s">
        <v>251</v>
      </c>
      <c r="B19" s="73" t="s">
        <v>11</v>
      </c>
      <c r="C19" s="69" t="s">
        <v>11</v>
      </c>
      <c r="D19" s="497" t="s">
        <v>232</v>
      </c>
      <c r="E19" s="498" t="s">
        <v>169</v>
      </c>
      <c r="F19" s="194" t="s">
        <v>626</v>
      </c>
      <c r="G19" s="194" t="s">
        <v>575</v>
      </c>
      <c r="H19" s="194" t="s">
        <v>576</v>
      </c>
      <c r="I19" s="194" t="s">
        <v>577</v>
      </c>
      <c r="J19" s="194" t="s">
        <v>578</v>
      </c>
      <c r="K19" s="194" t="s">
        <v>579</v>
      </c>
      <c r="L19" s="194" t="s">
        <v>580</v>
      </c>
      <c r="M19" s="194" t="s">
        <v>581</v>
      </c>
      <c r="N19" s="194" t="s">
        <v>582</v>
      </c>
      <c r="O19" s="194" t="s">
        <v>583</v>
      </c>
      <c r="P19" s="194" t="s">
        <v>584</v>
      </c>
      <c r="Q19" s="194" t="s">
        <v>585</v>
      </c>
      <c r="R19" s="194" t="s">
        <v>586</v>
      </c>
      <c r="S19" s="194">
        <v>7</v>
      </c>
      <c r="T19" s="194">
        <v>8</v>
      </c>
      <c r="U19" s="194" t="s">
        <v>805</v>
      </c>
      <c r="V19" s="194" t="s">
        <v>806</v>
      </c>
      <c r="W19" s="194"/>
      <c r="X19" s="194"/>
      <c r="AA19" s="494" t="s">
        <v>1373</v>
      </c>
      <c r="AB19" s="495" t="s">
        <v>514</v>
      </c>
      <c r="AC19" s="496">
        <f>IF($A$21=1,AC17,AC17*(0.96-0.00347*AC17))/RvalConv</f>
        <v>7.0443618688692036</v>
      </c>
      <c r="AD19" s="496">
        <f>IF($A$21=1,AD17,AD17*(0.96-0.00347*AD17))/RvalConv</f>
        <v>7.0443618688692036</v>
      </c>
      <c r="AE19" s="496">
        <f>IF($A$21=1,AE17,AE17*(0.96-0.00347*AE17))/RvalConv</f>
        <v>5.6809369910235512</v>
      </c>
      <c r="AF19" s="496">
        <f>IF($A$21=1,AF17,AF17*(0.96-0.00347*AF17))/RvalConv</f>
        <v>7.0443618688692036</v>
      </c>
      <c r="AG19" s="496">
        <f>IF($A$21=1,AG17,AG17*(0.96-0.00347*AG17))/RvalConv</f>
        <v>5.6809369910235512</v>
      </c>
      <c r="AH19" s="496">
        <f>IF($A$21=1,AH17,AH17*(0.96-0.00347*AH17))/RvalConv</f>
        <v>5.6809369910235512</v>
      </c>
      <c r="AI19" s="496">
        <f>IF($A$21=1,AI17,AI17*(0.96-0.00347*AI17))/RvalConv</f>
        <v>5.6809369910235512</v>
      </c>
      <c r="AJ19" s="496">
        <f>IF($A$21=1,AJ17,AJ17*(0.96-0.00347*AJ17))/RvalConv</f>
        <v>7.0443618688692036</v>
      </c>
      <c r="AK19" s="496">
        <f>IF($A$21=1,AK17,AK17*(0.96-0.00347*AK17))/RvalConv</f>
        <v>7.0443618688692036</v>
      </c>
      <c r="AL19" s="496">
        <f>IF($A$21=1,AL17,AL17*(0.96-0.00347*AL17))/RvalConv</f>
        <v>7.0443618688692036</v>
      </c>
      <c r="AM19" s="496">
        <f>IF($A$21=1,AM17,AM17*(0.96-0.00347*AM17))/RvalConv</f>
        <v>7.0443618688692036</v>
      </c>
      <c r="AN19" s="496">
        <f>IF($A$21=1,AN17,AN17*(0.96-0.00347*AN17))/RvalConv</f>
        <v>7.0443618688692036</v>
      </c>
      <c r="AO19" s="496">
        <f>IF($A$21=1,AO17,AO17*(0.96-0.00347*AO17))/RvalConv</f>
        <v>7.0443618688692036</v>
      </c>
      <c r="AP19" s="496">
        <f>IF($A$21=1,AP17,AP17*(0.96-0.00347*AP17))/RvalConv</f>
        <v>7.0443618688692036</v>
      </c>
      <c r="AQ19" s="496">
        <f>IF($A$21=1,AQ17,AQ17*(0.96-0.00347*AQ17))/RvalConv</f>
        <v>7.0443618688692036</v>
      </c>
      <c r="AR19" s="496">
        <f>IF($A$21=1,AR17,AR17*(0.96-0.00347*AR17))/RvalConv</f>
        <v>7.0443618688692036</v>
      </c>
    </row>
    <row r="20" spans="1:46" ht="15" customHeight="1">
      <c r="A20" s="499">
        <v>1</v>
      </c>
      <c r="B20" s="212">
        <f>IF(A20=1,0.01,0.02)</f>
        <v>0.01</v>
      </c>
      <c r="C20" s="183">
        <f>A_ceilingSI</f>
        <v>134.70499999999998</v>
      </c>
      <c r="D20" s="500" t="s">
        <v>252</v>
      </c>
      <c r="E20" s="488" t="s">
        <v>235</v>
      </c>
      <c r="F20" s="148">
        <f>F74</f>
        <v>30</v>
      </c>
      <c r="G20" s="148">
        <f t="shared" ref="G20:T20" si="16">G74</f>
        <v>38</v>
      </c>
      <c r="H20" s="148">
        <f t="shared" si="16"/>
        <v>38</v>
      </c>
      <c r="I20" s="148">
        <f t="shared" si="16"/>
        <v>38</v>
      </c>
      <c r="J20" s="148">
        <f t="shared" si="16"/>
        <v>38</v>
      </c>
      <c r="K20" s="148">
        <f t="shared" si="16"/>
        <v>38</v>
      </c>
      <c r="L20" s="148">
        <f t="shared" si="16"/>
        <v>49</v>
      </c>
      <c r="M20" s="148">
        <f t="shared" si="16"/>
        <v>49</v>
      </c>
      <c r="N20" s="148">
        <f t="shared" si="16"/>
        <v>49</v>
      </c>
      <c r="O20" s="148">
        <f t="shared" si="16"/>
        <v>49</v>
      </c>
      <c r="P20" s="148">
        <f t="shared" si="16"/>
        <v>49</v>
      </c>
      <c r="Q20" s="148">
        <f t="shared" si="16"/>
        <v>49</v>
      </c>
      <c r="R20" s="148">
        <f t="shared" si="16"/>
        <v>49</v>
      </c>
      <c r="S20" s="148">
        <f t="shared" si="16"/>
        <v>49</v>
      </c>
      <c r="T20" s="148">
        <f t="shared" si="16"/>
        <v>49</v>
      </c>
      <c r="U20" s="200">
        <f>G20</f>
        <v>38</v>
      </c>
      <c r="V20" s="200">
        <f>I20</f>
        <v>38</v>
      </c>
      <c r="W20" s="148"/>
      <c r="X20" s="148"/>
      <c r="AC20" s="186"/>
      <c r="AD20" s="186"/>
      <c r="AE20" s="186"/>
      <c r="AF20" s="186"/>
      <c r="AG20" s="186"/>
      <c r="AH20" s="186"/>
      <c r="AI20" s="186"/>
      <c r="AJ20" s="114"/>
      <c r="AK20" s="186"/>
      <c r="AL20" s="186"/>
      <c r="AM20" s="186"/>
      <c r="AN20" s="186"/>
      <c r="AO20" s="186"/>
      <c r="AP20" s="186"/>
      <c r="AQ20" s="186"/>
    </row>
    <row r="21" spans="1:46" ht="15" customHeight="1">
      <c r="A21" s="147">
        <v>1</v>
      </c>
      <c r="B21" s="109">
        <f>IF(A21=1,0.02,0.005)</f>
        <v>0.02</v>
      </c>
      <c r="C21" s="183">
        <f>A_ceilingSI</f>
        <v>134.70499999999998</v>
      </c>
      <c r="D21" s="260" t="s">
        <v>1372</v>
      </c>
      <c r="E21" s="501" t="s">
        <v>514</v>
      </c>
      <c r="F21" s="502">
        <f>(1/F20+$B$20)^-1/5.678</f>
        <v>4.0642696507437615</v>
      </c>
      <c r="G21" s="503">
        <f t="shared" ref="G21:T21" si="17">(1/G20+$B$20)^-1/5.678</f>
        <v>4.849635766829512</v>
      </c>
      <c r="H21" s="503">
        <f t="shared" si="17"/>
        <v>4.849635766829512</v>
      </c>
      <c r="I21" s="503">
        <f t="shared" si="17"/>
        <v>4.849635766829512</v>
      </c>
      <c r="J21" s="503">
        <f t="shared" si="17"/>
        <v>4.849635766829512</v>
      </c>
      <c r="K21" s="503">
        <f t="shared" si="17"/>
        <v>4.849635766829512</v>
      </c>
      <c r="L21" s="503">
        <f t="shared" si="17"/>
        <v>5.7918115604558755</v>
      </c>
      <c r="M21" s="503">
        <f t="shared" si="17"/>
        <v>5.7918115604558755</v>
      </c>
      <c r="N21" s="503">
        <f t="shared" si="17"/>
        <v>5.7918115604558755</v>
      </c>
      <c r="O21" s="503">
        <f t="shared" si="17"/>
        <v>5.7918115604558755</v>
      </c>
      <c r="P21" s="503">
        <f t="shared" si="17"/>
        <v>5.7918115604558755</v>
      </c>
      <c r="Q21" s="503">
        <f t="shared" si="17"/>
        <v>5.7918115604558755</v>
      </c>
      <c r="R21" s="503">
        <f t="shared" si="17"/>
        <v>5.7918115604558755</v>
      </c>
      <c r="S21" s="503">
        <f t="shared" si="17"/>
        <v>5.7918115604558755</v>
      </c>
      <c r="T21" s="503">
        <f t="shared" si="17"/>
        <v>5.7918115604558755</v>
      </c>
      <c r="U21" s="504">
        <f>G21</f>
        <v>4.849635766829512</v>
      </c>
      <c r="V21" s="504">
        <f>I21</f>
        <v>4.849635766829512</v>
      </c>
      <c r="W21" s="503"/>
      <c r="X21" s="503"/>
      <c r="AA21" s="222" t="s">
        <v>1374</v>
      </c>
      <c r="AB21" s="69" t="s">
        <v>235</v>
      </c>
      <c r="AC21" s="186">
        <v>0</v>
      </c>
      <c r="AD21" s="186">
        <v>0</v>
      </c>
      <c r="AE21" s="186">
        <v>0</v>
      </c>
      <c r="AF21" s="186">
        <v>13</v>
      </c>
      <c r="AG21" s="186">
        <v>0</v>
      </c>
      <c r="AH21" s="186">
        <v>0</v>
      </c>
      <c r="AI21" s="186">
        <v>0</v>
      </c>
      <c r="AJ21" s="186">
        <v>13</v>
      </c>
      <c r="AK21" s="186">
        <v>13</v>
      </c>
      <c r="AL21" s="186">
        <v>13</v>
      </c>
      <c r="AM21" s="186">
        <v>13</v>
      </c>
      <c r="AN21" s="186">
        <v>13</v>
      </c>
      <c r="AO21" s="186">
        <v>13</v>
      </c>
      <c r="AP21" s="186">
        <v>13</v>
      </c>
      <c r="AQ21" s="186">
        <v>13</v>
      </c>
      <c r="AR21" s="186">
        <v>13</v>
      </c>
    </row>
    <row r="22" spans="1:46" ht="15" customHeight="1">
      <c r="C22" s="222"/>
      <c r="D22" s="260" t="s">
        <v>1373</v>
      </c>
      <c r="E22" s="501" t="s">
        <v>514</v>
      </c>
      <c r="F22" s="502">
        <f>(1/F20+$B$21)^-1/5.678</f>
        <v>3.3022190912293063</v>
      </c>
      <c r="G22" s="503">
        <f t="shared" ref="G22:T22" si="18">(1/G20+$B$21)^-1/5.678</f>
        <v>3.8025553171731401</v>
      </c>
      <c r="H22" s="503">
        <f t="shared" si="18"/>
        <v>3.8025553171731401</v>
      </c>
      <c r="I22" s="503">
        <f t="shared" si="18"/>
        <v>3.8025553171731401</v>
      </c>
      <c r="J22" s="503">
        <f t="shared" si="18"/>
        <v>3.8025553171731401</v>
      </c>
      <c r="K22" s="503">
        <f t="shared" si="18"/>
        <v>3.8025553171731401</v>
      </c>
      <c r="L22" s="503">
        <f t="shared" si="18"/>
        <v>4.358484457110734</v>
      </c>
      <c r="M22" s="503">
        <f t="shared" si="18"/>
        <v>4.358484457110734</v>
      </c>
      <c r="N22" s="503">
        <f t="shared" si="18"/>
        <v>4.358484457110734</v>
      </c>
      <c r="O22" s="503">
        <f t="shared" si="18"/>
        <v>4.358484457110734</v>
      </c>
      <c r="P22" s="503">
        <f t="shared" si="18"/>
        <v>4.358484457110734</v>
      </c>
      <c r="Q22" s="503">
        <f t="shared" si="18"/>
        <v>4.358484457110734</v>
      </c>
      <c r="R22" s="503">
        <f t="shared" si="18"/>
        <v>4.358484457110734</v>
      </c>
      <c r="S22" s="503">
        <f t="shared" si="18"/>
        <v>4.358484457110734</v>
      </c>
      <c r="T22" s="503">
        <f t="shared" si="18"/>
        <v>4.358484457110734</v>
      </c>
      <c r="U22" s="504">
        <f>G22</f>
        <v>3.8025553171731401</v>
      </c>
      <c r="V22" s="504">
        <f>I22</f>
        <v>3.8025553171731401</v>
      </c>
      <c r="W22" s="503"/>
      <c r="X22" s="503"/>
      <c r="AA22" s="222" t="s">
        <v>1375</v>
      </c>
      <c r="AB22" s="69" t="s">
        <v>235</v>
      </c>
      <c r="AC22" s="186">
        <v>0</v>
      </c>
      <c r="AD22" s="186">
        <v>0</v>
      </c>
      <c r="AE22" s="186">
        <v>0</v>
      </c>
      <c r="AF22" s="186">
        <v>18</v>
      </c>
      <c r="AG22" s="186">
        <v>0</v>
      </c>
      <c r="AH22" s="186">
        <v>0</v>
      </c>
      <c r="AI22" s="186">
        <v>0</v>
      </c>
      <c r="AJ22" s="186">
        <v>18</v>
      </c>
      <c r="AK22" s="186">
        <v>18</v>
      </c>
      <c r="AL22" s="186">
        <v>18</v>
      </c>
      <c r="AM22" s="186">
        <v>18</v>
      </c>
      <c r="AN22" s="186">
        <v>18</v>
      </c>
      <c r="AO22" s="186">
        <v>18</v>
      </c>
      <c r="AP22" s="186">
        <v>18</v>
      </c>
      <c r="AQ22" s="186">
        <v>18</v>
      </c>
      <c r="AR22" s="186">
        <v>18</v>
      </c>
    </row>
    <row r="23" spans="1:46" ht="15" customHeight="1">
      <c r="A23" s="114" t="s">
        <v>1376</v>
      </c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AA23" s="222" t="s">
        <v>1377</v>
      </c>
      <c r="AB23" s="69" t="s">
        <v>235</v>
      </c>
      <c r="AC23" s="186">
        <v>0</v>
      </c>
      <c r="AD23" s="186">
        <v>0</v>
      </c>
      <c r="AE23" s="186">
        <v>0</v>
      </c>
      <c r="AF23" s="222">
        <v>6</v>
      </c>
      <c r="AG23" s="186">
        <v>0</v>
      </c>
      <c r="AH23" s="186">
        <v>0</v>
      </c>
      <c r="AI23" s="186">
        <v>0</v>
      </c>
      <c r="AJ23" s="222">
        <v>6</v>
      </c>
      <c r="AK23" s="222">
        <v>6</v>
      </c>
      <c r="AL23" s="222">
        <v>6</v>
      </c>
      <c r="AM23" s="222">
        <v>6</v>
      </c>
      <c r="AN23" s="222">
        <v>6</v>
      </c>
      <c r="AO23" s="222">
        <v>6</v>
      </c>
      <c r="AP23" s="222">
        <v>6</v>
      </c>
      <c r="AQ23" s="222">
        <v>6</v>
      </c>
      <c r="AR23" s="222">
        <v>6</v>
      </c>
    </row>
    <row r="24" spans="1:46" ht="15" customHeight="1">
      <c r="A24" s="113" t="s">
        <v>253</v>
      </c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AA24" s="222" t="s">
        <v>1378</v>
      </c>
      <c r="AB24" s="69" t="s">
        <v>235</v>
      </c>
      <c r="AC24" s="186">
        <v>0</v>
      </c>
      <c r="AD24" s="186">
        <v>0</v>
      </c>
      <c r="AE24" s="186">
        <v>0</v>
      </c>
      <c r="AF24" s="222">
        <v>8</v>
      </c>
      <c r="AG24" s="186">
        <v>0</v>
      </c>
      <c r="AH24" s="186">
        <v>0</v>
      </c>
      <c r="AI24" s="186">
        <v>0</v>
      </c>
      <c r="AJ24" s="222">
        <v>8</v>
      </c>
      <c r="AK24" s="222">
        <v>8</v>
      </c>
      <c r="AL24" s="222">
        <v>8</v>
      </c>
      <c r="AM24" s="222">
        <v>8</v>
      </c>
      <c r="AN24" s="222">
        <v>8</v>
      </c>
      <c r="AO24" s="222">
        <v>8</v>
      </c>
      <c r="AP24" s="222">
        <v>8</v>
      </c>
      <c r="AQ24" s="222">
        <v>8</v>
      </c>
      <c r="AR24" s="222">
        <v>8</v>
      </c>
    </row>
    <row r="25" spans="1:46" ht="15" customHeight="1">
      <c r="A25" s="222">
        <v>5.6783000000000001</v>
      </c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AA25" s="222" t="s">
        <v>1379</v>
      </c>
      <c r="AB25" s="69" t="s">
        <v>235</v>
      </c>
      <c r="AC25" s="222">
        <v>0</v>
      </c>
      <c r="AD25" s="222">
        <v>0</v>
      </c>
      <c r="AE25" s="222">
        <v>0</v>
      </c>
      <c r="AF25" s="222">
        <v>0</v>
      </c>
      <c r="AG25" s="222">
        <v>0</v>
      </c>
      <c r="AH25" s="222">
        <v>0</v>
      </c>
      <c r="AI25" s="222">
        <v>0</v>
      </c>
      <c r="AJ25" s="222">
        <v>0</v>
      </c>
      <c r="AK25" s="222">
        <v>0</v>
      </c>
      <c r="AL25" s="222">
        <v>0</v>
      </c>
      <c r="AM25" s="222">
        <v>0</v>
      </c>
      <c r="AN25" s="222">
        <v>0</v>
      </c>
      <c r="AO25" s="222">
        <v>0</v>
      </c>
      <c r="AP25" s="222">
        <v>0</v>
      </c>
      <c r="AQ25" s="222">
        <v>0</v>
      </c>
      <c r="AR25" s="222">
        <v>0</v>
      </c>
      <c r="AT25" s="222" t="s">
        <v>1380</v>
      </c>
    </row>
    <row r="26" spans="1:46" ht="15" customHeight="1">
      <c r="A26" s="112" t="s">
        <v>254</v>
      </c>
      <c r="D26" s="221"/>
      <c r="E26" s="221"/>
      <c r="F26" s="196" t="s">
        <v>229</v>
      </c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AA26" s="231" t="s">
        <v>1374</v>
      </c>
      <c r="AB26" s="495" t="s">
        <v>514</v>
      </c>
      <c r="AC26" s="231">
        <f>IF($A$20=1,AC21,AC21*(0.96-0.00347*AC21))/RvalConv</f>
        <v>0</v>
      </c>
      <c r="AD26" s="231">
        <f>IF($A$20=1,AD21,AD21*(0.96-0.00347*AD21))/RvalConv</f>
        <v>0</v>
      </c>
      <c r="AE26" s="231">
        <f>IF($A$20=1,AE21,AE21*(0.96-0.00347*AE21))/RvalConv</f>
        <v>0</v>
      </c>
      <c r="AF26" s="231">
        <f>IF($A$20=1,AF21,AF21*(0.96-0.00347*AF21))/RvalConv</f>
        <v>2.2894176073824912</v>
      </c>
      <c r="AG26" s="231">
        <f>IF($A$20=1,AG21,AG21*(0.96-0.00347*AG21))/RvalConv</f>
        <v>0</v>
      </c>
      <c r="AH26" s="231">
        <f>IF($A$20=1,AH21,AH21*(0.96-0.00347*AH21))/RvalConv</f>
        <v>0</v>
      </c>
      <c r="AI26" s="231">
        <f>IF($A$20=1,AI21,AI21*(0.96-0.00347*AI21))/RvalConv</f>
        <v>0</v>
      </c>
      <c r="AJ26" s="231">
        <f>IF($A$20=1,AJ21,AJ21*(0.96-0.00347*AJ21))/RvalConv</f>
        <v>2.2894176073824912</v>
      </c>
      <c r="AK26" s="231">
        <f>IF($A$20=1,AK21,AK21*(0.96-0.00347*AK21))/RvalConv</f>
        <v>2.2894176073824912</v>
      </c>
      <c r="AL26" s="231">
        <f>IF($A$20=1,AL21,AL21*(0.96-0.00347*AL21))/RvalConv</f>
        <v>2.2894176073824912</v>
      </c>
      <c r="AM26" s="231">
        <f>IF($A$20=1,AM21,AM21*(0.96-0.00347*AM21))/RvalConv</f>
        <v>2.2894176073824912</v>
      </c>
      <c r="AN26" s="231">
        <f>IF($A$20=1,AN21,AN21*(0.96-0.00347*AN21))/RvalConv</f>
        <v>2.2894176073824912</v>
      </c>
      <c r="AO26" s="231">
        <f>IF($A$20=1,AO21,AO21*(0.96-0.00347*AO21))/RvalConv</f>
        <v>2.2894176073824912</v>
      </c>
      <c r="AP26" s="231">
        <f>IF($A$20=1,AP21,AP21*(0.96-0.00347*AP21))/RvalConv</f>
        <v>2.2894176073824912</v>
      </c>
      <c r="AQ26" s="231">
        <f>IF($A$20=1,AQ21,AQ21*(0.96-0.00347*AQ21))/RvalConv</f>
        <v>2.2894176073824912</v>
      </c>
      <c r="AR26" s="231">
        <f>IF($A$20=1,AR21,AR21*(0.96-0.00347*AR21))/RvalConv</f>
        <v>2.2894176073824912</v>
      </c>
    </row>
    <row r="27" spans="1:46" ht="15" customHeight="1">
      <c r="A27" s="183"/>
      <c r="B27" s="21" t="s">
        <v>553</v>
      </c>
      <c r="D27" s="497" t="s">
        <v>232</v>
      </c>
      <c r="E27" s="498"/>
      <c r="F27" s="194" t="s">
        <v>626</v>
      </c>
      <c r="G27" s="194" t="s">
        <v>575</v>
      </c>
      <c r="H27" s="194" t="s">
        <v>576</v>
      </c>
      <c r="I27" s="194" t="s">
        <v>577</v>
      </c>
      <c r="J27" s="194" t="s">
        <v>578</v>
      </c>
      <c r="K27" s="194" t="s">
        <v>579</v>
      </c>
      <c r="L27" s="194" t="s">
        <v>580</v>
      </c>
      <c r="M27" s="194" t="s">
        <v>581</v>
      </c>
      <c r="N27" s="194" t="s">
        <v>582</v>
      </c>
      <c r="O27" s="194" t="s">
        <v>583</v>
      </c>
      <c r="P27" s="194" t="s">
        <v>584</v>
      </c>
      <c r="Q27" s="194" t="s">
        <v>585</v>
      </c>
      <c r="R27" s="194" t="s">
        <v>586</v>
      </c>
      <c r="S27" s="194">
        <v>7</v>
      </c>
      <c r="T27" s="194">
        <v>8</v>
      </c>
      <c r="U27" s="194" t="s">
        <v>805</v>
      </c>
      <c r="V27" s="194" t="s">
        <v>806</v>
      </c>
      <c r="W27" s="194"/>
      <c r="X27" s="497"/>
      <c r="AA27" s="222" t="s">
        <v>1375</v>
      </c>
      <c r="AB27" s="501" t="s">
        <v>514</v>
      </c>
      <c r="AC27" s="222">
        <f>IF($A$20=1,AC22,AC22*(0.96-0.00347*AC22))/RvalConv</f>
        <v>0</v>
      </c>
      <c r="AD27" s="222">
        <f>IF($A$20=1,AD22,AD22*(0.96-0.00347*AD22))/RvalConv</f>
        <v>0</v>
      </c>
      <c r="AE27" s="222">
        <f>IF($A$20=1,AE22,AE22*(0.96-0.00347*AE22))/RvalConv</f>
        <v>0</v>
      </c>
      <c r="AF27" s="222">
        <f>IF($A$20=1,AF22,AF22*(0.96-0.00347*AF22))/RvalConv</f>
        <v>3.1699628409911416</v>
      </c>
      <c r="AG27" s="222">
        <f>IF($A$20=1,AG22,AG22*(0.96-0.00347*AG22))/RvalConv</f>
        <v>0</v>
      </c>
      <c r="AH27" s="222">
        <f>IF($A$20=1,AH22,AH22*(0.96-0.00347*AH22))/RvalConv</f>
        <v>0</v>
      </c>
      <c r="AI27" s="222">
        <f>IF($A$20=1,AI22,AI22*(0.96-0.00347*AI22))/RvalConv</f>
        <v>0</v>
      </c>
      <c r="AJ27" s="222">
        <f>IF($A$20=1,AJ22,AJ22*(0.96-0.00347*AJ22))/RvalConv</f>
        <v>3.1699628409911416</v>
      </c>
      <c r="AK27" s="222">
        <f>IF($A$20=1,AK22,AK22*(0.96-0.00347*AK22))/RvalConv</f>
        <v>3.1699628409911416</v>
      </c>
      <c r="AL27" s="222">
        <f>IF($A$20=1,AL22,AL22*(0.96-0.00347*AL22))/RvalConv</f>
        <v>3.1699628409911416</v>
      </c>
      <c r="AM27" s="222">
        <f>IF($A$20=1,AM22,AM22*(0.96-0.00347*AM22))/RvalConv</f>
        <v>3.1699628409911416</v>
      </c>
      <c r="AN27" s="222">
        <f>IF($A$20=1,AN22,AN22*(0.96-0.00347*AN22))/RvalConv</f>
        <v>3.1699628409911416</v>
      </c>
      <c r="AO27" s="222">
        <f>IF($A$20=1,AO22,AO22*(0.96-0.00347*AO22))/RvalConv</f>
        <v>3.1699628409911416</v>
      </c>
      <c r="AP27" s="222">
        <f>IF($A$20=1,AP22,AP22*(0.96-0.00347*AP22))/RvalConv</f>
        <v>3.1699628409911416</v>
      </c>
      <c r="AQ27" s="222">
        <f>IF($A$20=1,AQ22,AQ22*(0.96-0.00347*AQ22))/RvalConv</f>
        <v>3.1699628409911416</v>
      </c>
      <c r="AR27" s="222">
        <f>IF($A$20=1,AR22,AR22*(0.96-0.00347*AR22))/RvalConv</f>
        <v>3.1699628409911416</v>
      </c>
    </row>
    <row r="28" spans="1:46" ht="15" customHeight="1">
      <c r="A28" s="137" t="s">
        <v>551</v>
      </c>
      <c r="B28" s="138">
        <v>25.6</v>
      </c>
      <c r="C28" s="222"/>
      <c r="D28" s="221" t="s">
        <v>255</v>
      </c>
      <c r="E28" s="505" t="s">
        <v>11</v>
      </c>
      <c r="F28" s="506">
        <f>F85</f>
        <v>0.25</v>
      </c>
      <c r="G28" s="506">
        <f t="shared" ref="G28:M28" si="19">G85</f>
        <v>0.25</v>
      </c>
      <c r="H28" s="506">
        <f t="shared" si="19"/>
        <v>0.25</v>
      </c>
      <c r="I28" s="506">
        <f t="shared" si="19"/>
        <v>0.27</v>
      </c>
      <c r="J28" s="506">
        <f t="shared" si="19"/>
        <v>0.27</v>
      </c>
      <c r="K28" s="506">
        <f t="shared" si="19"/>
        <v>0.27</v>
      </c>
      <c r="L28" s="506">
        <f t="shared" si="19"/>
        <v>0.27</v>
      </c>
      <c r="M28" s="506">
        <f t="shared" si="19"/>
        <v>0.27</v>
      </c>
      <c r="N28" s="507">
        <v>0.3</v>
      </c>
      <c r="O28" s="507">
        <v>0.3</v>
      </c>
      <c r="P28" s="507">
        <v>0.3</v>
      </c>
      <c r="Q28" s="507">
        <v>0.3</v>
      </c>
      <c r="R28" s="507">
        <v>0.3</v>
      </c>
      <c r="S28" s="507">
        <v>0.3</v>
      </c>
      <c r="T28" s="191">
        <v>0.35</v>
      </c>
      <c r="U28" s="506">
        <f>G28</f>
        <v>0.25</v>
      </c>
      <c r="V28" s="506">
        <f>I28</f>
        <v>0.27</v>
      </c>
      <c r="W28" s="191"/>
      <c r="X28" s="191"/>
      <c r="AA28" s="222" t="s">
        <v>1377</v>
      </c>
      <c r="AB28" s="501" t="s">
        <v>514</v>
      </c>
      <c r="AC28" s="222">
        <f>IF($A$20=1,AC23,AC23*(0.96-0.00347*AC23))/RvalConv</f>
        <v>0</v>
      </c>
      <c r="AD28" s="222">
        <f>IF($A$20=1,AD23,AD23*(0.96-0.00347*AD23))/RvalConv</f>
        <v>0</v>
      </c>
      <c r="AE28" s="222">
        <f>IF($A$20=1,AE23,AE23*(0.96-0.00347*AE23))/RvalConv</f>
        <v>0</v>
      </c>
      <c r="AF28" s="222">
        <f>IF($A$20=1,AF23,AF23*(0.96-0.00347*AF23))/RvalConv</f>
        <v>1.0566542803303804</v>
      </c>
      <c r="AG28" s="222">
        <f>IF($A$20=1,AG23,AG23*(0.96-0.00347*AG23))/RvalConv</f>
        <v>0</v>
      </c>
      <c r="AH28" s="222">
        <f>IF($A$20=1,AH23,AH23*(0.96-0.00347*AH23))/RvalConv</f>
        <v>0</v>
      </c>
      <c r="AI28" s="222">
        <f>IF($A$20=1,AI23,AI23*(0.96-0.00347*AI23))/RvalConv</f>
        <v>0</v>
      </c>
      <c r="AJ28" s="222">
        <f>IF($A$20=1,AJ23,AJ23*(0.96-0.00347*AJ23))/RvalConv</f>
        <v>1.0566542803303804</v>
      </c>
      <c r="AK28" s="222">
        <f>IF($A$20=1,AK23,AK23*(0.96-0.00347*AK23))/RvalConv</f>
        <v>1.0566542803303804</v>
      </c>
      <c r="AL28" s="222">
        <f>IF($A$20=1,AL23,AL23*(0.96-0.00347*AL23))/RvalConv</f>
        <v>1.0566542803303804</v>
      </c>
      <c r="AM28" s="222">
        <f>IF($A$20=1,AM23,AM23*(0.96-0.00347*AM23))/RvalConv</f>
        <v>1.0566542803303804</v>
      </c>
      <c r="AN28" s="222">
        <f>IF($A$20=1,AN23,AN23*(0.96-0.00347*AN23))/RvalConv</f>
        <v>1.0566542803303804</v>
      </c>
      <c r="AO28" s="222">
        <f>IF($A$20=1,AO23,AO23*(0.96-0.00347*AO23))/RvalConv</f>
        <v>1.0566542803303804</v>
      </c>
      <c r="AP28" s="222">
        <f>IF($A$20=1,AP23,AP23*(0.96-0.00347*AP23))/RvalConv</f>
        <v>1.0566542803303804</v>
      </c>
      <c r="AQ28" s="222">
        <f>IF($A$20=1,AQ23,AQ23*(0.96-0.00347*AQ23))/RvalConv</f>
        <v>1.0566542803303804</v>
      </c>
      <c r="AR28" s="222">
        <f>IF($A$20=1,AR23,AR23*(0.96-0.00347*AR23))/RvalConv</f>
        <v>1.0566542803303804</v>
      </c>
    </row>
    <row r="29" spans="1:46" ht="15" customHeight="1">
      <c r="A29" s="183" t="s">
        <v>552</v>
      </c>
      <c r="B29" s="36">
        <v>20.7</v>
      </c>
      <c r="D29" s="140" t="s">
        <v>554</v>
      </c>
      <c r="E29" s="69"/>
      <c r="F29" s="197">
        <v>47</v>
      </c>
      <c r="G29" s="205">
        <v>32</v>
      </c>
      <c r="H29" s="205">
        <v>40</v>
      </c>
      <c r="I29" s="205">
        <v>21</v>
      </c>
      <c r="J29" s="205">
        <v>26</v>
      </c>
      <c r="K29" s="205">
        <v>40</v>
      </c>
      <c r="L29" s="205">
        <v>17</v>
      </c>
      <c r="M29" s="205">
        <v>20</v>
      </c>
      <c r="N29" s="205">
        <v>25</v>
      </c>
      <c r="O29" s="205">
        <v>1</v>
      </c>
      <c r="P29" s="205">
        <v>9</v>
      </c>
      <c r="Q29" s="205">
        <v>-4</v>
      </c>
      <c r="R29" s="205">
        <v>-10</v>
      </c>
      <c r="S29" s="205">
        <v>-15</v>
      </c>
      <c r="T29" s="197">
        <v>-47</v>
      </c>
      <c r="U29" s="197"/>
      <c r="V29" s="197"/>
      <c r="W29" s="197"/>
      <c r="X29" s="197"/>
      <c r="AA29" s="222" t="s">
        <v>1378</v>
      </c>
      <c r="AB29" s="501" t="s">
        <v>514</v>
      </c>
      <c r="AC29" s="222">
        <f>IF($A$20=1,AC24,AC24*(0.96-0.00347*AC24))/RvalConv</f>
        <v>0</v>
      </c>
      <c r="AD29" s="222">
        <f>IF($A$20=1,AD24,AD24*(0.96-0.00347*AD24))/RvalConv</f>
        <v>0</v>
      </c>
      <c r="AE29" s="222">
        <f>IF($A$20=1,AE24,AE24*(0.96-0.00347*AE24))/RvalConv</f>
        <v>0</v>
      </c>
      <c r="AF29" s="222">
        <f>IF($A$20=1,AF24,AF24*(0.96-0.00347*AF24))/RvalConv</f>
        <v>1.4088723737738407</v>
      </c>
      <c r="AG29" s="222">
        <f>IF($A$20=1,AG24,AG24*(0.96-0.00347*AG24))/RvalConv</f>
        <v>0</v>
      </c>
      <c r="AH29" s="222">
        <f>IF($A$20=1,AH24,AH24*(0.96-0.00347*AH24))/RvalConv</f>
        <v>0</v>
      </c>
      <c r="AI29" s="222">
        <f>IF($A$20=1,AI24,AI24*(0.96-0.00347*AI24))/RvalConv</f>
        <v>0</v>
      </c>
      <c r="AJ29" s="222">
        <f>IF($A$20=1,AJ24,AJ24*(0.96-0.00347*AJ24))/RvalConv</f>
        <v>1.4088723737738407</v>
      </c>
      <c r="AK29" s="222">
        <f>IF($A$20=1,AK24,AK24*(0.96-0.00347*AK24))/RvalConv</f>
        <v>1.4088723737738407</v>
      </c>
      <c r="AL29" s="222">
        <f>IF($A$20=1,AL24,AL24*(0.96-0.00347*AL24))/RvalConv</f>
        <v>1.4088723737738407</v>
      </c>
      <c r="AM29" s="222">
        <f>IF($A$20=1,AM24,AM24*(0.96-0.00347*AM24))/RvalConv</f>
        <v>1.4088723737738407</v>
      </c>
      <c r="AN29" s="222">
        <f>IF($A$20=1,AN24,AN24*(0.96-0.00347*AN24))/RvalConv</f>
        <v>1.4088723737738407</v>
      </c>
      <c r="AO29" s="222">
        <f>IF($A$20=1,AO24,AO24*(0.96-0.00347*AO24))/RvalConv</f>
        <v>1.4088723737738407</v>
      </c>
      <c r="AP29" s="222">
        <f>IF($A$20=1,AP24,AP24*(0.96-0.00347*AP24))/RvalConv</f>
        <v>1.4088723737738407</v>
      </c>
      <c r="AQ29" s="222">
        <f>IF($A$20=1,AQ24,AQ24*(0.96-0.00347*AQ24))/RvalConv</f>
        <v>1.4088723737738407</v>
      </c>
      <c r="AR29" s="222">
        <f>IF($A$20=1,AR24,AR24*(0.96-0.00347*AR24))/RvalConv</f>
        <v>1.4088723737738407</v>
      </c>
    </row>
    <row r="30" spans="1:46" ht="15" customHeight="1">
      <c r="A30" s="73"/>
      <c r="B30" s="36"/>
      <c r="D30" s="140" t="s">
        <v>555</v>
      </c>
      <c r="E30" s="141"/>
      <c r="F30" s="193">
        <f>(5/9)*(F29-32)</f>
        <v>8.3333333333333339</v>
      </c>
      <c r="G30" s="204">
        <v>0</v>
      </c>
      <c r="H30" s="204">
        <v>4.4444444444444446</v>
      </c>
      <c r="I30" s="208">
        <v>-6.1111111111111116</v>
      </c>
      <c r="J30" s="208">
        <v>-3.3333333333333335</v>
      </c>
      <c r="K30" s="208">
        <v>4.4444444444444446</v>
      </c>
      <c r="L30" s="208">
        <v>-8.3333333333333339</v>
      </c>
      <c r="M30" s="208">
        <v>-6.666666666666667</v>
      </c>
      <c r="N30" s="208">
        <v>-3.8888888888888893</v>
      </c>
      <c r="O30" s="208">
        <v>-17.222222222222221</v>
      </c>
      <c r="P30" s="208">
        <v>-12.777777777777779</v>
      </c>
      <c r="Q30" s="208">
        <v>-20</v>
      </c>
      <c r="R30" s="208">
        <v>-23.333333333333336</v>
      </c>
      <c r="S30" s="208">
        <v>-26.111111111111111</v>
      </c>
      <c r="T30" s="193">
        <f>(5/9)*(T29-32)</f>
        <v>-43.888888888888893</v>
      </c>
      <c r="U30" s="193"/>
      <c r="V30" s="193"/>
      <c r="W30" s="193"/>
      <c r="X30" s="193"/>
      <c r="AA30" s="222" t="s">
        <v>1379</v>
      </c>
      <c r="AB30" s="501" t="s">
        <v>514</v>
      </c>
      <c r="AC30" s="222">
        <f>IF($A$20=1,AC25,AC25*(0.96-0.00347*AC25))/RvalConv</f>
        <v>0</v>
      </c>
      <c r="AD30" s="222">
        <f>IF($A$20=1,AD25,AD25*(0.96-0.00347*AD25))/RvalConv</f>
        <v>0</v>
      </c>
      <c r="AE30" s="222">
        <f>IF($A$20=1,AE25,AE25*(0.96-0.00347*AE25))/RvalConv</f>
        <v>0</v>
      </c>
      <c r="AF30" s="222">
        <f>IF($A$20=1,AF25,AF25*(0.96-0.00347*AF25))/RvalConv</f>
        <v>0</v>
      </c>
      <c r="AG30" s="222">
        <f>IF($A$20=1,AG25,AG25*(0.96-0.00347*AG25))/RvalConv</f>
        <v>0</v>
      </c>
      <c r="AH30" s="222">
        <f>IF($A$20=1,AH25,AH25*(0.96-0.00347*AH25))/RvalConv</f>
        <v>0</v>
      </c>
      <c r="AI30" s="222">
        <f>IF($A$20=1,AI25,AI25*(0.96-0.00347*AI25))/RvalConv</f>
        <v>0</v>
      </c>
      <c r="AJ30" s="222">
        <f>IF($A$20=1,AJ25,AJ25*(0.96-0.00347*AJ25))/RvalConv</f>
        <v>0</v>
      </c>
      <c r="AK30" s="222">
        <f>IF($A$20=1,AK25,AK25*(0.96-0.00347*AK25))/RvalConv</f>
        <v>0</v>
      </c>
      <c r="AL30" s="222">
        <f>IF($A$20=1,AL25,AL25*(0.96-0.00347*AL25))/RvalConv</f>
        <v>0</v>
      </c>
      <c r="AM30" s="222">
        <f>IF($A$20=1,AM25,AM25*(0.96-0.00347*AM25))/RvalConv</f>
        <v>0</v>
      </c>
      <c r="AN30" s="222">
        <f>IF($A$20=1,AN25,AN25*(0.96-0.00347*AN25))/RvalConv</f>
        <v>0</v>
      </c>
      <c r="AO30" s="222">
        <f>IF($A$20=1,AO25,AO25*(0.96-0.00347*AO25))/RvalConv</f>
        <v>0</v>
      </c>
      <c r="AP30" s="222">
        <f>IF($A$20=1,AP25,AP25*(0.96-0.00347*AP25))/RvalConv</f>
        <v>0</v>
      </c>
      <c r="AQ30" s="222">
        <f>IF($A$20=1,AQ25,AQ25*(0.96-0.00347*AQ25))/RvalConv</f>
        <v>0</v>
      </c>
      <c r="AR30" s="222">
        <f>IF($A$20=1,AR25,AR25*(0.96-0.00347*AR25))/RvalConv</f>
        <v>0</v>
      </c>
    </row>
    <row r="31" spans="1:46" ht="15" customHeight="1">
      <c r="A31" s="136"/>
      <c r="B31" s="186"/>
      <c r="D31" s="143" t="s">
        <v>556</v>
      </c>
      <c r="E31" s="144"/>
      <c r="F31" s="198">
        <f>$B$29-F30</f>
        <v>12.366666666666665</v>
      </c>
      <c r="G31" s="207">
        <v>20.740738888888892</v>
      </c>
      <c r="H31" s="207">
        <v>16.296294444444449</v>
      </c>
      <c r="I31" s="207">
        <v>26.851850000000002</v>
      </c>
      <c r="J31" s="207">
        <v>24.074072222222224</v>
      </c>
      <c r="K31" s="207">
        <v>16.296294444444449</v>
      </c>
      <c r="L31" s="207">
        <v>29.074072222222227</v>
      </c>
      <c r="M31" s="207">
        <v>27.40740555555556</v>
      </c>
      <c r="N31" s="207">
        <v>24.629627777777781</v>
      </c>
      <c r="O31" s="207">
        <v>37.962961111111113</v>
      </c>
      <c r="P31" s="207">
        <v>33.51851666666667</v>
      </c>
      <c r="Q31" s="207">
        <v>40.740738888888892</v>
      </c>
      <c r="R31" s="207">
        <v>44.074072222222227</v>
      </c>
      <c r="S31" s="207">
        <v>46.851849999999999</v>
      </c>
      <c r="T31" s="198">
        <f>$B$29-T30</f>
        <v>64.588888888888889</v>
      </c>
      <c r="U31" s="198"/>
      <c r="V31" s="198"/>
      <c r="W31" s="198"/>
      <c r="X31" s="198"/>
    </row>
    <row r="32" spans="1:46" ht="15" customHeight="1">
      <c r="A32" s="136" t="s">
        <v>249</v>
      </c>
      <c r="B32" s="186" t="s">
        <v>686</v>
      </c>
      <c r="C32" s="186" t="s">
        <v>250</v>
      </c>
      <c r="D32" s="140" t="s">
        <v>557</v>
      </c>
      <c r="E32" s="145"/>
      <c r="F32" s="192">
        <v>90</v>
      </c>
      <c r="G32" s="206">
        <v>95</v>
      </c>
      <c r="H32" s="206">
        <v>108</v>
      </c>
      <c r="I32" s="206">
        <v>94</v>
      </c>
      <c r="J32" s="206">
        <v>99</v>
      </c>
      <c r="K32" s="206">
        <v>78</v>
      </c>
      <c r="L32" s="206">
        <v>91</v>
      </c>
      <c r="M32" s="206">
        <v>94</v>
      </c>
      <c r="N32" s="206">
        <v>87</v>
      </c>
      <c r="O32" s="206">
        <v>89</v>
      </c>
      <c r="P32" s="206">
        <v>94</v>
      </c>
      <c r="Q32" s="206">
        <v>85</v>
      </c>
      <c r="R32" s="206">
        <v>88</v>
      </c>
      <c r="S32" s="206">
        <v>81</v>
      </c>
      <c r="T32" s="192">
        <v>78</v>
      </c>
      <c r="U32" s="192"/>
      <c r="V32" s="192"/>
      <c r="W32" s="192"/>
      <c r="X32" s="192"/>
      <c r="AA32" s="222" t="s">
        <v>1381</v>
      </c>
      <c r="AC32" s="222">
        <v>0</v>
      </c>
      <c r="AD32" s="222">
        <v>1</v>
      </c>
      <c r="AE32" s="222">
        <v>1</v>
      </c>
      <c r="AF32" s="222">
        <v>1</v>
      </c>
      <c r="AG32" s="222">
        <v>1</v>
      </c>
      <c r="AH32" s="222">
        <v>1</v>
      </c>
      <c r="AI32" s="222">
        <v>1</v>
      </c>
      <c r="AJ32" s="222">
        <v>1</v>
      </c>
      <c r="AK32" s="222">
        <v>1</v>
      </c>
      <c r="AL32" s="222">
        <v>1</v>
      </c>
      <c r="AM32" s="222">
        <v>1</v>
      </c>
      <c r="AN32" s="222">
        <v>1</v>
      </c>
      <c r="AO32" s="222">
        <v>1</v>
      </c>
      <c r="AP32" s="222">
        <v>1</v>
      </c>
      <c r="AQ32" s="222">
        <v>1</v>
      </c>
      <c r="AR32" s="222">
        <v>0</v>
      </c>
    </row>
    <row r="33" spans="1:44" ht="15" customHeight="1">
      <c r="A33" s="222" t="s">
        <v>715</v>
      </c>
      <c r="D33" s="140" t="s">
        <v>558</v>
      </c>
      <c r="E33" s="183"/>
      <c r="F33" s="193">
        <f>(5/9)*(F32-32)</f>
        <v>32.222222222222221</v>
      </c>
      <c r="G33" s="204">
        <v>35</v>
      </c>
      <c r="H33" s="204">
        <v>42.222222222222221</v>
      </c>
      <c r="I33" s="204">
        <v>34.444444444444443</v>
      </c>
      <c r="J33" s="204">
        <v>37.222222222222221</v>
      </c>
      <c r="K33" s="204">
        <v>25.555555555555557</v>
      </c>
      <c r="L33" s="204">
        <v>32.777777777777779</v>
      </c>
      <c r="M33" s="204">
        <v>34.444444444444443</v>
      </c>
      <c r="N33" s="204">
        <v>30.555555555555557</v>
      </c>
      <c r="O33" s="204">
        <v>31.666666666666668</v>
      </c>
      <c r="P33" s="204">
        <v>34.444444444444443</v>
      </c>
      <c r="Q33" s="204">
        <v>29.444444444444446</v>
      </c>
      <c r="R33" s="204">
        <v>31.111111111111114</v>
      </c>
      <c r="S33" s="204">
        <v>27.222222222222225</v>
      </c>
      <c r="T33" s="193">
        <f>(5/9)*(T32-32)</f>
        <v>25.555555555555557</v>
      </c>
      <c r="U33" s="193"/>
      <c r="V33" s="193"/>
      <c r="W33" s="193"/>
      <c r="X33" s="193"/>
      <c r="AA33" s="222" t="s">
        <v>1382</v>
      </c>
      <c r="AC33" s="222">
        <v>0</v>
      </c>
      <c r="AD33" s="222">
        <v>1</v>
      </c>
      <c r="AE33" s="222">
        <v>1</v>
      </c>
      <c r="AF33" s="222">
        <v>0</v>
      </c>
      <c r="AG33" s="222">
        <v>1</v>
      </c>
      <c r="AH33" s="222">
        <v>1</v>
      </c>
      <c r="AI33" s="222">
        <v>1</v>
      </c>
      <c r="AJ33" s="222">
        <v>0</v>
      </c>
      <c r="AK33" s="222">
        <v>0</v>
      </c>
      <c r="AL33" s="222">
        <v>0</v>
      </c>
      <c r="AM33" s="222">
        <v>0</v>
      </c>
      <c r="AN33" s="222">
        <v>0</v>
      </c>
      <c r="AO33" s="222">
        <v>0</v>
      </c>
      <c r="AP33" s="222">
        <v>0</v>
      </c>
      <c r="AQ33" s="222">
        <v>0</v>
      </c>
      <c r="AR33" s="222">
        <v>0</v>
      </c>
    </row>
    <row r="34" spans="1:44" ht="15" customHeight="1">
      <c r="D34" s="143" t="s">
        <v>556</v>
      </c>
      <c r="E34" s="74"/>
      <c r="F34" s="198">
        <f>ABS($B$28-F33)</f>
        <v>6.62222222222222</v>
      </c>
      <c r="G34" s="207">
        <v>9.375</v>
      </c>
      <c r="H34" s="207">
        <v>16.597222222222221</v>
      </c>
      <c r="I34" s="207">
        <v>8.8194444444444429</v>
      </c>
      <c r="J34" s="207">
        <v>11.597222222222221</v>
      </c>
      <c r="K34" s="207">
        <v>6.9444444444442865E-2</v>
      </c>
      <c r="L34" s="207">
        <v>7.1527777777777786</v>
      </c>
      <c r="M34" s="207">
        <v>8.8194444444444429</v>
      </c>
      <c r="N34" s="207">
        <v>4.9305555555555571</v>
      </c>
      <c r="O34" s="207">
        <v>6.0416666666666679</v>
      </c>
      <c r="P34" s="207">
        <v>8.8194444444444429</v>
      </c>
      <c r="Q34" s="207">
        <v>3.8194444444444464</v>
      </c>
      <c r="R34" s="207">
        <v>5.4861111111111143</v>
      </c>
      <c r="S34" s="207">
        <v>1.597222222222225</v>
      </c>
      <c r="T34" s="198">
        <f>ABS($B$28-T33)</f>
        <v>4.4444444444444287E-2</v>
      </c>
      <c r="U34" s="198"/>
      <c r="V34" s="198"/>
      <c r="W34" s="198"/>
      <c r="X34" s="198"/>
      <c r="AA34" s="222" t="s">
        <v>1383</v>
      </c>
      <c r="AC34" s="222">
        <v>0</v>
      </c>
      <c r="AD34" s="222">
        <v>1</v>
      </c>
      <c r="AE34" s="222">
        <v>1</v>
      </c>
      <c r="AF34" s="222">
        <v>1</v>
      </c>
      <c r="AG34" s="222">
        <v>1</v>
      </c>
      <c r="AH34" s="222">
        <v>1</v>
      </c>
      <c r="AI34" s="222">
        <v>1</v>
      </c>
      <c r="AJ34" s="222">
        <v>1</v>
      </c>
      <c r="AK34" s="222">
        <v>1</v>
      </c>
      <c r="AL34" s="222">
        <v>1</v>
      </c>
      <c r="AM34" s="222">
        <v>1</v>
      </c>
      <c r="AN34" s="222">
        <v>1</v>
      </c>
      <c r="AO34" s="222">
        <v>1</v>
      </c>
      <c r="AP34" s="222">
        <v>1</v>
      </c>
      <c r="AQ34" s="222">
        <v>1</v>
      </c>
      <c r="AR34" s="222">
        <v>0</v>
      </c>
    </row>
    <row r="35" spans="1:44" ht="15" customHeight="1">
      <c r="D35" s="140" t="s">
        <v>559</v>
      </c>
      <c r="E35" s="69"/>
      <c r="F35" s="199">
        <f t="shared" ref="F35:T35" si="20">$B$13*$K$59*F31</f>
        <v>863.56034836606875</v>
      </c>
      <c r="G35" s="146">
        <f t="shared" si="20"/>
        <v>1448.3191132284553</v>
      </c>
      <c r="H35" s="146">
        <f t="shared" si="20"/>
        <v>1137.964989826454</v>
      </c>
      <c r="I35" s="146">
        <f t="shared" si="20"/>
        <v>1875.0560329062071</v>
      </c>
      <c r="J35" s="146">
        <f t="shared" si="20"/>
        <v>1681.0847057799563</v>
      </c>
      <c r="K35" s="146">
        <f t="shared" si="20"/>
        <v>1137.964989826454</v>
      </c>
      <c r="L35" s="146">
        <f t="shared" si="20"/>
        <v>2030.2330946072082</v>
      </c>
      <c r="M35" s="146">
        <f t="shared" si="20"/>
        <v>1913.8502983314575</v>
      </c>
      <c r="N35" s="146">
        <f t="shared" si="20"/>
        <v>1719.8789712052064</v>
      </c>
      <c r="O35" s="146">
        <f t="shared" si="20"/>
        <v>2650.9413414112105</v>
      </c>
      <c r="P35" s="146">
        <f t="shared" si="20"/>
        <v>2340.5872180092092</v>
      </c>
      <c r="Q35" s="146">
        <f t="shared" si="20"/>
        <v>2844.9126685374617</v>
      </c>
      <c r="R35" s="146">
        <f t="shared" si="20"/>
        <v>3077.6782610889627</v>
      </c>
      <c r="S35" s="146">
        <f t="shared" si="20"/>
        <v>3271.649588215213</v>
      </c>
      <c r="T35" s="199">
        <f t="shared" si="20"/>
        <v>4510.2212983395848</v>
      </c>
      <c r="U35" s="199"/>
      <c r="V35" s="199"/>
      <c r="W35" s="199"/>
      <c r="X35" s="199"/>
    </row>
    <row r="36" spans="1:44" ht="15" customHeight="1">
      <c r="D36" s="140"/>
      <c r="E36" s="69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4"/>
    </row>
    <row r="37" spans="1:44" ht="15" customHeight="1">
      <c r="A37" s="222" t="e">
        <f>(1/3.5*(C33*B33)+(1/F6*((1-B33)*C32)))</f>
        <v>#VALUE!</v>
      </c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</row>
    <row r="39" spans="1:44" ht="15" customHeight="1">
      <c r="D39" s="220" t="s">
        <v>232</v>
      </c>
      <c r="E39" s="68" t="s">
        <v>169</v>
      </c>
      <c r="F39" s="194" t="s">
        <v>626</v>
      </c>
      <c r="G39" s="225" t="s">
        <v>575</v>
      </c>
      <c r="H39" s="225" t="s">
        <v>576</v>
      </c>
      <c r="I39" s="225" t="s">
        <v>577</v>
      </c>
      <c r="J39" s="225" t="s">
        <v>578</v>
      </c>
      <c r="K39" s="225" t="s">
        <v>579</v>
      </c>
      <c r="L39" s="225" t="s">
        <v>580</v>
      </c>
      <c r="M39" s="225" t="s">
        <v>581</v>
      </c>
      <c r="N39" s="225" t="s">
        <v>582</v>
      </c>
      <c r="O39" s="225" t="s">
        <v>583</v>
      </c>
      <c r="P39" s="225" t="s">
        <v>584</v>
      </c>
      <c r="Q39" s="225" t="s">
        <v>585</v>
      </c>
      <c r="R39" s="225" t="s">
        <v>586</v>
      </c>
      <c r="S39" s="225">
        <v>7</v>
      </c>
      <c r="T39" s="194">
        <v>8</v>
      </c>
      <c r="U39" s="253"/>
      <c r="V39" s="253"/>
      <c r="W39" s="253"/>
      <c r="AC39" s="30" t="s">
        <v>229</v>
      </c>
      <c r="AD39" s="186"/>
      <c r="AE39" s="186"/>
      <c r="AF39" s="186"/>
      <c r="AG39" s="186"/>
      <c r="AH39" s="186"/>
      <c r="AI39" s="186"/>
      <c r="AJ39" s="186"/>
      <c r="AK39" s="186"/>
      <c r="AL39" s="186"/>
    </row>
    <row r="40" spans="1:44" ht="15" customHeight="1">
      <c r="D40" s="186" t="s">
        <v>234</v>
      </c>
      <c r="E40" s="69" t="s">
        <v>235</v>
      </c>
      <c r="F40" s="210">
        <v>13</v>
      </c>
      <c r="G40" s="201">
        <v>13</v>
      </c>
      <c r="H40" s="201">
        <v>13</v>
      </c>
      <c r="I40" s="201">
        <v>13</v>
      </c>
      <c r="J40" s="201">
        <v>13</v>
      </c>
      <c r="K40" s="201">
        <v>13</v>
      </c>
      <c r="L40" s="201">
        <v>13</v>
      </c>
      <c r="M40" s="201">
        <v>13</v>
      </c>
      <c r="N40" s="201">
        <v>20</v>
      </c>
      <c r="O40" s="201">
        <v>20</v>
      </c>
      <c r="P40" s="201">
        <v>20</v>
      </c>
      <c r="Q40" s="201">
        <v>20</v>
      </c>
      <c r="R40" s="201">
        <v>20</v>
      </c>
      <c r="S40" s="201">
        <v>21</v>
      </c>
      <c r="T40" s="210">
        <v>21</v>
      </c>
      <c r="U40" s="210"/>
      <c r="V40" s="210"/>
      <c r="W40" s="210"/>
      <c r="AC40" s="220">
        <v>1</v>
      </c>
      <c r="AD40" s="220">
        <v>2</v>
      </c>
      <c r="AE40" s="220">
        <v>3</v>
      </c>
      <c r="AF40" s="220">
        <v>4</v>
      </c>
      <c r="AG40" s="220">
        <v>5</v>
      </c>
      <c r="AH40" s="220">
        <v>6</v>
      </c>
      <c r="AI40" s="220">
        <v>7</v>
      </c>
      <c r="AJ40" s="220">
        <v>8</v>
      </c>
      <c r="AK40" s="220">
        <v>9</v>
      </c>
      <c r="AL40" s="220">
        <v>10</v>
      </c>
      <c r="AM40" s="220">
        <v>11</v>
      </c>
      <c r="AN40" s="220">
        <v>12</v>
      </c>
      <c r="AO40" s="220">
        <v>13</v>
      </c>
      <c r="AP40" s="220">
        <v>14</v>
      </c>
      <c r="AQ40" s="220">
        <v>15</v>
      </c>
      <c r="AR40" s="220">
        <v>16</v>
      </c>
    </row>
    <row r="41" spans="1:44" ht="15" customHeight="1">
      <c r="D41" s="186" t="s">
        <v>237</v>
      </c>
      <c r="E41" s="69" t="s">
        <v>235</v>
      </c>
      <c r="F41" s="210">
        <v>1.5</v>
      </c>
      <c r="G41" s="202">
        <v>1.5384615384615383</v>
      </c>
      <c r="H41" s="202">
        <v>1.5384615384615383</v>
      </c>
      <c r="I41" s="202">
        <v>2</v>
      </c>
      <c r="J41" s="202">
        <v>2</v>
      </c>
      <c r="K41" s="202">
        <v>2</v>
      </c>
      <c r="L41" s="202">
        <v>2.8571428571428572</v>
      </c>
      <c r="M41" s="202">
        <v>2.8571428571428572</v>
      </c>
      <c r="N41" s="202">
        <v>2.8571428571428572</v>
      </c>
      <c r="O41" s="202">
        <v>2.8571428571428572</v>
      </c>
      <c r="P41" s="202">
        <v>2.8571428571428572</v>
      </c>
      <c r="Q41" s="202">
        <v>2.8571428571428572</v>
      </c>
      <c r="R41" s="202">
        <v>2.8571428571428572</v>
      </c>
      <c r="S41" s="202">
        <v>2.8571428571428572</v>
      </c>
      <c r="T41" s="210">
        <v>2.9</v>
      </c>
      <c r="U41" s="210"/>
      <c r="V41" s="210"/>
      <c r="W41" s="210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</row>
    <row r="42" spans="1:44" ht="15" customHeight="1">
      <c r="D42" s="186" t="s">
        <v>239</v>
      </c>
      <c r="E42" s="69" t="s">
        <v>235</v>
      </c>
      <c r="F42" s="210">
        <v>13</v>
      </c>
      <c r="G42" s="201">
        <v>13</v>
      </c>
      <c r="H42" s="201">
        <v>13</v>
      </c>
      <c r="I42" s="201">
        <v>19</v>
      </c>
      <c r="J42" s="201">
        <v>19</v>
      </c>
      <c r="K42" s="201">
        <v>19</v>
      </c>
      <c r="L42" s="201">
        <v>19</v>
      </c>
      <c r="M42" s="201">
        <v>19</v>
      </c>
      <c r="N42" s="201">
        <v>19</v>
      </c>
      <c r="O42" s="201">
        <v>30</v>
      </c>
      <c r="P42" s="201">
        <v>30</v>
      </c>
      <c r="Q42" s="201">
        <v>30</v>
      </c>
      <c r="R42" s="201">
        <v>30</v>
      </c>
      <c r="S42" s="201">
        <v>38</v>
      </c>
      <c r="T42" s="210">
        <v>38</v>
      </c>
      <c r="U42" s="210"/>
      <c r="V42" s="210"/>
      <c r="W42" s="210"/>
      <c r="AC42" s="37">
        <v>0.4</v>
      </c>
      <c r="AD42" s="37">
        <v>0.4</v>
      </c>
      <c r="AE42" s="37">
        <v>0.4</v>
      </c>
      <c r="AF42" s="37">
        <v>0.4</v>
      </c>
      <c r="AG42" s="37">
        <v>0.4</v>
      </c>
      <c r="AH42" s="37">
        <v>0.4</v>
      </c>
      <c r="AI42" s="37">
        <v>0.4</v>
      </c>
      <c r="AJ42" s="37">
        <v>0.4</v>
      </c>
      <c r="AK42" s="37">
        <v>0.4</v>
      </c>
      <c r="AL42" s="37">
        <v>0.4</v>
      </c>
      <c r="AM42" s="37">
        <v>0.4</v>
      </c>
      <c r="AN42" s="37">
        <v>0.4</v>
      </c>
      <c r="AO42" s="37">
        <v>0.4</v>
      </c>
      <c r="AP42" s="37">
        <v>0.4</v>
      </c>
      <c r="AQ42" s="37">
        <v>0.4</v>
      </c>
      <c r="AR42" s="37">
        <v>0.4</v>
      </c>
    </row>
    <row r="43" spans="1:44" ht="15" customHeight="1">
      <c r="D43" s="186" t="s">
        <v>571</v>
      </c>
      <c r="E43" s="69" t="s">
        <v>241</v>
      </c>
      <c r="F43" s="195">
        <f t="shared" ref="F43:T43" si="21">$B$13*$K$59</f>
        <v>69.829677765450313</v>
      </c>
      <c r="G43" s="115">
        <f t="shared" si="21"/>
        <v>69.829677765450313</v>
      </c>
      <c r="H43" s="115">
        <f t="shared" si="21"/>
        <v>69.829677765450313</v>
      </c>
      <c r="I43" s="115">
        <f t="shared" si="21"/>
        <v>69.829677765450313</v>
      </c>
      <c r="J43" s="115">
        <f t="shared" si="21"/>
        <v>69.829677765450313</v>
      </c>
      <c r="K43" s="115">
        <f t="shared" si="21"/>
        <v>69.829677765450313</v>
      </c>
      <c r="L43" s="115">
        <f t="shared" si="21"/>
        <v>69.829677765450313</v>
      </c>
      <c r="M43" s="115">
        <f t="shared" si="21"/>
        <v>69.829677765450313</v>
      </c>
      <c r="N43" s="115">
        <f t="shared" si="21"/>
        <v>69.829677765450313</v>
      </c>
      <c r="O43" s="115">
        <f t="shared" si="21"/>
        <v>69.829677765450313</v>
      </c>
      <c r="P43" s="115">
        <f t="shared" si="21"/>
        <v>69.829677765450313</v>
      </c>
      <c r="Q43" s="115">
        <f t="shared" si="21"/>
        <v>69.829677765450313</v>
      </c>
      <c r="R43" s="115">
        <f t="shared" si="21"/>
        <v>69.829677765450313</v>
      </c>
      <c r="S43" s="115">
        <f t="shared" si="21"/>
        <v>69.829677765450313</v>
      </c>
      <c r="T43" s="195">
        <f t="shared" si="21"/>
        <v>69.829677765450313</v>
      </c>
      <c r="U43" s="195"/>
      <c r="V43" s="195"/>
      <c r="W43" s="195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</row>
    <row r="44" spans="1:44" ht="15" customHeight="1">
      <c r="D44" s="186" t="s">
        <v>240</v>
      </c>
      <c r="E44" s="70" t="s">
        <v>241</v>
      </c>
      <c r="F44" s="200">
        <f>(1/F40)*$B$6*5.6783*$C$6</f>
        <v>53.076031043076924</v>
      </c>
      <c r="G44" s="32">
        <f>1/G40*$B$6*5.678*$C$6</f>
        <v>53.073226892307694</v>
      </c>
      <c r="H44" s="32">
        <f>1/H40*$B$6*5.678*$C$6</f>
        <v>53.073226892307694</v>
      </c>
      <c r="I44" s="32">
        <f t="shared" ref="I44:T44" si="22">1/I40*$B$6*5.678*$C$6</f>
        <v>53.073226892307694</v>
      </c>
      <c r="J44" s="32">
        <f t="shared" si="22"/>
        <v>53.073226892307694</v>
      </c>
      <c r="K44" s="32">
        <f t="shared" si="22"/>
        <v>53.073226892307694</v>
      </c>
      <c r="L44" s="32">
        <f t="shared" si="22"/>
        <v>53.073226892307694</v>
      </c>
      <c r="M44" s="32">
        <f t="shared" si="22"/>
        <v>53.073226892307694</v>
      </c>
      <c r="N44" s="32">
        <f t="shared" si="22"/>
        <v>34.497597479999996</v>
      </c>
      <c r="O44" s="32">
        <f t="shared" si="22"/>
        <v>34.497597479999996</v>
      </c>
      <c r="P44" s="32">
        <f t="shared" si="22"/>
        <v>34.497597479999996</v>
      </c>
      <c r="Q44" s="32">
        <f t="shared" si="22"/>
        <v>34.497597479999996</v>
      </c>
      <c r="R44" s="32">
        <f t="shared" si="22"/>
        <v>34.497597479999996</v>
      </c>
      <c r="S44" s="32">
        <f t="shared" si="22"/>
        <v>32.854854742857142</v>
      </c>
      <c r="T44" s="200">
        <f t="shared" si="22"/>
        <v>32.854854742857142</v>
      </c>
      <c r="U44" s="200"/>
      <c r="V44" s="200"/>
      <c r="W44" s="200"/>
    </row>
    <row r="45" spans="1:44" ht="15" customHeight="1">
      <c r="D45" s="186" t="s">
        <v>242</v>
      </c>
      <c r="E45" s="70" t="s">
        <v>241</v>
      </c>
      <c r="F45" s="200">
        <f t="shared" ref="F45:T45" si="23">1/F41*$B$7*5.678*$C$7</f>
        <v>189.89503199999996</v>
      </c>
      <c r="G45" s="32">
        <f t="shared" si="23"/>
        <v>185.1476562</v>
      </c>
      <c r="H45" s="32">
        <f t="shared" si="23"/>
        <v>185.1476562</v>
      </c>
      <c r="I45" s="32">
        <f t="shared" si="23"/>
        <v>142.42127399999998</v>
      </c>
      <c r="J45" s="32">
        <f t="shared" si="23"/>
        <v>142.42127399999998</v>
      </c>
      <c r="K45" s="32">
        <f t="shared" si="23"/>
        <v>142.42127399999998</v>
      </c>
      <c r="L45" s="32">
        <f t="shared" si="23"/>
        <v>99.694891799999979</v>
      </c>
      <c r="M45" s="32">
        <f t="shared" si="23"/>
        <v>99.694891799999979</v>
      </c>
      <c r="N45" s="32">
        <f t="shared" si="23"/>
        <v>99.694891799999979</v>
      </c>
      <c r="O45" s="32">
        <f t="shared" si="23"/>
        <v>99.694891799999979</v>
      </c>
      <c r="P45" s="32">
        <f t="shared" si="23"/>
        <v>99.694891799999979</v>
      </c>
      <c r="Q45" s="32">
        <f t="shared" si="23"/>
        <v>99.694891799999979</v>
      </c>
      <c r="R45" s="32">
        <f t="shared" si="23"/>
        <v>99.694891799999979</v>
      </c>
      <c r="S45" s="32">
        <f t="shared" si="23"/>
        <v>99.694891799999979</v>
      </c>
      <c r="T45" s="200">
        <f t="shared" si="23"/>
        <v>98.221568275862069</v>
      </c>
      <c r="U45" s="200"/>
      <c r="V45" s="200"/>
      <c r="W45" s="200"/>
    </row>
    <row r="46" spans="1:44" ht="15" customHeight="1">
      <c r="D46" s="186" t="s">
        <v>243</v>
      </c>
      <c r="E46" s="70" t="s">
        <v>241</v>
      </c>
      <c r="F46" s="200">
        <f t="shared" ref="F46:T46" si="24">1/F42*$B$8*5.678*$C$8</f>
        <v>0</v>
      </c>
      <c r="G46" s="32">
        <f t="shared" si="24"/>
        <v>0</v>
      </c>
      <c r="H46" s="32">
        <f t="shared" si="24"/>
        <v>0</v>
      </c>
      <c r="I46" s="32">
        <f t="shared" si="24"/>
        <v>0</v>
      </c>
      <c r="J46" s="32">
        <f t="shared" si="24"/>
        <v>0</v>
      </c>
      <c r="K46" s="32">
        <f t="shared" si="24"/>
        <v>0</v>
      </c>
      <c r="L46" s="32">
        <f t="shared" si="24"/>
        <v>0</v>
      </c>
      <c r="M46" s="32">
        <f t="shared" si="24"/>
        <v>0</v>
      </c>
      <c r="N46" s="32">
        <f t="shared" si="24"/>
        <v>0</v>
      </c>
      <c r="O46" s="32">
        <f t="shared" si="24"/>
        <v>0</v>
      </c>
      <c r="P46" s="32">
        <f t="shared" si="24"/>
        <v>0</v>
      </c>
      <c r="Q46" s="32">
        <f t="shared" si="24"/>
        <v>0</v>
      </c>
      <c r="R46" s="32">
        <f t="shared" si="24"/>
        <v>0</v>
      </c>
      <c r="S46" s="32">
        <f t="shared" si="24"/>
        <v>0</v>
      </c>
      <c r="T46" s="200">
        <f t="shared" si="24"/>
        <v>0</v>
      </c>
      <c r="U46" s="200"/>
      <c r="V46" s="200"/>
      <c r="W46" s="200"/>
    </row>
    <row r="47" spans="1:44" ht="15" customHeight="1">
      <c r="D47" s="186" t="s">
        <v>244</v>
      </c>
      <c r="E47" s="70" t="s">
        <v>241</v>
      </c>
      <c r="F47" s="200">
        <f>20*5.678*0.3048^2</f>
        <v>10.550069222400001</v>
      </c>
      <c r="G47" s="32">
        <f t="shared" ref="G47:T47" si="25">20*5.678*0.3048^2</f>
        <v>10.550069222400001</v>
      </c>
      <c r="H47" s="32">
        <f t="shared" si="25"/>
        <v>10.550069222400001</v>
      </c>
      <c r="I47" s="32">
        <f t="shared" si="25"/>
        <v>10.550069222400001</v>
      </c>
      <c r="J47" s="32">
        <f t="shared" si="25"/>
        <v>10.550069222400001</v>
      </c>
      <c r="K47" s="32">
        <f t="shared" si="25"/>
        <v>10.550069222400001</v>
      </c>
      <c r="L47" s="32">
        <f t="shared" si="25"/>
        <v>10.550069222400001</v>
      </c>
      <c r="M47" s="32">
        <f t="shared" si="25"/>
        <v>10.550069222400001</v>
      </c>
      <c r="N47" s="32">
        <f t="shared" si="25"/>
        <v>10.550069222400001</v>
      </c>
      <c r="O47" s="32">
        <f t="shared" si="25"/>
        <v>10.550069222400001</v>
      </c>
      <c r="P47" s="32">
        <f t="shared" si="25"/>
        <v>10.550069222400001</v>
      </c>
      <c r="Q47" s="32">
        <f t="shared" si="25"/>
        <v>10.550069222400001</v>
      </c>
      <c r="R47" s="32">
        <f t="shared" si="25"/>
        <v>10.550069222400001</v>
      </c>
      <c r="S47" s="32">
        <f t="shared" si="25"/>
        <v>10.550069222400001</v>
      </c>
      <c r="T47" s="200">
        <f t="shared" si="25"/>
        <v>10.550069222400001</v>
      </c>
      <c r="U47" s="200"/>
      <c r="V47" s="200"/>
      <c r="W47" s="200"/>
    </row>
    <row r="48" spans="1:44" ht="15" customHeight="1">
      <c r="D48" s="33" t="s">
        <v>245</v>
      </c>
      <c r="E48" s="71" t="s">
        <v>241</v>
      </c>
      <c r="F48" s="217">
        <f>IF($B$12=0,SUM(F44:F47),SUM(F43,F44,F45,F47))</f>
        <v>323.35081003092716</v>
      </c>
      <c r="G48" s="217">
        <f t="shared" ref="G48:T48" si="26">IF($B$12=0,SUM(G44:G47),SUM(G43,G44,G45,G47))</f>
        <v>318.600630080158</v>
      </c>
      <c r="H48" s="217">
        <f t="shared" si="26"/>
        <v>318.600630080158</v>
      </c>
      <c r="I48" s="217">
        <f t="shared" si="26"/>
        <v>275.87424788015801</v>
      </c>
      <c r="J48" s="217">
        <f t="shared" si="26"/>
        <v>275.87424788015801</v>
      </c>
      <c r="K48" s="217">
        <f t="shared" si="26"/>
        <v>275.87424788015801</v>
      </c>
      <c r="L48" s="217">
        <f t="shared" si="26"/>
        <v>233.14786568015796</v>
      </c>
      <c r="M48" s="217">
        <f t="shared" si="26"/>
        <v>233.14786568015796</v>
      </c>
      <c r="N48" s="217">
        <f t="shared" si="26"/>
        <v>214.57223626785029</v>
      </c>
      <c r="O48" s="217">
        <f t="shared" si="26"/>
        <v>214.57223626785029</v>
      </c>
      <c r="P48" s="217">
        <f t="shared" si="26"/>
        <v>214.57223626785029</v>
      </c>
      <c r="Q48" s="217">
        <f t="shared" si="26"/>
        <v>214.57223626785029</v>
      </c>
      <c r="R48" s="217">
        <f t="shared" si="26"/>
        <v>214.57223626785029</v>
      </c>
      <c r="S48" s="217">
        <f t="shared" si="26"/>
        <v>212.92949353070742</v>
      </c>
      <c r="T48" s="217">
        <f t="shared" si="26"/>
        <v>211.45617000656952</v>
      </c>
      <c r="U48" s="217"/>
      <c r="V48" s="217"/>
      <c r="W48" s="217"/>
    </row>
    <row r="49" spans="2:24" ht="15" customHeight="1">
      <c r="D49" s="33" t="s">
        <v>247</v>
      </c>
      <c r="E49" s="71" t="s">
        <v>241</v>
      </c>
      <c r="F49" s="217">
        <f>SUM(F44,F45,F47)</f>
        <v>253.52113226547687</v>
      </c>
      <c r="G49" s="217">
        <f t="shared" ref="G49:T49" si="27">SUM(G44,G45,G47)</f>
        <v>248.7709523147077</v>
      </c>
      <c r="H49" s="217">
        <f t="shared" si="27"/>
        <v>248.7709523147077</v>
      </c>
      <c r="I49" s="217">
        <f t="shared" si="27"/>
        <v>206.04457011470768</v>
      </c>
      <c r="J49" s="217">
        <f t="shared" si="27"/>
        <v>206.04457011470768</v>
      </c>
      <c r="K49" s="217">
        <f t="shared" si="27"/>
        <v>206.04457011470768</v>
      </c>
      <c r="L49" s="217">
        <f t="shared" si="27"/>
        <v>163.31818791470766</v>
      </c>
      <c r="M49" s="217">
        <f t="shared" si="27"/>
        <v>163.31818791470766</v>
      </c>
      <c r="N49" s="217">
        <f t="shared" si="27"/>
        <v>144.74255850239996</v>
      </c>
      <c r="O49" s="217">
        <f t="shared" si="27"/>
        <v>144.74255850239996</v>
      </c>
      <c r="P49" s="217">
        <f t="shared" si="27"/>
        <v>144.74255850239996</v>
      </c>
      <c r="Q49" s="217">
        <f t="shared" si="27"/>
        <v>144.74255850239996</v>
      </c>
      <c r="R49" s="217">
        <f t="shared" si="27"/>
        <v>144.74255850239996</v>
      </c>
      <c r="S49" s="217">
        <f t="shared" si="27"/>
        <v>143.09981576525712</v>
      </c>
      <c r="T49" s="217">
        <f t="shared" si="27"/>
        <v>141.62649224111919</v>
      </c>
      <c r="U49" s="217"/>
      <c r="V49" s="217"/>
      <c r="W49" s="217"/>
    </row>
    <row r="55" spans="2:24" ht="15" customHeight="1">
      <c r="H55" s="132"/>
      <c r="I55" s="132"/>
      <c r="J55" s="132"/>
      <c r="S55" s="15"/>
      <c r="T55" s="15"/>
      <c r="U55" s="15"/>
      <c r="V55" s="15"/>
      <c r="W55" s="15"/>
    </row>
    <row r="56" spans="2:24" ht="15" customHeight="1">
      <c r="D56" s="473" t="s">
        <v>548</v>
      </c>
      <c r="E56" s="470"/>
      <c r="F56" s="474"/>
      <c r="G56" s="469" t="s">
        <v>542</v>
      </c>
      <c r="H56" s="470"/>
      <c r="I56" s="471"/>
      <c r="J56" s="472"/>
      <c r="K56" s="462" t="s">
        <v>540</v>
      </c>
      <c r="L56" s="133"/>
      <c r="M56" s="186" t="s">
        <v>1384</v>
      </c>
      <c r="N56" s="157" t="s">
        <v>565</v>
      </c>
      <c r="O56" s="220"/>
      <c r="P56" s="91"/>
      <c r="Q56" s="90"/>
      <c r="R56" s="160" t="s">
        <v>566</v>
      </c>
      <c r="S56" s="159"/>
      <c r="T56" s="159"/>
      <c r="U56" s="159"/>
      <c r="V56" s="159"/>
      <c r="W56" s="159"/>
      <c r="X56" s="91" t="s">
        <v>570</v>
      </c>
    </row>
    <row r="57" spans="2:24" ht="15" customHeight="1">
      <c r="D57" s="464" t="s">
        <v>541</v>
      </c>
      <c r="E57" s="465"/>
      <c r="F57" s="466"/>
      <c r="G57" s="467" t="s">
        <v>543</v>
      </c>
      <c r="H57" s="465"/>
      <c r="I57" s="468"/>
      <c r="J57" s="466"/>
      <c r="K57" s="463">
        <v>1.17</v>
      </c>
      <c r="L57" s="463"/>
      <c r="M57" s="186">
        <v>0.68</v>
      </c>
      <c r="N57" s="140" t="s">
        <v>567</v>
      </c>
      <c r="Q57" s="183"/>
      <c r="R57" s="222">
        <v>0.1</v>
      </c>
      <c r="S57" s="15" t="s">
        <v>569</v>
      </c>
      <c r="T57" s="15"/>
      <c r="U57" s="15"/>
      <c r="V57" s="15"/>
      <c r="W57" s="15"/>
      <c r="X57" s="222">
        <f>1/(R57+0.12)</f>
        <v>4.5454545454545459</v>
      </c>
    </row>
    <row r="58" spans="2:24" ht="15" customHeight="1">
      <c r="D58" s="464"/>
      <c r="E58" s="465"/>
      <c r="F58" s="466"/>
      <c r="G58" s="467" t="s">
        <v>1385</v>
      </c>
      <c r="H58" s="465"/>
      <c r="I58" s="468"/>
      <c r="J58" s="466"/>
      <c r="K58" s="463">
        <v>0.86</v>
      </c>
      <c r="L58" s="463"/>
      <c r="M58" s="186">
        <v>0.5</v>
      </c>
      <c r="N58" s="158" t="s">
        <v>568</v>
      </c>
      <c r="S58" s="15"/>
      <c r="T58" s="15"/>
      <c r="U58" s="15"/>
      <c r="V58" s="15"/>
      <c r="W58" s="15"/>
    </row>
    <row r="59" spans="2:24" ht="15" customHeight="1">
      <c r="D59" s="464" t="s">
        <v>544</v>
      </c>
      <c r="E59" s="465"/>
      <c r="F59" s="466"/>
      <c r="G59" s="467" t="s">
        <v>543</v>
      </c>
      <c r="H59" s="465"/>
      <c r="I59" s="468"/>
      <c r="J59" s="466"/>
      <c r="K59" s="463">
        <v>1.45</v>
      </c>
      <c r="L59" s="463"/>
      <c r="M59" s="186">
        <v>0.84</v>
      </c>
      <c r="S59" s="15"/>
      <c r="T59" s="15"/>
      <c r="U59" s="15"/>
      <c r="V59" s="15"/>
      <c r="W59" s="15"/>
    </row>
    <row r="60" spans="2:24" ht="15" customHeight="1">
      <c r="D60" s="464"/>
      <c r="E60" s="465"/>
      <c r="F60" s="466"/>
      <c r="G60" s="467" t="s">
        <v>1385</v>
      </c>
      <c r="H60" s="465"/>
      <c r="I60" s="468"/>
      <c r="J60" s="466"/>
      <c r="K60" s="463">
        <v>0.85</v>
      </c>
      <c r="L60" s="463"/>
      <c r="M60" s="186">
        <v>0.49</v>
      </c>
      <c r="S60" s="15"/>
      <c r="T60" s="15"/>
      <c r="U60" s="15"/>
      <c r="V60" s="15"/>
      <c r="W60" s="15"/>
    </row>
    <row r="61" spans="2:24" ht="15" customHeight="1">
      <c r="D61" s="464" t="s">
        <v>545</v>
      </c>
      <c r="E61" s="465"/>
      <c r="F61" s="466"/>
      <c r="G61" s="467" t="s">
        <v>543</v>
      </c>
      <c r="H61" s="465"/>
      <c r="I61" s="468"/>
      <c r="J61" s="466"/>
      <c r="K61" s="463">
        <v>2.0699999999999998</v>
      </c>
      <c r="L61" s="463"/>
      <c r="M61" s="186">
        <v>1.2</v>
      </c>
      <c r="S61" s="15"/>
      <c r="T61" s="15"/>
      <c r="U61" s="15"/>
      <c r="V61" s="15"/>
      <c r="W61" s="15"/>
    </row>
    <row r="62" spans="2:24" ht="15" customHeight="1">
      <c r="B62" s="186"/>
      <c r="D62" s="464"/>
      <c r="E62" s="465"/>
      <c r="F62" s="466"/>
      <c r="G62" s="467" t="s">
        <v>1385</v>
      </c>
      <c r="H62" s="465"/>
      <c r="I62" s="468"/>
      <c r="J62" s="466"/>
      <c r="K62" s="463">
        <v>0.92</v>
      </c>
      <c r="L62" s="463"/>
      <c r="M62" s="186">
        <v>0.53</v>
      </c>
      <c r="S62" s="15"/>
      <c r="T62" s="15"/>
      <c r="U62" s="15"/>
      <c r="V62" s="15"/>
      <c r="W62" s="15"/>
    </row>
    <row r="63" spans="2:24" ht="15" customHeight="1">
      <c r="D63" s="464" t="s">
        <v>546</v>
      </c>
      <c r="E63" s="465"/>
      <c r="F63" s="466"/>
      <c r="G63" s="467" t="s">
        <v>543</v>
      </c>
      <c r="H63" s="465"/>
      <c r="I63" s="468"/>
      <c r="J63" s="466"/>
      <c r="K63" s="463">
        <v>3.67</v>
      </c>
      <c r="L63" s="463"/>
      <c r="M63" s="186">
        <v>2.12</v>
      </c>
      <c r="S63" s="15"/>
      <c r="T63" s="15"/>
      <c r="U63" s="15"/>
      <c r="V63" s="15"/>
      <c r="W63" s="15"/>
    </row>
    <row r="64" spans="2:24" ht="15" customHeight="1">
      <c r="D64" s="464" t="s">
        <v>547</v>
      </c>
      <c r="E64" s="465"/>
      <c r="F64" s="466"/>
      <c r="G64" s="467" t="s">
        <v>1385</v>
      </c>
      <c r="H64" s="465"/>
      <c r="I64" s="468"/>
      <c r="J64" s="466"/>
      <c r="K64" s="463">
        <v>1.24</v>
      </c>
      <c r="L64" s="463"/>
      <c r="M64" s="186">
        <v>0.72</v>
      </c>
    </row>
    <row r="65" spans="3:25" ht="15" customHeight="1">
      <c r="C65" s="222"/>
      <c r="D65" s="134" t="s">
        <v>549</v>
      </c>
    </row>
    <row r="66" spans="3:25" ht="15" customHeight="1">
      <c r="C66" s="222"/>
      <c r="D66" s="186" t="s">
        <v>1386</v>
      </c>
      <c r="E66" s="186" t="s">
        <v>1387</v>
      </c>
    </row>
    <row r="68" spans="3:25" ht="15" customHeight="1">
      <c r="C68" s="222"/>
    </row>
    <row r="69" spans="3:25" ht="15" customHeight="1">
      <c r="C69" s="222"/>
      <c r="Y69" s="222" t="s">
        <v>674</v>
      </c>
    </row>
    <row r="70" spans="3:25" ht="15" customHeight="1">
      <c r="C70" s="222"/>
    </row>
    <row r="71" spans="3:25" ht="15" customHeight="1">
      <c r="C71" s="222"/>
      <c r="D71" s="235" t="s">
        <v>641</v>
      </c>
      <c r="F71" s="194" t="s">
        <v>626</v>
      </c>
      <c r="G71" s="225" t="s">
        <v>575</v>
      </c>
      <c r="H71" s="225" t="s">
        <v>576</v>
      </c>
      <c r="I71" s="225" t="s">
        <v>577</v>
      </c>
      <c r="J71" s="225" t="s">
        <v>578</v>
      </c>
      <c r="K71" s="225" t="s">
        <v>579</v>
      </c>
      <c r="L71" s="225" t="s">
        <v>580</v>
      </c>
      <c r="M71" s="225" t="s">
        <v>581</v>
      </c>
      <c r="N71" s="225" t="s">
        <v>582</v>
      </c>
      <c r="O71" s="225" t="s">
        <v>583</v>
      </c>
      <c r="P71" s="225" t="s">
        <v>584</v>
      </c>
      <c r="Q71" s="225" t="s">
        <v>585</v>
      </c>
      <c r="R71" s="225" t="s">
        <v>586</v>
      </c>
      <c r="S71" s="225">
        <v>7</v>
      </c>
      <c r="T71" s="194">
        <v>8</v>
      </c>
      <c r="U71" s="253"/>
      <c r="V71" s="253"/>
      <c r="W71" s="253"/>
      <c r="Y71" s="222" t="s">
        <v>666</v>
      </c>
    </row>
    <row r="72" spans="3:25" ht="15" customHeight="1">
      <c r="C72" s="222"/>
      <c r="E72" s="186" t="s">
        <v>642</v>
      </c>
      <c r="F72" s="186">
        <v>0.65</v>
      </c>
      <c r="G72" s="186">
        <v>0.4</v>
      </c>
      <c r="H72" s="186">
        <v>0.35</v>
      </c>
      <c r="I72" s="186">
        <v>0.35</v>
      </c>
      <c r="J72" s="186">
        <v>0.35</v>
      </c>
      <c r="K72" s="186">
        <v>0.35</v>
      </c>
      <c r="L72" s="186">
        <v>0.35</v>
      </c>
      <c r="M72" s="186">
        <v>0.35</v>
      </c>
      <c r="N72" s="186">
        <v>0.32</v>
      </c>
      <c r="O72" s="186">
        <v>0.32</v>
      </c>
      <c r="P72" s="186">
        <v>0.32</v>
      </c>
      <c r="Q72" s="186">
        <v>0.32</v>
      </c>
      <c r="R72" s="186">
        <v>0.32</v>
      </c>
      <c r="S72" s="186">
        <v>0.32</v>
      </c>
      <c r="T72" s="186">
        <v>0.32</v>
      </c>
      <c r="U72" s="186"/>
      <c r="V72" s="186"/>
      <c r="W72" s="186"/>
    </row>
    <row r="73" spans="3:25" ht="15" customHeight="1">
      <c r="C73" s="222"/>
      <c r="E73" s="186" t="s">
        <v>643</v>
      </c>
      <c r="F73" s="186">
        <v>0.25</v>
      </c>
      <c r="G73" s="186">
        <v>0.25</v>
      </c>
      <c r="H73" s="186">
        <v>0.25</v>
      </c>
      <c r="I73" s="186">
        <v>0.25</v>
      </c>
      <c r="J73" s="186">
        <v>0.25</v>
      </c>
      <c r="K73" s="186">
        <v>0.25</v>
      </c>
      <c r="L73" s="186">
        <v>0.4</v>
      </c>
      <c r="M73" s="186">
        <v>0.4</v>
      </c>
      <c r="N73" s="186" t="s">
        <v>644</v>
      </c>
      <c r="O73" s="186" t="s">
        <v>644</v>
      </c>
      <c r="P73" s="186" t="s">
        <v>644</v>
      </c>
      <c r="Q73" s="186" t="s">
        <v>644</v>
      </c>
      <c r="R73" s="186" t="s">
        <v>644</v>
      </c>
      <c r="S73" s="186" t="s">
        <v>644</v>
      </c>
      <c r="T73" s="186" t="s">
        <v>644</v>
      </c>
      <c r="U73" s="186"/>
      <c r="V73" s="186"/>
      <c r="W73" s="186"/>
    </row>
    <row r="74" spans="3:25" ht="15" customHeight="1">
      <c r="C74" s="222"/>
      <c r="E74" s="186" t="s">
        <v>251</v>
      </c>
      <c r="F74" s="186">
        <v>30</v>
      </c>
      <c r="G74" s="186">
        <v>38</v>
      </c>
      <c r="H74" s="186">
        <v>38</v>
      </c>
      <c r="I74" s="186">
        <v>38</v>
      </c>
      <c r="J74" s="186">
        <v>38</v>
      </c>
      <c r="K74" s="186">
        <v>38</v>
      </c>
      <c r="L74" s="186">
        <v>49</v>
      </c>
      <c r="M74" s="186">
        <v>49</v>
      </c>
      <c r="N74" s="186">
        <v>49</v>
      </c>
      <c r="O74" s="186">
        <v>49</v>
      </c>
      <c r="P74" s="186">
        <v>49</v>
      </c>
      <c r="Q74" s="186">
        <v>49</v>
      </c>
      <c r="R74" s="186">
        <v>49</v>
      </c>
      <c r="S74" s="186">
        <v>49</v>
      </c>
      <c r="T74" s="186">
        <v>49</v>
      </c>
      <c r="U74" s="186"/>
      <c r="V74" s="186"/>
      <c r="W74" s="186"/>
    </row>
    <row r="75" spans="3:25" ht="15" customHeight="1">
      <c r="C75" s="222"/>
      <c r="E75" s="186" t="s">
        <v>645</v>
      </c>
      <c r="F75" s="186">
        <v>13</v>
      </c>
      <c r="G75" s="186">
        <v>13</v>
      </c>
      <c r="H75" s="186">
        <v>13</v>
      </c>
      <c r="I75" s="186" t="s">
        <v>646</v>
      </c>
      <c r="J75" s="186" t="s">
        <v>646</v>
      </c>
      <c r="K75" s="186" t="s">
        <v>646</v>
      </c>
      <c r="L75" s="186" t="s">
        <v>646</v>
      </c>
      <c r="M75" s="186" t="s">
        <v>646</v>
      </c>
      <c r="N75" s="186" t="s">
        <v>646</v>
      </c>
      <c r="O75" s="186" t="s">
        <v>646</v>
      </c>
      <c r="P75" s="186" t="s">
        <v>646</v>
      </c>
      <c r="Q75" s="222" t="s">
        <v>647</v>
      </c>
      <c r="R75" s="222" t="s">
        <v>647</v>
      </c>
      <c r="S75" s="222" t="s">
        <v>647</v>
      </c>
      <c r="T75" s="222" t="s">
        <v>647</v>
      </c>
    </row>
    <row r="76" spans="3:25" ht="15" customHeight="1">
      <c r="C76" s="222"/>
      <c r="E76" s="186" t="s">
        <v>238</v>
      </c>
      <c r="F76" s="186">
        <v>13</v>
      </c>
      <c r="G76" s="186">
        <v>13</v>
      </c>
      <c r="H76" s="186">
        <v>13</v>
      </c>
      <c r="I76" s="186">
        <v>19</v>
      </c>
      <c r="J76" s="186">
        <v>19</v>
      </c>
      <c r="K76" s="186">
        <v>19</v>
      </c>
      <c r="L76" s="186">
        <v>19</v>
      </c>
      <c r="M76" s="186">
        <v>19</v>
      </c>
      <c r="N76" s="186">
        <v>30</v>
      </c>
      <c r="O76" s="186">
        <v>30</v>
      </c>
      <c r="P76" s="186">
        <v>30</v>
      </c>
      <c r="Q76" s="186">
        <v>30</v>
      </c>
      <c r="R76" s="186">
        <v>30</v>
      </c>
      <c r="S76" s="222">
        <v>38</v>
      </c>
      <c r="T76" s="222">
        <v>38</v>
      </c>
    </row>
    <row r="77" spans="3:25" ht="15" customHeight="1">
      <c r="C77" s="222"/>
      <c r="E77" s="186" t="s">
        <v>648</v>
      </c>
      <c r="F77" s="186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 t="s">
        <v>649</v>
      </c>
      <c r="M77" s="186" t="s">
        <v>649</v>
      </c>
      <c r="N77" s="186" t="s">
        <v>649</v>
      </c>
      <c r="O77" s="186" t="s">
        <v>649</v>
      </c>
      <c r="P77" s="186" t="s">
        <v>649</v>
      </c>
      <c r="Q77" s="222" t="s">
        <v>650</v>
      </c>
      <c r="R77" s="222" t="s">
        <v>650</v>
      </c>
      <c r="S77" s="222" t="s">
        <v>650</v>
      </c>
      <c r="T77" s="222" t="s">
        <v>650</v>
      </c>
    </row>
    <row r="78" spans="3:25" ht="15" customHeight="1">
      <c r="C78" s="222"/>
      <c r="E78" s="186" t="s">
        <v>651</v>
      </c>
      <c r="F78" s="186">
        <v>0</v>
      </c>
      <c r="G78" s="186">
        <v>0</v>
      </c>
      <c r="H78" s="186">
        <v>0</v>
      </c>
      <c r="I78" s="234" t="s">
        <v>652</v>
      </c>
      <c r="J78" s="234" t="s">
        <v>653</v>
      </c>
      <c r="K78" s="234" t="s">
        <v>654</v>
      </c>
      <c r="L78" s="186" t="s">
        <v>655</v>
      </c>
      <c r="M78" s="186" t="s">
        <v>656</v>
      </c>
      <c r="N78" s="186" t="s">
        <v>657</v>
      </c>
      <c r="O78" s="186" t="s">
        <v>658</v>
      </c>
      <c r="P78" s="186" t="s">
        <v>659</v>
      </c>
      <c r="Q78" s="186" t="s">
        <v>660</v>
      </c>
      <c r="R78" s="186" t="s">
        <v>661</v>
      </c>
      <c r="S78" s="186" t="s">
        <v>662</v>
      </c>
      <c r="T78" s="186" t="s">
        <v>663</v>
      </c>
      <c r="U78" s="186"/>
      <c r="V78" s="186"/>
      <c r="W78" s="186"/>
    </row>
    <row r="79" spans="3:25" ht="15" customHeight="1">
      <c r="C79" s="222"/>
      <c r="E79" s="186" t="s">
        <v>664</v>
      </c>
      <c r="F79" s="186">
        <v>4</v>
      </c>
      <c r="G79" s="186">
        <v>4</v>
      </c>
      <c r="H79" s="186">
        <v>4</v>
      </c>
      <c r="I79" s="186">
        <v>4</v>
      </c>
      <c r="J79" s="186">
        <v>4</v>
      </c>
      <c r="K79" s="186">
        <v>4</v>
      </c>
      <c r="L79" s="186">
        <v>4</v>
      </c>
      <c r="M79" s="186">
        <v>4</v>
      </c>
      <c r="N79" s="186">
        <v>4</v>
      </c>
      <c r="O79" s="186">
        <v>4</v>
      </c>
      <c r="P79" s="186">
        <v>4</v>
      </c>
      <c r="Q79" s="186">
        <v>4</v>
      </c>
      <c r="R79" s="186">
        <v>4</v>
      </c>
      <c r="S79" s="186">
        <v>4</v>
      </c>
      <c r="T79" s="186">
        <v>4</v>
      </c>
      <c r="U79" s="186"/>
      <c r="V79" s="186"/>
      <c r="W79" s="186"/>
    </row>
    <row r="80" spans="3:25" ht="15" customHeight="1">
      <c r="C80" s="222"/>
      <c r="E80" s="186" t="s">
        <v>665</v>
      </c>
      <c r="F80" s="186">
        <v>5</v>
      </c>
      <c r="G80" s="186">
        <v>5</v>
      </c>
      <c r="H80" s="186">
        <v>5</v>
      </c>
      <c r="I80" s="186">
        <v>3</v>
      </c>
      <c r="J80" s="186">
        <v>3</v>
      </c>
      <c r="K80" s="186">
        <v>3</v>
      </c>
      <c r="L80" s="186">
        <v>3</v>
      </c>
      <c r="M80" s="186">
        <v>3</v>
      </c>
      <c r="N80" s="186">
        <v>3</v>
      </c>
      <c r="O80" s="186">
        <v>3</v>
      </c>
      <c r="P80" s="186">
        <v>3</v>
      </c>
      <c r="Q80" s="186">
        <v>3</v>
      </c>
      <c r="R80" s="186">
        <v>3</v>
      </c>
      <c r="S80" s="186">
        <v>3</v>
      </c>
      <c r="T80" s="186">
        <v>3</v>
      </c>
      <c r="U80" s="186"/>
      <c r="V80" s="186"/>
      <c r="W80" s="186"/>
    </row>
    <row r="81" spans="3:28" ht="15" customHeight="1">
      <c r="C81" s="222"/>
    </row>
    <row r="82" spans="3:28" ht="15" customHeight="1">
      <c r="C82" s="222"/>
      <c r="D82" s="235" t="s">
        <v>671</v>
      </c>
      <c r="E82" s="186" t="s">
        <v>670</v>
      </c>
      <c r="F82" s="186">
        <v>1.4</v>
      </c>
      <c r="G82" s="186">
        <v>1.4</v>
      </c>
      <c r="H82" s="186">
        <v>1.4</v>
      </c>
      <c r="I82" s="186">
        <v>1.4</v>
      </c>
      <c r="J82" s="186">
        <v>1.4</v>
      </c>
      <c r="K82" s="186">
        <v>1.4</v>
      </c>
      <c r="L82" s="186">
        <v>1.4</v>
      </c>
      <c r="M82" s="186">
        <v>1.4</v>
      </c>
      <c r="N82" s="186">
        <v>1.2</v>
      </c>
      <c r="O82" s="186">
        <v>1.2</v>
      </c>
      <c r="P82" s="186">
        <v>1.2</v>
      </c>
      <c r="Q82" s="186">
        <v>1.2</v>
      </c>
      <c r="R82" s="186">
        <v>1.2</v>
      </c>
      <c r="S82" s="186">
        <v>1.2</v>
      </c>
      <c r="T82" s="186">
        <v>1.2</v>
      </c>
      <c r="U82" s="186"/>
      <c r="V82" s="186"/>
      <c r="W82" s="186"/>
      <c r="Y82" s="222" t="s">
        <v>673</v>
      </c>
    </row>
    <row r="83" spans="3:28" ht="15" customHeight="1">
      <c r="C83" s="222"/>
      <c r="E83" s="186" t="s">
        <v>665</v>
      </c>
      <c r="F83" s="186">
        <v>3</v>
      </c>
      <c r="G83" s="186">
        <v>3</v>
      </c>
      <c r="H83" s="186">
        <v>3</v>
      </c>
      <c r="I83" s="186">
        <v>2.5</v>
      </c>
      <c r="J83" s="186">
        <v>2.5</v>
      </c>
      <c r="K83" s="186">
        <v>2.5</v>
      </c>
      <c r="L83" s="186">
        <v>2.5</v>
      </c>
      <c r="M83" s="186">
        <v>2.5</v>
      </c>
      <c r="N83" s="186">
        <v>2.5</v>
      </c>
      <c r="O83" s="186">
        <v>2</v>
      </c>
      <c r="P83" s="186">
        <v>2</v>
      </c>
      <c r="Q83" s="186">
        <v>2</v>
      </c>
      <c r="R83" s="186">
        <v>2</v>
      </c>
      <c r="S83" s="186">
        <v>2</v>
      </c>
      <c r="T83" s="222">
        <v>1.5</v>
      </c>
    </row>
    <row r="84" spans="3:28" ht="15" customHeight="1">
      <c r="C84" s="222"/>
      <c r="E84" s="186" t="s">
        <v>642</v>
      </c>
      <c r="F84" s="186">
        <v>0.4</v>
      </c>
      <c r="G84" s="186">
        <v>0.4</v>
      </c>
      <c r="H84" s="186">
        <v>0.4</v>
      </c>
      <c r="I84" s="186">
        <v>0.3</v>
      </c>
      <c r="J84" s="186">
        <v>0.3</v>
      </c>
      <c r="K84" s="186">
        <v>0.3</v>
      </c>
      <c r="L84" s="186">
        <v>0.3</v>
      </c>
      <c r="M84" s="186">
        <v>0.3</v>
      </c>
      <c r="N84" s="186">
        <v>0.27</v>
      </c>
      <c r="O84" s="186">
        <v>0.27</v>
      </c>
      <c r="P84" s="186">
        <v>0.27</v>
      </c>
      <c r="Q84" s="186">
        <v>0.27</v>
      </c>
      <c r="R84" s="186">
        <v>0.27</v>
      </c>
      <c r="S84" s="186">
        <v>0.27</v>
      </c>
      <c r="T84" s="186">
        <v>0.27</v>
      </c>
      <c r="U84" s="186"/>
      <c r="V84" s="186"/>
      <c r="W84" s="186"/>
    </row>
    <row r="85" spans="3:28" ht="15" customHeight="1">
      <c r="C85" s="222"/>
      <c r="E85" s="186" t="s">
        <v>643</v>
      </c>
      <c r="F85" s="186">
        <v>0.25</v>
      </c>
      <c r="G85" s="186">
        <v>0.25</v>
      </c>
      <c r="H85" s="186">
        <v>0.25</v>
      </c>
      <c r="I85" s="186">
        <v>0.27</v>
      </c>
      <c r="J85" s="186">
        <v>0.27</v>
      </c>
      <c r="K85" s="186">
        <v>0.27</v>
      </c>
      <c r="L85" s="186">
        <v>0.27</v>
      </c>
      <c r="M85" s="186">
        <v>0.27</v>
      </c>
      <c r="N85" s="186" t="s">
        <v>644</v>
      </c>
      <c r="O85" s="186" t="s">
        <v>644</v>
      </c>
      <c r="P85" s="186" t="s">
        <v>644</v>
      </c>
      <c r="Q85" s="186" t="s">
        <v>644</v>
      </c>
      <c r="R85" s="186" t="s">
        <v>644</v>
      </c>
      <c r="S85" s="186" t="s">
        <v>644</v>
      </c>
      <c r="T85" s="186" t="s">
        <v>644</v>
      </c>
      <c r="U85" s="186"/>
      <c r="V85" s="186"/>
      <c r="W85" s="186"/>
    </row>
    <row r="86" spans="3:28" ht="15" customHeight="1">
      <c r="C86" s="222"/>
      <c r="E86" s="186" t="s">
        <v>672</v>
      </c>
      <c r="F86" s="186">
        <v>15</v>
      </c>
      <c r="G86" s="186">
        <v>15</v>
      </c>
      <c r="H86" s="186">
        <v>15</v>
      </c>
      <c r="I86" s="186">
        <v>15</v>
      </c>
      <c r="J86" s="186">
        <v>15</v>
      </c>
      <c r="K86" s="186">
        <v>15</v>
      </c>
      <c r="L86" s="186">
        <v>15</v>
      </c>
      <c r="M86" s="186">
        <v>15</v>
      </c>
      <c r="N86" s="186">
        <v>15</v>
      </c>
      <c r="O86" s="186">
        <v>15</v>
      </c>
      <c r="P86" s="186">
        <v>15</v>
      </c>
      <c r="Q86" s="186">
        <v>15</v>
      </c>
      <c r="R86" s="186">
        <v>15</v>
      </c>
      <c r="S86" s="186">
        <v>15</v>
      </c>
      <c r="T86" s="186">
        <v>15</v>
      </c>
      <c r="U86" s="186"/>
      <c r="V86" s="186"/>
      <c r="W86" s="186"/>
    </row>
    <row r="87" spans="3:28" ht="15" customHeight="1">
      <c r="C87" s="222"/>
      <c r="E87" s="186" t="s">
        <v>675</v>
      </c>
    </row>
    <row r="88" spans="3:28" ht="15" customHeight="1">
      <c r="C88" s="222"/>
    </row>
    <row r="89" spans="3:28" ht="15" customHeight="1">
      <c r="C89" s="222"/>
      <c r="F89" s="186">
        <f>1/F84</f>
        <v>2.5</v>
      </c>
      <c r="G89" s="186">
        <f t="shared" ref="G89:T89" si="28">1/G84</f>
        <v>2.5</v>
      </c>
      <c r="H89" s="186">
        <f t="shared" si="28"/>
        <v>2.5</v>
      </c>
      <c r="I89" s="186">
        <f t="shared" si="28"/>
        <v>3.3333333333333335</v>
      </c>
      <c r="J89" s="186">
        <f t="shared" si="28"/>
        <v>3.3333333333333335</v>
      </c>
      <c r="K89" s="186">
        <f t="shared" si="28"/>
        <v>3.3333333333333335</v>
      </c>
      <c r="L89" s="186">
        <f t="shared" si="28"/>
        <v>3.3333333333333335</v>
      </c>
      <c r="M89" s="186">
        <f t="shared" si="28"/>
        <v>3.3333333333333335</v>
      </c>
      <c r="N89" s="186">
        <f t="shared" si="28"/>
        <v>3.7037037037037033</v>
      </c>
      <c r="O89" s="186">
        <f t="shared" si="28"/>
        <v>3.7037037037037033</v>
      </c>
      <c r="P89" s="186">
        <f t="shared" si="28"/>
        <v>3.7037037037037033</v>
      </c>
      <c r="Q89" s="186">
        <f t="shared" si="28"/>
        <v>3.7037037037037033</v>
      </c>
      <c r="R89" s="186">
        <f t="shared" si="28"/>
        <v>3.7037037037037033</v>
      </c>
      <c r="S89" s="186">
        <f t="shared" si="28"/>
        <v>3.7037037037037033</v>
      </c>
      <c r="T89" s="186">
        <f t="shared" si="28"/>
        <v>3.7037037037037033</v>
      </c>
      <c r="U89" s="186"/>
      <c r="V89" s="186"/>
      <c r="W89" s="186"/>
      <c r="AA89" s="186"/>
      <c r="AB89" s="186"/>
    </row>
    <row r="91" spans="3:28" ht="15" customHeight="1">
      <c r="C91" s="222"/>
    </row>
    <row r="92" spans="3:28" ht="15" customHeight="1">
      <c r="C92" s="222"/>
      <c r="D92" s="235" t="s">
        <v>676</v>
      </c>
    </row>
    <row r="93" spans="3:28" ht="15" customHeight="1">
      <c r="C93" s="222"/>
      <c r="D93" s="235" t="s">
        <v>678</v>
      </c>
      <c r="Y93" s="186" t="s">
        <v>677</v>
      </c>
      <c r="Z93" s="186"/>
    </row>
    <row r="94" spans="3:28" ht="15" customHeight="1">
      <c r="C94" s="222"/>
      <c r="E94" s="186" t="s">
        <v>679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S94" s="186">
        <v>0</v>
      </c>
      <c r="T94" s="186">
        <v>0</v>
      </c>
      <c r="U94" s="186"/>
      <c r="V94" s="186"/>
      <c r="W94" s="186"/>
    </row>
    <row r="95" spans="3:28" ht="15" customHeight="1">
      <c r="C95" s="222"/>
      <c r="E95" s="186" t="s">
        <v>680</v>
      </c>
      <c r="F95" s="186">
        <v>0.91</v>
      </c>
      <c r="G95" s="186">
        <v>0.91</v>
      </c>
      <c r="H95" s="186">
        <v>0.91</v>
      </c>
      <c r="I95" s="186">
        <v>0.91</v>
      </c>
      <c r="J95" s="186">
        <v>0.91</v>
      </c>
      <c r="K95" s="186">
        <v>0.91</v>
      </c>
      <c r="L95" s="186">
        <v>0.91</v>
      </c>
      <c r="M95" s="186">
        <v>0.91</v>
      </c>
      <c r="N95" s="186">
        <v>0.91</v>
      </c>
      <c r="O95" s="186">
        <v>0.91</v>
      </c>
      <c r="P95" s="186">
        <v>0.91</v>
      </c>
      <c r="Q95" s="186">
        <v>0.91</v>
      </c>
      <c r="R95" s="186">
        <v>0.91</v>
      </c>
      <c r="S95" s="186">
        <v>0.91</v>
      </c>
      <c r="T95" s="186">
        <v>0.91</v>
      </c>
      <c r="U95" s="186"/>
      <c r="V95" s="186"/>
      <c r="W95" s="186"/>
    </row>
    <row r="96" spans="3:28" ht="15" customHeight="1">
      <c r="C96" s="222"/>
      <c r="E96" s="186" t="s">
        <v>681</v>
      </c>
      <c r="F96" s="186">
        <v>0.7</v>
      </c>
      <c r="G96" s="186">
        <v>0.7</v>
      </c>
      <c r="H96" s="186">
        <v>0.7</v>
      </c>
      <c r="I96" s="186">
        <v>0.7</v>
      </c>
      <c r="J96" s="186">
        <v>0.7</v>
      </c>
      <c r="K96" s="186">
        <v>0.7</v>
      </c>
      <c r="L96" s="186">
        <v>0.7</v>
      </c>
      <c r="M96" s="186">
        <v>0.7</v>
      </c>
      <c r="N96" s="186">
        <v>0.7</v>
      </c>
      <c r="O96" s="186">
        <v>0.7</v>
      </c>
      <c r="P96" s="186">
        <v>0.7</v>
      </c>
      <c r="Q96" s="186">
        <v>0.7</v>
      </c>
      <c r="R96" s="186">
        <v>0.7</v>
      </c>
      <c r="S96" s="186">
        <v>0.7</v>
      </c>
      <c r="T96" s="186">
        <v>0.7</v>
      </c>
      <c r="U96" s="186"/>
      <c r="V96" s="186"/>
      <c r="W96" s="186"/>
    </row>
    <row r="101" spans="4:25" ht="15" customHeight="1">
      <c r="D101" s="186" t="s">
        <v>689</v>
      </c>
      <c r="E101" s="235" t="s">
        <v>688</v>
      </c>
      <c r="F101" s="186" t="s">
        <v>687</v>
      </c>
      <c r="G101" s="186" t="s">
        <v>686</v>
      </c>
      <c r="Y101" s="222" t="s">
        <v>677</v>
      </c>
    </row>
    <row r="102" spans="4:25" ht="15" customHeight="1">
      <c r="E102" s="186" t="s">
        <v>682</v>
      </c>
      <c r="F102" s="186">
        <v>16</v>
      </c>
      <c r="G102" s="186">
        <v>0.23</v>
      </c>
    </row>
    <row r="103" spans="4:25" ht="15" customHeight="1">
      <c r="E103" s="186" t="s">
        <v>683</v>
      </c>
      <c r="F103" s="186">
        <v>16</v>
      </c>
      <c r="G103" s="186">
        <v>0.18</v>
      </c>
    </row>
    <row r="104" spans="4:25" ht="15" customHeight="1">
      <c r="E104" s="186" t="s">
        <v>684</v>
      </c>
      <c r="F104" s="186">
        <v>16</v>
      </c>
      <c r="G104" s="186">
        <v>0.13</v>
      </c>
    </row>
    <row r="105" spans="4:25" ht="15" customHeight="1">
      <c r="E105" s="186" t="s">
        <v>685</v>
      </c>
      <c r="F105" s="186">
        <v>24</v>
      </c>
      <c r="G105" s="186">
        <v>0.11</v>
      </c>
    </row>
    <row r="107" spans="4:25" ht="15" customHeight="1">
      <c r="D107" s="186" t="s">
        <v>698</v>
      </c>
      <c r="E107" s="235" t="s">
        <v>690</v>
      </c>
      <c r="F107" s="186" t="s">
        <v>366</v>
      </c>
      <c r="G107" s="186" t="s">
        <v>696</v>
      </c>
      <c r="H107" s="186" t="s">
        <v>697</v>
      </c>
      <c r="J107" s="201" t="s">
        <v>706</v>
      </c>
    </row>
    <row r="108" spans="4:25" ht="15" customHeight="1">
      <c r="E108" s="186" t="s">
        <v>691</v>
      </c>
      <c r="F108" s="186">
        <v>90</v>
      </c>
      <c r="G108" s="237">
        <v>5.0000000000000001E-3</v>
      </c>
      <c r="H108" s="237">
        <v>1.4999999999999999E-2</v>
      </c>
    </row>
    <row r="109" spans="4:25" ht="15" customHeight="1">
      <c r="E109" s="186" t="s">
        <v>692</v>
      </c>
      <c r="F109" s="186">
        <v>80</v>
      </c>
      <c r="G109" s="237">
        <v>5.0000000000000001E-3</v>
      </c>
      <c r="H109" s="237">
        <v>1.4999999999999999E-2</v>
      </c>
    </row>
    <row r="110" spans="4:25" ht="15" customHeight="1">
      <c r="E110" s="186" t="s">
        <v>693</v>
      </c>
      <c r="F110" s="186">
        <v>78</v>
      </c>
      <c r="G110" s="237">
        <v>5.0000000000000001E-3</v>
      </c>
      <c r="H110" s="237">
        <v>1.4999999999999999E-2</v>
      </c>
    </row>
    <row r="111" spans="4:25" ht="15" customHeight="1">
      <c r="E111" s="236" t="s">
        <v>694</v>
      </c>
      <c r="F111" s="186">
        <v>75</v>
      </c>
      <c r="G111" s="237">
        <v>5.0000000000000001E-3</v>
      </c>
      <c r="H111" s="237">
        <v>1.4999999999999999E-2</v>
      </c>
    </row>
    <row r="112" spans="4:25" ht="15" customHeight="1">
      <c r="E112" s="236" t="s">
        <v>695</v>
      </c>
      <c r="F112" s="186">
        <v>64</v>
      </c>
      <c r="G112" s="237">
        <v>5.0000000000000001E-3</v>
      </c>
      <c r="H112" s="237">
        <v>1.4999999999999999E-2</v>
      </c>
    </row>
    <row r="113" spans="1:25" ht="15" customHeight="1">
      <c r="E113" s="236"/>
    </row>
    <row r="114" spans="1:25" ht="15" customHeight="1">
      <c r="D114" s="186" t="s">
        <v>705</v>
      </c>
      <c r="E114" s="238" t="s">
        <v>699</v>
      </c>
      <c r="F114" s="186" t="s">
        <v>700</v>
      </c>
      <c r="G114" s="186" t="s">
        <v>701</v>
      </c>
      <c r="H114" s="186" t="s">
        <v>702</v>
      </c>
      <c r="I114" s="186" t="s">
        <v>696</v>
      </c>
      <c r="J114" s="186" t="s">
        <v>697</v>
      </c>
    </row>
    <row r="115" spans="1:25" ht="15" customHeight="1">
      <c r="E115" s="236" t="s">
        <v>703</v>
      </c>
      <c r="F115" s="186">
        <v>6.5</v>
      </c>
      <c r="G115" s="186">
        <v>6.4</v>
      </c>
      <c r="I115" s="186">
        <v>0.01</v>
      </c>
      <c r="J115" s="186">
        <v>0.03</v>
      </c>
    </row>
    <row r="116" spans="1:25" ht="15" customHeight="1">
      <c r="E116" s="236" t="s">
        <v>704</v>
      </c>
      <c r="F116" s="186">
        <v>6.5</v>
      </c>
      <c r="G116" s="186">
        <v>6.4</v>
      </c>
      <c r="H116" s="186">
        <v>6</v>
      </c>
      <c r="I116" s="186">
        <v>0.01</v>
      </c>
      <c r="J116" s="186">
        <v>0.03</v>
      </c>
    </row>
    <row r="119" spans="1:25" ht="15" customHeight="1">
      <c r="E119" s="236"/>
      <c r="F119" s="194" t="s">
        <v>626</v>
      </c>
      <c r="G119" s="225" t="s">
        <v>575</v>
      </c>
      <c r="H119" s="225" t="s">
        <v>576</v>
      </c>
      <c r="I119" s="225" t="s">
        <v>577</v>
      </c>
      <c r="J119" s="225" t="s">
        <v>578</v>
      </c>
      <c r="K119" s="225" t="s">
        <v>579</v>
      </c>
      <c r="L119" s="225" t="s">
        <v>580</v>
      </c>
      <c r="M119" s="225" t="s">
        <v>581</v>
      </c>
      <c r="N119" s="225" t="s">
        <v>582</v>
      </c>
      <c r="O119" s="225" t="s">
        <v>583</v>
      </c>
      <c r="P119" s="225" t="s">
        <v>584</v>
      </c>
      <c r="Q119" s="225" t="s">
        <v>585</v>
      </c>
      <c r="R119" s="225" t="s">
        <v>586</v>
      </c>
      <c r="S119" s="225">
        <v>7</v>
      </c>
      <c r="T119" s="194">
        <v>8</v>
      </c>
      <c r="U119" s="253"/>
      <c r="V119" s="253"/>
      <c r="W119" s="253"/>
      <c r="Y119" s="222" t="s">
        <v>707</v>
      </c>
    </row>
    <row r="120" spans="1:25" ht="15" customHeight="1">
      <c r="E120" s="236" t="s">
        <v>708</v>
      </c>
      <c r="F120" s="186">
        <v>21</v>
      </c>
      <c r="G120" s="186">
        <v>21</v>
      </c>
      <c r="H120" s="186">
        <v>12</v>
      </c>
      <c r="I120" s="186">
        <v>16</v>
      </c>
      <c r="J120" s="186">
        <v>12</v>
      </c>
      <c r="K120" s="186">
        <v>13</v>
      </c>
      <c r="L120" s="186">
        <v>18</v>
      </c>
      <c r="M120" s="186">
        <v>12</v>
      </c>
      <c r="N120" s="186">
        <v>16</v>
      </c>
      <c r="O120" s="186">
        <v>14</v>
      </c>
      <c r="P120" s="222">
        <v>12</v>
      </c>
      <c r="Q120" s="222">
        <v>13</v>
      </c>
      <c r="R120" s="222">
        <v>13</v>
      </c>
      <c r="S120" s="222">
        <v>13</v>
      </c>
      <c r="T120" s="222">
        <v>13</v>
      </c>
    </row>
    <row r="121" spans="1:25" ht="15" customHeight="1">
      <c r="E121" s="236"/>
    </row>
    <row r="122" spans="1:25" ht="15" customHeight="1">
      <c r="A122" s="222" t="s">
        <v>732</v>
      </c>
      <c r="B122" s="222">
        <v>0</v>
      </c>
      <c r="E122" s="241" t="s">
        <v>731</v>
      </c>
    </row>
    <row r="123" spans="1:25" ht="15" customHeight="1">
      <c r="B123" s="222" t="s">
        <v>726</v>
      </c>
      <c r="C123" s="222"/>
      <c r="D123" s="222" t="s">
        <v>686</v>
      </c>
      <c r="E123" s="236"/>
    </row>
    <row r="124" spans="1:25" ht="15" customHeight="1">
      <c r="B124" s="69" t="s">
        <v>235</v>
      </c>
      <c r="C124" s="222"/>
      <c r="D124" s="69" t="s">
        <v>235</v>
      </c>
      <c r="E124" s="236"/>
    </row>
    <row r="125" spans="1:25" ht="15" customHeight="1">
      <c r="A125" s="222" t="s">
        <v>729</v>
      </c>
      <c r="B125" s="222">
        <v>0.17</v>
      </c>
      <c r="C125" s="222" t="s">
        <v>725</v>
      </c>
      <c r="D125" s="222">
        <f>B125</f>
        <v>0.17</v>
      </c>
      <c r="E125" s="236"/>
    </row>
    <row r="126" spans="1:25" ht="15" customHeight="1">
      <c r="A126" s="222" t="s">
        <v>716</v>
      </c>
      <c r="B126" s="222">
        <v>0.67</v>
      </c>
      <c r="C126" s="222" t="s">
        <v>722</v>
      </c>
      <c r="D126" s="222">
        <f>B126</f>
        <v>0.67</v>
      </c>
      <c r="E126" s="69"/>
    </row>
    <row r="127" spans="1:25" ht="15" customHeight="1">
      <c r="A127" s="222" t="s">
        <v>727</v>
      </c>
      <c r="B127" s="222">
        <v>5</v>
      </c>
      <c r="C127" s="222" t="s">
        <v>727</v>
      </c>
      <c r="D127" s="222">
        <f>B127</f>
        <v>5</v>
      </c>
      <c r="E127" s="236"/>
    </row>
    <row r="128" spans="1:25" ht="15" customHeight="1">
      <c r="A128" s="222" t="s">
        <v>717</v>
      </c>
      <c r="B128" s="222">
        <v>0.79</v>
      </c>
      <c r="C128" s="222" t="s">
        <v>720</v>
      </c>
      <c r="D128" s="222">
        <f>B128</f>
        <v>0.79</v>
      </c>
      <c r="E128" s="236"/>
    </row>
    <row r="129" spans="1:5" ht="15" customHeight="1">
      <c r="A129" s="222" t="s">
        <v>718</v>
      </c>
      <c r="B129" s="222">
        <v>20</v>
      </c>
      <c r="C129" s="222" t="s">
        <v>723</v>
      </c>
      <c r="D129" s="222">
        <f>0.95*5.5</f>
        <v>5.2249999999999996</v>
      </c>
      <c r="E129" s="236"/>
    </row>
    <row r="130" spans="1:5" ht="15" customHeight="1">
      <c r="A130" s="222" t="s">
        <v>719</v>
      </c>
      <c r="B130" s="222">
        <v>0.55000000000000004</v>
      </c>
      <c r="C130" s="222" t="s">
        <v>721</v>
      </c>
      <c r="D130" s="222">
        <v>0.55000000000000004</v>
      </c>
      <c r="E130" s="236"/>
    </row>
    <row r="131" spans="1:5" ht="15" customHeight="1">
      <c r="A131" s="222" t="s">
        <v>728</v>
      </c>
      <c r="B131" s="222">
        <v>0.68</v>
      </c>
      <c r="C131" s="222" t="s">
        <v>724</v>
      </c>
      <c r="D131" s="222">
        <v>0.68</v>
      </c>
      <c r="E131" s="236"/>
    </row>
    <row r="132" spans="1:5" ht="15" customHeight="1">
      <c r="C132" s="222"/>
      <c r="D132" s="222"/>
      <c r="E132" s="236"/>
    </row>
    <row r="133" spans="1:5" ht="15" customHeight="1">
      <c r="A133" s="222" t="s">
        <v>356</v>
      </c>
      <c r="B133" s="222">
        <f>IF(B122=0,SUM(B125:B131),((1-0.19)*B129)+SUM(B125:B128,B130:B131))</f>
        <v>27.86</v>
      </c>
      <c r="D133" s="222">
        <f>SUM(D125:D131)</f>
        <v>13.085000000000001</v>
      </c>
      <c r="E133" s="236"/>
    </row>
    <row r="134" spans="1:5" ht="15" customHeight="1">
      <c r="A134" s="222" t="s">
        <v>730</v>
      </c>
      <c r="B134" s="222">
        <f>1/B133</f>
        <v>3.5893754486719311E-2</v>
      </c>
      <c r="D134" s="222">
        <f>1/D133</f>
        <v>7.642338555598012E-2</v>
      </c>
      <c r="E134" s="236"/>
    </row>
    <row r="135" spans="1:5" ht="15" customHeight="1">
      <c r="D135" s="222"/>
      <c r="E135" s="236"/>
    </row>
    <row r="136" spans="1:5" ht="15" customHeight="1">
      <c r="A136" s="222" t="s">
        <v>686</v>
      </c>
      <c r="B136" s="222">
        <v>0.23</v>
      </c>
      <c r="E136" s="236"/>
    </row>
    <row r="137" spans="1:5" ht="15" customHeight="1">
      <c r="A137" s="222" t="s">
        <v>738</v>
      </c>
      <c r="B137" s="222">
        <f>(B134*(1-B136))+(D134*B136)</f>
        <v>4.5215569632649298E-2</v>
      </c>
      <c r="E137" s="236"/>
    </row>
    <row r="138" spans="1:5" ht="15" customHeight="1">
      <c r="E138" s="236"/>
    </row>
    <row r="139" spans="1:5" ht="15" customHeight="1">
      <c r="A139" s="222" t="s">
        <v>733</v>
      </c>
      <c r="B139" s="222">
        <v>261.39999999999998</v>
      </c>
      <c r="E139" s="236"/>
    </row>
    <row r="140" spans="1:5" ht="15" customHeight="1">
      <c r="A140" s="222" t="s">
        <v>734</v>
      </c>
      <c r="B140" s="186">
        <f>B137*B139*5.6783</f>
        <v>67.113814548381953</v>
      </c>
      <c r="E140" s="236"/>
    </row>
    <row r="141" spans="1:5" ht="15" customHeight="1">
      <c r="E141" s="236"/>
    </row>
    <row r="142" spans="1:5" ht="15" customHeight="1">
      <c r="E142" s="236"/>
    </row>
    <row r="143" spans="1:5" ht="15" customHeight="1">
      <c r="E143" s="236"/>
    </row>
    <row r="144" spans="1:5" ht="15" customHeight="1">
      <c r="A144" s="222" t="s">
        <v>742</v>
      </c>
      <c r="B144" s="222" t="s">
        <v>743</v>
      </c>
      <c r="C144" s="222" t="s">
        <v>744</v>
      </c>
      <c r="E144" s="236"/>
    </row>
    <row r="145" spans="1:5" s="222" customFormat="1" ht="15" customHeight="1">
      <c r="A145" s="222" t="s">
        <v>739</v>
      </c>
      <c r="B145" s="222">
        <v>8.5736552962920293E-2</v>
      </c>
      <c r="C145" s="186"/>
      <c r="D145" s="186"/>
      <c r="E145" s="236"/>
    </row>
    <row r="146" spans="1:5" s="222" customFormat="1" ht="15" customHeight="1">
      <c r="A146" s="222" t="s">
        <v>736</v>
      </c>
      <c r="B146" s="222">
        <v>5.7476006036368224E-2</v>
      </c>
      <c r="C146" s="186"/>
      <c r="D146" s="186"/>
      <c r="E146" s="236"/>
    </row>
    <row r="147" spans="1:5" s="222" customFormat="1" ht="15" customHeight="1">
      <c r="A147" s="222" t="s">
        <v>737</v>
      </c>
      <c r="B147" s="222">
        <v>6.2131032322258431E-2</v>
      </c>
      <c r="C147" s="186"/>
      <c r="D147" s="186"/>
      <c r="E147" s="236"/>
    </row>
    <row r="148" spans="1:5" s="222" customFormat="1" ht="15" customHeight="1">
      <c r="A148" s="222" t="s">
        <v>740</v>
      </c>
      <c r="B148" s="222">
        <v>3.5893754486719311E-2</v>
      </c>
      <c r="C148" s="186"/>
      <c r="D148" s="186"/>
      <c r="E148" s="236"/>
    </row>
    <row r="149" spans="1:5" s="222" customFormat="1" ht="15" customHeight="1">
      <c r="A149" s="222" t="s">
        <v>741</v>
      </c>
      <c r="B149" s="222">
        <v>4.3986404300048673E-2</v>
      </c>
      <c r="C149" s="186"/>
      <c r="D149" s="186"/>
      <c r="E149" s="236"/>
    </row>
    <row r="150" spans="1:5" s="222" customFormat="1" ht="15" customHeight="1">
      <c r="C150" s="186"/>
      <c r="D150" s="186"/>
      <c r="E150" s="236"/>
    </row>
    <row r="151" spans="1:5" s="222" customFormat="1" ht="15" customHeight="1">
      <c r="C151" s="186"/>
      <c r="D151" s="186"/>
      <c r="E151" s="236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B13" sqref="B13"/>
    </sheetView>
  </sheetViews>
  <sheetFormatPr baseColWidth="10" defaultColWidth="8.83203125" defaultRowHeight="15" customHeight="1" x14ac:dyDescent="0"/>
  <cols>
    <col min="1" max="1" width="28.5" style="1" customWidth="1"/>
    <col min="2" max="3" width="9" style="187" customWidth="1"/>
    <col min="4" max="4" width="8" style="187" customWidth="1"/>
    <col min="5" max="5" width="6.33203125" style="187" customWidth="1"/>
    <col min="6" max="6" width="11.6640625" style="187" customWidth="1"/>
    <col min="7" max="7" width="28.83203125" style="187" customWidth="1"/>
    <col min="8" max="8" width="12.33203125" style="187" bestFit="1" customWidth="1"/>
    <col min="9" max="9" width="9.5" style="187" customWidth="1"/>
    <col min="10" max="10" width="7.5" style="187" customWidth="1"/>
    <col min="11" max="11" width="19.6640625" style="187" customWidth="1"/>
    <col min="12" max="12" width="13.83203125" style="187" bestFit="1" customWidth="1"/>
    <col min="13" max="13" width="15.5" style="187" customWidth="1"/>
    <col min="14" max="14" width="8.33203125" style="187" customWidth="1"/>
    <col min="15" max="17" width="8.83203125" style="18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112" t="s">
        <v>50</v>
      </c>
      <c r="F1" s="187" t="s">
        <v>1388</v>
      </c>
      <c r="H1" s="149" t="s">
        <v>1389</v>
      </c>
      <c r="I1" s="220">
        <v>25</v>
      </c>
      <c r="J1" s="220">
        <v>50</v>
      </c>
      <c r="K1" s="220">
        <v>75</v>
      </c>
      <c r="L1" s="220">
        <v>100</v>
      </c>
      <c r="M1" s="220">
        <v>125</v>
      </c>
      <c r="N1" s="220">
        <v>200</v>
      </c>
      <c r="O1" s="220">
        <v>300</v>
      </c>
      <c r="R1" s="273" t="s">
        <v>809</v>
      </c>
      <c r="S1" s="294" t="s">
        <v>828</v>
      </c>
      <c r="T1" s="286" t="s">
        <v>430</v>
      </c>
      <c r="U1" s="287" t="s">
        <v>431</v>
      </c>
      <c r="V1" s="288" t="s">
        <v>432</v>
      </c>
    </row>
    <row r="2" spans="1:22" ht="15" customHeight="1" thickBot="1">
      <c r="A2" s="114" t="s">
        <v>418</v>
      </c>
      <c r="F2" s="508" t="s">
        <v>1390</v>
      </c>
      <c r="G2" s="187" t="s">
        <v>764</v>
      </c>
      <c r="H2" s="70" t="s">
        <v>562</v>
      </c>
      <c r="I2" s="219">
        <f>L2*0.25</f>
        <v>14.656124999999999</v>
      </c>
      <c r="J2" s="219">
        <f>L2*0.5</f>
        <v>29.312249999999999</v>
      </c>
      <c r="K2" s="219">
        <f>L2*0.75</f>
        <v>43.968374999999995</v>
      </c>
      <c r="L2" s="459">
        <f>IF(Age="existing",0.15*A_houseSI+3.5*(Nbedrooms+1)+(65/4),0.15*A_houseSI+3.5*(Nbedrooms+1))</f>
        <v>58.624499999999998</v>
      </c>
      <c r="M2" s="219">
        <f>1.25*L2</f>
        <v>73.280625000000001</v>
      </c>
      <c r="N2" s="219">
        <f>L2*2</f>
        <v>117.249</v>
      </c>
      <c r="O2" s="219">
        <f>L2*3</f>
        <v>175.87349999999998</v>
      </c>
      <c r="R2" s="295" t="s">
        <v>807</v>
      </c>
      <c r="S2" s="264">
        <v>13</v>
      </c>
      <c r="T2" s="289" t="s">
        <v>433</v>
      </c>
      <c r="U2" s="117" t="s">
        <v>434</v>
      </c>
      <c r="V2" s="290" t="s">
        <v>435</v>
      </c>
    </row>
    <row r="3" spans="1:22" ht="15" customHeight="1" thickBot="1">
      <c r="A3" s="114" t="s">
        <v>256</v>
      </c>
      <c r="B3" s="182"/>
      <c r="C3" s="182"/>
      <c r="F3" s="508" t="s">
        <v>1390</v>
      </c>
      <c r="G3" s="187" t="s">
        <v>765</v>
      </c>
      <c r="H3" s="186" t="s">
        <v>594</v>
      </c>
      <c r="I3" s="172">
        <f>L3*0.25</f>
        <v>31.5</v>
      </c>
      <c r="J3" s="219">
        <f>L3*0.5</f>
        <v>63</v>
      </c>
      <c r="K3" s="219">
        <f>L3*0.75</f>
        <v>94.5</v>
      </c>
      <c r="L3" s="258">
        <f>IF(Age="existing",0.03*A_houseFT+7.5*(Nbedrooms+1)+(130/4), 0.03*A_houseFT+7.5*(Nbedrooms+1))</f>
        <v>126</v>
      </c>
      <c r="M3" s="219">
        <f>1.25*L3</f>
        <v>157.5</v>
      </c>
      <c r="N3" s="219">
        <f>L3*2</f>
        <v>252</v>
      </c>
      <c r="O3" s="219">
        <f>L3*3</f>
        <v>378</v>
      </c>
      <c r="R3" s="424" t="s">
        <v>808</v>
      </c>
      <c r="S3" s="425">
        <v>17</v>
      </c>
      <c r="T3" s="289" t="s">
        <v>436</v>
      </c>
      <c r="U3" s="117" t="s">
        <v>437</v>
      </c>
      <c r="V3" s="290" t="s">
        <v>438</v>
      </c>
    </row>
    <row r="4" spans="1:22" ht="15" customHeight="1" thickBot="1">
      <c r="A4" s="114"/>
      <c r="B4" s="182"/>
      <c r="C4" s="182"/>
      <c r="F4" s="509">
        <v>2010</v>
      </c>
      <c r="G4" s="187" t="s">
        <v>764</v>
      </c>
      <c r="H4" s="70" t="s">
        <v>562</v>
      </c>
      <c r="I4" s="219">
        <f>L4*0.25</f>
        <v>8.3853749999999998</v>
      </c>
      <c r="J4" s="219">
        <f>L4*0.5</f>
        <v>16.77075</v>
      </c>
      <c r="K4" s="219">
        <f>L4*0.75</f>
        <v>25.156124999999999</v>
      </c>
      <c r="L4" s="459">
        <f>0.05*A_houseSI+3.5*(Nbedrooms+1)</f>
        <v>33.541499999999999</v>
      </c>
      <c r="M4" s="219">
        <f>1.25*L4</f>
        <v>41.926874999999995</v>
      </c>
      <c r="N4" s="219">
        <f>L4*2</f>
        <v>67.082999999999998</v>
      </c>
      <c r="O4" s="219">
        <f>L4*3</f>
        <v>100.6245</v>
      </c>
      <c r="R4" s="296" t="s">
        <v>1203</v>
      </c>
      <c r="S4" s="266">
        <v>1</v>
      </c>
      <c r="T4" s="289" t="s">
        <v>439</v>
      </c>
      <c r="U4" s="117" t="s">
        <v>437</v>
      </c>
      <c r="V4" s="290" t="s">
        <v>438</v>
      </c>
    </row>
    <row r="5" spans="1:22" ht="15" customHeight="1">
      <c r="A5" s="114" t="s">
        <v>512</v>
      </c>
      <c r="B5" s="257">
        <f>Nbedrooms</f>
        <v>5</v>
      </c>
      <c r="C5" s="182"/>
      <c r="F5" s="509">
        <v>2010</v>
      </c>
      <c r="G5" s="187" t="s">
        <v>765</v>
      </c>
      <c r="H5" s="186" t="s">
        <v>594</v>
      </c>
      <c r="I5" s="172">
        <f>L5*0.25</f>
        <v>18</v>
      </c>
      <c r="J5" s="219">
        <f>L5*0.5</f>
        <v>36</v>
      </c>
      <c r="K5" s="219">
        <f>L5*0.75</f>
        <v>54</v>
      </c>
      <c r="L5" s="258">
        <f>0.01*A_houseFT+7.5*(Nbedrooms+1)</f>
        <v>72</v>
      </c>
      <c r="M5" s="219">
        <f>1.25*L5</f>
        <v>90</v>
      </c>
      <c r="N5" s="219">
        <f>L5*2</f>
        <v>144</v>
      </c>
      <c r="O5" s="219">
        <f>L5*3</f>
        <v>216</v>
      </c>
      <c r="T5" s="289" t="s">
        <v>440</v>
      </c>
      <c r="U5" s="117">
        <v>3</v>
      </c>
      <c r="V5" s="290" t="s">
        <v>438</v>
      </c>
    </row>
    <row r="6" spans="1:22" ht="15" customHeight="1">
      <c r="A6" s="114" t="s">
        <v>800</v>
      </c>
      <c r="B6" s="257">
        <f>VLOOKUP(CONCATENATE(OccDensity,HomeSize),'Internal gains'!C28:F37,2,FALSE)</f>
        <v>3</v>
      </c>
      <c r="G6" s="182"/>
      <c r="H6" s="186"/>
      <c r="K6" s="187" t="s">
        <v>1391</v>
      </c>
      <c r="L6" s="187">
        <f>Qtot</f>
        <v>58.624499999999998</v>
      </c>
      <c r="T6" s="289" t="s">
        <v>441</v>
      </c>
      <c r="U6" s="117"/>
      <c r="V6" s="290"/>
    </row>
    <row r="7" spans="1:22" ht="15" customHeight="1"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T7" s="289" t="s">
        <v>442</v>
      </c>
      <c r="U7" s="117" t="s">
        <v>443</v>
      </c>
      <c r="V7" s="290" t="s">
        <v>444</v>
      </c>
    </row>
    <row r="8" spans="1:22" ht="15" customHeight="1">
      <c r="A8" s="1" t="s">
        <v>790</v>
      </c>
      <c r="B8" s="58">
        <v>1</v>
      </c>
      <c r="C8" s="58">
        <v>2</v>
      </c>
      <c r="D8" s="58">
        <v>3</v>
      </c>
      <c r="E8" s="58">
        <v>4</v>
      </c>
      <c r="F8" s="58">
        <v>5</v>
      </c>
      <c r="G8" s="58">
        <v>6</v>
      </c>
      <c r="H8" s="58">
        <v>7</v>
      </c>
      <c r="I8" s="58">
        <v>8</v>
      </c>
      <c r="J8" s="58">
        <v>9</v>
      </c>
      <c r="K8" s="58">
        <v>10</v>
      </c>
      <c r="L8" s="58">
        <v>11</v>
      </c>
      <c r="M8" s="58">
        <v>12</v>
      </c>
      <c r="N8" s="58">
        <v>13</v>
      </c>
      <c r="O8" s="58">
        <v>14</v>
      </c>
      <c r="P8" s="58">
        <v>15</v>
      </c>
      <c r="Q8" s="58">
        <v>16</v>
      </c>
      <c r="T8" s="289" t="s">
        <v>445</v>
      </c>
      <c r="U8" s="117">
        <v>7</v>
      </c>
      <c r="V8" s="290" t="s">
        <v>446</v>
      </c>
    </row>
    <row r="9" spans="1:22" ht="15" customHeight="1">
      <c r="A9" s="114" t="s">
        <v>772</v>
      </c>
      <c r="B9" s="182">
        <f>IF(OR(ASHRAEver="2019Prop",ASHRAEver="2019PropPhi"),(Leakage!$T$7*A_houseSI*Weather!B44)/1.44,(Leakage!B7*A_houseSI*Weather!B44)/1.44)</f>
        <v>39.297243493141458</v>
      </c>
      <c r="C9" s="182">
        <f>IF(OR(ASHRAEver="2019Prop",ASHRAEver="2019PropPhi"),(Leakage!$T$7*A_houseSI*Weather!C44)/1.44,(Leakage!C7*A_houseSI*Weather!C44)/1.44)</f>
        <v>34.385088056498773</v>
      </c>
      <c r="D9" s="182">
        <f>IF(OR(ASHRAEver="2019Prop",ASHRAEver="2019PropPhi"),(Leakage!$T$7*A_houseSI*Weather!D44)/1.44,(Leakage!D7*A_houseSI*Weather!D44)/1.44)</f>
        <v>37.893770511243552</v>
      </c>
      <c r="E9" s="182">
        <f>IF(OR(ASHRAEver="2019Prop",ASHRAEver="2019PropPhi"),(Leakage!$T$7*A_houseSI*Weather!E44)/1.44,(Leakage!E7*A_houseSI*Weather!E44)/1.44)</f>
        <v>33.68335156554982</v>
      </c>
      <c r="F9" s="182">
        <f>IF(OR(ASHRAEver="2019Prop",ASHRAEver="2019PropPhi"),(Leakage!$T$7*A_houseSI*Weather!F44)/1.44,(Leakage!F7*A_houseSI*Weather!F44)/1.44)</f>
        <v>36.490297529345639</v>
      </c>
      <c r="G9" s="182">
        <f>IF(OR(ASHRAEver="2019Prop",ASHRAEver="2019PropPhi"),(Leakage!$T$7*A_houseSI*Weather!G44)/1.44,(Leakage!G7*A_houseSI*Weather!G44)/1.44)</f>
        <v>29.472932619856092</v>
      </c>
      <c r="H9" s="182">
        <f>IF(OR(ASHRAEver="2019Prop",ASHRAEver="2019PropPhi"),(Leakage!$T$7*A_houseSI*Weather!H44)/1.44,(Leakage!H7*A_houseSI*Weather!H44)/1.44)</f>
        <v>26.665986656060273</v>
      </c>
      <c r="I9" s="182">
        <f>IF(OR(ASHRAEver="2019Prop",ASHRAEver="2019PropPhi"),(Leakage!$T$7*A_houseSI*Weather!I44)/1.44,(Leakage!I7*A_houseSI*Weather!I44)/1.44)</f>
        <v>23.859040692264458</v>
      </c>
      <c r="J9" s="182">
        <f>IF(OR(ASHRAEver="2019Prop",ASHRAEver="2019PropPhi"),(Leakage!$T$7*A_houseSI*Weather!J44)/1.44,(Leakage!J7*A_houseSI*Weather!J44)/1.44)</f>
        <v>27.367723147009229</v>
      </c>
      <c r="K9" s="182">
        <f>IF(OR(ASHRAEver="2019Prop",ASHRAEver="2019PropPhi"),(Leakage!$T$7*A_houseSI*Weather!K44)/1.44,(Leakage!K7*A_houseSI*Weather!K44)/1.44)</f>
        <v>29.472932619856092</v>
      </c>
      <c r="L9" s="182">
        <f>IF(OR(ASHRAEver="2019Prop",ASHRAEver="2019PropPhi"),(Leakage!$T$7*A_houseSI*Weather!L44)/1.44,(Leakage!L7*A_houseSI*Weather!L44)/1.44)</f>
        <v>35.086824547447726</v>
      </c>
      <c r="M9" s="182">
        <f>IF(OR(ASHRAEver="2019Prop",ASHRAEver="2019PropPhi"),(Leakage!$T$7*A_houseSI*Weather!M44)/1.44,(Leakage!M7*A_houseSI*Weather!M44)/1.44)</f>
        <v>35.788561038396686</v>
      </c>
      <c r="N9" s="182">
        <f>IF(OR(ASHRAEver="2019Prop",ASHRAEver="2019PropPhi"),(Leakage!$T$7*A_houseSI*Weather!N44)/1.44,(Leakage!N7*A_houseSI*Weather!N44)/1.44)</f>
        <v>31.578142092702954</v>
      </c>
      <c r="O9" s="182">
        <f>IF(OR(ASHRAEver="2019Prop",ASHRAEver="2019PropPhi"),(Leakage!$T$7*A_houseSI*Weather!O44)/1.44,(Leakage!O7*A_houseSI*Weather!O44)/1.44)</f>
        <v>39.998979984090411</v>
      </c>
      <c r="P9" s="182">
        <f>IF(OR(ASHRAEver="2019Prop",ASHRAEver="2019PropPhi"),(Leakage!$T$7*A_houseSI*Weather!P44)/1.44,(Leakage!P7*A_houseSI*Weather!P44)/1.44)</f>
        <v>32.279878583651914</v>
      </c>
      <c r="Q9" s="182">
        <f>IF(OR(ASHRAEver="2019Prop",ASHRAEver="2019PropPhi"),(Leakage!$T$7*A_houseSI*Weather!Q44)/1.44,(Leakage!Q7*A_houseSI*Weather!Q44)/1.44)</f>
        <v>30.876405601753998</v>
      </c>
      <c r="R9" s="182"/>
      <c r="T9" s="289" t="s">
        <v>447</v>
      </c>
      <c r="U9" s="117">
        <v>8</v>
      </c>
      <c r="V9" s="290" t="s">
        <v>448</v>
      </c>
    </row>
    <row r="10" spans="1:22" ht="15" customHeight="1">
      <c r="A10" s="1" t="s">
        <v>771</v>
      </c>
      <c r="B10" s="250">
        <f t="shared" ref="B10:Q10" si="0">IF(OR(ASHRAEver="2013Inf",ASHRAEver="2019Prop"),Aeq-B9, IF(OR(AND(ASHRAEver="2016InfPhi",BalancedFan=0), AND(ASHRAEver="2019PropPhi",BalancedFan=0)), Aeq-(B9/Aeq)*B9, IF(OR(AND(ASHRAEver="2016InfPhi",BalancedFan=1), AND(ASHRAEver="2019PropPhi",BalancedFan=1)), Aeq-B9, IF(ASHRAEver="None",0,IF(ASHRAEver="2010noInf",$L$4,IF(ASHRAEver="BuilderPractice",$L$4*1.4,Aeq))))))</f>
        <v>32.28272572202323</v>
      </c>
      <c r="C10" s="250">
        <f t="shared" ref="C10" si="1">IF(OR(ASHRAEver="2013Inf",ASHRAEver="2019Prop"),Aeq-C9, IF(OR(AND(ASHRAEver="2016InfPhi",BalancedFan=0), AND(ASHRAEver="2019PropPhi",BalancedFan=0)), Aeq-(C9/Aeq)*C9, IF(OR(AND(ASHRAEver="2016InfPhi",BalancedFan=1), AND(ASHRAEver="2019PropPhi",BalancedFan=1)), Aeq-C9, IF(ASHRAEver="None",0,IF(ASHRAEver="2010noInf",$L$4,IF(ASHRAEver="BuilderPractice",$L$4*1.4,Aeq))))))</f>
        <v>38.456579068424041</v>
      </c>
      <c r="D10" s="250">
        <f t="shared" ref="D10" si="2">IF(OR(ASHRAEver="2013Inf",ASHRAEver="2019Prop"),Aeq-D9, IF(OR(AND(ASHRAEver="2016InfPhi",BalancedFan=0), AND(ASHRAEver="2019PropPhi",BalancedFan=0)), Aeq-(D9/Aeq)*D9, IF(OR(AND(ASHRAEver="2016InfPhi",BalancedFan=1), AND(ASHRAEver="2019PropPhi",BalancedFan=1)), Aeq-D9, IF(ASHRAEver="None",0,IF(ASHRAEver="2010noInf",$L$4,IF(ASHRAEver="BuilderPractice",$L$4*1.4,Aeq))))))</f>
        <v>34.130681825707825</v>
      </c>
      <c r="E10" s="250">
        <f t="shared" ref="E10" si="3">IF(OR(ASHRAEver="2013Inf",ASHRAEver="2019Prop"),Aeq-E9, IF(OR(AND(ASHRAEver="2016InfPhi",BalancedFan=0), AND(ASHRAEver="2019PropPhi",BalancedFan=0)), Aeq-(E9/Aeq)*E9, IF(OR(AND(ASHRAEver="2016InfPhi",BalancedFan=1), AND(ASHRAEver="2019PropPhi",BalancedFan=1)), Aeq-E9, IF(ASHRAEver="None",0,IF(ASHRAEver="2010noInf",$L$4,IF(ASHRAEver="BuilderPractice",$L$4*1.4,Aeq))))))</f>
        <v>39.271359714139521</v>
      </c>
      <c r="F10" s="250">
        <f t="shared" ref="F10" si="4">IF(OR(ASHRAEver="2013Inf",ASHRAEver="2019Prop"),Aeq-F9, IF(OR(AND(ASHRAEver="2016InfPhi",BalancedFan=0), AND(ASHRAEver="2019PropPhi",BalancedFan=0)), Aeq-(F9/Aeq)*F9, IF(OR(AND(ASHRAEver="2016InfPhi",BalancedFan=1), AND(ASHRAEver="2019PropPhi",BalancedFan=1)), Aeq-F9, IF(ASHRAEver="None",0,IF(ASHRAEver="2010noInf",$L$4,IF(ASHRAEver="BuilderPractice",$L$4*1.4,Aeq))))))</f>
        <v>35.911439525622072</v>
      </c>
      <c r="G10" s="250">
        <f t="shared" ref="G10" si="5">IF(OR(ASHRAEver="2013Inf",ASHRAEver="2019Prop"),Aeq-G9, IF(OR(AND(ASHRAEver="2016InfPhi",BalancedFan=0), AND(ASHRAEver="2019PropPhi",BalancedFan=0)), Aeq-(G9/Aeq)*G9, IF(OR(AND(ASHRAEver="2016InfPhi",BalancedFan=1), AND(ASHRAEver="2019PropPhi",BalancedFan=1)), Aeq-G9, IF(ASHRAEver="None",0,IF(ASHRAEver="2010noInf",$L$4,IF(ASHRAEver="BuilderPractice",$L$4*1.4,Aeq))))))</f>
        <v>43.80725196863807</v>
      </c>
      <c r="H10" s="250">
        <f t="shared" ref="H10" si="6">IF(OR(ASHRAEver="2013Inf",ASHRAEver="2019Prop"),Aeq-H9, IF(OR(AND(ASHRAEver="2016InfPhi",BalancedFan=0), AND(ASHRAEver="2019PropPhi",BalancedFan=0)), Aeq-(H9/Aeq)*H9, IF(OR(AND(ASHRAEver="2016InfPhi",BalancedFan=1), AND(ASHRAEver="2019PropPhi",BalancedFan=1)), Aeq-H9, IF(ASHRAEver="None",0,IF(ASHRAEver="2010noInf",$L$4,IF(ASHRAEver="BuilderPractice",$L$4*1.4,Aeq))))))</f>
        <v>46.495188119452024</v>
      </c>
      <c r="I10" s="250">
        <f t="shared" ref="I10" si="7">IF(OR(ASHRAEver="2013Inf",ASHRAEver="2019Prop"),Aeq-I9, IF(OR(AND(ASHRAEver="2016InfPhi",BalancedFan=0), AND(ASHRAEver="2019PropPhi",BalancedFan=0)), Aeq-(I9/Aeq)*I9, IF(OR(AND(ASHRAEver="2016InfPhi",BalancedFan=1), AND(ASHRAEver="2019PropPhi",BalancedFan=1)), Aeq-I9, IF(ASHRAEver="None",0,IF(ASHRAEver="2010noInf",$L$4,IF(ASHRAEver="BuilderPractice",$L$4*1.4,Aeq))))))</f>
        <v>48.914330655184585</v>
      </c>
      <c r="J10" s="250">
        <f t="shared" ref="J10" si="8">IF(OR(ASHRAEver="2013Inf",ASHRAEver="2019Prop"),Aeq-J9, IF(OR(AND(ASHRAEver="2016InfPhi",BalancedFan=0), AND(ASHRAEver="2019PropPhi",BalancedFan=0)), Aeq-(J9/Aeq)*J9, IF(OR(AND(ASHRAEver="2016InfPhi",BalancedFan=1), AND(ASHRAEver="2019PropPhi",BalancedFan=1)), Aeq-J9, IF(ASHRAEver="None",0,IF(ASHRAEver="2010noInf",$L$4,IF(ASHRAEver="BuilderPractice",$L$4*1.4,Aeq))))))</f>
        <v>45.848403483162414</v>
      </c>
      <c r="K10" s="250">
        <f t="shared" ref="K10" si="9">IF(OR(ASHRAEver="2013Inf",ASHRAEver="2019Prop"),Aeq-K9, IF(OR(AND(ASHRAEver="2016InfPhi",BalancedFan=0), AND(ASHRAEver="2019PropPhi",BalancedFan=0)), Aeq-(K9/Aeq)*K9, IF(OR(AND(ASHRAEver="2016InfPhi",BalancedFan=1), AND(ASHRAEver="2019PropPhi",BalancedFan=1)), Aeq-K9, IF(ASHRAEver="None",0,IF(ASHRAEver="2010noInf",$L$4,IF(ASHRAEver="BuilderPractice",$L$4*1.4,Aeq))))))</f>
        <v>43.80725196863807</v>
      </c>
      <c r="L10" s="250">
        <f t="shared" ref="L10" si="10">IF(OR(ASHRAEver="2013Inf",ASHRAEver="2019Prop"),Aeq-L9, IF(OR(AND(ASHRAEver="2016InfPhi",BalancedFan=0), AND(ASHRAEver="2019PropPhi",BalancedFan=0)), Aeq-(L9/Aeq)*L9, IF(OR(AND(ASHRAEver="2016InfPhi",BalancedFan=1), AND(ASHRAEver="2019PropPhi",BalancedFan=1)), Aeq-L9, IF(ASHRAEver="None",0,IF(ASHRAEver="2010noInf",$L$4,IF(ASHRAEver="BuilderPractice",$L$4*1.4,Aeq))))))</f>
        <v>37.624998821765971</v>
      </c>
      <c r="M10" s="250">
        <f t="shared" ref="M10" si="11">IF(OR(ASHRAEver="2013Inf",ASHRAEver="2019Prop"),Aeq-M9, IF(OR(AND(ASHRAEver="2016InfPhi",BalancedFan=0), AND(ASHRAEver="2019PropPhi",BalancedFan=0)), Aeq-(M9/Aeq)*M9, IF(OR(AND(ASHRAEver="2016InfPhi",BalancedFan=1), AND(ASHRAEver="2019PropPhi",BalancedFan=1)), Aeq-M9, IF(ASHRAEver="None",0,IF(ASHRAEver="2010noInf",$L$4,IF(ASHRAEver="BuilderPractice",$L$4*1.4,Aeq))))))</f>
        <v>36.776618974165316</v>
      </c>
      <c r="N10" s="250">
        <f t="shared" ref="N10" si="12">IF(OR(ASHRAEver="2013Inf",ASHRAEver="2019Prop"),Aeq-N9, IF(OR(AND(ASHRAEver="2016InfPhi",BalancedFan=0), AND(ASHRAEver="2019PropPhi",BalancedFan=0)), Aeq-(N9/Aeq)*N9, IF(OR(AND(ASHRAEver="2016InfPhi",BalancedFan=1), AND(ASHRAEver="2019PropPhi",BalancedFan=1)), Aeq-N9, IF(ASHRAEver="None",0,IF(ASHRAEver="2010noInf",$L$4,IF(ASHRAEver="BuilderPractice",$L$4*1.4,Aeq))))))</f>
        <v>41.614904045630439</v>
      </c>
      <c r="O10" s="250">
        <f t="shared" ref="O10" si="13">IF(OR(ASHRAEver="2013Inf",ASHRAEver="2019Prop"),Aeq-O9, IF(OR(AND(ASHRAEver="2016InfPhi",BalancedFan=0), AND(ASHRAEver="2019PropPhi",BalancedFan=0)), Aeq-(O9/Aeq)*O9, IF(OR(AND(ASHRAEver="2016InfPhi",BalancedFan=1), AND(ASHRAEver="2019PropPhi",BalancedFan=1)), Aeq-O9, IF(ASHRAEver="None",0,IF(ASHRAEver="2010noInf",$L$4,IF(ASHRAEver="BuilderPractice",$L$4*1.4,Aeq))))))</f>
        <v>31.333548268767057</v>
      </c>
      <c r="P10" s="250">
        <f t="shared" ref="P10" si="14">IF(OR(ASHRAEver="2013Inf",ASHRAEver="2019Prop"),Aeq-P9, IF(OR(AND(ASHRAEver="2016InfPhi",BalancedFan=0), AND(ASHRAEver="2019PropPhi",BalancedFan=0)), Aeq-(P9/Aeq)*P9, IF(OR(AND(ASHRAEver="2016InfPhi",BalancedFan=1), AND(ASHRAEver="2019PropPhi",BalancedFan=1)), Aeq-P9, IF(ASHRAEver="None",0,IF(ASHRAEver="2010noInf",$L$4,IF(ASHRAEver="BuilderPractice",$L$4*1.4,Aeq))))))</f>
        <v>40.850522202742717</v>
      </c>
      <c r="Q10" s="250">
        <f t="shared" ref="Q10" si="15">IF(OR(ASHRAEver="2013Inf",ASHRAEver="2019Prop"),Aeq-Q9, IF(OR(AND(ASHRAEver="2016InfPhi",BalancedFan=0), AND(ASHRAEver="2019PropPhi",BalancedFan=0)), Aeq-(Q9/Aeq)*Q9, IF(OR(AND(ASHRAEver="2016InfPhi",BalancedFan=1), AND(ASHRAEver="2019PropPhi",BalancedFan=1)), Aeq-Q9, IF(ASHRAEver="None",0,IF(ASHRAEver="2010noInf",$L$4,IF(ASHRAEver="BuilderPractice",$L$4*1.4,Aeq))))))</f>
        <v>42.362486287575571</v>
      </c>
      <c r="R10" s="250"/>
      <c r="T10" s="289" t="s">
        <v>449</v>
      </c>
      <c r="U10" s="117"/>
      <c r="V10" s="290"/>
    </row>
    <row r="11" spans="1:22" ht="15" customHeight="1">
      <c r="R11" s="187"/>
      <c r="T11" s="289" t="s">
        <v>450</v>
      </c>
      <c r="U11" s="117">
        <v>5</v>
      </c>
      <c r="V11" s="290" t="s">
        <v>451</v>
      </c>
    </row>
    <row r="12" spans="1:22" ht="15" customHeight="1">
      <c r="A12" s="73" t="s">
        <v>931</v>
      </c>
      <c r="B12" s="297">
        <f>IF(VentSystem="CFIS",0,0.4361*B13*-1000)</f>
        <v>14.078496687374331</v>
      </c>
      <c r="C12" s="297">
        <f t="shared" ref="C12:Q12" si="16">IF(VentSystem="CFIS",0,0.4361*C13*-1000)</f>
        <v>16.770914131739726</v>
      </c>
      <c r="D12" s="297">
        <f t="shared" si="16"/>
        <v>14.884390344191182</v>
      </c>
      <c r="E12" s="297">
        <f t="shared" si="16"/>
        <v>17.126239971336247</v>
      </c>
      <c r="F12" s="297">
        <f t="shared" si="16"/>
        <v>15.660978777123784</v>
      </c>
      <c r="G12" s="297">
        <f t="shared" si="16"/>
        <v>19.104342583523064</v>
      </c>
      <c r="H12" s="297">
        <f t="shared" si="16"/>
        <v>20.276551538893028</v>
      </c>
      <c r="I12" s="297">
        <f t="shared" si="16"/>
        <v>21.331539598725996</v>
      </c>
      <c r="J12" s="297">
        <f t="shared" si="16"/>
        <v>19.99448875900713</v>
      </c>
      <c r="K12" s="297">
        <f t="shared" si="16"/>
        <v>19.104342583523064</v>
      </c>
      <c r="L12" s="297">
        <f t="shared" si="16"/>
        <v>16.408261986172139</v>
      </c>
      <c r="M12" s="297">
        <f t="shared" si="16"/>
        <v>16.038283534633493</v>
      </c>
      <c r="N12" s="297">
        <f t="shared" si="16"/>
        <v>18.148259654299434</v>
      </c>
      <c r="O12" s="297">
        <f t="shared" si="16"/>
        <v>13.664560400009314</v>
      </c>
      <c r="P12" s="297">
        <f t="shared" si="16"/>
        <v>17.814912732616097</v>
      </c>
      <c r="Q12" s="297">
        <f t="shared" si="16"/>
        <v>18.474280270011707</v>
      </c>
      <c r="R12" s="297"/>
      <c r="T12" s="289" t="s">
        <v>452</v>
      </c>
      <c r="U12" s="117" t="s">
        <v>453</v>
      </c>
      <c r="V12" s="290" t="s">
        <v>438</v>
      </c>
    </row>
    <row r="13" spans="1:22" ht="15" customHeight="1">
      <c r="A13" s="73" t="s">
        <v>932</v>
      </c>
      <c r="B13" s="297">
        <f>B10/-1000</f>
        <v>-3.2282725722023231E-2</v>
      </c>
      <c r="C13" s="297">
        <f t="shared" ref="C13:Q13" si="17">C10/-1000</f>
        <v>-3.8456579068424042E-2</v>
      </c>
      <c r="D13" s="297">
        <f t="shared" si="17"/>
        <v>-3.4130681825707825E-2</v>
      </c>
      <c r="E13" s="297">
        <f t="shared" si="17"/>
        <v>-3.9271359714139524E-2</v>
      </c>
      <c r="F13" s="297">
        <f t="shared" si="17"/>
        <v>-3.591143952562207E-2</v>
      </c>
      <c r="G13" s="297">
        <f t="shared" si="17"/>
        <v>-4.3807251968638071E-2</v>
      </c>
      <c r="H13" s="297">
        <f t="shared" si="17"/>
        <v>-4.6495188119452024E-2</v>
      </c>
      <c r="I13" s="297">
        <f t="shared" si="17"/>
        <v>-4.8914330655184586E-2</v>
      </c>
      <c r="J13" s="297">
        <f t="shared" si="17"/>
        <v>-4.5848403483162416E-2</v>
      </c>
      <c r="K13" s="297">
        <f t="shared" si="17"/>
        <v>-4.3807251968638071E-2</v>
      </c>
      <c r="L13" s="297">
        <f t="shared" si="17"/>
        <v>-3.7624998821765968E-2</v>
      </c>
      <c r="M13" s="297">
        <f t="shared" si="17"/>
        <v>-3.6776618974165315E-2</v>
      </c>
      <c r="N13" s="297">
        <f t="shared" si="17"/>
        <v>-4.1614904045630438E-2</v>
      </c>
      <c r="O13" s="297">
        <f t="shared" si="17"/>
        <v>-3.133354826876706E-2</v>
      </c>
      <c r="P13" s="297">
        <f t="shared" si="17"/>
        <v>-4.0850522202742719E-2</v>
      </c>
      <c r="Q13" s="297">
        <f t="shared" si="17"/>
        <v>-4.2362486287575572E-2</v>
      </c>
      <c r="R13" s="297"/>
      <c r="T13" s="289" t="s">
        <v>454</v>
      </c>
      <c r="U13" s="117" t="s">
        <v>455</v>
      </c>
      <c r="V13" s="290" t="s">
        <v>438</v>
      </c>
    </row>
    <row r="14" spans="1:22" ht="15" customHeight="1">
      <c r="A14" s="73" t="s">
        <v>933</v>
      </c>
      <c r="B14" s="298">
        <f t="shared" ref="B14:Q14" si="18">VLOOKUP(VentSystem,$R$2:$S$4,2,FALSE)</f>
        <v>1</v>
      </c>
      <c r="C14" s="298">
        <f t="shared" si="18"/>
        <v>1</v>
      </c>
      <c r="D14" s="298">
        <f t="shared" si="18"/>
        <v>1</v>
      </c>
      <c r="E14" s="298">
        <f t="shared" si="18"/>
        <v>1</v>
      </c>
      <c r="F14" s="298">
        <f t="shared" si="18"/>
        <v>1</v>
      </c>
      <c r="G14" s="298">
        <f t="shared" si="18"/>
        <v>1</v>
      </c>
      <c r="H14" s="298">
        <f t="shared" si="18"/>
        <v>1</v>
      </c>
      <c r="I14" s="298">
        <f t="shared" si="18"/>
        <v>1</v>
      </c>
      <c r="J14" s="298">
        <f t="shared" si="18"/>
        <v>1</v>
      </c>
      <c r="K14" s="298">
        <f t="shared" si="18"/>
        <v>1</v>
      </c>
      <c r="L14" s="298">
        <f t="shared" si="18"/>
        <v>1</v>
      </c>
      <c r="M14" s="298">
        <f t="shared" si="18"/>
        <v>1</v>
      </c>
      <c r="N14" s="298">
        <f t="shared" si="18"/>
        <v>1</v>
      </c>
      <c r="O14" s="298">
        <f t="shared" si="18"/>
        <v>1</v>
      </c>
      <c r="P14" s="298">
        <f t="shared" si="18"/>
        <v>1</v>
      </c>
      <c r="Q14" s="298">
        <f t="shared" si="18"/>
        <v>1</v>
      </c>
      <c r="R14" s="298"/>
      <c r="T14" s="289" t="s">
        <v>456</v>
      </c>
      <c r="U14" s="117" t="s">
        <v>457</v>
      </c>
      <c r="V14" s="290" t="s">
        <v>444</v>
      </c>
    </row>
    <row r="15" spans="1:22" ht="15" customHeight="1">
      <c r="H15" s="186"/>
      <c r="K15" s="182"/>
      <c r="T15" s="289" t="s">
        <v>458</v>
      </c>
      <c r="U15" s="117">
        <v>7</v>
      </c>
      <c r="V15" s="290" t="s">
        <v>444</v>
      </c>
    </row>
    <row r="16" spans="1:22" ht="15" customHeight="1">
      <c r="T16" s="289" t="s">
        <v>459</v>
      </c>
      <c r="U16" s="117" t="s">
        <v>460</v>
      </c>
      <c r="V16" s="290" t="s">
        <v>444</v>
      </c>
    </row>
    <row r="17" spans="2:22" ht="15" customHeight="1">
      <c r="B17" s="1"/>
      <c r="C17" s="1"/>
      <c r="T17" s="289" t="s">
        <v>461</v>
      </c>
      <c r="U17" s="117">
        <v>4</v>
      </c>
      <c r="V17" s="290" t="s">
        <v>462</v>
      </c>
    </row>
    <row r="18" spans="2:22" ht="15" customHeight="1">
      <c r="B18" s="1"/>
      <c r="C18" s="1"/>
      <c r="T18" s="289" t="s">
        <v>463</v>
      </c>
      <c r="U18" s="117">
        <v>4</v>
      </c>
      <c r="V18" s="290" t="s">
        <v>462</v>
      </c>
    </row>
    <row r="19" spans="2:22" ht="15" customHeight="1" thickBot="1">
      <c r="B19" s="1"/>
      <c r="C19" s="1"/>
      <c r="T19" s="289" t="s">
        <v>464</v>
      </c>
      <c r="U19" s="117">
        <v>6</v>
      </c>
      <c r="V19" s="290" t="s">
        <v>438</v>
      </c>
    </row>
    <row r="20" spans="2:22" ht="15" customHeight="1" thickBot="1">
      <c r="B20" s="1"/>
      <c r="C20" s="1"/>
      <c r="D20" s="510"/>
      <c r="E20" s="511"/>
      <c r="G20" s="512"/>
      <c r="H20" s="512"/>
      <c r="T20" s="289" t="s">
        <v>471</v>
      </c>
      <c r="U20" s="117"/>
      <c r="V20" s="290"/>
    </row>
    <row r="21" spans="2:22" ht="15" customHeight="1" thickBot="1">
      <c r="B21" s="1"/>
      <c r="C21" s="1"/>
      <c r="D21" s="513"/>
      <c r="E21" s="514"/>
      <c r="G21" s="512"/>
      <c r="H21" s="512"/>
      <c r="T21" s="289" t="s">
        <v>465</v>
      </c>
      <c r="U21" s="117" t="s">
        <v>466</v>
      </c>
      <c r="V21" s="290" t="s">
        <v>467</v>
      </c>
    </row>
    <row r="22" spans="2:22" ht="15" customHeight="1" thickBot="1">
      <c r="B22" s="1"/>
      <c r="C22" s="1"/>
      <c r="D22" s="513"/>
      <c r="E22" s="514"/>
      <c r="G22" s="512"/>
      <c r="H22" s="512"/>
      <c r="T22" s="289" t="s">
        <v>468</v>
      </c>
      <c r="U22" s="117" t="s">
        <v>367</v>
      </c>
      <c r="V22" s="290" t="s">
        <v>469</v>
      </c>
    </row>
    <row r="23" spans="2:22" ht="15" customHeight="1" thickBot="1">
      <c r="B23" s="1"/>
      <c r="C23" s="1"/>
      <c r="D23" s="513"/>
      <c r="E23" s="514"/>
      <c r="G23" s="512"/>
      <c r="H23" s="512"/>
      <c r="T23" s="291" t="s">
        <v>470</v>
      </c>
      <c r="U23" s="292"/>
      <c r="V23" s="293"/>
    </row>
    <row r="24" spans="2:22" ht="15" customHeight="1" thickBot="1">
      <c r="B24" s="1"/>
      <c r="C24" s="1"/>
      <c r="D24" s="513"/>
      <c r="E24" s="514"/>
      <c r="G24" s="512"/>
      <c r="H24" s="512"/>
    </row>
    <row r="25" spans="2:22" ht="15" customHeight="1">
      <c r="B25" s="1"/>
      <c r="C25" s="1"/>
    </row>
    <row r="26" spans="2:22" ht="15" customHeight="1">
      <c r="B26" s="1"/>
      <c r="C26" s="1"/>
    </row>
    <row r="27" spans="2:22" ht="15" customHeight="1">
      <c r="B27" s="1"/>
      <c r="C27" s="1"/>
    </row>
    <row r="28" spans="2:22" ht="15" customHeight="1">
      <c r="B28" s="1"/>
      <c r="C28" s="1"/>
    </row>
    <row r="29" spans="2:22" ht="15" customHeight="1">
      <c r="B29" s="1"/>
      <c r="C29" s="1"/>
    </row>
    <row r="30" spans="2:22" ht="15" customHeight="1">
      <c r="B30" s="1"/>
      <c r="C30" s="1"/>
    </row>
    <row r="31" spans="2:22" ht="15" customHeight="1">
      <c r="B31" s="1"/>
      <c r="C31" s="1"/>
    </row>
    <row r="32" spans="2:22" ht="15" customHeight="1">
      <c r="B32" s="1"/>
      <c r="C32" s="1"/>
    </row>
    <row r="33" spans="1:17" ht="15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 customHeight="1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 customHeigh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 customHeight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 customHeight="1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 customHeight="1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 customHeight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4" spans="1:17" ht="15" customHeight="1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 customHeight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 customHeight="1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 customHeight="1">
      <c r="A48" s="487" t="s">
        <v>1392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50" spans="1:18" ht="15" customHeight="1">
      <c r="A50" s="76" t="s">
        <v>257</v>
      </c>
      <c r="B50" s="188" t="s">
        <v>624</v>
      </c>
      <c r="C50" s="188" t="s">
        <v>625</v>
      </c>
      <c r="D50" s="188" t="s">
        <v>127</v>
      </c>
      <c r="E50" s="188" t="s">
        <v>259</v>
      </c>
      <c r="F50" s="188" t="s">
        <v>127</v>
      </c>
      <c r="G50" s="188" t="s">
        <v>260</v>
      </c>
      <c r="H50" s="188" t="s">
        <v>500</v>
      </c>
      <c r="I50" s="188" t="s">
        <v>261</v>
      </c>
      <c r="J50" s="188"/>
      <c r="K50" s="188" t="s">
        <v>390</v>
      </c>
      <c r="L50" s="188" t="s">
        <v>391</v>
      </c>
      <c r="M50" s="188" t="s">
        <v>262</v>
      </c>
      <c r="N50" s="188"/>
      <c r="O50" s="188" t="s">
        <v>263</v>
      </c>
      <c r="P50" s="188" t="s">
        <v>264</v>
      </c>
      <c r="Q50" s="188" t="s">
        <v>265</v>
      </c>
      <c r="R50" s="188" t="s">
        <v>0</v>
      </c>
    </row>
    <row r="51" spans="1:18" ht="15" customHeight="1">
      <c r="A51" s="83" t="s">
        <v>266</v>
      </c>
      <c r="B51" s="187">
        <v>50</v>
      </c>
      <c r="C51" s="369">
        <f>E51/1000*-1</f>
        <v>-2.3596035865974516E-2</v>
      </c>
      <c r="D51" s="187" t="s">
        <v>267</v>
      </c>
      <c r="E51" s="219">
        <f>B51/2.119</f>
        <v>23.596035865974514</v>
      </c>
      <c r="F51" s="187" t="s">
        <v>186</v>
      </c>
      <c r="G51" s="187">
        <v>1</v>
      </c>
      <c r="H51" s="219">
        <f>E51*G51</f>
        <v>23.596035865974514</v>
      </c>
      <c r="I51" s="367">
        <f>F63*G51</f>
        <v>10.199999999999999</v>
      </c>
      <c r="K51" s="35">
        <f>E51*10^-3*3600/V_houseSI</f>
        <v>0.11649836660450752</v>
      </c>
      <c r="L51" s="37">
        <f>E51*10^-3*3600/V_houseSI+10/100*A_houseSI*3600/1000/V_houseSI</f>
        <v>0.24033817368644925</v>
      </c>
      <c r="M51" s="38">
        <v>31</v>
      </c>
      <c r="N51" s="39">
        <v>0.25</v>
      </c>
      <c r="O51" s="40">
        <f t="shared" ref="O51:O57" si="19">$H$53*(1+N51)</f>
        <v>41.293062765455403</v>
      </c>
      <c r="P51" s="40">
        <f t="shared" ref="P51:P57" si="20">O51*10^-3/(0.3048^3)*60</f>
        <v>87.495044968294053</v>
      </c>
      <c r="Q51" s="40">
        <f t="shared" ref="Q51:Q57" si="21">$F$84</f>
        <v>16.2</v>
      </c>
    </row>
    <row r="52" spans="1:18" ht="15" customHeight="1">
      <c r="A52" s="83" t="s">
        <v>268</v>
      </c>
      <c r="B52" s="187">
        <v>100</v>
      </c>
      <c r="C52" s="369">
        <f>E52/1000*-1</f>
        <v>-4.7192071731949031E-2</v>
      </c>
      <c r="D52" s="187" t="s">
        <v>267</v>
      </c>
      <c r="E52" s="219">
        <f>B52/2.119</f>
        <v>47.192071731949028</v>
      </c>
      <c r="F52" s="187" t="s">
        <v>186</v>
      </c>
      <c r="G52" s="187">
        <v>1</v>
      </c>
      <c r="H52" s="219">
        <f>E52*G52</f>
        <v>47.192071731949028</v>
      </c>
      <c r="I52" s="367">
        <f>F58*G52</f>
        <v>37.200000000000003</v>
      </c>
      <c r="K52" s="35">
        <f>E52*10^-3*3600/V_houseSI</f>
        <v>0.23299673320901504</v>
      </c>
      <c r="L52" s="37">
        <f>E52*10^-3*3600/V_houseSI+10/100*A_houseSI*3600/1000/V_houseSI</f>
        <v>0.35683654029095679</v>
      </c>
      <c r="M52" s="38">
        <v>32</v>
      </c>
      <c r="N52" s="39">
        <v>0.25</v>
      </c>
      <c r="O52" s="40">
        <f t="shared" si="19"/>
        <v>41.293062765455403</v>
      </c>
      <c r="P52" s="40">
        <f t="shared" si="20"/>
        <v>87.495044968294053</v>
      </c>
      <c r="Q52" s="40">
        <f t="shared" si="21"/>
        <v>16.2</v>
      </c>
    </row>
    <row r="53" spans="1:18" ht="15" customHeight="1">
      <c r="A53" s="83" t="s">
        <v>269</v>
      </c>
      <c r="B53" s="186">
        <v>70</v>
      </c>
      <c r="C53" s="370">
        <f>E53/1000*-1</f>
        <v>-3.303445021236432E-2</v>
      </c>
      <c r="D53" s="186" t="s">
        <v>267</v>
      </c>
      <c r="E53" s="219">
        <f>B53/2.119</f>
        <v>33.03445021236432</v>
      </c>
      <c r="F53" s="187" t="s">
        <v>186</v>
      </c>
      <c r="G53" s="187">
        <v>1</v>
      </c>
      <c r="H53" s="219">
        <f>E53*G53</f>
        <v>33.03445021236432</v>
      </c>
      <c r="I53" s="367">
        <f>F76</f>
        <v>11.8</v>
      </c>
      <c r="K53" s="35">
        <f>E53*10^-3*3600/V_houseSI</f>
        <v>0.16309771324631053</v>
      </c>
      <c r="L53" s="37">
        <f>E53*10^-3*3600/V_houseSI+10/100*A_houseSI*3600/1000/V_houseSI</f>
        <v>0.28693752032825226</v>
      </c>
      <c r="M53" s="38">
        <v>33</v>
      </c>
      <c r="N53" s="39">
        <v>0.25</v>
      </c>
      <c r="O53" s="40">
        <f t="shared" si="19"/>
        <v>41.293062765455403</v>
      </c>
      <c r="P53" s="40">
        <f t="shared" si="20"/>
        <v>87.495044968294053</v>
      </c>
      <c r="Q53" s="40">
        <f t="shared" si="21"/>
        <v>16.2</v>
      </c>
    </row>
    <row r="54" spans="1:18" ht="15" customHeight="1">
      <c r="A54" s="83" t="s">
        <v>55</v>
      </c>
      <c r="B54" s="187">
        <v>150</v>
      </c>
      <c r="C54" s="369">
        <f>E54/1000*-1</f>
        <v>-7.0788107597923547E-2</v>
      </c>
      <c r="D54" s="187" t="s">
        <v>267</v>
      </c>
      <c r="E54" s="219">
        <f>B54/2.119</f>
        <v>70.788107597923542</v>
      </c>
      <c r="F54" s="187" t="s">
        <v>186</v>
      </c>
      <c r="G54" s="187">
        <v>1</v>
      </c>
      <c r="H54" s="219">
        <f>E54*G54</f>
        <v>70.788107597923542</v>
      </c>
      <c r="I54" s="368">
        <v>0</v>
      </c>
      <c r="K54" s="35">
        <f>E54*10^-3*3600/V_houseSI</f>
        <v>0.34949509981352261</v>
      </c>
      <c r="L54" s="37">
        <f>E54*10^-3*3600/V_houseSI+10/100*A_houseSI*3600/1000/V_houseSI</f>
        <v>0.47333490689546431</v>
      </c>
      <c r="M54" s="38">
        <v>34</v>
      </c>
      <c r="N54" s="39">
        <v>0.25</v>
      </c>
      <c r="O54" s="40">
        <f t="shared" si="19"/>
        <v>41.293062765455403</v>
      </c>
      <c r="P54" s="40">
        <f t="shared" si="20"/>
        <v>87.495044968294053</v>
      </c>
      <c r="Q54" s="40">
        <f t="shared" si="21"/>
        <v>16.2</v>
      </c>
    </row>
    <row r="55" spans="1:18" ht="15" customHeight="1">
      <c r="M55" s="38">
        <v>35</v>
      </c>
      <c r="N55" s="39">
        <v>0.25</v>
      </c>
      <c r="O55" s="40">
        <f t="shared" si="19"/>
        <v>41.293062765455403</v>
      </c>
      <c r="P55" s="40">
        <f t="shared" si="20"/>
        <v>87.495044968294053</v>
      </c>
      <c r="Q55" s="40">
        <f t="shared" si="21"/>
        <v>16.2</v>
      </c>
    </row>
    <row r="56" spans="1:18" ht="15" customHeight="1">
      <c r="A56" s="112" t="s">
        <v>270</v>
      </c>
      <c r="M56" s="38">
        <v>36</v>
      </c>
      <c r="N56" s="39">
        <v>0.25</v>
      </c>
      <c r="O56" s="40">
        <f t="shared" si="19"/>
        <v>41.293062765455403</v>
      </c>
      <c r="P56" s="40">
        <f t="shared" si="20"/>
        <v>87.495044968294053</v>
      </c>
      <c r="Q56" s="38">
        <f t="shared" si="21"/>
        <v>16.2</v>
      </c>
    </row>
    <row r="57" spans="1:18" ht="15" customHeight="1">
      <c r="A57" s="80" t="s">
        <v>271</v>
      </c>
      <c r="B57" s="185" t="s">
        <v>624</v>
      </c>
      <c r="C57" s="220" t="s">
        <v>625</v>
      </c>
      <c r="D57" s="185" t="s">
        <v>272</v>
      </c>
      <c r="E57" s="185" t="s">
        <v>273</v>
      </c>
      <c r="F57" s="185" t="s">
        <v>32</v>
      </c>
      <c r="G57" s="220" t="s">
        <v>274</v>
      </c>
      <c r="H57" s="220" t="s">
        <v>186</v>
      </c>
      <c r="M57" s="38">
        <v>37</v>
      </c>
      <c r="N57" s="39">
        <v>0.25</v>
      </c>
      <c r="O57" s="40">
        <f t="shared" si="19"/>
        <v>41.293062765455403</v>
      </c>
      <c r="P57" s="40">
        <f t="shared" si="20"/>
        <v>87.495044968294053</v>
      </c>
      <c r="Q57" s="38">
        <f t="shared" si="21"/>
        <v>16.2</v>
      </c>
    </row>
    <row r="58" spans="1:18" ht="15" customHeight="1">
      <c r="A58" s="81" t="s">
        <v>275</v>
      </c>
      <c r="B58" s="41">
        <v>100</v>
      </c>
      <c r="C58" s="184">
        <f>H58/1000*-1</f>
        <v>-4.7192071731949031E-2</v>
      </c>
      <c r="D58" s="41">
        <v>0.8</v>
      </c>
      <c r="E58" s="41">
        <v>0.02</v>
      </c>
      <c r="F58" s="41">
        <v>37.200000000000003</v>
      </c>
      <c r="G58" s="86" t="s">
        <v>421</v>
      </c>
      <c r="H58" s="219">
        <f>B58/2.119</f>
        <v>47.192071731949028</v>
      </c>
      <c r="M58" s="38">
        <v>38</v>
      </c>
      <c r="N58" s="39"/>
      <c r="O58" s="40"/>
      <c r="P58" s="40"/>
      <c r="Q58" s="38"/>
    </row>
    <row r="59" spans="1:18" ht="15" customHeight="1">
      <c r="A59" s="83" t="s">
        <v>276</v>
      </c>
      <c r="B59" s="42">
        <v>100</v>
      </c>
      <c r="C59" s="184">
        <f>H59/1000*-1</f>
        <v>-4.7192071731949031E-2</v>
      </c>
      <c r="D59" s="42">
        <v>0.9</v>
      </c>
      <c r="E59" s="42">
        <v>0.02</v>
      </c>
      <c r="F59" s="42">
        <v>36.700000000000003</v>
      </c>
      <c r="G59" s="86" t="s">
        <v>277</v>
      </c>
      <c r="H59" s="219">
        <f>B59/2.119</f>
        <v>47.192071731949028</v>
      </c>
      <c r="M59" s="38">
        <v>39</v>
      </c>
      <c r="N59" s="39"/>
      <c r="O59" s="40"/>
      <c r="P59" s="40"/>
      <c r="Q59" s="38"/>
    </row>
    <row r="60" spans="1:18" ht="15" customHeight="1">
      <c r="M60" s="38">
        <v>40</v>
      </c>
      <c r="N60" s="39">
        <v>0.25</v>
      </c>
      <c r="O60" s="40">
        <f>$H$53*(1+N60)</f>
        <v>41.293062765455403</v>
      </c>
      <c r="P60" s="40">
        <f>O60*10^-3/(0.3048^3)*60</f>
        <v>87.495044968294053</v>
      </c>
      <c r="Q60" s="38">
        <f>$F$84</f>
        <v>16.2</v>
      </c>
    </row>
    <row r="61" spans="1:18" ht="15" customHeight="1">
      <c r="M61" s="38">
        <v>41</v>
      </c>
      <c r="N61" s="39">
        <v>0.25</v>
      </c>
      <c r="O61" s="40">
        <f>$H$53*(1+N61)</f>
        <v>41.293062765455403</v>
      </c>
      <c r="P61" s="40">
        <f>O61*10^-3/(0.3048^3)*60</f>
        <v>87.495044968294053</v>
      </c>
      <c r="Q61" s="38">
        <f>$F$84</f>
        <v>16.2</v>
      </c>
    </row>
    <row r="62" spans="1:18" ht="15" customHeight="1">
      <c r="A62" s="80" t="s">
        <v>278</v>
      </c>
      <c r="B62" s="185" t="s">
        <v>624</v>
      </c>
      <c r="C62" s="220" t="s">
        <v>625</v>
      </c>
      <c r="D62" s="185" t="s">
        <v>272</v>
      </c>
      <c r="E62" s="185" t="s">
        <v>273</v>
      </c>
      <c r="F62" s="185" t="s">
        <v>32</v>
      </c>
      <c r="G62" s="185" t="s">
        <v>274</v>
      </c>
      <c r="H62" s="220" t="s">
        <v>186</v>
      </c>
      <c r="M62" s="38">
        <v>42</v>
      </c>
      <c r="N62" s="39"/>
      <c r="O62" s="40"/>
      <c r="P62" s="40"/>
      <c r="Q62" s="38"/>
    </row>
    <row r="63" spans="1:18" ht="15" customHeight="1">
      <c r="A63" s="81" t="s">
        <v>279</v>
      </c>
      <c r="B63" s="41">
        <v>50</v>
      </c>
      <c r="C63" s="184">
        <f t="shared" ref="C63:C68" si="22">H63/1000*-1</f>
        <v>-2.3596035865974516E-2</v>
      </c>
      <c r="D63" s="41" t="s">
        <v>280</v>
      </c>
      <c r="E63" s="41">
        <v>0.25</v>
      </c>
      <c r="F63" s="41">
        <v>10.199999999999999</v>
      </c>
      <c r="G63" s="41" t="s">
        <v>281</v>
      </c>
      <c r="H63" s="219">
        <f t="shared" ref="H63:H68" si="23">B63/2.119</f>
        <v>23.596035865974514</v>
      </c>
      <c r="I63" s="219"/>
      <c r="J63" s="187">
        <f>F63/H63</f>
        <v>0.43227599999999999</v>
      </c>
      <c r="K63" s="219"/>
      <c r="M63" s="38">
        <v>43</v>
      </c>
      <c r="N63" s="39"/>
      <c r="O63" s="40"/>
      <c r="P63" s="40"/>
      <c r="Q63" s="38"/>
    </row>
    <row r="64" spans="1:18" ht="15" customHeight="1">
      <c r="A64" s="83" t="s">
        <v>282</v>
      </c>
      <c r="B64" s="42">
        <v>50</v>
      </c>
      <c r="C64" s="184">
        <f t="shared" si="22"/>
        <v>-2.3596035865974516E-2</v>
      </c>
      <c r="D64" s="42" t="s">
        <v>280</v>
      </c>
      <c r="E64" s="42">
        <v>0.25</v>
      </c>
      <c r="F64" s="42">
        <v>10.199999999999999</v>
      </c>
      <c r="G64" s="42" t="s">
        <v>283</v>
      </c>
      <c r="H64" s="219">
        <f t="shared" si="23"/>
        <v>23.596035865974514</v>
      </c>
      <c r="I64" s="219"/>
      <c r="J64" s="187">
        <f>F64/H64</f>
        <v>0.43227599999999999</v>
      </c>
      <c r="K64" s="219"/>
      <c r="M64" s="38">
        <v>44</v>
      </c>
      <c r="N64" s="39"/>
      <c r="O64" s="40"/>
      <c r="P64" s="40"/>
      <c r="Q64" s="38"/>
    </row>
    <row r="65" spans="1:17" ht="15" customHeight="1">
      <c r="A65" s="83" t="s">
        <v>284</v>
      </c>
      <c r="B65" s="187">
        <v>50</v>
      </c>
      <c r="C65" s="184">
        <f t="shared" si="22"/>
        <v>-2.3596035865974516E-2</v>
      </c>
      <c r="D65" s="187" t="s">
        <v>280</v>
      </c>
      <c r="E65" s="187">
        <v>0.25</v>
      </c>
      <c r="F65" s="187">
        <v>11.2</v>
      </c>
      <c r="G65" s="187" t="s">
        <v>281</v>
      </c>
      <c r="H65" s="219">
        <f t="shared" si="23"/>
        <v>23.596035865974514</v>
      </c>
      <c r="I65" s="219"/>
      <c r="J65" s="187">
        <f>F65/H65</f>
        <v>0.47465600000000002</v>
      </c>
      <c r="K65" s="219"/>
      <c r="M65" s="38">
        <v>45</v>
      </c>
      <c r="N65" s="39"/>
      <c r="O65" s="40"/>
      <c r="P65" s="40"/>
      <c r="Q65" s="38"/>
    </row>
    <row r="66" spans="1:17" ht="15" customHeight="1">
      <c r="A66" s="85" t="s">
        <v>285</v>
      </c>
      <c r="B66" s="187">
        <v>50</v>
      </c>
      <c r="C66" s="184">
        <f t="shared" si="22"/>
        <v>-2.3596035865974516E-2</v>
      </c>
      <c r="D66" s="186" t="s">
        <v>280</v>
      </c>
      <c r="E66" s="187">
        <v>0.1</v>
      </c>
      <c r="F66" s="187">
        <v>19.7</v>
      </c>
      <c r="G66" s="186" t="s">
        <v>286</v>
      </c>
      <c r="H66" s="219">
        <f t="shared" si="23"/>
        <v>23.596035865974514</v>
      </c>
      <c r="M66" s="38">
        <v>46</v>
      </c>
      <c r="N66" s="39"/>
      <c r="O66" s="40"/>
      <c r="P66" s="40"/>
      <c r="Q66" s="38"/>
    </row>
    <row r="67" spans="1:17" ht="15" customHeight="1">
      <c r="A67" s="83" t="s">
        <v>287</v>
      </c>
      <c r="B67" s="43">
        <v>50</v>
      </c>
      <c r="C67" s="184">
        <f t="shared" si="22"/>
        <v>-2.3596035865974516E-2</v>
      </c>
      <c r="D67" s="186" t="s">
        <v>280</v>
      </c>
      <c r="E67" s="187">
        <v>0.25</v>
      </c>
      <c r="F67" s="187">
        <v>11.8</v>
      </c>
      <c r="G67" s="186" t="s">
        <v>288</v>
      </c>
      <c r="H67" s="219">
        <f t="shared" si="23"/>
        <v>23.596035865974514</v>
      </c>
      <c r="M67" s="38">
        <v>47</v>
      </c>
      <c r="N67" s="39"/>
      <c r="O67" s="40"/>
      <c r="P67" s="40"/>
      <c r="Q67" s="38"/>
    </row>
    <row r="68" spans="1:17" ht="15" customHeight="1">
      <c r="A68" s="83" t="s">
        <v>420</v>
      </c>
      <c r="B68" s="187">
        <v>50</v>
      </c>
      <c r="C68" s="184">
        <f t="shared" si="22"/>
        <v>-2.3596035865974516E-2</v>
      </c>
      <c r="F68" s="187">
        <v>55</v>
      </c>
      <c r="G68" s="187" t="s">
        <v>419</v>
      </c>
      <c r="H68" s="219">
        <f t="shared" si="23"/>
        <v>23.596035865974514</v>
      </c>
      <c r="M68" s="38">
        <v>48</v>
      </c>
      <c r="N68" s="39"/>
      <c r="O68" s="40"/>
      <c r="P68" s="40"/>
      <c r="Q68" s="38"/>
    </row>
    <row r="69" spans="1:17" ht="15" customHeight="1">
      <c r="M69" s="38">
        <v>49</v>
      </c>
      <c r="N69" s="39"/>
      <c r="O69" s="40"/>
      <c r="P69" s="40"/>
      <c r="Q69" s="38"/>
    </row>
    <row r="70" spans="1:17" ht="15" customHeight="1">
      <c r="A70" s="80" t="s">
        <v>289</v>
      </c>
      <c r="B70" s="185" t="s">
        <v>624</v>
      </c>
      <c r="C70" s="220" t="s">
        <v>625</v>
      </c>
      <c r="D70" s="185" t="s">
        <v>272</v>
      </c>
      <c r="E70" s="185" t="s">
        <v>273</v>
      </c>
      <c r="F70" s="185" t="s">
        <v>32</v>
      </c>
      <c r="G70" s="185" t="s">
        <v>274</v>
      </c>
      <c r="H70" s="220" t="s">
        <v>186</v>
      </c>
      <c r="M70" s="38">
        <v>50</v>
      </c>
      <c r="N70" s="39">
        <v>0.25</v>
      </c>
      <c r="O70" s="40">
        <f>$H$53*(1+N70)</f>
        <v>41.293062765455403</v>
      </c>
      <c r="P70" s="40">
        <f>O70*10^-3/(0.3048^3)*60</f>
        <v>87.495044968294053</v>
      </c>
      <c r="Q70" s="38">
        <f>$F$84</f>
        <v>16.2</v>
      </c>
    </row>
    <row r="71" spans="1:17" ht="15" customHeight="1">
      <c r="A71" s="84" t="s">
        <v>290</v>
      </c>
      <c r="B71" s="44">
        <v>70</v>
      </c>
      <c r="C71" s="184">
        <f t="shared" ref="C71:C76" si="24">H71/1000*-1</f>
        <v>-3.303445021236432E-2</v>
      </c>
      <c r="D71" s="44">
        <v>0.60000000000000009</v>
      </c>
      <c r="E71" s="44" t="s">
        <v>291</v>
      </c>
      <c r="F71" s="44">
        <v>19.399999999999999</v>
      </c>
      <c r="G71" s="44" t="s">
        <v>292</v>
      </c>
      <c r="H71" s="219">
        <f t="shared" ref="H71:H76" si="25">B71/2.119</f>
        <v>33.03445021236432</v>
      </c>
    </row>
    <row r="72" spans="1:17" ht="15" customHeight="1">
      <c r="A72" s="82" t="s">
        <v>293</v>
      </c>
      <c r="B72" s="45">
        <v>72</v>
      </c>
      <c r="C72" s="184">
        <f t="shared" si="24"/>
        <v>-3.3978291647003306E-2</v>
      </c>
      <c r="D72" s="45">
        <v>0.64</v>
      </c>
      <c r="E72" s="45" t="s">
        <v>291</v>
      </c>
      <c r="F72" s="45">
        <v>20</v>
      </c>
      <c r="G72" s="45" t="s">
        <v>294</v>
      </c>
      <c r="H72" s="219">
        <f t="shared" si="25"/>
        <v>33.978291647003303</v>
      </c>
    </row>
    <row r="73" spans="1:17" ht="15" customHeight="1">
      <c r="A73" s="82" t="s">
        <v>295</v>
      </c>
      <c r="B73" s="45">
        <v>68</v>
      </c>
      <c r="C73" s="184">
        <f t="shared" si="24"/>
        <v>-3.2090608777725335E-2</v>
      </c>
      <c r="D73" s="45">
        <v>0.9</v>
      </c>
      <c r="E73" s="45" t="s">
        <v>291</v>
      </c>
      <c r="F73" s="45">
        <v>28.3</v>
      </c>
      <c r="G73" s="45" t="s">
        <v>296</v>
      </c>
      <c r="H73" s="219">
        <f t="shared" si="25"/>
        <v>32.090608777725336</v>
      </c>
    </row>
    <row r="74" spans="1:17" ht="15" customHeight="1">
      <c r="A74" s="82" t="s">
        <v>297</v>
      </c>
      <c r="B74" s="45">
        <v>70</v>
      </c>
      <c r="C74" s="184">
        <f t="shared" si="24"/>
        <v>-3.303445021236432E-2</v>
      </c>
      <c r="D74" s="45">
        <v>0.25</v>
      </c>
      <c r="E74" s="45" t="s">
        <v>291</v>
      </c>
      <c r="F74" s="45">
        <v>24.5</v>
      </c>
      <c r="G74" s="45" t="s">
        <v>298</v>
      </c>
      <c r="H74" s="219">
        <f t="shared" si="25"/>
        <v>33.03445021236432</v>
      </c>
    </row>
    <row r="75" spans="1:17" ht="15" customHeight="1">
      <c r="A75" s="83" t="s">
        <v>299</v>
      </c>
      <c r="B75" s="186">
        <v>70</v>
      </c>
      <c r="C75" s="184">
        <f t="shared" si="24"/>
        <v>-3.303445021236432E-2</v>
      </c>
      <c r="D75" s="186">
        <v>0.30000000000000004</v>
      </c>
      <c r="E75" s="186">
        <v>0.25</v>
      </c>
      <c r="F75" s="186">
        <v>14</v>
      </c>
      <c r="G75" s="186" t="s">
        <v>300</v>
      </c>
      <c r="H75" s="219">
        <f t="shared" si="25"/>
        <v>33.03445021236432</v>
      </c>
      <c r="J75" s="187">
        <f>F75/H75</f>
        <v>0.42380000000000007</v>
      </c>
    </row>
    <row r="76" spans="1:17" ht="15" customHeight="1">
      <c r="A76" s="83" t="s">
        <v>299</v>
      </c>
      <c r="B76" s="187">
        <v>60</v>
      </c>
      <c r="C76" s="184">
        <f t="shared" si="24"/>
        <v>-2.8315243039169418E-2</v>
      </c>
      <c r="D76" s="187">
        <v>0.30000000000000004</v>
      </c>
      <c r="E76" s="187">
        <v>0.25</v>
      </c>
      <c r="F76" s="187">
        <v>11.8</v>
      </c>
      <c r="G76" s="186" t="s">
        <v>300</v>
      </c>
      <c r="H76" s="219">
        <f t="shared" si="25"/>
        <v>28.315243039169417</v>
      </c>
      <c r="J76" s="187">
        <f>F76/H76</f>
        <v>0.41673666666666676</v>
      </c>
    </row>
    <row r="78" spans="1:17" ht="15" customHeight="1">
      <c r="A78" s="80" t="s">
        <v>301</v>
      </c>
      <c r="B78" s="185" t="s">
        <v>624</v>
      </c>
      <c r="C78" s="220" t="s">
        <v>625</v>
      </c>
      <c r="D78" s="185" t="s">
        <v>272</v>
      </c>
      <c r="E78" s="185" t="s">
        <v>273</v>
      </c>
      <c r="F78" s="185" t="s">
        <v>32</v>
      </c>
      <c r="G78" s="185" t="s">
        <v>274</v>
      </c>
      <c r="H78" s="220" t="s">
        <v>186</v>
      </c>
    </row>
    <row r="79" spans="1:17" ht="15" customHeight="1">
      <c r="A79" s="81" t="s">
        <v>302</v>
      </c>
      <c r="B79" s="46">
        <v>83</v>
      </c>
      <c r="C79" s="181">
        <f>H79/1000*-1</f>
        <v>-3.9169419537517687E-2</v>
      </c>
      <c r="D79" s="47">
        <v>0.30000000000000004</v>
      </c>
      <c r="E79" s="41">
        <v>0.25</v>
      </c>
      <c r="F79" s="41">
        <v>16.3</v>
      </c>
      <c r="G79" s="47" t="s">
        <v>303</v>
      </c>
      <c r="H79" s="219">
        <f>B79/2.119</f>
        <v>39.16941953751769</v>
      </c>
    </row>
    <row r="80" spans="1:17" ht="15" customHeight="1">
      <c r="A80" s="82" t="s">
        <v>304</v>
      </c>
      <c r="B80" s="45">
        <v>80</v>
      </c>
      <c r="C80" s="181">
        <f t="shared" ref="C80:C86" si="26">H80/1000*-1</f>
        <v>-3.7753657385559219E-2</v>
      </c>
      <c r="D80" s="45">
        <v>0.7</v>
      </c>
      <c r="E80" s="45" t="s">
        <v>291</v>
      </c>
      <c r="F80" s="45">
        <v>23.6</v>
      </c>
      <c r="G80" s="45" t="s">
        <v>305</v>
      </c>
      <c r="H80" s="219">
        <f t="shared" ref="H80:H86" si="27">B80/2.119</f>
        <v>37.753657385559222</v>
      </c>
    </row>
    <row r="81" spans="1:17" ht="15" customHeight="1">
      <c r="A81" s="82" t="s">
        <v>306</v>
      </c>
      <c r="B81" s="45">
        <v>80</v>
      </c>
      <c r="C81" s="181">
        <f t="shared" si="26"/>
        <v>-3.7753657385559219E-2</v>
      </c>
      <c r="D81" s="45">
        <v>1</v>
      </c>
      <c r="E81" s="45" t="s">
        <v>291</v>
      </c>
      <c r="F81" s="45">
        <v>27.2</v>
      </c>
      <c r="G81" s="45" t="s">
        <v>307</v>
      </c>
      <c r="H81" s="219">
        <f t="shared" si="27"/>
        <v>37.753657385559222</v>
      </c>
      <c r="K81" s="1"/>
      <c r="L81" s="1"/>
      <c r="M81" s="1"/>
      <c r="N81" s="1"/>
      <c r="O81" s="1"/>
      <c r="P81" s="1"/>
      <c r="Q81" s="1"/>
    </row>
    <row r="82" spans="1:17" ht="15" customHeight="1">
      <c r="A82" s="83" t="s">
        <v>308</v>
      </c>
      <c r="B82" s="187">
        <v>83</v>
      </c>
      <c r="C82" s="181">
        <f t="shared" si="26"/>
        <v>-3.9169419537517687E-2</v>
      </c>
      <c r="D82" s="187">
        <v>0.7</v>
      </c>
      <c r="E82" s="186" t="s">
        <v>309</v>
      </c>
      <c r="F82" s="187">
        <v>24.11</v>
      </c>
      <c r="G82" s="186" t="s">
        <v>310</v>
      </c>
      <c r="H82" s="219">
        <f t="shared" si="27"/>
        <v>39.16941953751769</v>
      </c>
      <c r="K82" s="1"/>
      <c r="L82" s="1"/>
      <c r="M82" s="1"/>
      <c r="N82" s="1"/>
      <c r="O82" s="1"/>
      <c r="P82" s="1"/>
      <c r="Q82" s="1"/>
    </row>
    <row r="83" spans="1:17" ht="15" customHeight="1">
      <c r="A83" s="83" t="s">
        <v>311</v>
      </c>
      <c r="B83" s="187">
        <v>80</v>
      </c>
      <c r="C83" s="181">
        <f t="shared" si="26"/>
        <v>-3.7753657385559219E-2</v>
      </c>
      <c r="D83" s="187">
        <v>0.8</v>
      </c>
      <c r="E83" s="186" t="s">
        <v>309</v>
      </c>
      <c r="F83" s="187">
        <v>28.6</v>
      </c>
      <c r="G83" s="186" t="s">
        <v>312</v>
      </c>
      <c r="H83" s="219">
        <f t="shared" si="27"/>
        <v>37.753657385559222</v>
      </c>
      <c r="K83" s="1"/>
      <c r="L83" s="1"/>
      <c r="M83" s="1"/>
      <c r="N83" s="1"/>
      <c r="O83" s="1"/>
      <c r="P83" s="1"/>
      <c r="Q83" s="1"/>
    </row>
    <row r="84" spans="1:17" ht="15" customHeight="1">
      <c r="A84" s="83" t="s">
        <v>299</v>
      </c>
      <c r="B84" s="187">
        <v>80</v>
      </c>
      <c r="C84" s="181">
        <f t="shared" si="26"/>
        <v>-3.7753657385559219E-2</v>
      </c>
      <c r="D84" s="187">
        <v>0.30000000000000004</v>
      </c>
      <c r="E84" s="187">
        <v>0.25</v>
      </c>
      <c r="F84" s="187">
        <v>16.2</v>
      </c>
      <c r="G84" s="186" t="s">
        <v>313</v>
      </c>
      <c r="H84" s="219">
        <f t="shared" si="27"/>
        <v>37.753657385559222</v>
      </c>
      <c r="J84" s="187">
        <f>F84/H84</f>
        <v>0.42909750000000002</v>
      </c>
      <c r="K84" s="1"/>
      <c r="L84" s="1"/>
      <c r="M84" s="1"/>
      <c r="N84" s="1"/>
      <c r="O84" s="1"/>
      <c r="P84" s="1"/>
      <c r="Q84" s="1"/>
    </row>
    <row r="85" spans="1:17" ht="15" customHeight="1">
      <c r="A85" s="58" t="s">
        <v>597</v>
      </c>
      <c r="B85" s="175">
        <v>100</v>
      </c>
      <c r="C85" s="189">
        <f t="shared" si="26"/>
        <v>-4.7192071731949031E-2</v>
      </c>
      <c r="D85" s="175">
        <v>0.9</v>
      </c>
      <c r="E85" s="175">
        <v>0.25</v>
      </c>
      <c r="F85" s="175">
        <v>27.3</v>
      </c>
      <c r="G85" s="175" t="s">
        <v>598</v>
      </c>
      <c r="H85" s="219">
        <f t="shared" si="27"/>
        <v>47.192071731949028</v>
      </c>
      <c r="K85" s="1"/>
      <c r="L85" s="1"/>
      <c r="M85" s="1"/>
      <c r="N85" s="1"/>
      <c r="O85" s="1"/>
      <c r="P85" s="1"/>
      <c r="Q85" s="1"/>
    </row>
    <row r="86" spans="1:17" ht="15" customHeight="1">
      <c r="A86" s="58" t="s">
        <v>595</v>
      </c>
      <c r="B86" s="175">
        <v>150</v>
      </c>
      <c r="C86" s="189">
        <f t="shared" si="26"/>
        <v>-7.0788107597923547E-2</v>
      </c>
      <c r="D86" s="175">
        <v>0.6</v>
      </c>
      <c r="E86" s="175">
        <v>0.25</v>
      </c>
      <c r="F86" s="175">
        <v>31.4</v>
      </c>
      <c r="G86" s="175" t="s">
        <v>596</v>
      </c>
      <c r="H86" s="219">
        <f t="shared" si="27"/>
        <v>70.788107597923542</v>
      </c>
      <c r="J86" s="187">
        <f>F86/H86</f>
        <v>0.44357733333333338</v>
      </c>
      <c r="K86" s="1"/>
      <c r="L86" s="1"/>
      <c r="M86" s="1"/>
      <c r="N86" s="1"/>
      <c r="O86" s="1"/>
      <c r="P86" s="1"/>
      <c r="Q86" s="1"/>
    </row>
    <row r="87" spans="1:17" ht="15" customHeight="1">
      <c r="K87" s="1"/>
      <c r="L87" s="1"/>
      <c r="M87" s="1"/>
      <c r="N87" s="1"/>
      <c r="O87" s="1"/>
      <c r="P87" s="1"/>
      <c r="Q87" s="1"/>
    </row>
    <row r="88" spans="1:17" ht="15" customHeight="1">
      <c r="A88" s="80" t="s">
        <v>599</v>
      </c>
      <c r="B88" s="185" t="s">
        <v>624</v>
      </c>
      <c r="C88" s="220" t="s">
        <v>625</v>
      </c>
      <c r="D88" s="185" t="s">
        <v>600</v>
      </c>
      <c r="E88" s="185" t="s">
        <v>601</v>
      </c>
      <c r="F88" s="185" t="s">
        <v>32</v>
      </c>
      <c r="G88" s="185" t="s">
        <v>274</v>
      </c>
      <c r="H88" s="220" t="s">
        <v>186</v>
      </c>
      <c r="J88" s="187">
        <f>AVERAGE(J63:J65,J75:J76,J84,J86)</f>
        <v>0.43605992857142867</v>
      </c>
      <c r="K88" s="1"/>
      <c r="L88" s="1"/>
      <c r="M88" s="1"/>
      <c r="N88" s="1"/>
      <c r="O88" s="1"/>
      <c r="P88" s="1"/>
      <c r="Q88" s="1"/>
    </row>
    <row r="89" spans="1:17" ht="15" customHeight="1">
      <c r="A89" s="81" t="s">
        <v>602</v>
      </c>
      <c r="B89" s="176">
        <v>89</v>
      </c>
      <c r="C89" s="181">
        <f t="shared" ref="C89:C94" si="28">H89/1000*-1</f>
        <v>-4.2000943841434636E-2</v>
      </c>
      <c r="D89" s="47">
        <v>73</v>
      </c>
      <c r="E89" s="41">
        <v>84</v>
      </c>
      <c r="F89" s="41">
        <v>89</v>
      </c>
      <c r="G89" s="47" t="s">
        <v>603</v>
      </c>
      <c r="H89" s="219">
        <f>B89/2.119</f>
        <v>42.000943841434633</v>
      </c>
      <c r="K89" s="1"/>
      <c r="L89" s="1"/>
      <c r="M89" s="1"/>
      <c r="N89" s="1"/>
      <c r="O89" s="1"/>
      <c r="P89" s="1"/>
      <c r="Q89" s="1"/>
    </row>
    <row r="90" spans="1:17" ht="15" customHeight="1">
      <c r="A90" s="83" t="s">
        <v>604</v>
      </c>
      <c r="B90" s="187">
        <v>114</v>
      </c>
      <c r="C90" s="181">
        <f t="shared" si="28"/>
        <v>-5.3798961774421887E-2</v>
      </c>
      <c r="D90" s="187">
        <v>78</v>
      </c>
      <c r="E90" s="187">
        <v>86</v>
      </c>
      <c r="F90" s="187">
        <v>98</v>
      </c>
      <c r="G90" s="108" t="s">
        <v>605</v>
      </c>
      <c r="H90" s="219">
        <f>B90/2.119</f>
        <v>53.79896177442189</v>
      </c>
      <c r="K90" s="1"/>
      <c r="L90" s="1"/>
      <c r="M90" s="1"/>
      <c r="N90" s="1"/>
      <c r="O90" s="1"/>
      <c r="P90" s="1"/>
      <c r="Q90" s="1"/>
    </row>
    <row r="91" spans="1:17" ht="15" customHeight="1">
      <c r="A91" s="1" t="s">
        <v>606</v>
      </c>
      <c r="B91" s="187">
        <v>155</v>
      </c>
      <c r="C91" s="181">
        <f t="shared" si="28"/>
        <v>-7.3147711184520986E-2</v>
      </c>
      <c r="D91" s="187">
        <v>75</v>
      </c>
      <c r="E91" s="187">
        <v>82</v>
      </c>
      <c r="F91" s="187">
        <v>123</v>
      </c>
      <c r="G91" s="108" t="s">
        <v>607</v>
      </c>
      <c r="H91" s="219">
        <f>B91/2.119</f>
        <v>73.147711184520986</v>
      </c>
      <c r="K91" s="1"/>
      <c r="L91" s="1"/>
      <c r="M91" s="1"/>
      <c r="N91" s="1"/>
      <c r="O91" s="1"/>
      <c r="P91" s="1"/>
      <c r="Q91" s="1"/>
    </row>
    <row r="92" spans="1:17" ht="15" customHeight="1">
      <c r="A92" s="101" t="s">
        <v>608</v>
      </c>
      <c r="B92" s="177">
        <f>H92*2.119</f>
        <v>84.76</v>
      </c>
      <c r="C92" s="189">
        <f t="shared" si="28"/>
        <v>-0.04</v>
      </c>
      <c r="D92" s="175">
        <v>68</v>
      </c>
      <c r="E92" s="175">
        <v>75</v>
      </c>
      <c r="F92" s="175">
        <v>64</v>
      </c>
      <c r="G92" s="175" t="s">
        <v>609</v>
      </c>
      <c r="H92" s="177">
        <v>40</v>
      </c>
      <c r="I92" s="178">
        <v>1200</v>
      </c>
      <c r="K92" s="1"/>
      <c r="L92" s="1"/>
      <c r="M92" s="1"/>
      <c r="N92" s="1"/>
      <c r="O92" s="1"/>
      <c r="P92" s="1"/>
      <c r="Q92" s="1"/>
    </row>
    <row r="93" spans="1:17" ht="15" customHeight="1">
      <c r="A93" s="101" t="s">
        <v>610</v>
      </c>
      <c r="B93" s="177">
        <f>H93*2.119</f>
        <v>118.66400000000002</v>
      </c>
      <c r="C93" s="189">
        <f t="shared" si="28"/>
        <v>-5.6000000000000001E-2</v>
      </c>
      <c r="D93" s="175">
        <v>65</v>
      </c>
      <c r="E93" s="175">
        <v>75</v>
      </c>
      <c r="F93" s="175">
        <v>114</v>
      </c>
      <c r="G93" s="175" t="s">
        <v>609</v>
      </c>
      <c r="H93" s="177">
        <v>56</v>
      </c>
      <c r="I93" s="178">
        <v>2100</v>
      </c>
      <c r="K93" s="1"/>
      <c r="L93" s="1"/>
      <c r="M93" s="1"/>
      <c r="N93" s="1"/>
      <c r="O93" s="1"/>
      <c r="P93" s="1"/>
      <c r="Q93" s="1"/>
    </row>
    <row r="94" spans="1:17" ht="15" customHeight="1">
      <c r="A94" s="101" t="s">
        <v>611</v>
      </c>
      <c r="B94" s="177">
        <f>H94*2.119</f>
        <v>137.73500000000001</v>
      </c>
      <c r="C94" s="189">
        <f t="shared" si="28"/>
        <v>-6.5000000000000002E-2</v>
      </c>
      <c r="D94" s="175">
        <v>64</v>
      </c>
      <c r="E94" s="175">
        <v>72</v>
      </c>
      <c r="F94" s="175">
        <v>124</v>
      </c>
      <c r="G94" s="175" t="s">
        <v>609</v>
      </c>
      <c r="H94" s="177">
        <v>65</v>
      </c>
      <c r="I94" s="178">
        <v>2700</v>
      </c>
      <c r="K94" s="1"/>
      <c r="L94" s="1"/>
      <c r="M94" s="1"/>
      <c r="N94" s="1"/>
      <c r="O94" s="1"/>
      <c r="P94" s="1"/>
      <c r="Q94" s="1"/>
    </row>
    <row r="95" spans="1:17" ht="15" customHeight="1">
      <c r="K95" s="1"/>
      <c r="L95" s="1"/>
      <c r="M95" s="1"/>
      <c r="N95" s="1"/>
      <c r="O95" s="1"/>
      <c r="P95" s="1"/>
      <c r="Q95" s="1"/>
    </row>
    <row r="96" spans="1:17" ht="15" customHeight="1">
      <c r="K96" s="1"/>
      <c r="L96" s="1"/>
      <c r="M96" s="1"/>
      <c r="N96" s="1"/>
      <c r="O96" s="1"/>
      <c r="P96" s="1"/>
      <c r="Q96" s="1"/>
    </row>
    <row r="97" spans="1:19" ht="15" customHeight="1">
      <c r="A97" s="1" t="s">
        <v>855</v>
      </c>
    </row>
    <row r="98" spans="1:19" ht="15" customHeight="1">
      <c r="A98" s="58" t="s">
        <v>767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</row>
    <row r="99" spans="1:19" ht="15" customHeight="1">
      <c r="A99" s="58" t="s">
        <v>772</v>
      </c>
      <c r="B99" s="58"/>
      <c r="C99" s="58" t="s">
        <v>564</v>
      </c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</row>
    <row r="100" spans="1:19" ht="15" customHeight="1">
      <c r="A100" s="58" t="s">
        <v>769</v>
      </c>
      <c r="B100" s="58" t="s">
        <v>768</v>
      </c>
      <c r="C100" s="58" t="s">
        <v>626</v>
      </c>
      <c r="D100" s="58" t="s">
        <v>575</v>
      </c>
      <c r="E100" s="58" t="s">
        <v>576</v>
      </c>
      <c r="F100" s="58" t="s">
        <v>577</v>
      </c>
      <c r="G100" s="58" t="s">
        <v>578</v>
      </c>
      <c r="H100" s="58" t="s">
        <v>579</v>
      </c>
      <c r="I100" s="58" t="s">
        <v>580</v>
      </c>
      <c r="J100" s="58" t="s">
        <v>581</v>
      </c>
      <c r="K100" s="58" t="s">
        <v>582</v>
      </c>
      <c r="L100" s="58" t="s">
        <v>583</v>
      </c>
      <c r="M100" s="58" t="s">
        <v>584</v>
      </c>
      <c r="N100" s="58" t="s">
        <v>585</v>
      </c>
      <c r="O100" s="58" t="s">
        <v>586</v>
      </c>
      <c r="P100" s="58">
        <v>7</v>
      </c>
      <c r="Q100" s="58">
        <v>8</v>
      </c>
    </row>
    <row r="101" spans="1:19" ht="15" customHeight="1">
      <c r="A101" s="58">
        <v>10</v>
      </c>
      <c r="B101" s="58">
        <f>[1]Leakage!AF60</f>
        <v>0.56773247088937218</v>
      </c>
      <c r="C101" s="58">
        <f>($B$101*A_houseSI*[1]Weather!B25)/1.44</f>
        <v>40.545678906947423</v>
      </c>
      <c r="D101" s="58">
        <f>($B$101*A_houseSI*[1]Weather!C25)/1.44</f>
        <v>41.534597904677852</v>
      </c>
      <c r="E101" s="58">
        <f>($B$101*A_houseSI*[1]Weather!D25)/1.44</f>
        <v>42.523516902408282</v>
      </c>
      <c r="F101" s="58">
        <f>($B$101*A_houseSI*[1]Weather!E25)/1.44</f>
        <v>45.490273895599557</v>
      </c>
      <c r="G101" s="58">
        <f>($B$101*A_houseSI*[1]Weather!F25)/1.44</f>
        <v>47.468111891060403</v>
      </c>
      <c r="H101" s="58">
        <f>($B$101*A_houseSI*[1]Weather!G25)/1.44</f>
        <v>59.335139863825503</v>
      </c>
      <c r="I101" s="58">
        <f>($B$101*A_houseSI*[1]Weather!H25)/1.44</f>
        <v>49.445949886521255</v>
      </c>
      <c r="J101" s="58">
        <f>($B$101*A_houseSI*[1]Weather!I25)/1.44</f>
        <v>53.40162587744296</v>
      </c>
      <c r="K101" s="58">
        <f>($B$101*A_houseSI*[1]Weather!J25)/1.44</f>
        <v>54.390544875173383</v>
      </c>
      <c r="L101" s="58">
        <f>($B$101*A_houseSI*[1]Weather!K25)/1.44</f>
        <v>59.335139863825503</v>
      </c>
      <c r="M101" s="58">
        <f>($B$101*A_houseSI*[1]Weather!L25)/1.44</f>
        <v>55.379463872903806</v>
      </c>
      <c r="N101" s="58">
        <f>($B$101*A_houseSI*[1]Weather!M25)/1.44</f>
        <v>60.324058861555933</v>
      </c>
      <c r="O101" s="58">
        <f>($B$101*A_houseSI*[1]Weather!N25)/1.44</f>
        <v>62.301896857016779</v>
      </c>
      <c r="P101" s="58">
        <f>($B$101*A_houseSI*[1]Weather!O25)/1.44</f>
        <v>69.224329841129759</v>
      </c>
      <c r="Q101" s="58">
        <f>($B$101*A_houseSI*[1]Weather!P25)/1.44</f>
        <v>69.224329841129759</v>
      </c>
    </row>
    <row r="102" spans="1:19" ht="15" customHeight="1">
      <c r="A102" s="58">
        <v>7</v>
      </c>
      <c r="B102" s="58">
        <f>[1]Leakage!AF61</f>
        <v>0.39741272962256041</v>
      </c>
      <c r="C102" s="58">
        <f>($B$102*A_houseSI*[1]Weather!B25)/1.44</f>
        <v>28.381975234863191</v>
      </c>
      <c r="D102" s="58">
        <f>($B$102*A_houseSI*[1]Weather!C25)/1.44</f>
        <v>29.07421853327449</v>
      </c>
      <c r="E102" s="58">
        <f>($B$102*A_houseSI*[1]Weather!D25)/1.44</f>
        <v>29.766461831685788</v>
      </c>
      <c r="F102" s="58">
        <f>($B$102*A_houseSI*[1]Weather!E25)/1.44</f>
        <v>31.843191726919681</v>
      </c>
      <c r="G102" s="58">
        <f>($B$102*A_houseSI*[1]Weather!F25)/1.44</f>
        <v>33.227678323742275</v>
      </c>
      <c r="H102" s="58">
        <f>($B$102*A_houseSI*[1]Weather!G25)/1.44</f>
        <v>41.534597904677838</v>
      </c>
      <c r="I102" s="58">
        <f>($B$102*A_houseSI*[1]Weather!H25)/1.44</f>
        <v>34.612164920564865</v>
      </c>
      <c r="J102" s="58">
        <f>($B$102*A_houseSI*[1]Weather!I25)/1.44</f>
        <v>37.38113811421006</v>
      </c>
      <c r="K102" s="58">
        <f>($B$102*A_houseSI*[1]Weather!J25)/1.44</f>
        <v>38.073381412621359</v>
      </c>
      <c r="L102" s="58">
        <f>($B$102*A_houseSI*[1]Weather!K25)/1.44</f>
        <v>41.534597904677838</v>
      </c>
      <c r="M102" s="58">
        <f>($B$102*A_houseSI*[1]Weather!L25)/1.44</f>
        <v>38.765624711032658</v>
      </c>
      <c r="N102" s="58">
        <f>($B$102*A_houseSI*[1]Weather!M25)/1.44</f>
        <v>42.226841203089137</v>
      </c>
      <c r="O102" s="58">
        <f>($B$102*A_houseSI*[1]Weather!N25)/1.44</f>
        <v>43.611327799911734</v>
      </c>
      <c r="P102" s="58">
        <f>($B$102*A_houseSI*[1]Weather!O25)/1.44</f>
        <v>48.457030888790811</v>
      </c>
      <c r="Q102" s="58">
        <f>($B$102*A_houseSI*[1]Weather!P25)/1.44</f>
        <v>48.457030888790811</v>
      </c>
    </row>
    <row r="103" spans="1:19" ht="15" customHeight="1">
      <c r="A103" s="58">
        <v>5</v>
      </c>
      <c r="B103" s="58">
        <f>[1]Leakage!AF62</f>
        <v>0.28386623544468609</v>
      </c>
      <c r="C103" s="58">
        <f>($B$103*A_houseSI*[1]Weather!B25)/1.44</f>
        <v>20.272839453473711</v>
      </c>
      <c r="D103" s="58">
        <f>($B$103*A_houseSI*[1]Weather!C25)/1.44</f>
        <v>20.767298952338926</v>
      </c>
      <c r="E103" s="58">
        <f>($B$103*A_houseSI*[1]Weather!D25)/1.44</f>
        <v>21.261758451204141</v>
      </c>
      <c r="F103" s="58">
        <f>($B$103*A_houseSI*[1]Weather!E25)/1.44</f>
        <v>22.745136947799779</v>
      </c>
      <c r="G103" s="58">
        <f>($B$103*A_houseSI*[1]Weather!F25)/1.44</f>
        <v>23.734055945530201</v>
      </c>
      <c r="H103" s="58">
        <f>($B$103*A_houseSI*[1]Weather!G25)/1.44</f>
        <v>29.667569931912752</v>
      </c>
      <c r="I103" s="58">
        <f>($B$103*A_houseSI*[1]Weather!H25)/1.44</f>
        <v>24.722974943260628</v>
      </c>
      <c r="J103" s="58">
        <f>($B$103*A_houseSI*[1]Weather!I25)/1.44</f>
        <v>26.70081293872148</v>
      </c>
      <c r="K103" s="58">
        <f>($B$103*A_houseSI*[1]Weather!J25)/1.44</f>
        <v>27.195272437586691</v>
      </c>
      <c r="L103" s="58">
        <f>($B$103*A_houseSI*[1]Weather!K25)/1.44</f>
        <v>29.667569931912752</v>
      </c>
      <c r="M103" s="58">
        <f>($B$103*A_houseSI*[1]Weather!L25)/1.44</f>
        <v>27.689731936451903</v>
      </c>
      <c r="N103" s="58">
        <f>($B$103*A_houseSI*[1]Weather!M25)/1.44</f>
        <v>30.162029430777967</v>
      </c>
      <c r="O103" s="58">
        <f>($B$103*A_houseSI*[1]Weather!N25)/1.44</f>
        <v>31.150948428508389</v>
      </c>
      <c r="P103" s="58">
        <f>($B$103*A_houseSI*[1]Weather!O25)/1.44</f>
        <v>34.612164920564879</v>
      </c>
      <c r="Q103" s="58">
        <f>($B$103*A_houseSI*[1]Weather!P25)/1.44</f>
        <v>34.612164920564879</v>
      </c>
    </row>
    <row r="104" spans="1:19" ht="15" customHeight="1">
      <c r="A104" s="58">
        <v>3</v>
      </c>
      <c r="B104" s="58">
        <f>[1]Leakage!AF63</f>
        <v>0.17031974126681163</v>
      </c>
      <c r="C104" s="58">
        <f>($B$104*A_houseSI*[1]Weather!B25)/1.44</f>
        <v>12.163703672084226</v>
      </c>
      <c r="D104" s="58">
        <f>($B$104*A_houseSI*[1]Weather!C25)/1.44</f>
        <v>12.460379371403354</v>
      </c>
      <c r="E104" s="58">
        <f>($B$104*A_houseSI*[1]Weather!D25)/1.44</f>
        <v>12.757055070722483</v>
      </c>
      <c r="F104" s="58">
        <f>($B$104*A_houseSI*[1]Weather!E25)/1.44</f>
        <v>13.647082168679866</v>
      </c>
      <c r="G104" s="58">
        <f>($B$104*A_houseSI*[1]Weather!F25)/1.44</f>
        <v>14.240433567318119</v>
      </c>
      <c r="H104" s="58">
        <f>($B$104*A_houseSI*[1]Weather!G25)/1.44</f>
        <v>17.800541959147647</v>
      </c>
      <c r="I104" s="58">
        <f>($B$104*A_houseSI*[1]Weather!H25)/1.44</f>
        <v>14.833784965956374</v>
      </c>
      <c r="J104" s="58">
        <f>($B$104*A_houseSI*[1]Weather!I25)/1.44</f>
        <v>16.020487763232886</v>
      </c>
      <c r="K104" s="58">
        <f>($B$104*A_houseSI*[1]Weather!J25)/1.44</f>
        <v>16.317163462552013</v>
      </c>
      <c r="L104" s="58">
        <f>($B$104*A_houseSI*[1]Weather!K25)/1.44</f>
        <v>17.800541959147647</v>
      </c>
      <c r="M104" s="58">
        <f>($B$104*A_houseSI*[1]Weather!L25)/1.44</f>
        <v>16.613839161871141</v>
      </c>
      <c r="N104" s="58">
        <f>($B$104*A_houseSI*[1]Weather!M25)/1.44</f>
        <v>18.097217658466779</v>
      </c>
      <c r="O104" s="58">
        <f>($B$104*A_houseSI*[1]Weather!N25)/1.44</f>
        <v>18.69056905710503</v>
      </c>
      <c r="P104" s="58">
        <f>($B$104*A_houseSI*[1]Weather!O25)/1.44</f>
        <v>20.767298952338923</v>
      </c>
      <c r="Q104" s="58">
        <f>($B$104*A_houseSI*[1]Weather!P25)/1.44</f>
        <v>20.767298952338923</v>
      </c>
    </row>
    <row r="105" spans="1:19" ht="15" customHeight="1">
      <c r="A105" s="58">
        <v>1.5</v>
      </c>
      <c r="B105" s="58">
        <f>[1]Leakage!AF64</f>
        <v>8.5159870633405813E-2</v>
      </c>
      <c r="C105" s="58">
        <f>($B$105*A_houseSI*[1]Weather!B25)/1.44</f>
        <v>6.0818518360421132</v>
      </c>
      <c r="D105" s="58">
        <f>($B$105*A_houseSI*[1]Weather!C25)/1.44</f>
        <v>6.230189685701677</v>
      </c>
      <c r="E105" s="58">
        <f>($B$105*A_houseSI*[1]Weather!D25)/1.44</f>
        <v>6.3785275353612416</v>
      </c>
      <c r="F105" s="58">
        <f>($B$105*A_houseSI*[1]Weather!E25)/1.44</f>
        <v>6.8235410843399329</v>
      </c>
      <c r="G105" s="58">
        <f>($B$105*A_houseSI*[1]Weather!F25)/1.44</f>
        <v>7.1202167836590595</v>
      </c>
      <c r="H105" s="58">
        <f>($B$105*A_houseSI*[1]Weather!G25)/1.44</f>
        <v>8.9002709795738237</v>
      </c>
      <c r="I105" s="58">
        <f>($B$105*A_houseSI*[1]Weather!H25)/1.44</f>
        <v>7.416892482978187</v>
      </c>
      <c r="J105" s="58">
        <f>($B$105*A_houseSI*[1]Weather!I25)/1.44</f>
        <v>8.010243881616443</v>
      </c>
      <c r="K105" s="58">
        <f>($B$105*A_houseSI*[1]Weather!J25)/1.44</f>
        <v>8.1585817312760067</v>
      </c>
      <c r="L105" s="58">
        <f>($B$105*A_houseSI*[1]Weather!K25)/1.44</f>
        <v>8.9002709795738237</v>
      </c>
      <c r="M105" s="58">
        <f>($B$105*A_houseSI*[1]Weather!L25)/1.44</f>
        <v>8.3069195809355705</v>
      </c>
      <c r="N105" s="58">
        <f>($B$105*A_houseSI*[1]Weather!M25)/1.44</f>
        <v>9.0486088292333893</v>
      </c>
      <c r="O105" s="58">
        <f>($B$105*A_houseSI*[1]Weather!N25)/1.44</f>
        <v>9.345284528552515</v>
      </c>
      <c r="P105" s="58">
        <f>($B$105*A_houseSI*[1]Weather!O25)/1.44</f>
        <v>10.383649476169461</v>
      </c>
      <c r="Q105" s="58">
        <f>($B$105*A_houseSI*[1]Weather!P25)/1.44</f>
        <v>10.383649476169461</v>
      </c>
    </row>
    <row r="106" spans="1:19" ht="15" customHeight="1">
      <c r="A106" s="58">
        <v>0.6</v>
      </c>
      <c r="B106" s="58">
        <f>[1]Leakage!AF65</f>
        <v>3.4063948253362321E-2</v>
      </c>
      <c r="C106" s="58">
        <f>($B$106*A_houseSI*[1]Weather!B25)/1.44</f>
        <v>2.432740734416845</v>
      </c>
      <c r="D106" s="58">
        <f>($B$106*A_houseSI*[1]Weather!C25)/1.44</f>
        <v>2.4920758742806703</v>
      </c>
      <c r="E106" s="58">
        <f>($B$106*A_houseSI*[1]Weather!D25)/1.44</f>
        <v>2.5514110141444957</v>
      </c>
      <c r="F106" s="58">
        <f>($B$106*A_houseSI*[1]Weather!E25)/1.44</f>
        <v>2.7294164337359725</v>
      </c>
      <c r="G106" s="58">
        <f>($B$106*A_houseSI*[1]Weather!F25)/1.44</f>
        <v>2.8480867134636232</v>
      </c>
      <c r="H106" s="58">
        <f>($B$106*A_houseSI*[1]Weather!G25)/1.44</f>
        <v>3.5601083918295289</v>
      </c>
      <c r="I106" s="58">
        <f>($B$106*A_houseSI*[1]Weather!H25)/1.44</f>
        <v>2.9667569931912743</v>
      </c>
      <c r="J106" s="58">
        <f>($B$106*A_houseSI*[1]Weather!I25)/1.44</f>
        <v>3.2040975526465765</v>
      </c>
      <c r="K106" s="58">
        <f>($B$106*A_houseSI*[1]Weather!J25)/1.44</f>
        <v>3.2634326925104022</v>
      </c>
      <c r="L106" s="58">
        <f>($B$106*A_houseSI*[1]Weather!K25)/1.44</f>
        <v>3.5601083918295289</v>
      </c>
      <c r="M106" s="58">
        <f>($B$106*A_houseSI*[1]Weather!L25)/1.44</f>
        <v>3.3227678323742276</v>
      </c>
      <c r="N106" s="58">
        <f>($B$106*A_houseSI*[1]Weather!M25)/1.44</f>
        <v>3.6194435316933551</v>
      </c>
      <c r="O106" s="58">
        <f>($B$106*A_houseSI*[1]Weather!N25)/1.44</f>
        <v>3.7381138114210057</v>
      </c>
      <c r="P106" s="58">
        <f>($B$106*A_houseSI*[1]Weather!O25)/1.44</f>
        <v>4.1534597904677844</v>
      </c>
      <c r="Q106" s="58">
        <f>($B$106*A_houseSI*[1]Weather!P25)/1.44</f>
        <v>4.1534597904677844</v>
      </c>
    </row>
    <row r="107" spans="1:19" ht="15" customHeight="1">
      <c r="A107" s="58" t="s">
        <v>780</v>
      </c>
      <c r="B107" s="58" t="s">
        <v>644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58">
        <v>0</v>
      </c>
      <c r="P107" s="58">
        <v>0</v>
      </c>
      <c r="Q107" s="58">
        <v>0</v>
      </c>
    </row>
    <row r="108" spans="1:19" ht="15" customHeight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</row>
    <row r="109" spans="1:19" ht="15" customHeight="1">
      <c r="A109" s="247" t="s">
        <v>770</v>
      </c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</row>
    <row r="110" spans="1:19" ht="15" customHeight="1">
      <c r="A110" s="247" t="s">
        <v>771</v>
      </c>
      <c r="B110" s="247"/>
      <c r="C110" s="247" t="s">
        <v>564</v>
      </c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</row>
    <row r="111" spans="1:19" ht="15" customHeight="1">
      <c r="A111" s="247" t="s">
        <v>769</v>
      </c>
      <c r="B111" s="247" t="s">
        <v>768</v>
      </c>
      <c r="C111" s="247" t="s">
        <v>626</v>
      </c>
      <c r="D111" s="247" t="s">
        <v>575</v>
      </c>
      <c r="E111" s="247" t="s">
        <v>576</v>
      </c>
      <c r="F111" s="247" t="s">
        <v>577</v>
      </c>
      <c r="G111" s="247" t="s">
        <v>578</v>
      </c>
      <c r="H111" s="247" t="s">
        <v>579</v>
      </c>
      <c r="I111" s="247" t="s">
        <v>580</v>
      </c>
      <c r="J111" s="247" t="s">
        <v>581</v>
      </c>
      <c r="K111" s="247" t="s">
        <v>582</v>
      </c>
      <c r="L111" s="247" t="s">
        <v>583</v>
      </c>
      <c r="M111" s="247" t="s">
        <v>584</v>
      </c>
      <c r="N111" s="247" t="s">
        <v>585</v>
      </c>
      <c r="O111" s="247" t="s">
        <v>586</v>
      </c>
      <c r="P111" s="247">
        <v>7</v>
      </c>
      <c r="Q111" s="247">
        <v>8</v>
      </c>
      <c r="R111" s="1" t="s">
        <v>774</v>
      </c>
      <c r="S111" s="1" t="s">
        <v>773</v>
      </c>
    </row>
    <row r="112" spans="1:19" ht="15" customHeight="1">
      <c r="A112" s="247">
        <v>10</v>
      </c>
      <c r="B112" s="247">
        <f>[1]Leakage!AF60</f>
        <v>0.56773247088937218</v>
      </c>
      <c r="C112" s="247">
        <f>IF(Age="existing",IF([1]Fans!$L$2-[1]Fans!C101&lt;=0,0,[1]Fans!$L$2-[1]Fans!C101),IF(C101&lt;(2/3)*[1]Fans!$L$2,[1]Fans!$L$2-[1]Fans!C101,(1/3)*[1]Fans!$L$2))</f>
        <v>14.421166666666666</v>
      </c>
      <c r="D112" s="247">
        <f>IF(Age="existing",IF([1]Fans!$L$2-[1]Fans!D101&lt;=0,0,[1]Fans!$L$2-[1]Fans!D101),IF(D101&lt;(2/3)*[1]Fans!$L$2,[1]Fans!$L$2-[1]Fans!D101,(1/3)*[1]Fans!$L$2))</f>
        <v>14.421166666666666</v>
      </c>
      <c r="E112" s="247">
        <f>IF(Age="existing",IF([1]Fans!$L$2-[1]Fans!E101&lt;=0,0,[1]Fans!$L$2-[1]Fans!E101),IF(E101&lt;(2/3)*[1]Fans!$L$2,[1]Fans!$L$2-[1]Fans!E101,(1/3)*[1]Fans!$L$2))</f>
        <v>14.421166666666666</v>
      </c>
      <c r="F112" s="247">
        <f>IF(Age="existing",IF([1]Fans!$L$2-[1]Fans!F101&lt;=0,0,[1]Fans!$L$2-[1]Fans!F101),IF(F101&lt;(2/3)*[1]Fans!$L$2,[1]Fans!$L$2-[1]Fans!F101,(1/3)*[1]Fans!$L$2))</f>
        <v>14.421166666666666</v>
      </c>
      <c r="G112" s="247">
        <f>IF(Age="existing",IF([1]Fans!$L$2-[1]Fans!G101&lt;=0,0,[1]Fans!$L$2-[1]Fans!G101),IF(G101&lt;(2/3)*[1]Fans!$L$2,[1]Fans!$L$2-[1]Fans!G101,(1/3)*[1]Fans!$L$2))</f>
        <v>14.421166666666666</v>
      </c>
      <c r="H112" s="247">
        <f>IF(Age="existing",IF([1]Fans!$L$2-[1]Fans!H101&lt;=0,0,[1]Fans!$L$2-[1]Fans!H101),IF(H101&lt;(2/3)*[1]Fans!$L$2,[1]Fans!$L$2-[1]Fans!H101,(1/3)*[1]Fans!$L$2))</f>
        <v>14.421166666666666</v>
      </c>
      <c r="I112" s="247">
        <f>IF(Age="existing",IF([1]Fans!$L$2-[1]Fans!I101&lt;=0,0,[1]Fans!$L$2-[1]Fans!I101),IF(I101&lt;(2/3)*[1]Fans!$L$2,[1]Fans!$L$2-[1]Fans!I101,(1/3)*[1]Fans!$L$2))</f>
        <v>14.421166666666666</v>
      </c>
      <c r="J112" s="247">
        <f>IF(Age="existing",IF([1]Fans!$L$2-[1]Fans!J101&lt;=0,0,[1]Fans!$L$2-[1]Fans!J101),IF(J101&lt;(2/3)*[1]Fans!$L$2,[1]Fans!$L$2-[1]Fans!J101,(1/3)*[1]Fans!$L$2))</f>
        <v>14.421166666666666</v>
      </c>
      <c r="K112" s="247">
        <f>IF(Age="existing",IF([1]Fans!$L$2-[1]Fans!K101&lt;=0,0,[1]Fans!$L$2-[1]Fans!K101),IF(K101&lt;(2/3)*[1]Fans!$L$2,[1]Fans!$L$2-[1]Fans!K101,(1/3)*[1]Fans!$L$2))</f>
        <v>14.421166666666666</v>
      </c>
      <c r="L112" s="247">
        <f>IF(Age="existing",IF([1]Fans!$L$2-[1]Fans!L101&lt;=0,0,[1]Fans!$L$2-[1]Fans!L101),IF(L101&lt;(2/3)*[1]Fans!$L$2,[1]Fans!$L$2-[1]Fans!L101,(1/3)*[1]Fans!$L$2))</f>
        <v>14.421166666666666</v>
      </c>
      <c r="M112" s="247">
        <f>IF(Age="existing",IF([1]Fans!$L$2-[1]Fans!M101&lt;=0,0,[1]Fans!$L$2-[1]Fans!M101),IF(M101&lt;(2/3)*[1]Fans!$L$2,[1]Fans!$L$2-[1]Fans!M101,(1/3)*[1]Fans!$L$2))</f>
        <v>14.421166666666666</v>
      </c>
      <c r="N112" s="247">
        <f>IF(Age="existing",IF([1]Fans!$L$2-[1]Fans!N101&lt;=0,0,[1]Fans!$L$2-[1]Fans!N101),IF(N101&lt;(2/3)*[1]Fans!$L$2,[1]Fans!$L$2-[1]Fans!N101,(1/3)*[1]Fans!$L$2))</f>
        <v>14.421166666666666</v>
      </c>
      <c r="O112" s="247">
        <f>IF(Age="existing",IF([1]Fans!$L$2-[1]Fans!O101&lt;=0,0,[1]Fans!$L$2-[1]Fans!O101),IF(O101&lt;(2/3)*[1]Fans!$L$2,[1]Fans!$L$2-[1]Fans!O101,(1/3)*[1]Fans!$L$2))</f>
        <v>14.421166666666666</v>
      </c>
      <c r="P112" s="247">
        <f>IF(Age="existing",IF([1]Fans!$L$2-[1]Fans!P101&lt;=0,0,[1]Fans!$L$2-[1]Fans!P101),IF(P101&lt;(2/3)*[1]Fans!$L$2,[1]Fans!$L$2-[1]Fans!P101,(1/3)*[1]Fans!$L$2))</f>
        <v>14.421166666666666</v>
      </c>
      <c r="Q112" s="247">
        <f>IF(Age="existing",IF([1]Fans!$L$2-[1]Fans!Q101&lt;=0,0,[1]Fans!$L$2-[1]Fans!Q101),IF(Q101&lt;(2/3)*[1]Fans!$L$2,[1]Fans!$L$2-[1]Fans!Q101,(1/3)*[1]Fans!$L$2))</f>
        <v>14.421166666666666</v>
      </c>
      <c r="R112" s="81" t="s">
        <v>279</v>
      </c>
      <c r="S112" s="1">
        <v>50</v>
      </c>
    </row>
    <row r="113" spans="1:19" ht="15" customHeight="1">
      <c r="A113" s="247">
        <v>7</v>
      </c>
      <c r="B113" s="247">
        <f>[1]Leakage!AF61</f>
        <v>0.39741272962256041</v>
      </c>
      <c r="C113" s="247">
        <f>IF(Age="existing",IF([1]Fans!$L$2-[1]Fans!C102&lt;=0,0,[1]Fans!$L$2-[1]Fans!C102),IF(C102&lt;(2/3)*[1]Fans!$L$2,[1]Fans!$L$2-[1]Fans!C102,(1/3)*[1]Fans!$L$2))</f>
        <v>21.18863037288418</v>
      </c>
      <c r="D113" s="247">
        <f>IF(Age="existing",IF([1]Fans!$L$2-[1]Fans!D102&lt;=0,0,[1]Fans!$L$2-[1]Fans!D102),IF(D102&lt;(2/3)*[1]Fans!$L$2,[1]Fans!$L$2-[1]Fans!D102,(1/3)*[1]Fans!$L$2))</f>
        <v>14.421166666666666</v>
      </c>
      <c r="E113" s="247">
        <f>IF(Age="existing",IF([1]Fans!$L$2-[1]Fans!E102&lt;=0,0,[1]Fans!$L$2-[1]Fans!E102),IF(E102&lt;(2/3)*[1]Fans!$L$2,[1]Fans!$L$2-[1]Fans!E102,(1/3)*[1]Fans!$L$2))</f>
        <v>14.421166666666666</v>
      </c>
      <c r="F113" s="247">
        <f>IF(Age="existing",IF([1]Fans!$L$2-[1]Fans!F102&lt;=0,0,[1]Fans!$L$2-[1]Fans!F102),IF(F102&lt;(2/3)*[1]Fans!$L$2,[1]Fans!$L$2-[1]Fans!F102,(1/3)*[1]Fans!$L$2))</f>
        <v>14.421166666666666</v>
      </c>
      <c r="G113" s="247">
        <f>IF(Age="existing",IF([1]Fans!$L$2-[1]Fans!G102&lt;=0,0,[1]Fans!$L$2-[1]Fans!G102),IF(G102&lt;(2/3)*[1]Fans!$L$2,[1]Fans!$L$2-[1]Fans!G102,(1/3)*[1]Fans!$L$2))</f>
        <v>14.421166666666666</v>
      </c>
      <c r="H113" s="247">
        <f>IF(Age="existing",IF([1]Fans!$L$2-[1]Fans!H102&lt;=0,0,[1]Fans!$L$2-[1]Fans!H102),IF(H102&lt;(2/3)*[1]Fans!$L$2,[1]Fans!$L$2-[1]Fans!H102,(1/3)*[1]Fans!$L$2))</f>
        <v>14.421166666666666</v>
      </c>
      <c r="I113" s="247">
        <f>IF(Age="existing",IF([1]Fans!$L$2-[1]Fans!I102&lt;=0,0,[1]Fans!$L$2-[1]Fans!I102),IF(I102&lt;(2/3)*[1]Fans!$L$2,[1]Fans!$L$2-[1]Fans!I102,(1/3)*[1]Fans!$L$2))</f>
        <v>14.421166666666666</v>
      </c>
      <c r="J113" s="247">
        <f>IF(Age="existing",IF([1]Fans!$L$2-[1]Fans!J102&lt;=0,0,[1]Fans!$L$2-[1]Fans!J102),IF(J102&lt;(2/3)*[1]Fans!$L$2,[1]Fans!$L$2-[1]Fans!J102,(1/3)*[1]Fans!$L$2))</f>
        <v>14.421166666666666</v>
      </c>
      <c r="K113" s="247">
        <f>IF(Age="existing",IF([1]Fans!$L$2-[1]Fans!K102&lt;=0,0,[1]Fans!$L$2-[1]Fans!K102),IF(K102&lt;(2/3)*[1]Fans!$L$2,[1]Fans!$L$2-[1]Fans!K102,(1/3)*[1]Fans!$L$2))</f>
        <v>14.421166666666666</v>
      </c>
      <c r="L113" s="247">
        <f>IF(Age="existing",IF([1]Fans!$L$2-[1]Fans!L102&lt;=0,0,[1]Fans!$L$2-[1]Fans!L102),IF(L102&lt;(2/3)*[1]Fans!$L$2,[1]Fans!$L$2-[1]Fans!L102,(1/3)*[1]Fans!$L$2))</f>
        <v>14.421166666666666</v>
      </c>
      <c r="M113" s="247">
        <f>IF(Age="existing",IF([1]Fans!$L$2-[1]Fans!M102&lt;=0,0,[1]Fans!$L$2-[1]Fans!M102),IF(M102&lt;(2/3)*[1]Fans!$L$2,[1]Fans!$L$2-[1]Fans!M102,(1/3)*[1]Fans!$L$2))</f>
        <v>14.421166666666666</v>
      </c>
      <c r="N113" s="247">
        <f>IF(Age="existing",IF([1]Fans!$L$2-[1]Fans!N102&lt;=0,0,[1]Fans!$L$2-[1]Fans!N102),IF(N102&lt;(2/3)*[1]Fans!$L$2,[1]Fans!$L$2-[1]Fans!N102,(1/3)*[1]Fans!$L$2))</f>
        <v>14.421166666666666</v>
      </c>
      <c r="O113" s="247">
        <f>IF(Age="existing",IF([1]Fans!$L$2-[1]Fans!O102&lt;=0,0,[1]Fans!$L$2-[1]Fans!O102),IF(O102&lt;(2/3)*[1]Fans!$L$2,[1]Fans!$L$2-[1]Fans!O102,(1/3)*[1]Fans!$L$2))</f>
        <v>14.421166666666666</v>
      </c>
      <c r="P113" s="247">
        <f>IF(Age="existing",IF([1]Fans!$L$2-[1]Fans!P102&lt;=0,0,[1]Fans!$L$2-[1]Fans!P102),IF(P102&lt;(2/3)*[1]Fans!$L$2,[1]Fans!$L$2-[1]Fans!P102,(1/3)*[1]Fans!$L$2))</f>
        <v>14.421166666666666</v>
      </c>
      <c r="Q113" s="247">
        <f>IF(Age="existing",IF([1]Fans!$L$2-[1]Fans!Q102&lt;=0,0,[1]Fans!$L$2-[1]Fans!Q102),IF(Q102&lt;(2/3)*[1]Fans!$L$2,[1]Fans!$L$2-[1]Fans!Q102,(1/3)*[1]Fans!$L$2))</f>
        <v>14.421166666666666</v>
      </c>
      <c r="R113" s="81" t="s">
        <v>279</v>
      </c>
      <c r="S113" s="1">
        <v>50</v>
      </c>
    </row>
    <row r="114" spans="1:19" ht="15" customHeight="1">
      <c r="A114" s="247">
        <v>5</v>
      </c>
      <c r="B114" s="247">
        <f>[1]Leakage!AF62</f>
        <v>0.28386623544468609</v>
      </c>
      <c r="C114" s="247">
        <f>IF(Age="existing",IF([1]Fans!$L$2-[1]Fans!C103&lt;=0,0,[1]Fans!$L$2-[1]Fans!C103),IF(C103&lt;(2/3)*[1]Fans!$L$2,[1]Fans!$L$2-[1]Fans!C103,(1/3)*[1]Fans!$L$2))</f>
        <v>27.495735980631554</v>
      </c>
      <c r="D114" s="247">
        <f>IF(Age="existing",IF([1]Fans!$L$2-[1]Fans!D103&lt;=0,0,[1]Fans!$L$2-[1]Fans!D103),IF(D103&lt;(2/3)*[1]Fans!$L$2,[1]Fans!$L$2-[1]Fans!D103,(1/3)*[1]Fans!$L$2))</f>
        <v>27.111156370403055</v>
      </c>
      <c r="E114" s="247">
        <f>IF(Age="existing",IF([1]Fans!$L$2-[1]Fans!E103&lt;=0,0,[1]Fans!$L$2-[1]Fans!E103),IF(E103&lt;(2/3)*[1]Fans!$L$2,[1]Fans!$L$2-[1]Fans!E103,(1/3)*[1]Fans!$L$2))</f>
        <v>26.726576760174556</v>
      </c>
      <c r="F114" s="247">
        <f>IF(Age="existing",IF([1]Fans!$L$2-[1]Fans!F103&lt;=0,0,[1]Fans!$L$2-[1]Fans!F103),IF(F103&lt;(2/3)*[1]Fans!$L$2,[1]Fans!$L$2-[1]Fans!F103,(1/3)*[1]Fans!$L$2))</f>
        <v>25.572837929489058</v>
      </c>
      <c r="G114" s="247">
        <f>IF(Age="existing",IF([1]Fans!$L$2-[1]Fans!G103&lt;=0,0,[1]Fans!$L$2-[1]Fans!G103),IF(G103&lt;(2/3)*[1]Fans!$L$2,[1]Fans!$L$2-[1]Fans!G103,(1/3)*[1]Fans!$L$2))</f>
        <v>24.803678709032063</v>
      </c>
      <c r="H114" s="247">
        <f>IF(Age="existing",IF([1]Fans!$L$2-[1]Fans!H103&lt;=0,0,[1]Fans!$L$2-[1]Fans!H103),IF(H103&lt;(2/3)*[1]Fans!$L$2,[1]Fans!$L$2-[1]Fans!H103,(1/3)*[1]Fans!$L$2))</f>
        <v>14.421166666666666</v>
      </c>
      <c r="I114" s="247">
        <f>IF(Age="existing",IF([1]Fans!$L$2-[1]Fans!I103&lt;=0,0,[1]Fans!$L$2-[1]Fans!I103),IF(I103&lt;(2/3)*[1]Fans!$L$2,[1]Fans!$L$2-[1]Fans!I103,(1/3)*[1]Fans!$L$2))</f>
        <v>24.034519488575064</v>
      </c>
      <c r="J114" s="247">
        <f>IF(Age="existing",IF([1]Fans!$L$2-[1]Fans!J103&lt;=0,0,[1]Fans!$L$2-[1]Fans!J103),IF(J103&lt;(2/3)*[1]Fans!$L$2,[1]Fans!$L$2-[1]Fans!J103,(1/3)*[1]Fans!$L$2))</f>
        <v>22.496201047661071</v>
      </c>
      <c r="K114" s="247">
        <f>IF(Age="existing",IF([1]Fans!$L$2-[1]Fans!K103&lt;=0,0,[1]Fans!$L$2-[1]Fans!K103),IF(K103&lt;(2/3)*[1]Fans!$L$2,[1]Fans!$L$2-[1]Fans!K103,(1/3)*[1]Fans!$L$2))</f>
        <v>22.111621437432571</v>
      </c>
      <c r="L114" s="247">
        <f>IF(Age="existing",IF([1]Fans!$L$2-[1]Fans!L103&lt;=0,0,[1]Fans!$L$2-[1]Fans!L103),IF(L103&lt;(2/3)*[1]Fans!$L$2,[1]Fans!$L$2-[1]Fans!L103,(1/3)*[1]Fans!$L$2))</f>
        <v>14.421166666666666</v>
      </c>
      <c r="M114" s="247">
        <f>IF(Age="existing",IF([1]Fans!$L$2-[1]Fans!M103&lt;=0,0,[1]Fans!$L$2-[1]Fans!M103),IF(M103&lt;(2/3)*[1]Fans!$L$2,[1]Fans!$L$2-[1]Fans!M103,(1/3)*[1]Fans!$L$2))</f>
        <v>21.727041827204069</v>
      </c>
      <c r="N114" s="247">
        <f>IF(Age="existing",IF([1]Fans!$L$2-[1]Fans!N103&lt;=0,0,[1]Fans!$L$2-[1]Fans!N103),IF(N103&lt;(2/3)*[1]Fans!$L$2,[1]Fans!$L$2-[1]Fans!N103,(1/3)*[1]Fans!$L$2))</f>
        <v>14.421166666666666</v>
      </c>
      <c r="O114" s="247">
        <f>IF(Age="existing",IF([1]Fans!$L$2-[1]Fans!O103&lt;=0,0,[1]Fans!$L$2-[1]Fans!O103),IF(O103&lt;(2/3)*[1]Fans!$L$2,[1]Fans!$L$2-[1]Fans!O103,(1/3)*[1]Fans!$L$2))</f>
        <v>14.421166666666666</v>
      </c>
      <c r="P114" s="247">
        <f>IF(Age="existing",IF([1]Fans!$L$2-[1]Fans!P103&lt;=0,0,[1]Fans!$L$2-[1]Fans!P103),IF(P103&lt;(2/3)*[1]Fans!$L$2,[1]Fans!$L$2-[1]Fans!P103,(1/3)*[1]Fans!$L$2))</f>
        <v>14.421166666666666</v>
      </c>
      <c r="Q114" s="247">
        <f>IF(Age="existing",IF([1]Fans!$L$2-[1]Fans!Q103&lt;=0,0,[1]Fans!$L$2-[1]Fans!Q103),IF(Q103&lt;(2/3)*[1]Fans!$L$2,[1]Fans!$L$2-[1]Fans!Q103,(1/3)*[1]Fans!$L$2))</f>
        <v>14.421166666666666</v>
      </c>
      <c r="R114" s="81" t="s">
        <v>279</v>
      </c>
      <c r="S114" s="1">
        <v>50</v>
      </c>
    </row>
    <row r="115" spans="1:19" ht="15" customHeight="1">
      <c r="A115" s="247">
        <v>3</v>
      </c>
      <c r="B115" s="247">
        <f>[1]Leakage!AF63</f>
        <v>0.17031974126681163</v>
      </c>
      <c r="C115" s="247">
        <f>IF(Age="existing",IF([1]Fans!$L$2-[1]Fans!C104&lt;=0,0,[1]Fans!$L$2-[1]Fans!C104),IF(C104&lt;(2/3)*[1]Fans!$L$2,[1]Fans!$L$2-[1]Fans!C104,(1/3)*[1]Fans!$L$2))</f>
        <v>33.802841588378932</v>
      </c>
      <c r="D115" s="247">
        <f>IF(Age="existing",IF([1]Fans!$L$2-[1]Fans!D104&lt;=0,0,[1]Fans!$L$2-[1]Fans!D104),IF(D104&lt;(2/3)*[1]Fans!$L$2,[1]Fans!$L$2-[1]Fans!D104,(1/3)*[1]Fans!$L$2))</f>
        <v>33.572093822241833</v>
      </c>
      <c r="E115" s="247">
        <f>IF(Age="existing",IF([1]Fans!$L$2-[1]Fans!E104&lt;=0,0,[1]Fans!$L$2-[1]Fans!E104),IF(E104&lt;(2/3)*[1]Fans!$L$2,[1]Fans!$L$2-[1]Fans!E104,(1/3)*[1]Fans!$L$2))</f>
        <v>33.341346056104733</v>
      </c>
      <c r="F115" s="247">
        <f>IF(Age="existing",IF([1]Fans!$L$2-[1]Fans!F104&lt;=0,0,[1]Fans!$L$2-[1]Fans!F104),IF(F104&lt;(2/3)*[1]Fans!$L$2,[1]Fans!$L$2-[1]Fans!F104,(1/3)*[1]Fans!$L$2))</f>
        <v>32.649102757693441</v>
      </c>
      <c r="G115" s="247">
        <f>IF(Age="existing",IF([1]Fans!$L$2-[1]Fans!G104&lt;=0,0,[1]Fans!$L$2-[1]Fans!G104),IF(G104&lt;(2/3)*[1]Fans!$L$2,[1]Fans!$L$2-[1]Fans!G104,(1/3)*[1]Fans!$L$2))</f>
        <v>32.187607225419242</v>
      </c>
      <c r="H115" s="247">
        <f>IF(Age="existing",IF([1]Fans!$L$2-[1]Fans!H104&lt;=0,0,[1]Fans!$L$2-[1]Fans!H104),IF(H104&lt;(2/3)*[1]Fans!$L$2,[1]Fans!$L$2-[1]Fans!H104,(1/3)*[1]Fans!$L$2))</f>
        <v>29.418634031774047</v>
      </c>
      <c r="I115" s="247">
        <f>IF(Age="existing",IF([1]Fans!$L$2-[1]Fans!I104&lt;=0,0,[1]Fans!$L$2-[1]Fans!I104),IF(I104&lt;(2/3)*[1]Fans!$L$2,[1]Fans!$L$2-[1]Fans!I104,(1/3)*[1]Fans!$L$2))</f>
        <v>31.726111693145043</v>
      </c>
      <c r="J115" s="247">
        <f>IF(Age="existing",IF([1]Fans!$L$2-[1]Fans!J104&lt;=0,0,[1]Fans!$L$2-[1]Fans!J104),IF(J104&lt;(2/3)*[1]Fans!$L$2,[1]Fans!$L$2-[1]Fans!J104,(1/3)*[1]Fans!$L$2))</f>
        <v>30.803120628596645</v>
      </c>
      <c r="K115" s="247">
        <f>IF(Age="existing",IF([1]Fans!$L$2-[1]Fans!K104&lt;=0,0,[1]Fans!$L$2-[1]Fans!K104),IF(K104&lt;(2/3)*[1]Fans!$L$2,[1]Fans!$L$2-[1]Fans!K104,(1/3)*[1]Fans!$L$2))</f>
        <v>30.572372862459545</v>
      </c>
      <c r="L115" s="247">
        <f>IF(Age="existing",IF([1]Fans!$L$2-[1]Fans!L104&lt;=0,0,[1]Fans!$L$2-[1]Fans!L104),IF(L104&lt;(2/3)*[1]Fans!$L$2,[1]Fans!$L$2-[1]Fans!L104,(1/3)*[1]Fans!$L$2))</f>
        <v>29.418634031774047</v>
      </c>
      <c r="M115" s="247">
        <f>IF(Age="existing",IF([1]Fans!$L$2-[1]Fans!M104&lt;=0,0,[1]Fans!$L$2-[1]Fans!M104),IF(M104&lt;(2/3)*[1]Fans!$L$2,[1]Fans!$L$2-[1]Fans!M104,(1/3)*[1]Fans!$L$2))</f>
        <v>30.341625096322446</v>
      </c>
      <c r="N115" s="247">
        <f>IF(Age="existing",IF([1]Fans!$L$2-[1]Fans!N104&lt;=0,0,[1]Fans!$L$2-[1]Fans!N104),IF(N104&lt;(2/3)*[1]Fans!$L$2,[1]Fans!$L$2-[1]Fans!N104,(1/3)*[1]Fans!$L$2))</f>
        <v>29.187886265636948</v>
      </c>
      <c r="O115" s="247">
        <f>IF(Age="existing",IF([1]Fans!$L$2-[1]Fans!O104&lt;=0,0,[1]Fans!$L$2-[1]Fans!O104),IF(O104&lt;(2/3)*[1]Fans!$L$2,[1]Fans!$L$2-[1]Fans!O104,(1/3)*[1]Fans!$L$2))</f>
        <v>28.726390733362749</v>
      </c>
      <c r="P115" s="247">
        <f>IF(Age="existing",IF([1]Fans!$L$2-[1]Fans!P104&lt;=0,0,[1]Fans!$L$2-[1]Fans!P104),IF(P104&lt;(2/3)*[1]Fans!$L$2,[1]Fans!$L$2-[1]Fans!P104,(1/3)*[1]Fans!$L$2))</f>
        <v>27.111156370403059</v>
      </c>
      <c r="Q115" s="247">
        <f>IF(Age="existing",IF([1]Fans!$L$2-[1]Fans!Q104&lt;=0,0,[1]Fans!$L$2-[1]Fans!Q104),IF(Q104&lt;(2/3)*[1]Fans!$L$2,[1]Fans!$L$2-[1]Fans!Q104,(1/3)*[1]Fans!$L$2))</f>
        <v>27.111156370403059</v>
      </c>
      <c r="R115" s="83" t="s">
        <v>299</v>
      </c>
      <c r="S115" s="1">
        <v>70</v>
      </c>
    </row>
    <row r="116" spans="1:19" ht="15" customHeight="1">
      <c r="A116" s="247">
        <v>1.5</v>
      </c>
      <c r="B116" s="247">
        <f>[1]Leakage!AF64</f>
        <v>8.5159870633405813E-2</v>
      </c>
      <c r="C116" s="247">
        <f>IF(Age="existing",IF([1]Fans!$L$2-[1]Fans!C105&lt;=0,0,[1]Fans!$L$2-[1]Fans!C105),IF(C105&lt;(2/3)*[1]Fans!$L$2,[1]Fans!$L$2-[1]Fans!C105,(1/3)*[1]Fans!$L$2))</f>
        <v>38.533170794189466</v>
      </c>
      <c r="D116" s="247">
        <f>IF(Age="existing",IF([1]Fans!$L$2-[1]Fans!D105&lt;=0,0,[1]Fans!$L$2-[1]Fans!D105),IF(D105&lt;(2/3)*[1]Fans!$L$2,[1]Fans!$L$2-[1]Fans!D105,(1/3)*[1]Fans!$L$2))</f>
        <v>38.417796911120917</v>
      </c>
      <c r="E116" s="247">
        <f>IF(Age="existing",IF([1]Fans!$L$2-[1]Fans!E105&lt;=0,0,[1]Fans!$L$2-[1]Fans!E105),IF(E105&lt;(2/3)*[1]Fans!$L$2,[1]Fans!$L$2-[1]Fans!E105,(1/3)*[1]Fans!$L$2))</f>
        <v>38.302423028052367</v>
      </c>
      <c r="F116" s="247">
        <f>IF(Age="existing",IF([1]Fans!$L$2-[1]Fans!F105&lt;=0,0,[1]Fans!$L$2-[1]Fans!F105),IF(F105&lt;(2/3)*[1]Fans!$L$2,[1]Fans!$L$2-[1]Fans!F105,(1/3)*[1]Fans!$L$2))</f>
        <v>37.956301378846717</v>
      </c>
      <c r="G116" s="247">
        <f>IF(Age="existing",IF([1]Fans!$L$2-[1]Fans!G105&lt;=0,0,[1]Fans!$L$2-[1]Fans!G105),IF(G105&lt;(2/3)*[1]Fans!$L$2,[1]Fans!$L$2-[1]Fans!G105,(1/3)*[1]Fans!$L$2))</f>
        <v>37.725553612709618</v>
      </c>
      <c r="H116" s="247">
        <f>IF(Age="existing",IF([1]Fans!$L$2-[1]Fans!H105&lt;=0,0,[1]Fans!$L$2-[1]Fans!H105),IF(H105&lt;(2/3)*[1]Fans!$L$2,[1]Fans!$L$2-[1]Fans!H105,(1/3)*[1]Fans!$L$2))</f>
        <v>36.341067015887027</v>
      </c>
      <c r="I116" s="247">
        <f>IF(Age="existing",IF([1]Fans!$L$2-[1]Fans!I105&lt;=0,0,[1]Fans!$L$2-[1]Fans!I105),IF(I105&lt;(2/3)*[1]Fans!$L$2,[1]Fans!$L$2-[1]Fans!I105,(1/3)*[1]Fans!$L$2))</f>
        <v>37.494805846572518</v>
      </c>
      <c r="J116" s="247">
        <f>IF(Age="existing",IF([1]Fans!$L$2-[1]Fans!J105&lt;=0,0,[1]Fans!$L$2-[1]Fans!J105),IF(J105&lt;(2/3)*[1]Fans!$L$2,[1]Fans!$L$2-[1]Fans!J105,(1/3)*[1]Fans!$L$2))</f>
        <v>37.033310314298319</v>
      </c>
      <c r="K116" s="247">
        <f>IF(Age="existing",IF([1]Fans!$L$2-[1]Fans!K105&lt;=0,0,[1]Fans!$L$2-[1]Fans!K105),IF(K105&lt;(2/3)*[1]Fans!$L$2,[1]Fans!$L$2-[1]Fans!K105,(1/3)*[1]Fans!$L$2))</f>
        <v>36.917936431229769</v>
      </c>
      <c r="L116" s="247">
        <f>IF(Age="existing",IF([1]Fans!$L$2-[1]Fans!L105&lt;=0,0,[1]Fans!$L$2-[1]Fans!L105),IF(L105&lt;(2/3)*[1]Fans!$L$2,[1]Fans!$L$2-[1]Fans!L105,(1/3)*[1]Fans!$L$2))</f>
        <v>36.341067015887027</v>
      </c>
      <c r="M116" s="247">
        <f>IF(Age="existing",IF([1]Fans!$L$2-[1]Fans!M105&lt;=0,0,[1]Fans!$L$2-[1]Fans!M105),IF(M105&lt;(2/3)*[1]Fans!$L$2,[1]Fans!$L$2-[1]Fans!M105,(1/3)*[1]Fans!$L$2))</f>
        <v>36.80256254816122</v>
      </c>
      <c r="N116" s="247">
        <f>IF(Age="existing",IF([1]Fans!$L$2-[1]Fans!N105&lt;=0,0,[1]Fans!$L$2-[1]Fans!N105),IF(N105&lt;(2/3)*[1]Fans!$L$2,[1]Fans!$L$2-[1]Fans!N105,(1/3)*[1]Fans!$L$2))</f>
        <v>36.225693132818478</v>
      </c>
      <c r="O116" s="247">
        <f>IF(Age="existing",IF([1]Fans!$L$2-[1]Fans!O105&lt;=0,0,[1]Fans!$L$2-[1]Fans!O105),IF(O105&lt;(2/3)*[1]Fans!$L$2,[1]Fans!$L$2-[1]Fans!O105,(1/3)*[1]Fans!$L$2))</f>
        <v>35.994945366681378</v>
      </c>
      <c r="P116" s="247">
        <f>IF(Age="existing",IF([1]Fans!$L$2-[1]Fans!P105&lt;=0,0,[1]Fans!$L$2-[1]Fans!P105),IF(P105&lt;(2/3)*[1]Fans!$L$2,[1]Fans!$L$2-[1]Fans!P105,(1/3)*[1]Fans!$L$2))</f>
        <v>35.18732818520153</v>
      </c>
      <c r="Q116" s="247">
        <f>IF(Age="existing",IF([1]Fans!$L$2-[1]Fans!Q105&lt;=0,0,[1]Fans!$L$2-[1]Fans!Q105),IF(Q105&lt;(2/3)*[1]Fans!$L$2,[1]Fans!$L$2-[1]Fans!Q105,(1/3)*[1]Fans!$L$2))</f>
        <v>35.18732818520153</v>
      </c>
      <c r="R116" s="83" t="s">
        <v>299</v>
      </c>
      <c r="S116" s="1">
        <v>80</v>
      </c>
    </row>
    <row r="117" spans="1:19" ht="15" customHeight="1">
      <c r="A117" s="247">
        <v>0.6</v>
      </c>
      <c r="B117" s="247">
        <f>[1]Leakage!AF65</f>
        <v>3.4063948253362321E-2</v>
      </c>
      <c r="C117" s="247">
        <f>IF(Age="existing",IF([1]Fans!$L$2-[1]Fans!C106&lt;=0,0,[1]Fans!$L$2-[1]Fans!C106),IF(C106&lt;(2/3)*[1]Fans!$L$2,[1]Fans!$L$2-[1]Fans!C106,(1/3)*[1]Fans!$L$2))</f>
        <v>41.371368317675788</v>
      </c>
      <c r="D117" s="247">
        <f>IF(Age="existing",IF([1]Fans!$L$2-[1]Fans!D106&lt;=0,0,[1]Fans!$L$2-[1]Fans!D106),IF(D106&lt;(2/3)*[1]Fans!$L$2,[1]Fans!$L$2-[1]Fans!D106,(1/3)*[1]Fans!$L$2))</f>
        <v>41.325218764448366</v>
      </c>
      <c r="E117" s="247">
        <f>IF(Age="existing",IF([1]Fans!$L$2-[1]Fans!E106&lt;=0,0,[1]Fans!$L$2-[1]Fans!E106),IF(E106&lt;(2/3)*[1]Fans!$L$2,[1]Fans!$L$2-[1]Fans!E106,(1/3)*[1]Fans!$L$2))</f>
        <v>41.27906921122095</v>
      </c>
      <c r="F117" s="247">
        <f>IF(Age="existing",IF([1]Fans!$L$2-[1]Fans!F106&lt;=0,0,[1]Fans!$L$2-[1]Fans!F106),IF(F106&lt;(2/3)*[1]Fans!$L$2,[1]Fans!$L$2-[1]Fans!F106,(1/3)*[1]Fans!$L$2))</f>
        <v>41.140620551538689</v>
      </c>
      <c r="G117" s="247">
        <f>IF(Age="existing",IF([1]Fans!$L$2-[1]Fans!G106&lt;=0,0,[1]Fans!$L$2-[1]Fans!G106),IF(G106&lt;(2/3)*[1]Fans!$L$2,[1]Fans!$L$2-[1]Fans!G106,(1/3)*[1]Fans!$L$2))</f>
        <v>41.04832144508385</v>
      </c>
      <c r="H117" s="247">
        <f>IF(Age="existing",IF([1]Fans!$L$2-[1]Fans!H106&lt;=0,0,[1]Fans!$L$2-[1]Fans!H106),IF(H106&lt;(2/3)*[1]Fans!$L$2,[1]Fans!$L$2-[1]Fans!H106,(1/3)*[1]Fans!$L$2))</f>
        <v>40.494526806354813</v>
      </c>
      <c r="I117" s="247">
        <f>IF(Age="existing",IF([1]Fans!$L$2-[1]Fans!I106&lt;=0,0,[1]Fans!$L$2-[1]Fans!I106),IF(I106&lt;(2/3)*[1]Fans!$L$2,[1]Fans!$L$2-[1]Fans!I106,(1/3)*[1]Fans!$L$2))</f>
        <v>40.956022338629012</v>
      </c>
      <c r="J117" s="247">
        <f>IF(Age="existing",IF([1]Fans!$L$2-[1]Fans!J106&lt;=0,0,[1]Fans!$L$2-[1]Fans!J106),IF(J106&lt;(2/3)*[1]Fans!$L$2,[1]Fans!$L$2-[1]Fans!J106,(1/3)*[1]Fans!$L$2))</f>
        <v>40.771424125719328</v>
      </c>
      <c r="K117" s="247">
        <f>IF(Age="existing",IF([1]Fans!$L$2-[1]Fans!K106&lt;=0,0,[1]Fans!$L$2-[1]Fans!K106),IF(K106&lt;(2/3)*[1]Fans!$L$2,[1]Fans!$L$2-[1]Fans!K106,(1/3)*[1]Fans!$L$2))</f>
        <v>40.725274572491912</v>
      </c>
      <c r="L117" s="247">
        <f>IF(Age="existing",IF([1]Fans!$L$2-[1]Fans!L106&lt;=0,0,[1]Fans!$L$2-[1]Fans!L106),IF(L106&lt;(2/3)*[1]Fans!$L$2,[1]Fans!$L$2-[1]Fans!L106,(1/3)*[1]Fans!$L$2))</f>
        <v>40.494526806354813</v>
      </c>
      <c r="M117" s="247">
        <f>IF(Age="existing",IF([1]Fans!$L$2-[1]Fans!M106&lt;=0,0,[1]Fans!$L$2-[1]Fans!M106),IF(M106&lt;(2/3)*[1]Fans!$L$2,[1]Fans!$L$2-[1]Fans!M106,(1/3)*[1]Fans!$L$2))</f>
        <v>40.67912501926449</v>
      </c>
      <c r="N117" s="247">
        <f>IF(Age="existing",IF([1]Fans!$L$2-[1]Fans!N106&lt;=0,0,[1]Fans!$L$2-[1]Fans!N106),IF(N106&lt;(2/3)*[1]Fans!$L$2,[1]Fans!$L$2-[1]Fans!N106,(1/3)*[1]Fans!$L$2))</f>
        <v>40.44837725312739</v>
      </c>
      <c r="O117" s="247">
        <f>IF(Age="existing",IF([1]Fans!$L$2-[1]Fans!O106&lt;=0,0,[1]Fans!$L$2-[1]Fans!O106),IF(O106&lt;(2/3)*[1]Fans!$L$2,[1]Fans!$L$2-[1]Fans!O106,(1/3)*[1]Fans!$L$2))</f>
        <v>40.356078146672552</v>
      </c>
      <c r="P117" s="247">
        <f>IF(Age="existing",IF([1]Fans!$L$2-[1]Fans!P106&lt;=0,0,[1]Fans!$L$2-[1]Fans!P106),IF(P106&lt;(2/3)*[1]Fans!$L$2,[1]Fans!$L$2-[1]Fans!P106,(1/3)*[1]Fans!$L$2))</f>
        <v>40.033031274080614</v>
      </c>
      <c r="Q117" s="247">
        <f>IF(Age="existing",IF([1]Fans!$L$2-[1]Fans!Q106&lt;=0,0,[1]Fans!$L$2-[1]Fans!Q106),IF(Q106&lt;(2/3)*[1]Fans!$L$2,[1]Fans!$L$2-[1]Fans!Q106,(1/3)*[1]Fans!$L$2))</f>
        <v>40.033031274080614</v>
      </c>
      <c r="R117" s="101" t="s">
        <v>608</v>
      </c>
      <c r="S117" s="1">
        <v>84.5</v>
      </c>
    </row>
    <row r="118" spans="1:19" ht="15" customHeight="1">
      <c r="A118" s="247" t="s">
        <v>780</v>
      </c>
      <c r="B118" s="247" t="s">
        <v>644</v>
      </c>
      <c r="C118" s="248">
        <f>$L$2</f>
        <v>58.624499999999998</v>
      </c>
      <c r="D118" s="248">
        <f t="shared" ref="D118:Q118" si="29">$L$2</f>
        <v>58.624499999999998</v>
      </c>
      <c r="E118" s="248">
        <f t="shared" si="29"/>
        <v>58.624499999999998</v>
      </c>
      <c r="F118" s="248">
        <f t="shared" si="29"/>
        <v>58.624499999999998</v>
      </c>
      <c r="G118" s="248">
        <f t="shared" si="29"/>
        <v>58.624499999999998</v>
      </c>
      <c r="H118" s="248">
        <f t="shared" si="29"/>
        <v>58.624499999999998</v>
      </c>
      <c r="I118" s="248">
        <f t="shared" si="29"/>
        <v>58.624499999999998</v>
      </c>
      <c r="J118" s="248">
        <f t="shared" si="29"/>
        <v>58.624499999999998</v>
      </c>
      <c r="K118" s="248">
        <f t="shared" si="29"/>
        <v>58.624499999999998</v>
      </c>
      <c r="L118" s="248">
        <f t="shared" si="29"/>
        <v>58.624499999999998</v>
      </c>
      <c r="M118" s="248">
        <f t="shared" si="29"/>
        <v>58.624499999999998</v>
      </c>
      <c r="N118" s="248">
        <f t="shared" si="29"/>
        <v>58.624499999999998</v>
      </c>
      <c r="O118" s="248">
        <f t="shared" si="29"/>
        <v>58.624499999999998</v>
      </c>
      <c r="P118" s="248">
        <f t="shared" si="29"/>
        <v>58.624499999999998</v>
      </c>
      <c r="Q118" s="248">
        <f t="shared" si="29"/>
        <v>58.624499999999998</v>
      </c>
      <c r="R118" s="246"/>
    </row>
    <row r="119" spans="1:19" ht="15" customHeight="1">
      <c r="A119" s="247"/>
      <c r="B119" s="249"/>
      <c r="C119" s="249"/>
      <c r="D119" s="249"/>
      <c r="E119" s="249"/>
      <c r="F119" s="249"/>
      <c r="G119" s="249"/>
      <c r="H119" s="249"/>
      <c r="I119" s="249"/>
      <c r="J119" s="249"/>
      <c r="K119" s="249"/>
      <c r="L119" s="249"/>
      <c r="M119" s="249"/>
      <c r="N119" s="249"/>
      <c r="O119" s="249"/>
      <c r="P119" s="249"/>
      <c r="Q119" s="249"/>
    </row>
    <row r="120" spans="1:19" ht="15" customHeight="1">
      <c r="A120" s="58" t="s">
        <v>781</v>
      </c>
      <c r="B120" s="17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</row>
    <row r="121" spans="1:19" ht="15" customHeight="1">
      <c r="A121" s="58" t="s">
        <v>771</v>
      </c>
      <c r="B121" s="58"/>
      <c r="C121" s="58" t="s">
        <v>564</v>
      </c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</row>
    <row r="122" spans="1:19" ht="15" customHeight="1">
      <c r="A122" s="58" t="s">
        <v>769</v>
      </c>
      <c r="B122" s="58" t="s">
        <v>768</v>
      </c>
      <c r="C122" s="58" t="s">
        <v>626</v>
      </c>
      <c r="D122" s="58" t="s">
        <v>575</v>
      </c>
      <c r="E122" s="58" t="s">
        <v>576</v>
      </c>
      <c r="F122" s="58" t="s">
        <v>577</v>
      </c>
      <c r="G122" s="58" t="s">
        <v>578</v>
      </c>
      <c r="H122" s="58" t="s">
        <v>579</v>
      </c>
      <c r="I122" s="58" t="s">
        <v>580</v>
      </c>
      <c r="J122" s="58" t="s">
        <v>581</v>
      </c>
      <c r="K122" s="58" t="s">
        <v>582</v>
      </c>
      <c r="L122" s="58" t="s">
        <v>583</v>
      </c>
      <c r="M122" s="58" t="s">
        <v>584</v>
      </c>
      <c r="N122" s="58" t="s">
        <v>585</v>
      </c>
      <c r="O122" s="58" t="s">
        <v>586</v>
      </c>
      <c r="P122" s="58">
        <v>7</v>
      </c>
      <c r="Q122" s="58">
        <v>8</v>
      </c>
    </row>
    <row r="123" spans="1:19" ht="15" customHeight="1">
      <c r="A123" s="58">
        <v>10</v>
      </c>
      <c r="B123" s="175">
        <f>[1]Leakage!AF60</f>
        <v>0.56773247088937218</v>
      </c>
      <c r="C123" s="175">
        <f>1.1*C112</f>
        <v>15.863283333333333</v>
      </c>
      <c r="D123" s="175">
        <f t="shared" ref="D123:Q123" si="30">1.1*D112</f>
        <v>15.863283333333333</v>
      </c>
      <c r="E123" s="175">
        <f t="shared" si="30"/>
        <v>15.863283333333333</v>
      </c>
      <c r="F123" s="175">
        <f t="shared" si="30"/>
        <v>15.863283333333333</v>
      </c>
      <c r="G123" s="175">
        <f t="shared" si="30"/>
        <v>15.863283333333333</v>
      </c>
      <c r="H123" s="175">
        <f t="shared" si="30"/>
        <v>15.863283333333333</v>
      </c>
      <c r="I123" s="175">
        <f t="shared" si="30"/>
        <v>15.863283333333333</v>
      </c>
      <c r="J123" s="175">
        <f t="shared" si="30"/>
        <v>15.863283333333333</v>
      </c>
      <c r="K123" s="175">
        <f t="shared" si="30"/>
        <v>15.863283333333333</v>
      </c>
      <c r="L123" s="175">
        <f t="shared" si="30"/>
        <v>15.863283333333333</v>
      </c>
      <c r="M123" s="175">
        <f t="shared" si="30"/>
        <v>15.863283333333333</v>
      </c>
      <c r="N123" s="175">
        <f t="shared" si="30"/>
        <v>15.863283333333333</v>
      </c>
      <c r="O123" s="175">
        <f t="shared" si="30"/>
        <v>15.863283333333333</v>
      </c>
      <c r="P123" s="175">
        <f t="shared" si="30"/>
        <v>15.863283333333333</v>
      </c>
      <c r="Q123" s="175">
        <f t="shared" si="30"/>
        <v>15.863283333333333</v>
      </c>
    </row>
    <row r="124" spans="1:19" ht="15" customHeight="1">
      <c r="A124" s="58">
        <v>7</v>
      </c>
      <c r="B124" s="175">
        <f>[1]Leakage!AF61</f>
        <v>0.39741272962256041</v>
      </c>
      <c r="C124" s="175">
        <f t="shared" ref="C124:Q128" si="31">1.1*C113</f>
        <v>23.307493410172601</v>
      </c>
      <c r="D124" s="175">
        <f t="shared" si="31"/>
        <v>15.863283333333333</v>
      </c>
      <c r="E124" s="175">
        <f t="shared" si="31"/>
        <v>15.863283333333333</v>
      </c>
      <c r="F124" s="175">
        <f t="shared" si="31"/>
        <v>15.863283333333333</v>
      </c>
      <c r="G124" s="175">
        <f t="shared" si="31"/>
        <v>15.863283333333333</v>
      </c>
      <c r="H124" s="175">
        <f t="shared" si="31"/>
        <v>15.863283333333333</v>
      </c>
      <c r="I124" s="175">
        <f t="shared" si="31"/>
        <v>15.863283333333333</v>
      </c>
      <c r="J124" s="175">
        <f t="shared" si="31"/>
        <v>15.863283333333333</v>
      </c>
      <c r="K124" s="175">
        <f t="shared" si="31"/>
        <v>15.863283333333333</v>
      </c>
      <c r="L124" s="175">
        <f t="shared" si="31"/>
        <v>15.863283333333333</v>
      </c>
      <c r="M124" s="175">
        <f t="shared" si="31"/>
        <v>15.863283333333333</v>
      </c>
      <c r="N124" s="175">
        <f t="shared" si="31"/>
        <v>15.863283333333333</v>
      </c>
      <c r="O124" s="175">
        <f t="shared" si="31"/>
        <v>15.863283333333333</v>
      </c>
      <c r="P124" s="175">
        <f t="shared" si="31"/>
        <v>15.863283333333333</v>
      </c>
      <c r="Q124" s="175">
        <f t="shared" si="31"/>
        <v>15.863283333333333</v>
      </c>
    </row>
    <row r="125" spans="1:19" ht="15" customHeight="1">
      <c r="A125" s="58">
        <v>5</v>
      </c>
      <c r="B125" s="175">
        <f>[1]Leakage!AF62</f>
        <v>0.28386623544468609</v>
      </c>
      <c r="C125" s="175">
        <f t="shared" si="31"/>
        <v>30.245309578694712</v>
      </c>
      <c r="D125" s="175">
        <f t="shared" si="31"/>
        <v>29.822272007443363</v>
      </c>
      <c r="E125" s="175">
        <f t="shared" si="31"/>
        <v>29.399234436192014</v>
      </c>
      <c r="F125" s="175">
        <f t="shared" si="31"/>
        <v>28.130121722437966</v>
      </c>
      <c r="G125" s="175">
        <f t="shared" si="31"/>
        <v>27.284046579935271</v>
      </c>
      <c r="H125" s="175">
        <f t="shared" si="31"/>
        <v>15.863283333333333</v>
      </c>
      <c r="I125" s="175">
        <f t="shared" si="31"/>
        <v>26.437971437432573</v>
      </c>
      <c r="J125" s="175">
        <f t="shared" si="31"/>
        <v>24.74582115242718</v>
      </c>
      <c r="K125" s="175">
        <f t="shared" si="31"/>
        <v>24.32278358117583</v>
      </c>
      <c r="L125" s="175">
        <f t="shared" si="31"/>
        <v>15.863283333333333</v>
      </c>
      <c r="M125" s="175">
        <f t="shared" si="31"/>
        <v>23.899746009924478</v>
      </c>
      <c r="N125" s="175">
        <f t="shared" si="31"/>
        <v>15.863283333333333</v>
      </c>
      <c r="O125" s="175">
        <f t="shared" si="31"/>
        <v>15.863283333333333</v>
      </c>
      <c r="P125" s="175">
        <f t="shared" si="31"/>
        <v>15.863283333333333</v>
      </c>
      <c r="Q125" s="175">
        <f t="shared" si="31"/>
        <v>15.863283333333333</v>
      </c>
    </row>
    <row r="126" spans="1:19" ht="15" customHeight="1">
      <c r="A126" s="58">
        <v>3</v>
      </c>
      <c r="B126" s="175">
        <f>[1]Leakage!AF63</f>
        <v>0.17031974126681163</v>
      </c>
      <c r="C126" s="175">
        <f t="shared" si="31"/>
        <v>37.183125747216828</v>
      </c>
      <c r="D126" s="175">
        <f t="shared" si="31"/>
        <v>36.929303204466017</v>
      </c>
      <c r="E126" s="175">
        <f t="shared" si="31"/>
        <v>36.675480661715213</v>
      </c>
      <c r="F126" s="175">
        <f t="shared" si="31"/>
        <v>35.914013033462787</v>
      </c>
      <c r="G126" s="175">
        <f t="shared" si="31"/>
        <v>35.406367947961172</v>
      </c>
      <c r="H126" s="175">
        <f t="shared" si="31"/>
        <v>32.360497434951455</v>
      </c>
      <c r="I126" s="175">
        <f t="shared" si="31"/>
        <v>34.89872286245955</v>
      </c>
      <c r="J126" s="175">
        <f t="shared" si="31"/>
        <v>33.883432691456314</v>
      </c>
      <c r="K126" s="175">
        <f t="shared" si="31"/>
        <v>33.629610148705503</v>
      </c>
      <c r="L126" s="175">
        <f t="shared" si="31"/>
        <v>32.360497434951455</v>
      </c>
      <c r="M126" s="175">
        <f t="shared" si="31"/>
        <v>33.375787605954692</v>
      </c>
      <c r="N126" s="175">
        <f t="shared" si="31"/>
        <v>32.106674892200644</v>
      </c>
      <c r="O126" s="175">
        <f t="shared" si="31"/>
        <v>31.599029806699026</v>
      </c>
      <c r="P126" s="175">
        <f t="shared" si="31"/>
        <v>29.822272007443367</v>
      </c>
      <c r="Q126" s="175">
        <f t="shared" si="31"/>
        <v>29.822272007443367</v>
      </c>
    </row>
    <row r="127" spans="1:19" ht="15" customHeight="1">
      <c r="A127" s="58">
        <v>1.5</v>
      </c>
      <c r="B127" s="175">
        <f>[1]Leakage!AF64</f>
        <v>8.5159870633405813E-2</v>
      </c>
      <c r="C127" s="175">
        <f t="shared" si="31"/>
        <v>42.386487873608417</v>
      </c>
      <c r="D127" s="175">
        <f t="shared" si="31"/>
        <v>42.259576602233011</v>
      </c>
      <c r="E127" s="175">
        <f t="shared" si="31"/>
        <v>42.132665330857606</v>
      </c>
      <c r="F127" s="175">
        <f t="shared" si="31"/>
        <v>41.751931516731389</v>
      </c>
      <c r="G127" s="175">
        <f t="shared" si="31"/>
        <v>41.498108973980585</v>
      </c>
      <c r="H127" s="175">
        <f t="shared" si="31"/>
        <v>39.975173717475734</v>
      </c>
      <c r="I127" s="175">
        <f t="shared" si="31"/>
        <v>41.244286431229774</v>
      </c>
      <c r="J127" s="175">
        <f t="shared" si="31"/>
        <v>40.736641345728152</v>
      </c>
      <c r="K127" s="175">
        <f t="shared" si="31"/>
        <v>40.609730074352747</v>
      </c>
      <c r="L127" s="175">
        <f t="shared" si="31"/>
        <v>39.975173717475734</v>
      </c>
      <c r="M127" s="175">
        <f t="shared" si="31"/>
        <v>40.482818802977341</v>
      </c>
      <c r="N127" s="175">
        <f t="shared" si="31"/>
        <v>39.848262446100328</v>
      </c>
      <c r="O127" s="175">
        <f t="shared" si="31"/>
        <v>39.594439903349517</v>
      </c>
      <c r="P127" s="175">
        <f t="shared" si="31"/>
        <v>38.706061003721686</v>
      </c>
      <c r="Q127" s="175">
        <f t="shared" si="31"/>
        <v>38.706061003721686</v>
      </c>
    </row>
    <row r="128" spans="1:19" ht="15" customHeight="1">
      <c r="A128" s="58">
        <v>0.6</v>
      </c>
      <c r="B128" s="175">
        <f>[1]Leakage!AF65</f>
        <v>3.4063948253362321E-2</v>
      </c>
      <c r="C128" s="175">
        <f t="shared" si="31"/>
        <v>45.508505149443373</v>
      </c>
      <c r="D128" s="175">
        <f t="shared" si="31"/>
        <v>45.457740640893206</v>
      </c>
      <c r="E128" s="175">
        <f t="shared" si="31"/>
        <v>45.406976132343047</v>
      </c>
      <c r="F128" s="175">
        <f t="shared" si="31"/>
        <v>45.254682606692562</v>
      </c>
      <c r="G128" s="175">
        <f t="shared" si="31"/>
        <v>45.153153589592236</v>
      </c>
      <c r="H128" s="175">
        <f t="shared" si="31"/>
        <v>44.543979486990295</v>
      </c>
      <c r="I128" s="175">
        <f t="shared" si="31"/>
        <v>45.051624572491917</v>
      </c>
      <c r="J128" s="175">
        <f t="shared" si="31"/>
        <v>44.848566538291266</v>
      </c>
      <c r="K128" s="175">
        <f t="shared" si="31"/>
        <v>44.797802029741106</v>
      </c>
      <c r="L128" s="175">
        <f t="shared" si="31"/>
        <v>44.543979486990295</v>
      </c>
      <c r="M128" s="175">
        <f t="shared" si="31"/>
        <v>44.74703752119094</v>
      </c>
      <c r="N128" s="175">
        <f t="shared" si="31"/>
        <v>44.493214978440136</v>
      </c>
      <c r="O128" s="175">
        <f t="shared" si="31"/>
        <v>44.39168596133981</v>
      </c>
      <c r="P128" s="175">
        <f t="shared" si="31"/>
        <v>44.036334401488681</v>
      </c>
      <c r="Q128" s="175">
        <f t="shared" si="31"/>
        <v>44.036334401488681</v>
      </c>
    </row>
    <row r="129" spans="1:17" ht="15" customHeight="1">
      <c r="A129" s="58"/>
      <c r="B129" s="17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</row>
    <row r="130" spans="1:17" ht="15" customHeight="1">
      <c r="A130" s="247" t="s">
        <v>776</v>
      </c>
      <c r="B130" s="249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</row>
    <row r="131" spans="1:17" ht="15" customHeight="1">
      <c r="A131" s="247" t="s">
        <v>777</v>
      </c>
      <c r="B131" s="249"/>
      <c r="C131" s="247" t="s">
        <v>564</v>
      </c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</row>
    <row r="132" spans="1:17" ht="15" customHeight="1">
      <c r="A132" s="247" t="s">
        <v>769</v>
      </c>
      <c r="B132" s="249"/>
      <c r="C132" s="247" t="s">
        <v>626</v>
      </c>
      <c r="D132" s="247" t="s">
        <v>575</v>
      </c>
      <c r="E132" s="247" t="s">
        <v>576</v>
      </c>
      <c r="F132" s="247" t="s">
        <v>577</v>
      </c>
      <c r="G132" s="247" t="s">
        <v>578</v>
      </c>
      <c r="H132" s="247" t="s">
        <v>579</v>
      </c>
      <c r="I132" s="247" t="s">
        <v>580</v>
      </c>
      <c r="J132" s="247" t="s">
        <v>581</v>
      </c>
      <c r="K132" s="247" t="s">
        <v>582</v>
      </c>
      <c r="L132" s="247" t="s">
        <v>583</v>
      </c>
      <c r="M132" s="247" t="s">
        <v>584</v>
      </c>
      <c r="N132" s="247" t="s">
        <v>585</v>
      </c>
      <c r="O132" s="247" t="s">
        <v>586</v>
      </c>
      <c r="P132" s="247">
        <v>7</v>
      </c>
      <c r="Q132" s="247">
        <v>8</v>
      </c>
    </row>
    <row r="133" spans="1:17" ht="15" customHeight="1">
      <c r="A133" s="247">
        <v>10</v>
      </c>
      <c r="B133" s="249">
        <f>[1]Leakage!AF60</f>
        <v>0.56773247088937218</v>
      </c>
      <c r="C133" s="249">
        <f>C112*0.4361</f>
        <v>6.289070783333333</v>
      </c>
      <c r="D133" s="249">
        <f t="shared" ref="D133:Q133" si="32">D112*0.4361</f>
        <v>6.289070783333333</v>
      </c>
      <c r="E133" s="249">
        <f t="shared" si="32"/>
        <v>6.289070783333333</v>
      </c>
      <c r="F133" s="249">
        <f t="shared" si="32"/>
        <v>6.289070783333333</v>
      </c>
      <c r="G133" s="249">
        <f t="shared" si="32"/>
        <v>6.289070783333333</v>
      </c>
      <c r="H133" s="249">
        <f t="shared" si="32"/>
        <v>6.289070783333333</v>
      </c>
      <c r="I133" s="249">
        <f t="shared" si="32"/>
        <v>6.289070783333333</v>
      </c>
      <c r="J133" s="249">
        <f t="shared" si="32"/>
        <v>6.289070783333333</v>
      </c>
      <c r="K133" s="249">
        <f t="shared" si="32"/>
        <v>6.289070783333333</v>
      </c>
      <c r="L133" s="249">
        <f t="shared" si="32"/>
        <v>6.289070783333333</v>
      </c>
      <c r="M133" s="249">
        <f t="shared" si="32"/>
        <v>6.289070783333333</v>
      </c>
      <c r="N133" s="249">
        <f t="shared" si="32"/>
        <v>6.289070783333333</v>
      </c>
      <c r="O133" s="249">
        <f t="shared" si="32"/>
        <v>6.289070783333333</v>
      </c>
      <c r="P133" s="249">
        <f t="shared" si="32"/>
        <v>6.289070783333333</v>
      </c>
      <c r="Q133" s="249">
        <f t="shared" si="32"/>
        <v>6.289070783333333</v>
      </c>
    </row>
    <row r="134" spans="1:17" ht="15" customHeight="1">
      <c r="A134" s="247">
        <v>7</v>
      </c>
      <c r="B134" s="249">
        <f>[1]Leakage!AF61</f>
        <v>0.39741272962256041</v>
      </c>
      <c r="C134" s="249">
        <f t="shared" ref="C134:Q139" si="33">C113*0.4361</f>
        <v>9.2403617056147915</v>
      </c>
      <c r="D134" s="249">
        <f t="shared" si="33"/>
        <v>6.289070783333333</v>
      </c>
      <c r="E134" s="249">
        <f t="shared" si="33"/>
        <v>6.289070783333333</v>
      </c>
      <c r="F134" s="249">
        <f t="shared" si="33"/>
        <v>6.289070783333333</v>
      </c>
      <c r="G134" s="249">
        <f t="shared" si="33"/>
        <v>6.289070783333333</v>
      </c>
      <c r="H134" s="249">
        <f t="shared" si="33"/>
        <v>6.289070783333333</v>
      </c>
      <c r="I134" s="249">
        <f t="shared" si="33"/>
        <v>6.289070783333333</v>
      </c>
      <c r="J134" s="249">
        <f t="shared" si="33"/>
        <v>6.289070783333333</v>
      </c>
      <c r="K134" s="249">
        <f t="shared" si="33"/>
        <v>6.289070783333333</v>
      </c>
      <c r="L134" s="249">
        <f t="shared" si="33"/>
        <v>6.289070783333333</v>
      </c>
      <c r="M134" s="249">
        <f t="shared" si="33"/>
        <v>6.289070783333333</v>
      </c>
      <c r="N134" s="249">
        <f t="shared" si="33"/>
        <v>6.289070783333333</v>
      </c>
      <c r="O134" s="249">
        <f t="shared" si="33"/>
        <v>6.289070783333333</v>
      </c>
      <c r="P134" s="249">
        <f t="shared" si="33"/>
        <v>6.289070783333333</v>
      </c>
      <c r="Q134" s="249">
        <f t="shared" si="33"/>
        <v>6.289070783333333</v>
      </c>
    </row>
    <row r="135" spans="1:17" ht="15" customHeight="1">
      <c r="A135" s="247">
        <v>5</v>
      </c>
      <c r="B135" s="249">
        <f>[1]Leakage!AF62</f>
        <v>0.28386623544468609</v>
      </c>
      <c r="C135" s="249">
        <f t="shared" si="33"/>
        <v>11.99089046115342</v>
      </c>
      <c r="D135" s="249">
        <f t="shared" si="33"/>
        <v>11.823175293132772</v>
      </c>
      <c r="E135" s="249">
        <f t="shared" si="33"/>
        <v>11.655460125112123</v>
      </c>
      <c r="F135" s="249">
        <f t="shared" si="33"/>
        <v>11.152314621050177</v>
      </c>
      <c r="G135" s="249">
        <f t="shared" si="33"/>
        <v>10.816884285008882</v>
      </c>
      <c r="H135" s="249">
        <f t="shared" si="33"/>
        <v>6.289070783333333</v>
      </c>
      <c r="I135" s="249">
        <f t="shared" si="33"/>
        <v>10.481453948967586</v>
      </c>
      <c r="J135" s="249">
        <f t="shared" si="33"/>
        <v>9.8105932768849922</v>
      </c>
      <c r="K135" s="249">
        <f t="shared" si="33"/>
        <v>9.6428781088643447</v>
      </c>
      <c r="L135" s="249">
        <f t="shared" si="33"/>
        <v>6.289070783333333</v>
      </c>
      <c r="M135" s="249">
        <f t="shared" si="33"/>
        <v>9.4751629408436937</v>
      </c>
      <c r="N135" s="249">
        <f t="shared" si="33"/>
        <v>6.289070783333333</v>
      </c>
      <c r="O135" s="249">
        <f t="shared" si="33"/>
        <v>6.289070783333333</v>
      </c>
      <c r="P135" s="249">
        <f t="shared" si="33"/>
        <v>6.289070783333333</v>
      </c>
      <c r="Q135" s="249">
        <f t="shared" si="33"/>
        <v>6.289070783333333</v>
      </c>
    </row>
    <row r="136" spans="1:17" ht="15" customHeight="1">
      <c r="A136" s="247">
        <v>3</v>
      </c>
      <c r="B136" s="249">
        <f>[1]Leakage!AF63</f>
        <v>0.17031974126681163</v>
      </c>
      <c r="C136" s="249">
        <f t="shared" si="33"/>
        <v>14.741419216692051</v>
      </c>
      <c r="D136" s="249">
        <f t="shared" si="33"/>
        <v>14.640790115879662</v>
      </c>
      <c r="E136" s="249">
        <f t="shared" si="33"/>
        <v>14.540161015067273</v>
      </c>
      <c r="F136" s="249">
        <f t="shared" si="33"/>
        <v>14.238273712630109</v>
      </c>
      <c r="G136" s="249">
        <f t="shared" si="33"/>
        <v>14.037015511005331</v>
      </c>
      <c r="H136" s="249">
        <f t="shared" si="33"/>
        <v>12.829466301256662</v>
      </c>
      <c r="I136" s="249">
        <f t="shared" si="33"/>
        <v>13.835757309380552</v>
      </c>
      <c r="J136" s="249">
        <f t="shared" si="33"/>
        <v>13.433240906130996</v>
      </c>
      <c r="K136" s="249">
        <f t="shared" si="33"/>
        <v>13.332611805318606</v>
      </c>
      <c r="L136" s="249">
        <f t="shared" si="33"/>
        <v>12.829466301256662</v>
      </c>
      <c r="M136" s="249">
        <f t="shared" si="33"/>
        <v>13.231982704506219</v>
      </c>
      <c r="N136" s="249">
        <f t="shared" si="33"/>
        <v>12.728837200444273</v>
      </c>
      <c r="O136" s="249">
        <f t="shared" si="33"/>
        <v>12.527578998819495</v>
      </c>
      <c r="P136" s="249">
        <f t="shared" si="33"/>
        <v>11.823175293132774</v>
      </c>
      <c r="Q136" s="249">
        <f t="shared" si="33"/>
        <v>11.823175293132774</v>
      </c>
    </row>
    <row r="137" spans="1:17" ht="15" customHeight="1">
      <c r="A137" s="247">
        <v>1.5</v>
      </c>
      <c r="B137" s="249">
        <f>[1]Leakage!AF64</f>
        <v>8.5159870633405813E-2</v>
      </c>
      <c r="C137" s="249">
        <f t="shared" si="33"/>
        <v>16.804315783346027</v>
      </c>
      <c r="D137" s="249">
        <f t="shared" si="33"/>
        <v>16.754001232939832</v>
      </c>
      <c r="E137" s="249">
        <f t="shared" si="33"/>
        <v>16.703686682533636</v>
      </c>
      <c r="F137" s="249">
        <f t="shared" si="33"/>
        <v>16.552743031315053</v>
      </c>
      <c r="G137" s="249">
        <f t="shared" si="33"/>
        <v>16.452113930502662</v>
      </c>
      <c r="H137" s="249">
        <f t="shared" si="33"/>
        <v>15.848339325628332</v>
      </c>
      <c r="I137" s="249">
        <f t="shared" si="33"/>
        <v>16.351484829690275</v>
      </c>
      <c r="J137" s="249">
        <f t="shared" si="33"/>
        <v>16.150226628065496</v>
      </c>
      <c r="K137" s="249">
        <f t="shared" si="33"/>
        <v>16.099912077659301</v>
      </c>
      <c r="L137" s="249">
        <f t="shared" si="33"/>
        <v>15.848339325628332</v>
      </c>
      <c r="M137" s="249">
        <f t="shared" si="33"/>
        <v>16.049597527253109</v>
      </c>
      <c r="N137" s="249">
        <f t="shared" si="33"/>
        <v>15.798024775222137</v>
      </c>
      <c r="O137" s="249">
        <f t="shared" si="33"/>
        <v>15.697395674409748</v>
      </c>
      <c r="P137" s="249">
        <f t="shared" si="33"/>
        <v>15.345193821566387</v>
      </c>
      <c r="Q137" s="249">
        <f t="shared" si="33"/>
        <v>15.345193821566387</v>
      </c>
    </row>
    <row r="138" spans="1:17" ht="15" customHeight="1">
      <c r="A138" s="247">
        <v>0.6</v>
      </c>
      <c r="B138" s="249">
        <f>[1]Leakage!AF65</f>
        <v>3.4063948253362321E-2</v>
      </c>
      <c r="C138" s="249">
        <f t="shared" si="33"/>
        <v>18.042053723338412</v>
      </c>
      <c r="D138" s="249">
        <f t="shared" si="33"/>
        <v>18.021927903175932</v>
      </c>
      <c r="E138" s="249">
        <f t="shared" si="33"/>
        <v>18.001802083013455</v>
      </c>
      <c r="F138" s="249">
        <f t="shared" si="33"/>
        <v>17.941424622526021</v>
      </c>
      <c r="G138" s="249">
        <f t="shared" si="33"/>
        <v>17.901172982201068</v>
      </c>
      <c r="H138" s="249">
        <f t="shared" si="33"/>
        <v>17.659663140251332</v>
      </c>
      <c r="I138" s="249">
        <f t="shared" si="33"/>
        <v>17.860921341876111</v>
      </c>
      <c r="J138" s="249">
        <f t="shared" si="33"/>
        <v>17.7804180612262</v>
      </c>
      <c r="K138" s="249">
        <f t="shared" si="33"/>
        <v>17.760292241063723</v>
      </c>
      <c r="L138" s="249">
        <f t="shared" si="33"/>
        <v>17.659663140251332</v>
      </c>
      <c r="M138" s="249">
        <f t="shared" si="33"/>
        <v>17.740166420901243</v>
      </c>
      <c r="N138" s="249">
        <f t="shared" si="33"/>
        <v>17.639537320088856</v>
      </c>
      <c r="O138" s="249">
        <f t="shared" si="33"/>
        <v>17.599285679763899</v>
      </c>
      <c r="P138" s="249">
        <f t="shared" si="33"/>
        <v>17.458404938626554</v>
      </c>
      <c r="Q138" s="249">
        <f t="shared" si="33"/>
        <v>17.458404938626554</v>
      </c>
    </row>
    <row r="139" spans="1:17" ht="15" customHeight="1">
      <c r="A139" s="247" t="s">
        <v>780</v>
      </c>
      <c r="B139" s="249" t="s">
        <v>644</v>
      </c>
      <c r="C139" s="249">
        <f t="shared" si="33"/>
        <v>25.566144449999999</v>
      </c>
      <c r="D139" s="249">
        <f t="shared" si="33"/>
        <v>25.566144449999999</v>
      </c>
      <c r="E139" s="249">
        <f t="shared" si="33"/>
        <v>25.566144449999999</v>
      </c>
      <c r="F139" s="249">
        <f t="shared" si="33"/>
        <v>25.566144449999999</v>
      </c>
      <c r="G139" s="249">
        <f t="shared" si="33"/>
        <v>25.566144449999999</v>
      </c>
      <c r="H139" s="249">
        <f t="shared" si="33"/>
        <v>25.566144449999999</v>
      </c>
      <c r="I139" s="249">
        <f t="shared" si="33"/>
        <v>25.566144449999999</v>
      </c>
      <c r="J139" s="249">
        <f t="shared" si="33"/>
        <v>25.566144449999999</v>
      </c>
      <c r="K139" s="249">
        <f t="shared" si="33"/>
        <v>25.566144449999999</v>
      </c>
      <c r="L139" s="249">
        <f t="shared" si="33"/>
        <v>25.566144449999999</v>
      </c>
      <c r="M139" s="249">
        <f t="shared" si="33"/>
        <v>25.566144449999999</v>
      </c>
      <c r="N139" s="249">
        <f t="shared" si="33"/>
        <v>25.566144449999999</v>
      </c>
      <c r="O139" s="249">
        <f t="shared" si="33"/>
        <v>25.566144449999999</v>
      </c>
      <c r="P139" s="249">
        <f t="shared" si="33"/>
        <v>25.566144449999999</v>
      </c>
      <c r="Q139" s="249">
        <f t="shared" si="33"/>
        <v>25.566144449999999</v>
      </c>
    </row>
    <row r="140" spans="1:17" ht="15" customHeight="1">
      <c r="A140" s="247"/>
      <c r="B140" s="249"/>
      <c r="C140" s="249"/>
      <c r="D140" s="249"/>
      <c r="E140" s="249"/>
      <c r="F140" s="249"/>
      <c r="G140" s="249"/>
      <c r="H140" s="249"/>
      <c r="I140" s="249"/>
      <c r="J140" s="249"/>
      <c r="K140" s="249"/>
      <c r="L140" s="249"/>
      <c r="M140" s="249"/>
      <c r="N140" s="249"/>
      <c r="O140" s="249"/>
      <c r="P140" s="249"/>
      <c r="Q140" s="249"/>
    </row>
    <row r="141" spans="1:17" ht="15" customHeight="1">
      <c r="A141" s="247"/>
      <c r="B141" s="249"/>
      <c r="C141" s="249"/>
      <c r="D141" s="249"/>
      <c r="E141" s="249"/>
      <c r="F141" s="249"/>
      <c r="G141" s="249">
        <f>43.3*0.4361</f>
        <v>18.883129999999998</v>
      </c>
      <c r="H141" s="249"/>
      <c r="I141" s="249"/>
      <c r="J141" s="249"/>
      <c r="K141" s="249"/>
      <c r="L141" s="249"/>
      <c r="M141" s="249"/>
      <c r="N141" s="249"/>
      <c r="O141" s="249"/>
      <c r="P141" s="249"/>
      <c r="Q141" s="249"/>
    </row>
    <row r="142" spans="1:17" ht="15" customHeight="1">
      <c r="A142" s="58" t="s">
        <v>782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</row>
    <row r="143" spans="1:17" ht="15" customHeight="1">
      <c r="A143" s="58" t="s">
        <v>777</v>
      </c>
      <c r="B143" s="175"/>
      <c r="C143" s="58" t="s">
        <v>564</v>
      </c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</row>
    <row r="144" spans="1:17" ht="15" customHeight="1">
      <c r="A144" s="58" t="s">
        <v>769</v>
      </c>
      <c r="B144" s="175"/>
      <c r="C144" s="58" t="s">
        <v>626</v>
      </c>
      <c r="D144" s="58" t="s">
        <v>575</v>
      </c>
      <c r="E144" s="58" t="s">
        <v>576</v>
      </c>
      <c r="F144" s="58" t="s">
        <v>577</v>
      </c>
      <c r="G144" s="58" t="s">
        <v>578</v>
      </c>
      <c r="H144" s="58" t="s">
        <v>579</v>
      </c>
      <c r="I144" s="58" t="s">
        <v>580</v>
      </c>
      <c r="J144" s="58" t="s">
        <v>581</v>
      </c>
      <c r="K144" s="58" t="s">
        <v>582</v>
      </c>
      <c r="L144" s="58" t="s">
        <v>583</v>
      </c>
      <c r="M144" s="58" t="s">
        <v>584</v>
      </c>
      <c r="N144" s="58" t="s">
        <v>585</v>
      </c>
      <c r="O144" s="58" t="s">
        <v>586</v>
      </c>
      <c r="P144" s="58">
        <v>7</v>
      </c>
      <c r="Q144" s="58">
        <v>8</v>
      </c>
    </row>
    <row r="145" spans="1:17" ht="15" customHeight="1">
      <c r="A145" s="58">
        <v>10</v>
      </c>
      <c r="B145" s="175">
        <f>[1]Leakage!AF60</f>
        <v>0.56773247088937218</v>
      </c>
      <c r="C145" s="175">
        <f>C133*1.1</f>
        <v>6.9179778616666665</v>
      </c>
      <c r="D145" s="175">
        <f t="shared" ref="D145:Q145" si="34">D133*1.1</f>
        <v>6.9179778616666665</v>
      </c>
      <c r="E145" s="175">
        <f t="shared" si="34"/>
        <v>6.9179778616666665</v>
      </c>
      <c r="F145" s="175">
        <f t="shared" si="34"/>
        <v>6.9179778616666665</v>
      </c>
      <c r="G145" s="175">
        <f t="shared" si="34"/>
        <v>6.9179778616666665</v>
      </c>
      <c r="H145" s="175">
        <f t="shared" si="34"/>
        <v>6.9179778616666665</v>
      </c>
      <c r="I145" s="175">
        <f t="shared" si="34"/>
        <v>6.9179778616666665</v>
      </c>
      <c r="J145" s="175">
        <f t="shared" si="34"/>
        <v>6.9179778616666665</v>
      </c>
      <c r="K145" s="175">
        <f t="shared" si="34"/>
        <v>6.9179778616666665</v>
      </c>
      <c r="L145" s="175">
        <f t="shared" si="34"/>
        <v>6.9179778616666665</v>
      </c>
      <c r="M145" s="175">
        <f t="shared" si="34"/>
        <v>6.9179778616666665</v>
      </c>
      <c r="N145" s="175">
        <f t="shared" si="34"/>
        <v>6.9179778616666665</v>
      </c>
      <c r="O145" s="175">
        <f t="shared" si="34"/>
        <v>6.9179778616666665</v>
      </c>
      <c r="P145" s="175">
        <f t="shared" si="34"/>
        <v>6.9179778616666665</v>
      </c>
      <c r="Q145" s="175">
        <f t="shared" si="34"/>
        <v>6.9179778616666665</v>
      </c>
    </row>
    <row r="146" spans="1:17" ht="15" customHeight="1">
      <c r="A146" s="58">
        <v>7</v>
      </c>
      <c r="B146" s="175">
        <f>[1]Leakage!AF61</f>
        <v>0.39741272962256041</v>
      </c>
      <c r="C146" s="175">
        <f t="shared" ref="C146:Q150" si="35">C134*1.1</f>
        <v>10.164397876176272</v>
      </c>
      <c r="D146" s="175">
        <f t="shared" si="35"/>
        <v>6.9179778616666665</v>
      </c>
      <c r="E146" s="175">
        <f t="shared" si="35"/>
        <v>6.9179778616666665</v>
      </c>
      <c r="F146" s="175">
        <f t="shared" si="35"/>
        <v>6.9179778616666665</v>
      </c>
      <c r="G146" s="175">
        <f t="shared" si="35"/>
        <v>6.9179778616666665</v>
      </c>
      <c r="H146" s="175">
        <f t="shared" si="35"/>
        <v>6.9179778616666665</v>
      </c>
      <c r="I146" s="175">
        <f t="shared" si="35"/>
        <v>6.9179778616666665</v>
      </c>
      <c r="J146" s="175">
        <f t="shared" si="35"/>
        <v>6.9179778616666665</v>
      </c>
      <c r="K146" s="175">
        <f t="shared" si="35"/>
        <v>6.9179778616666665</v>
      </c>
      <c r="L146" s="175">
        <f t="shared" si="35"/>
        <v>6.9179778616666665</v>
      </c>
      <c r="M146" s="175">
        <f t="shared" si="35"/>
        <v>6.9179778616666665</v>
      </c>
      <c r="N146" s="175">
        <f t="shared" si="35"/>
        <v>6.9179778616666665</v>
      </c>
      <c r="O146" s="175">
        <f t="shared" si="35"/>
        <v>6.9179778616666665</v>
      </c>
      <c r="P146" s="175">
        <f t="shared" si="35"/>
        <v>6.9179778616666665</v>
      </c>
      <c r="Q146" s="175">
        <f t="shared" si="35"/>
        <v>6.9179778616666665</v>
      </c>
    </row>
    <row r="147" spans="1:17" ht="15" customHeight="1">
      <c r="A147" s="58">
        <v>5</v>
      </c>
      <c r="B147" s="175">
        <f>[1]Leakage!AF62</f>
        <v>0.28386623544468609</v>
      </c>
      <c r="C147" s="175">
        <f t="shared" si="35"/>
        <v>13.189979507268763</v>
      </c>
      <c r="D147" s="175">
        <f t="shared" si="35"/>
        <v>13.005492822446051</v>
      </c>
      <c r="E147" s="175">
        <f t="shared" si="35"/>
        <v>12.821006137623336</v>
      </c>
      <c r="F147" s="175">
        <f t="shared" si="35"/>
        <v>12.267546083155196</v>
      </c>
      <c r="G147" s="175">
        <f t="shared" si="35"/>
        <v>11.898572713509772</v>
      </c>
      <c r="H147" s="175">
        <f t="shared" si="35"/>
        <v>6.9179778616666665</v>
      </c>
      <c r="I147" s="175">
        <f t="shared" si="35"/>
        <v>11.529599343864344</v>
      </c>
      <c r="J147" s="175">
        <f t="shared" si="35"/>
        <v>10.791652604573493</v>
      </c>
      <c r="K147" s="175">
        <f t="shared" si="35"/>
        <v>10.607165919750781</v>
      </c>
      <c r="L147" s="175">
        <f t="shared" si="35"/>
        <v>6.9179778616666665</v>
      </c>
      <c r="M147" s="175">
        <f t="shared" si="35"/>
        <v>10.422679234928063</v>
      </c>
      <c r="N147" s="175">
        <f t="shared" si="35"/>
        <v>6.9179778616666665</v>
      </c>
      <c r="O147" s="175">
        <f t="shared" si="35"/>
        <v>6.9179778616666665</v>
      </c>
      <c r="P147" s="175">
        <f t="shared" si="35"/>
        <v>6.9179778616666665</v>
      </c>
      <c r="Q147" s="175">
        <f t="shared" si="35"/>
        <v>6.9179778616666665</v>
      </c>
    </row>
    <row r="148" spans="1:17" ht="15" customHeight="1">
      <c r="A148" s="58">
        <v>3</v>
      </c>
      <c r="B148" s="175">
        <f>[1]Leakage!AF63</f>
        <v>0.17031974126681163</v>
      </c>
      <c r="C148" s="175">
        <f t="shared" si="35"/>
        <v>16.215561138361259</v>
      </c>
      <c r="D148" s="175">
        <f t="shared" si="35"/>
        <v>16.10486912746763</v>
      </c>
      <c r="E148" s="175">
        <f t="shared" si="35"/>
        <v>15.994177116574003</v>
      </c>
      <c r="F148" s="175">
        <f t="shared" si="35"/>
        <v>15.662101083893122</v>
      </c>
      <c r="G148" s="175">
        <f t="shared" si="35"/>
        <v>15.440717062105865</v>
      </c>
      <c r="H148" s="175">
        <f t="shared" si="35"/>
        <v>14.11241293138233</v>
      </c>
      <c r="I148" s="175">
        <f t="shared" si="35"/>
        <v>15.21933304031861</v>
      </c>
      <c r="J148" s="175">
        <f t="shared" si="35"/>
        <v>14.776564996744096</v>
      </c>
      <c r="K148" s="175">
        <f t="shared" si="35"/>
        <v>14.665872985850468</v>
      </c>
      <c r="L148" s="175">
        <f t="shared" si="35"/>
        <v>14.11241293138233</v>
      </c>
      <c r="M148" s="175">
        <f t="shared" si="35"/>
        <v>14.555180974956842</v>
      </c>
      <c r="N148" s="175">
        <f t="shared" si="35"/>
        <v>14.001720920488701</v>
      </c>
      <c r="O148" s="175">
        <f t="shared" si="35"/>
        <v>13.780336898701446</v>
      </c>
      <c r="P148" s="175">
        <f t="shared" si="35"/>
        <v>13.005492822446053</v>
      </c>
      <c r="Q148" s="175">
        <f t="shared" si="35"/>
        <v>13.005492822446053</v>
      </c>
    </row>
    <row r="149" spans="1:17" ht="15" customHeight="1">
      <c r="A149" s="58">
        <v>1.5</v>
      </c>
      <c r="B149" s="175">
        <f>[1]Leakage!AF64</f>
        <v>8.5159870633405813E-2</v>
      </c>
      <c r="C149" s="175">
        <f t="shared" si="35"/>
        <v>18.484747361680633</v>
      </c>
      <c r="D149" s="175">
        <f t="shared" si="35"/>
        <v>18.429401356233818</v>
      </c>
      <c r="E149" s="175">
        <f t="shared" si="35"/>
        <v>18.374055350787</v>
      </c>
      <c r="F149" s="175">
        <f t="shared" si="35"/>
        <v>18.208017334446559</v>
      </c>
      <c r="G149" s="175">
        <f t="shared" si="35"/>
        <v>18.09732532355293</v>
      </c>
      <c r="H149" s="175">
        <f t="shared" si="35"/>
        <v>17.433173258191168</v>
      </c>
      <c r="I149" s="175">
        <f t="shared" si="35"/>
        <v>17.986633312659304</v>
      </c>
      <c r="J149" s="175">
        <f t="shared" si="35"/>
        <v>17.765249290872049</v>
      </c>
      <c r="K149" s="175">
        <f t="shared" si="35"/>
        <v>17.709903285425234</v>
      </c>
      <c r="L149" s="175">
        <f t="shared" si="35"/>
        <v>17.433173258191168</v>
      </c>
      <c r="M149" s="175">
        <f t="shared" si="35"/>
        <v>17.654557279978423</v>
      </c>
      <c r="N149" s="175">
        <f t="shared" si="35"/>
        <v>17.377827252744353</v>
      </c>
      <c r="O149" s="175">
        <f t="shared" si="35"/>
        <v>17.267135241850724</v>
      </c>
      <c r="P149" s="175">
        <f t="shared" si="35"/>
        <v>16.879713203723025</v>
      </c>
      <c r="Q149" s="175">
        <f t="shared" si="35"/>
        <v>16.879713203723025</v>
      </c>
    </row>
    <row r="150" spans="1:17" ht="15" customHeight="1">
      <c r="A150" s="58">
        <v>0.6</v>
      </c>
      <c r="B150" s="175">
        <f>[1]Leakage!AF65</f>
        <v>3.4063948253362321E-2</v>
      </c>
      <c r="C150" s="175">
        <f t="shared" si="35"/>
        <v>19.846259095672256</v>
      </c>
      <c r="D150" s="175">
        <f t="shared" si="35"/>
        <v>19.824120693493526</v>
      </c>
      <c r="E150" s="175">
        <f t="shared" si="35"/>
        <v>19.801982291314804</v>
      </c>
      <c r="F150" s="175">
        <f t="shared" si="35"/>
        <v>19.735567084778626</v>
      </c>
      <c r="G150" s="175">
        <f t="shared" si="35"/>
        <v>19.691290280421175</v>
      </c>
      <c r="H150" s="175">
        <f t="shared" si="35"/>
        <v>19.425629454276468</v>
      </c>
      <c r="I150" s="175">
        <f t="shared" si="35"/>
        <v>19.647013476063723</v>
      </c>
      <c r="J150" s="175">
        <f t="shared" si="35"/>
        <v>19.558459867348823</v>
      </c>
      <c r="K150" s="175">
        <f t="shared" si="35"/>
        <v>19.536321465170097</v>
      </c>
      <c r="L150" s="175">
        <f t="shared" si="35"/>
        <v>19.425629454276468</v>
      </c>
      <c r="M150" s="175">
        <f t="shared" si="35"/>
        <v>19.514183062991368</v>
      </c>
      <c r="N150" s="175">
        <f t="shared" si="35"/>
        <v>19.403491052097742</v>
      </c>
      <c r="O150" s="175">
        <f t="shared" si="35"/>
        <v>19.35921424774029</v>
      </c>
      <c r="P150" s="175">
        <f t="shared" si="35"/>
        <v>19.204245432489213</v>
      </c>
      <c r="Q150" s="175">
        <f t="shared" si="35"/>
        <v>19.204245432489213</v>
      </c>
    </row>
    <row r="151" spans="1:17" ht="15" customHeight="1">
      <c r="A151" s="58"/>
      <c r="B151" s="17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5" workbookViewId="0">
      <selection activeCell="E19" sqref="E19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517</v>
      </c>
      <c r="O1" s="475" t="s">
        <v>504</v>
      </c>
      <c r="P1" s="128" t="s">
        <v>523</v>
      </c>
      <c r="Q1" s="128" t="s">
        <v>525</v>
      </c>
      <c r="R1" s="123" t="s">
        <v>526</v>
      </c>
    </row>
    <row r="2" spans="1:19" ht="15" customHeight="1">
      <c r="A2" s="13" t="s">
        <v>478</v>
      </c>
      <c r="G2" s="48" t="s">
        <v>516</v>
      </c>
      <c r="O2" s="476"/>
      <c r="P2" s="129" t="s">
        <v>524</v>
      </c>
      <c r="Q2" s="129" t="s">
        <v>524</v>
      </c>
      <c r="R2" s="127" t="s">
        <v>527</v>
      </c>
    </row>
    <row r="3" spans="1:19" ht="15" customHeight="1">
      <c r="G3" s="5" t="s">
        <v>518</v>
      </c>
      <c r="O3" s="125">
        <v>2</v>
      </c>
      <c r="P3" s="130">
        <v>7.8</v>
      </c>
      <c r="Q3" s="130">
        <v>3.2</v>
      </c>
      <c r="R3" s="124" t="s">
        <v>528</v>
      </c>
    </row>
    <row r="4" spans="1:19" ht="15" customHeight="1">
      <c r="A4" s="90" t="s">
        <v>422</v>
      </c>
      <c r="B4" s="91" t="s">
        <v>258</v>
      </c>
      <c r="C4" s="91" t="s">
        <v>127</v>
      </c>
      <c r="D4" s="91" t="s">
        <v>315</v>
      </c>
      <c r="E4" s="91" t="s">
        <v>127</v>
      </c>
      <c r="G4" s="5" t="s">
        <v>393</v>
      </c>
      <c r="O4" s="125">
        <v>3</v>
      </c>
      <c r="P4" s="130">
        <v>12.1</v>
      </c>
      <c r="Q4" s="130">
        <v>3.6</v>
      </c>
      <c r="R4" s="124" t="s">
        <v>529</v>
      </c>
    </row>
    <row r="5" spans="1:19" ht="15" customHeight="1">
      <c r="A5" s="69" t="s">
        <v>316</v>
      </c>
      <c r="B5" s="254">
        <f>SUM(A40:A43,A45,A47:A51)+SUM(B40:B41)*A_houseFT+SUM(C40:C43,C45,C47:C51)*Nbedrooms</f>
        <v>82085</v>
      </c>
      <c r="C5" s="5" t="s">
        <v>317</v>
      </c>
      <c r="D5" s="406">
        <f>B5/24/3412</f>
        <v>1.0024057248925362</v>
      </c>
      <c r="E5" s="5" t="s">
        <v>485</v>
      </c>
      <c r="O5" s="125">
        <v>4</v>
      </c>
      <c r="P5" s="130">
        <v>13.8</v>
      </c>
      <c r="Q5" s="130">
        <v>4</v>
      </c>
      <c r="R5" s="124" t="s">
        <v>530</v>
      </c>
    </row>
    <row r="6" spans="1:19" ht="15" customHeight="1">
      <c r="D6" s="232">
        <f>1000*D5</f>
        <v>1002.4057248925362</v>
      </c>
      <c r="E6" s="5" t="s">
        <v>32</v>
      </c>
      <c r="G6" s="222"/>
      <c r="O6" s="126">
        <v>5</v>
      </c>
      <c r="P6" s="129">
        <v>14.7</v>
      </c>
      <c r="Q6" s="129">
        <v>4.4000000000000004</v>
      </c>
      <c r="R6" s="127" t="s">
        <v>531</v>
      </c>
    </row>
    <row r="7" spans="1:19" ht="15" customHeight="1">
      <c r="O7" s="122" t="s">
        <v>539</v>
      </c>
      <c r="P7" s="18"/>
      <c r="Q7" s="18"/>
      <c r="R7" s="18"/>
    </row>
    <row r="8" spans="1:19" s="111" customFormat="1" ht="15" customHeight="1">
      <c r="O8" s="122"/>
      <c r="P8" s="18"/>
      <c r="Q8" s="18"/>
      <c r="R8" s="18"/>
    </row>
    <row r="9" spans="1:19" ht="45" customHeight="1">
      <c r="O9" s="475" t="s">
        <v>532</v>
      </c>
      <c r="P9" s="477" t="s">
        <v>504</v>
      </c>
      <c r="Q9" s="128" t="s">
        <v>422</v>
      </c>
      <c r="R9" s="123" t="s">
        <v>534</v>
      </c>
      <c r="S9" s="123" t="s">
        <v>534</v>
      </c>
    </row>
    <row r="10" spans="1:19" ht="15" customHeight="1">
      <c r="A10" s="92" t="s">
        <v>423</v>
      </c>
      <c r="B10" s="93" t="s">
        <v>258</v>
      </c>
      <c r="C10" s="93" t="s">
        <v>127</v>
      </c>
      <c r="D10" s="93" t="s">
        <v>128</v>
      </c>
      <c r="E10" s="93" t="s">
        <v>127</v>
      </c>
      <c r="G10" s="5" t="s">
        <v>511</v>
      </c>
      <c r="O10" s="476"/>
      <c r="P10" s="478"/>
      <c r="Q10" s="129" t="s">
        <v>533</v>
      </c>
      <c r="R10" s="127" t="s">
        <v>524</v>
      </c>
      <c r="S10" s="127" t="s">
        <v>533</v>
      </c>
    </row>
    <row r="11" spans="1:19" ht="15" customHeight="1">
      <c r="A11" s="88" t="s">
        <v>316</v>
      </c>
      <c r="B11" s="57"/>
      <c r="C11" s="57"/>
      <c r="D11" s="57">
        <f>VLOOKUP(OccDensity,A29:F37,6,FALSE)</f>
        <v>11.8</v>
      </c>
      <c r="E11" s="57" t="s">
        <v>318</v>
      </c>
      <c r="G11" s="5" t="s">
        <v>505</v>
      </c>
      <c r="O11" s="125" t="s">
        <v>535</v>
      </c>
      <c r="P11" s="130">
        <v>4</v>
      </c>
      <c r="Q11" s="130">
        <v>464</v>
      </c>
      <c r="R11" s="124">
        <v>9.8000000000000007</v>
      </c>
      <c r="S11" s="124">
        <v>277</v>
      </c>
    </row>
    <row r="12" spans="1:19" ht="15" customHeight="1">
      <c r="A12" s="89"/>
      <c r="B12" s="57"/>
      <c r="C12" s="57"/>
      <c r="D12" s="371">
        <f>D11/24/60/60</f>
        <v>1.3657407407407409E-4</v>
      </c>
      <c r="E12" s="57" t="s">
        <v>319</v>
      </c>
      <c r="G12" s="5" t="s">
        <v>506</v>
      </c>
      <c r="O12" s="125" t="s">
        <v>536</v>
      </c>
      <c r="P12" s="130">
        <v>4</v>
      </c>
      <c r="Q12" s="130">
        <v>628.9</v>
      </c>
      <c r="R12" s="124">
        <v>9.8000000000000007</v>
      </c>
      <c r="S12" s="124">
        <v>277</v>
      </c>
    </row>
    <row r="13" spans="1:19" ht="15" customHeight="1">
      <c r="G13" s="5" t="s">
        <v>507</v>
      </c>
      <c r="O13" s="131" t="s">
        <v>537</v>
      </c>
      <c r="P13" s="129">
        <v>5</v>
      </c>
      <c r="Q13" s="129">
        <v>738.8</v>
      </c>
      <c r="R13" s="127">
        <v>10.3</v>
      </c>
      <c r="S13" s="127">
        <v>291</v>
      </c>
    </row>
    <row r="14" spans="1:19" ht="15" customHeight="1">
      <c r="G14" s="5" t="s">
        <v>508</v>
      </c>
      <c r="O14" s="121" t="s">
        <v>538</v>
      </c>
    </row>
    <row r="15" spans="1:19" ht="15" customHeight="1">
      <c r="A15" s="4" t="s">
        <v>479</v>
      </c>
      <c r="G15" s="5" t="s">
        <v>509</v>
      </c>
    </row>
    <row r="16" spans="1:19" ht="15" customHeight="1">
      <c r="A16" s="13" t="s">
        <v>480</v>
      </c>
      <c r="G16" s="5" t="s">
        <v>510</v>
      </c>
      <c r="Q16" s="222" t="s">
        <v>709</v>
      </c>
      <c r="R16" s="222" t="s">
        <v>710</v>
      </c>
      <c r="S16" s="222" t="s">
        <v>711</v>
      </c>
    </row>
    <row r="17" spans="1:18" ht="15" customHeight="1">
      <c r="P17" s="222" t="s">
        <v>317</v>
      </c>
      <c r="Q17" s="239">
        <v>43316</v>
      </c>
      <c r="R17" s="239">
        <v>4687</v>
      </c>
    </row>
    <row r="18" spans="1:18" ht="15" customHeight="1">
      <c r="A18" s="90" t="s">
        <v>481</v>
      </c>
      <c r="B18" s="67" t="s">
        <v>32</v>
      </c>
      <c r="C18" s="67" t="s">
        <v>485</v>
      </c>
      <c r="P18" s="222" t="s">
        <v>32</v>
      </c>
      <c r="Q18" s="15">
        <f>(Q17/24)/3.412</f>
        <v>528.96639312231343</v>
      </c>
      <c r="R18" s="15">
        <f>(R17/24)/3.412</f>
        <v>57.236713559984366</v>
      </c>
    </row>
    <row r="19" spans="1:18" ht="15" customHeight="1">
      <c r="A19" s="79" t="s">
        <v>482</v>
      </c>
      <c r="B19" s="14">
        <f>136+2.2*A_houseSI+22*B22</f>
        <v>819.82600000000002</v>
      </c>
      <c r="C19" s="15">
        <f>B19/1000</f>
        <v>0.81982600000000005</v>
      </c>
      <c r="Q19" s="222" t="s">
        <v>712</v>
      </c>
    </row>
    <row r="20" spans="1:18" ht="15" customHeight="1">
      <c r="A20" s="79" t="s">
        <v>483</v>
      </c>
      <c r="B20" s="14">
        <f>20+0.22*A_houseSI+12*'Internal gains'!B22</f>
        <v>147.18259999999998</v>
      </c>
      <c r="C20" s="15">
        <f>B20/1000</f>
        <v>0.14718259999999997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14" t="s">
        <v>1033</v>
      </c>
      <c r="B22" s="303">
        <f>VLOOKUP(CONCATENATE(OccDensity,HomeSize),C28:G37,5,FALSE)</f>
        <v>6</v>
      </c>
      <c r="F22" s="222"/>
      <c r="G22" s="222"/>
    </row>
    <row r="23" spans="1:18" ht="15" customHeight="1">
      <c r="A23" s="214" t="s">
        <v>1032</v>
      </c>
      <c r="B23" s="303">
        <f>Noccupants-1</f>
        <v>5</v>
      </c>
      <c r="F23" s="222"/>
      <c r="G23" s="222"/>
      <c r="H23" s="222"/>
    </row>
    <row r="24" spans="1:18" ht="15" customHeight="1">
      <c r="A24" s="214" t="s">
        <v>856</v>
      </c>
      <c r="B24" s="240" t="str">
        <f>CONCATENATE("sched", VLOOKUP(CONCATENATE(OccDensity,HomeSize),C28:F37,3,FALSE), ".txt")</f>
        <v>sched3.txt</v>
      </c>
    </row>
    <row r="28" spans="1:18" ht="15" customHeight="1">
      <c r="A28" s="222" t="s">
        <v>791</v>
      </c>
      <c r="B28" s="222" t="s">
        <v>797</v>
      </c>
      <c r="C28" s="222" t="s">
        <v>798</v>
      </c>
      <c r="D28" s="222" t="s">
        <v>795</v>
      </c>
      <c r="E28" s="222" t="s">
        <v>796</v>
      </c>
      <c r="F28" s="222" t="s">
        <v>423</v>
      </c>
      <c r="G28" s="222" t="s">
        <v>799</v>
      </c>
      <c r="H28" s="222" t="s">
        <v>810</v>
      </c>
      <c r="O28" s="222"/>
    </row>
    <row r="29" spans="1:18" ht="15" customHeight="1">
      <c r="A29" s="222" t="s">
        <v>793</v>
      </c>
      <c r="B29" s="222" t="s">
        <v>788</v>
      </c>
      <c r="C29" s="5" t="str">
        <f>CONCATENATE(A29,B29)</f>
        <v>LowSmall</v>
      </c>
      <c r="D29" s="222">
        <v>1</v>
      </c>
      <c r="E29" s="5">
        <v>1</v>
      </c>
      <c r="F29" s="5">
        <v>3</v>
      </c>
      <c r="G29" s="222">
        <v>2</v>
      </c>
      <c r="H29" s="222">
        <f>29200</f>
        <v>29200</v>
      </c>
      <c r="J29" s="222"/>
      <c r="K29" s="222"/>
    </row>
    <row r="30" spans="1:18" ht="15" customHeight="1">
      <c r="A30" s="222" t="s">
        <v>792</v>
      </c>
      <c r="B30" s="222" t="s">
        <v>788</v>
      </c>
      <c r="C30" s="222" t="str">
        <f t="shared" ref="C30:C37" si="0">CONCATENATE(A30,B30)</f>
        <v>MedSmall</v>
      </c>
      <c r="D30" s="222">
        <v>2</v>
      </c>
      <c r="E30" s="5">
        <v>1</v>
      </c>
      <c r="F30" s="5">
        <v>6.5</v>
      </c>
      <c r="G30" s="222">
        <v>4</v>
      </c>
      <c r="H30" s="222">
        <f>2*29200</f>
        <v>58400</v>
      </c>
      <c r="J30" s="222"/>
      <c r="K30" s="222"/>
    </row>
    <row r="31" spans="1:18" ht="15" customHeight="1">
      <c r="A31" s="222" t="s">
        <v>794</v>
      </c>
      <c r="B31" s="222" t="s">
        <v>788</v>
      </c>
      <c r="C31" s="222" t="str">
        <f t="shared" si="0"/>
        <v>HighSmall</v>
      </c>
      <c r="D31" s="222">
        <v>3</v>
      </c>
      <c r="E31" s="5">
        <v>3</v>
      </c>
      <c r="F31" s="5">
        <v>11.8</v>
      </c>
      <c r="G31" s="222">
        <v>6</v>
      </c>
      <c r="H31" s="222">
        <f>3*29200</f>
        <v>87600</v>
      </c>
      <c r="J31" s="222"/>
      <c r="K31" s="222"/>
    </row>
    <row r="32" spans="1:18" ht="15" customHeight="1">
      <c r="A32" s="222" t="s">
        <v>793</v>
      </c>
      <c r="B32" s="222" t="s">
        <v>792</v>
      </c>
      <c r="C32" s="222" t="str">
        <f t="shared" si="0"/>
        <v>LowMed</v>
      </c>
      <c r="D32" s="222">
        <v>1</v>
      </c>
      <c r="E32" s="5">
        <v>1</v>
      </c>
      <c r="F32" s="222">
        <v>3</v>
      </c>
      <c r="G32" s="222">
        <v>2</v>
      </c>
      <c r="H32" s="222">
        <f>29200</f>
        <v>29200</v>
      </c>
      <c r="J32" s="222"/>
      <c r="K32" s="222"/>
    </row>
    <row r="33" spans="1:11" ht="15" customHeight="1">
      <c r="A33" s="222" t="s">
        <v>792</v>
      </c>
      <c r="B33" s="222" t="s">
        <v>792</v>
      </c>
      <c r="C33" s="222" t="str">
        <f t="shared" si="0"/>
        <v>MedMed</v>
      </c>
      <c r="D33" s="222">
        <v>2</v>
      </c>
      <c r="E33" s="5">
        <v>1</v>
      </c>
      <c r="F33" s="222">
        <v>6.5</v>
      </c>
      <c r="G33" s="222">
        <v>4</v>
      </c>
      <c r="H33" s="222">
        <f>2*29200</f>
        <v>58400</v>
      </c>
      <c r="J33" s="222"/>
      <c r="K33" s="222"/>
    </row>
    <row r="34" spans="1:11" ht="15" customHeight="1">
      <c r="A34" s="222" t="s">
        <v>794</v>
      </c>
      <c r="B34" s="222" t="s">
        <v>792</v>
      </c>
      <c r="C34" s="222" t="str">
        <f t="shared" si="0"/>
        <v>HighMed</v>
      </c>
      <c r="D34" s="222">
        <v>3</v>
      </c>
      <c r="E34" s="5">
        <v>3</v>
      </c>
      <c r="F34" s="222">
        <v>11.8</v>
      </c>
      <c r="G34" s="222">
        <v>6</v>
      </c>
      <c r="H34" s="222">
        <f>3*29200</f>
        <v>87600</v>
      </c>
      <c r="J34" s="222"/>
      <c r="K34" s="222"/>
    </row>
    <row r="35" spans="1:11" ht="15" customHeight="1">
      <c r="A35" s="222" t="s">
        <v>793</v>
      </c>
      <c r="B35" s="222" t="s">
        <v>789</v>
      </c>
      <c r="C35" s="222" t="str">
        <f t="shared" si="0"/>
        <v>LowLarge</v>
      </c>
      <c r="D35" s="222">
        <v>1</v>
      </c>
      <c r="E35" s="5">
        <v>1</v>
      </c>
      <c r="F35" s="222">
        <v>3</v>
      </c>
      <c r="G35" s="222">
        <v>2</v>
      </c>
      <c r="H35" s="222">
        <f>29200</f>
        <v>29200</v>
      </c>
      <c r="J35" s="222"/>
      <c r="K35" s="222"/>
    </row>
    <row r="36" spans="1:11" ht="15" customHeight="1">
      <c r="A36" s="222" t="s">
        <v>792</v>
      </c>
      <c r="B36" s="222" t="s">
        <v>789</v>
      </c>
      <c r="C36" s="222" t="str">
        <f t="shared" si="0"/>
        <v>MedLarge</v>
      </c>
      <c r="D36" s="222">
        <v>2</v>
      </c>
      <c r="E36" s="5">
        <v>1</v>
      </c>
      <c r="F36" s="222">
        <v>6.5</v>
      </c>
      <c r="G36" s="222">
        <v>4</v>
      </c>
      <c r="H36" s="222">
        <f>2*29200</f>
        <v>58400</v>
      </c>
      <c r="J36" s="222"/>
      <c r="K36" s="222"/>
    </row>
    <row r="37" spans="1:11" ht="15" customHeight="1">
      <c r="A37" s="222" t="s">
        <v>794</v>
      </c>
      <c r="B37" s="222" t="s">
        <v>789</v>
      </c>
      <c r="C37" s="222" t="str">
        <f t="shared" si="0"/>
        <v>HighLarge</v>
      </c>
      <c r="D37" s="222">
        <v>3</v>
      </c>
      <c r="E37" s="5">
        <v>3</v>
      </c>
      <c r="F37" s="222">
        <v>11.8</v>
      </c>
      <c r="G37" s="222">
        <v>6</v>
      </c>
      <c r="H37" s="222">
        <f>3*29200</f>
        <v>87600</v>
      </c>
      <c r="J37" s="222"/>
      <c r="K37" s="222"/>
    </row>
    <row r="39" spans="1:11" ht="15" customHeight="1">
      <c r="A39" s="222" t="s">
        <v>811</v>
      </c>
      <c r="B39" s="222" t="s">
        <v>812</v>
      </c>
      <c r="C39" s="222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844</v>
      </c>
      <c r="E40" s="222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845</v>
      </c>
      <c r="E41" s="5" t="s">
        <v>904</v>
      </c>
    </row>
    <row r="42" spans="1:11" ht="15" customHeight="1">
      <c r="A42" s="222">
        <v>5955</v>
      </c>
      <c r="B42" s="222">
        <v>0</v>
      </c>
      <c r="C42" s="222">
        <v>168</v>
      </c>
      <c r="D42" s="5" t="s">
        <v>846</v>
      </c>
    </row>
    <row r="43" spans="1:11" ht="15" customHeight="1">
      <c r="A43" s="5">
        <v>3861</v>
      </c>
      <c r="B43" s="222">
        <v>0</v>
      </c>
      <c r="C43" s="5">
        <v>645</v>
      </c>
      <c r="D43" s="5" t="s">
        <v>847</v>
      </c>
    </row>
    <row r="44" spans="1:11" ht="15" customHeight="1">
      <c r="A44" s="222">
        <v>2228</v>
      </c>
      <c r="B44" s="222">
        <v>0</v>
      </c>
      <c r="C44" s="222">
        <v>262</v>
      </c>
      <c r="D44" s="5" t="s">
        <v>848</v>
      </c>
    </row>
    <row r="45" spans="1:11" ht="15" customHeight="1">
      <c r="A45" s="222">
        <v>3934</v>
      </c>
      <c r="B45" s="222">
        <v>0</v>
      </c>
      <c r="C45" s="222">
        <v>470</v>
      </c>
      <c r="D45" s="5" t="s">
        <v>849</v>
      </c>
    </row>
    <row r="46" spans="1:11" ht="15" customHeight="1">
      <c r="A46" s="5">
        <v>661</v>
      </c>
      <c r="B46" s="222">
        <v>0</v>
      </c>
      <c r="C46" s="222">
        <v>188</v>
      </c>
      <c r="D46" s="5" t="s">
        <v>850</v>
      </c>
    </row>
    <row r="47" spans="1:11" ht="15" customHeight="1">
      <c r="A47" s="222">
        <v>685</v>
      </c>
      <c r="B47" s="222">
        <v>0</v>
      </c>
      <c r="C47" s="222">
        <v>194</v>
      </c>
      <c r="D47" s="5" t="s">
        <v>851</v>
      </c>
    </row>
    <row r="48" spans="1:11" ht="15" customHeight="1">
      <c r="A48" s="222">
        <v>219</v>
      </c>
      <c r="B48" s="222">
        <v>0</v>
      </c>
      <c r="C48" s="222">
        <v>87</v>
      </c>
      <c r="D48" s="5" t="s">
        <v>852</v>
      </c>
    </row>
    <row r="49" spans="1:4" ht="15" customHeight="1">
      <c r="A49" s="5">
        <v>95</v>
      </c>
      <c r="B49" s="222">
        <v>0</v>
      </c>
      <c r="C49" s="222">
        <v>26</v>
      </c>
      <c r="D49" s="5" t="s">
        <v>853</v>
      </c>
    </row>
    <row r="50" spans="1:4" ht="15" customHeight="1">
      <c r="A50" s="222">
        <v>-1227</v>
      </c>
      <c r="B50" s="222">
        <v>0</v>
      </c>
      <c r="C50" s="222">
        <v>-409</v>
      </c>
      <c r="D50" s="5" t="s">
        <v>854</v>
      </c>
    </row>
    <row r="51" spans="1:4" ht="15" customHeight="1">
      <c r="A51" s="222">
        <v>0</v>
      </c>
      <c r="B51" s="222">
        <v>0</v>
      </c>
      <c r="C51" s="222">
        <v>3716</v>
      </c>
      <c r="D51" s="5" t="s">
        <v>484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8" sqref="D18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112" t="s">
        <v>320</v>
      </c>
      <c r="G1" s="112"/>
    </row>
    <row r="2" spans="1:12" ht="15" customHeight="1">
      <c r="A2" s="114" t="s">
        <v>495</v>
      </c>
    </row>
    <row r="3" spans="1:12" ht="15" customHeight="1">
      <c r="A3" s="114" t="s">
        <v>321</v>
      </c>
    </row>
    <row r="4" spans="1:12" ht="15" customHeight="1">
      <c r="A4" s="114" t="s">
        <v>322</v>
      </c>
    </row>
    <row r="5" spans="1:12" ht="15" customHeight="1">
      <c r="A5" s="114" t="s">
        <v>323</v>
      </c>
    </row>
    <row r="6" spans="1:12" ht="15" customHeight="1">
      <c r="A6" s="114" t="s">
        <v>1144</v>
      </c>
    </row>
    <row r="7" spans="1:12" ht="15" customHeight="1">
      <c r="A7" s="114"/>
    </row>
    <row r="9" spans="1:12" ht="15" customHeight="1">
      <c r="A9" s="98"/>
      <c r="B9" s="91" t="s">
        <v>258</v>
      </c>
      <c r="C9" s="91" t="s">
        <v>127</v>
      </c>
      <c r="D9" s="91" t="s">
        <v>259</v>
      </c>
      <c r="E9" s="91" t="s">
        <v>127</v>
      </c>
      <c r="F9" s="91" t="s">
        <v>1</v>
      </c>
    </row>
    <row r="10" spans="1:12" ht="15" customHeight="1">
      <c r="A10" s="83" t="s">
        <v>1441</v>
      </c>
      <c r="B10" s="16"/>
      <c r="C10" s="1" t="s">
        <v>134</v>
      </c>
      <c r="D10" s="377">
        <f>IF(AtticType="Sealed",0,A_ceilingSI/300)</f>
        <v>0</v>
      </c>
      <c r="E10" s="1" t="s">
        <v>135</v>
      </c>
      <c r="F10" s="114" t="s">
        <v>324</v>
      </c>
      <c r="G10" s="1" t="s">
        <v>714</v>
      </c>
      <c r="L10" s="1" t="s">
        <v>1442</v>
      </c>
    </row>
    <row r="11" spans="1:12" ht="15" customHeight="1">
      <c r="A11" s="100" t="s">
        <v>1443</v>
      </c>
      <c r="D11" s="23">
        <f>IF(AtticType="Sealed", Leakage!B21, 0.003*A_ceilingSI)</f>
        <v>1.7830707241988115E-2</v>
      </c>
      <c r="E11" s="1" t="s">
        <v>135</v>
      </c>
      <c r="F11" s="114" t="s">
        <v>1143</v>
      </c>
      <c r="L11" s="1" t="s">
        <v>1444</v>
      </c>
    </row>
    <row r="12" spans="1:12" ht="15" customHeight="1">
      <c r="A12" s="83" t="s">
        <v>325</v>
      </c>
      <c r="D12" s="1">
        <v>0.6</v>
      </c>
      <c r="F12" s="214" t="s">
        <v>1445</v>
      </c>
    </row>
    <row r="13" spans="1:12" ht="15" customHeight="1">
      <c r="A13" s="83" t="s">
        <v>1114</v>
      </c>
      <c r="D13" s="364">
        <f>n</f>
        <v>0.67</v>
      </c>
      <c r="F13" s="214"/>
    </row>
    <row r="14" spans="1:12" ht="15" customHeight="1">
      <c r="A14" s="373" t="s">
        <v>326</v>
      </c>
      <c r="B14" s="374"/>
      <c r="C14" s="374"/>
      <c r="D14" s="522">
        <f>IF(AtticType="Sealed", Leakage!B22, D11*D12/(SQRT(1.2/2)*4^(n_Attic-0.5)))</f>
        <v>1.8186232784484689E-2</v>
      </c>
      <c r="E14" s="374" t="s">
        <v>1090</v>
      </c>
    </row>
    <row r="17" spans="1:12" ht="15" customHeight="1">
      <c r="A17" s="90" t="s">
        <v>327</v>
      </c>
      <c r="B17" s="99"/>
      <c r="C17" s="99"/>
      <c r="D17" s="99"/>
      <c r="E17" s="99"/>
      <c r="F17" s="1" t="s">
        <v>1</v>
      </c>
      <c r="G17" s="1" t="s">
        <v>1446</v>
      </c>
    </row>
    <row r="18" spans="1:12" ht="15" customHeight="1">
      <c r="A18" s="83" t="s">
        <v>75</v>
      </c>
      <c r="C18" s="186"/>
      <c r="D18" s="376">
        <f>(1-$D$22)*Geometry!D43</f>
        <v>0.2848101265822785</v>
      </c>
      <c r="E18" s="1" t="s">
        <v>11</v>
      </c>
      <c r="F18" s="222" t="s">
        <v>328</v>
      </c>
    </row>
    <row r="19" spans="1:12" ht="15" customHeight="1">
      <c r="A19" s="83" t="s">
        <v>329</v>
      </c>
      <c r="C19" s="186"/>
      <c r="D19" s="376">
        <f>(1-$D$22)*Geometry!D44</f>
        <v>0.2848101265822785</v>
      </c>
      <c r="E19" s="1" t="s">
        <v>11</v>
      </c>
      <c r="F19" s="222" t="s">
        <v>330</v>
      </c>
      <c r="K19" s="59"/>
      <c r="L19" s="59"/>
    </row>
    <row r="20" spans="1:12" ht="15" customHeight="1">
      <c r="A20" s="83" t="s">
        <v>331</v>
      </c>
      <c r="C20" s="186"/>
      <c r="D20" s="376">
        <f>(1-$D$22)*Geometry!D45</f>
        <v>0.16518987341772157</v>
      </c>
      <c r="E20" s="1" t="s">
        <v>11</v>
      </c>
      <c r="F20" s="222" t="s">
        <v>332</v>
      </c>
      <c r="K20" s="59"/>
      <c r="L20" s="59"/>
    </row>
    <row r="21" spans="1:12" ht="15" customHeight="1">
      <c r="A21" s="83" t="s">
        <v>333</v>
      </c>
      <c r="C21" s="186"/>
      <c r="D21" s="376">
        <f>(1-$D$22)*Geometry!D46</f>
        <v>0.16518987341772157</v>
      </c>
      <c r="E21" s="1" t="s">
        <v>11</v>
      </c>
      <c r="F21" s="222" t="s">
        <v>334</v>
      </c>
      <c r="K21" s="59"/>
      <c r="L21" s="59"/>
    </row>
    <row r="22" spans="1:12" ht="15" customHeight="1">
      <c r="A22" s="83" t="s">
        <v>335</v>
      </c>
      <c r="C22" s="186"/>
      <c r="D22" s="376">
        <v>0.1</v>
      </c>
      <c r="E22" s="1" t="s">
        <v>11</v>
      </c>
      <c r="F22" s="222" t="s">
        <v>336</v>
      </c>
      <c r="K22" s="59"/>
      <c r="L22" s="59"/>
    </row>
    <row r="23" spans="1:12" ht="15" customHeight="1">
      <c r="A23" s="83" t="s">
        <v>337</v>
      </c>
      <c r="D23" s="1">
        <f>SUM(D18:D22)</f>
        <v>1.0000000000000002</v>
      </c>
      <c r="K23" s="59"/>
      <c r="L23" s="59"/>
    </row>
    <row r="24" spans="1:12" ht="15" customHeight="1">
      <c r="K24" s="59"/>
      <c r="L24" s="59"/>
    </row>
    <row r="25" spans="1:12" ht="15" customHeight="1">
      <c r="A25" s="90" t="s">
        <v>503</v>
      </c>
      <c r="B25" s="91"/>
      <c r="C25" s="91"/>
      <c r="K25" s="59"/>
      <c r="L25" s="59"/>
    </row>
    <row r="26" spans="1:12" ht="15" customHeight="1">
      <c r="A26" s="83" t="s">
        <v>397</v>
      </c>
      <c r="B26" s="114"/>
      <c r="C26" s="16">
        <f>W_houseSI/2</f>
        <v>4.4195998585728047</v>
      </c>
      <c r="K26" s="1">
        <f>338/540</f>
        <v>0.62592592592592589</v>
      </c>
    </row>
    <row r="27" spans="1:12" ht="15" customHeight="1">
      <c r="A27" s="83" t="s">
        <v>398</v>
      </c>
      <c r="C27" s="16">
        <f>L_houseSI</f>
        <v>15.239999512320015</v>
      </c>
      <c r="K27" s="1">
        <f>186/736</f>
        <v>0.25271739130434784</v>
      </c>
    </row>
    <row r="28" spans="1:12" ht="15" customHeight="1">
      <c r="A28" s="83" t="s">
        <v>399</v>
      </c>
      <c r="C28" s="23" t="e">
        <f>C26*[1]Geometry!#REF!</f>
        <v>#REF!</v>
      </c>
    </row>
    <row r="29" spans="1:12" ht="15" customHeight="1">
      <c r="A29" s="83" t="s">
        <v>400</v>
      </c>
      <c r="C29" s="23" t="e">
        <f>SQRT(C26^2+[1]Geometry!#REF!^2)*[1]Attic!C27</f>
        <v>#REF!</v>
      </c>
    </row>
    <row r="30" spans="1:12" ht="15" customHeight="1">
      <c r="A30" s="83" t="s">
        <v>401</v>
      </c>
      <c r="B30" s="18"/>
      <c r="C30" s="118" t="e">
        <f>C28/(C28*2+C29*2)</f>
        <v>#REF!</v>
      </c>
    </row>
    <row r="31" spans="1:12" ht="15" customHeight="1">
      <c r="A31" s="83" t="s">
        <v>402</v>
      </c>
      <c r="C31" s="23" t="e">
        <f>C29/(2*(C28+C29))</f>
        <v>#REF!</v>
      </c>
    </row>
    <row r="34" spans="1:4" ht="15" customHeight="1">
      <c r="A34" s="1" t="s">
        <v>1135</v>
      </c>
      <c r="B34" s="1" t="e">
        <f>[1]HVAC!#REF! * (SQRT(1.20411 / (2 * 2)) / 1)</f>
        <v>#REF!</v>
      </c>
      <c r="D34" s="1">
        <f xml:space="preserve"> SQRT(1.20411 / 2) * 4^(D13 - 0.5)</f>
        <v>0.98212842862043248</v>
      </c>
    </row>
    <row r="35" spans="1:4" ht="15" customHeight="1">
      <c r="A35" s="1" t="s">
        <v>1136</v>
      </c>
      <c r="B35" s="1" t="e">
        <f>1*B34*SQRT(2/1.20411)*4^(0.5-0.65)</f>
        <v>#REF!</v>
      </c>
    </row>
    <row r="36" spans="1:4" ht="15" customHeight="1">
      <c r="A36" s="1" t="s">
        <v>1141</v>
      </c>
      <c r="B36" s="1" t="e">
        <f>B35*[1]Leakage!H63</f>
        <v>#REF!</v>
      </c>
    </row>
    <row r="37" spans="1:4" ht="15" customHeight="1">
      <c r="A37" s="1" t="s">
        <v>1137</v>
      </c>
      <c r="B37" s="1">
        <f>[1]Leakage!B4</f>
        <v>3.2435091989063344E-2</v>
      </c>
    </row>
    <row r="38" spans="1:4" ht="15" customHeight="1">
      <c r="A38" s="1" t="s">
        <v>1142</v>
      </c>
      <c r="B38" s="1">
        <f>B37*[1]Leakage!H63</f>
        <v>1.6217545994531672E-2</v>
      </c>
    </row>
    <row r="39" spans="1:4" ht="15" customHeight="1">
      <c r="A39" s="1" t="s">
        <v>1138</v>
      </c>
      <c r="B39" s="1">
        <f>D14 * SQRT(1.20411 / 2) * 4^(D13 - 0.5)</f>
        <v>1.7861216227151339E-2</v>
      </c>
    </row>
    <row r="40" spans="1:4" ht="15" customHeight="1">
      <c r="A40" s="1" t="s">
        <v>1139</v>
      </c>
      <c r="B40" s="1">
        <f>B38 * SQRT(1.20411 / 2) * 4^(D13 - 0.5)</f>
        <v>1.5927712963688979E-2</v>
      </c>
    </row>
    <row r="41" spans="1:4" ht="15" customHeight="1">
      <c r="A41" s="1" t="s">
        <v>1140</v>
      </c>
      <c r="B41" s="1" t="e">
        <f>B36 * SQRT(1.20411 / 2) * 4^(D13 - 0.5)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24" sqref="D24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338</v>
      </c>
    </row>
    <row r="2" spans="1:43" ht="15" customHeight="1">
      <c r="A2" s="13" t="s">
        <v>563</v>
      </c>
      <c r="G2" s="13" t="s">
        <v>339</v>
      </c>
    </row>
    <row r="4" spans="1:43" ht="15" customHeight="1">
      <c r="A4" s="90" t="s">
        <v>1132</v>
      </c>
      <c r="B4" s="91" t="s">
        <v>258</v>
      </c>
      <c r="C4" s="91" t="s">
        <v>127</v>
      </c>
      <c r="D4" s="91" t="s">
        <v>259</v>
      </c>
      <c r="E4" s="91" t="s">
        <v>127</v>
      </c>
      <c r="G4" s="5" t="s">
        <v>342</v>
      </c>
      <c r="P4" s="15"/>
    </row>
    <row r="5" spans="1:43" ht="15" customHeight="1">
      <c r="A5" s="94" t="s">
        <v>341</v>
      </c>
      <c r="B5" s="5">
        <v>1</v>
      </c>
      <c r="C5" s="5" t="s">
        <v>11</v>
      </c>
      <c r="G5" s="222" t="s">
        <v>356</v>
      </c>
      <c r="H5" s="87"/>
      <c r="I5" s="87"/>
      <c r="J5" s="90" t="s">
        <v>340</v>
      </c>
      <c r="K5" s="87"/>
      <c r="P5" s="15"/>
    </row>
    <row r="6" spans="1:43" ht="15" customHeight="1">
      <c r="A6" s="79" t="s">
        <v>343</v>
      </c>
      <c r="B6" s="5">
        <v>0.65</v>
      </c>
      <c r="C6" s="5" t="s">
        <v>11</v>
      </c>
      <c r="G6" s="79">
        <v>4</v>
      </c>
      <c r="J6" s="15">
        <v>2.5000000000000001E-2</v>
      </c>
      <c r="K6" s="5" t="s">
        <v>131</v>
      </c>
      <c r="P6" s="15"/>
    </row>
    <row r="7" spans="1:43" ht="15" customHeight="1">
      <c r="A7" s="79" t="s">
        <v>344</v>
      </c>
      <c r="B7" s="5">
        <v>0.05</v>
      </c>
      <c r="C7" s="5" t="s">
        <v>11</v>
      </c>
      <c r="G7" s="79">
        <v>6</v>
      </c>
      <c r="J7" s="15">
        <f>J6*1.5</f>
        <v>3.7500000000000006E-2</v>
      </c>
      <c r="K7" s="5" t="s">
        <v>131</v>
      </c>
      <c r="P7" s="15"/>
    </row>
    <row r="8" spans="1:43" ht="15" customHeight="1">
      <c r="A8" s="79" t="s">
        <v>345</v>
      </c>
      <c r="B8" s="5">
        <v>0.1</v>
      </c>
      <c r="C8" s="5" t="s">
        <v>11</v>
      </c>
      <c r="G8" s="79">
        <v>8</v>
      </c>
      <c r="J8" s="15">
        <f>J6*2</f>
        <v>0.05</v>
      </c>
      <c r="K8" s="5" t="s">
        <v>131</v>
      </c>
      <c r="P8" s="15"/>
    </row>
    <row r="9" spans="1:43" ht="15" customHeight="1">
      <c r="A9" s="79" t="s">
        <v>346</v>
      </c>
      <c r="B9" s="5">
        <f>0.27*A_houseFT*IF(Stories=1,B5,B6)</f>
        <v>473.85</v>
      </c>
      <c r="C9" s="5" t="s">
        <v>488</v>
      </c>
      <c r="D9" s="15">
        <f>B9*0.3048^2</f>
        <v>44.022105504000002</v>
      </c>
      <c r="E9" s="5" t="s">
        <v>487</v>
      </c>
      <c r="G9" s="79">
        <v>1</v>
      </c>
      <c r="J9" s="15">
        <f>J6/4</f>
        <v>6.2500000000000003E-3</v>
      </c>
      <c r="K9" s="5" t="s">
        <v>131</v>
      </c>
      <c r="P9" s="15"/>
    </row>
    <row r="10" spans="1:43" ht="15" customHeight="1">
      <c r="A10" s="79" t="s">
        <v>347</v>
      </c>
      <c r="B10" s="5">
        <f>A_houseFT*IF(Stories=1,B7,B8)</f>
        <v>270</v>
      </c>
      <c r="C10" s="111" t="s">
        <v>488</v>
      </c>
      <c r="D10" s="15">
        <f>B10*0.3048^2</f>
        <v>25.083820800000002</v>
      </c>
      <c r="E10" s="111" t="s">
        <v>487</v>
      </c>
      <c r="P10" s="15"/>
    </row>
    <row r="11" spans="1:43" ht="15" customHeight="1">
      <c r="A11" s="21" t="s">
        <v>348</v>
      </c>
      <c r="G11" s="4" t="s">
        <v>227</v>
      </c>
      <c r="P11" s="15"/>
      <c r="Z11" s="4" t="s">
        <v>228</v>
      </c>
      <c r="AI11" s="15"/>
    </row>
    <row r="12" spans="1:43" ht="15" customHeight="1">
      <c r="A12" s="378" t="s">
        <v>349</v>
      </c>
      <c r="B12" s="379">
        <f>D12/(0.3048/12)</f>
        <v>9.8425196850393686</v>
      </c>
      <c r="C12" s="380" t="s">
        <v>200</v>
      </c>
      <c r="D12" s="384">
        <v>0.25</v>
      </c>
      <c r="E12" s="380" t="s">
        <v>131</v>
      </c>
      <c r="F12"/>
      <c r="G12" s="91" t="s">
        <v>350</v>
      </c>
      <c r="H12" s="68" t="s">
        <v>11</v>
      </c>
      <c r="I12" s="91">
        <v>1</v>
      </c>
      <c r="J12" s="91">
        <v>2</v>
      </c>
      <c r="K12" s="91">
        <v>3</v>
      </c>
      <c r="L12" s="91">
        <v>4</v>
      </c>
      <c r="M12" s="91">
        <v>5</v>
      </c>
      <c r="N12" s="91">
        <v>6</v>
      </c>
      <c r="O12" s="91">
        <v>7</v>
      </c>
      <c r="P12" s="91">
        <v>8</v>
      </c>
      <c r="Q12" s="91">
        <v>9</v>
      </c>
      <c r="R12" s="91">
        <v>10</v>
      </c>
      <c r="S12" s="91">
        <v>11</v>
      </c>
      <c r="T12" s="91">
        <v>12</v>
      </c>
      <c r="U12" s="91">
        <v>13</v>
      </c>
      <c r="V12" s="91">
        <v>14</v>
      </c>
      <c r="W12" s="91">
        <v>15</v>
      </c>
      <c r="X12" s="91">
        <v>16</v>
      </c>
      <c r="Z12" s="91" t="s">
        <v>350</v>
      </c>
      <c r="AA12" s="68" t="s">
        <v>11</v>
      </c>
      <c r="AB12" s="91">
        <v>1</v>
      </c>
      <c r="AC12" s="91">
        <v>2</v>
      </c>
      <c r="AD12" s="91">
        <v>3</v>
      </c>
      <c r="AE12" s="91">
        <v>4</v>
      </c>
      <c r="AF12" s="91">
        <v>5</v>
      </c>
      <c r="AG12" s="91">
        <v>6</v>
      </c>
      <c r="AH12" s="91">
        <v>7</v>
      </c>
      <c r="AI12" s="91">
        <v>8</v>
      </c>
      <c r="AJ12" s="91">
        <v>9</v>
      </c>
      <c r="AK12" s="91">
        <v>10</v>
      </c>
      <c r="AL12" s="91">
        <v>11</v>
      </c>
      <c r="AM12" s="91">
        <v>12</v>
      </c>
      <c r="AN12" s="91">
        <v>13</v>
      </c>
      <c r="AO12" s="91">
        <v>14</v>
      </c>
      <c r="AP12" s="91">
        <v>15</v>
      </c>
      <c r="AQ12" s="91">
        <v>16</v>
      </c>
    </row>
    <row r="13" spans="1:43" ht="15" customHeight="1">
      <c r="A13" s="378" t="s">
        <v>351</v>
      </c>
      <c r="B13" s="379">
        <f>D13/(0.3048/12)</f>
        <v>17.716535433070867</v>
      </c>
      <c r="C13" s="380" t="s">
        <v>200</v>
      </c>
      <c r="D13" s="384">
        <v>0.45</v>
      </c>
      <c r="E13" s="380" t="s">
        <v>131</v>
      </c>
      <c r="F13"/>
      <c r="G13" s="5" t="s">
        <v>15</v>
      </c>
      <c r="H13" s="69" t="s">
        <v>515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22">
        <v>8</v>
      </c>
      <c r="Z13" s="5" t="s">
        <v>15</v>
      </c>
      <c r="AA13" s="69" t="s">
        <v>515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381" t="s">
        <v>352</v>
      </c>
      <c r="B14" s="382">
        <f>D14/(0.3048/12)</f>
        <v>30.921187535332606</v>
      </c>
      <c r="C14" s="383" t="s">
        <v>200</v>
      </c>
      <c r="D14" s="382">
        <f>PI()*D12</f>
        <v>0.78539816339744828</v>
      </c>
      <c r="E14" s="383" t="s">
        <v>131</v>
      </c>
      <c r="F14"/>
      <c r="G14" s="49" t="s">
        <v>340</v>
      </c>
      <c r="H14" s="72" t="s">
        <v>131</v>
      </c>
      <c r="I14" s="375">
        <f>VLOOKUP(I13,$G$6:$J$9,4,FALSE)</f>
        <v>0.05</v>
      </c>
      <c r="J14" s="375">
        <f t="shared" ref="J14:X14" si="1">VLOOKUP(J13,$G$6:$J$9,4,FALSE)</f>
        <v>0.05</v>
      </c>
      <c r="K14" s="375">
        <f t="shared" si="1"/>
        <v>0.05</v>
      </c>
      <c r="L14" s="375">
        <f t="shared" si="1"/>
        <v>0.05</v>
      </c>
      <c r="M14" s="375">
        <f t="shared" si="1"/>
        <v>0.05</v>
      </c>
      <c r="N14" s="375">
        <f t="shared" si="1"/>
        <v>0.05</v>
      </c>
      <c r="O14" s="375">
        <f t="shared" si="1"/>
        <v>0.05</v>
      </c>
      <c r="P14" s="375">
        <f t="shared" si="1"/>
        <v>0.05</v>
      </c>
      <c r="Q14" s="375">
        <f t="shared" si="1"/>
        <v>0.05</v>
      </c>
      <c r="R14" s="375">
        <f t="shared" si="1"/>
        <v>0.05</v>
      </c>
      <c r="S14" s="375">
        <f t="shared" si="1"/>
        <v>0.05</v>
      </c>
      <c r="T14" s="375">
        <f t="shared" si="1"/>
        <v>0.05</v>
      </c>
      <c r="U14" s="375">
        <f t="shared" si="1"/>
        <v>0.05</v>
      </c>
      <c r="V14" s="375">
        <f t="shared" si="1"/>
        <v>0.05</v>
      </c>
      <c r="W14" s="375">
        <f t="shared" si="1"/>
        <v>0.05</v>
      </c>
      <c r="X14" s="375">
        <f t="shared" si="1"/>
        <v>0.05</v>
      </c>
      <c r="Y14" s="218">
        <f>VLOOKUP(Y13,$G$6:$J$9,4,FALSE)</f>
        <v>0.05</v>
      </c>
      <c r="Z14" s="49" t="s">
        <v>340</v>
      </c>
      <c r="AA14" s="72" t="s">
        <v>131</v>
      </c>
      <c r="AB14" s="218">
        <f>VLOOKUP(AB13,$G$6:$J$9,4,FALSE)</f>
        <v>0.05</v>
      </c>
      <c r="AC14" s="218">
        <f t="shared" ref="AC14:AQ14" si="2">VLOOKUP(AC13,$G$6:$J$9,4,FALSE)</f>
        <v>0.05</v>
      </c>
      <c r="AD14" s="218">
        <f t="shared" si="2"/>
        <v>0.05</v>
      </c>
      <c r="AE14" s="218">
        <f t="shared" si="2"/>
        <v>0.05</v>
      </c>
      <c r="AF14" s="218">
        <f t="shared" si="2"/>
        <v>0.05</v>
      </c>
      <c r="AG14" s="218">
        <f t="shared" si="2"/>
        <v>0.05</v>
      </c>
      <c r="AH14" s="218">
        <f t="shared" si="2"/>
        <v>0.05</v>
      </c>
      <c r="AI14" s="218">
        <f t="shared" si="2"/>
        <v>0.05</v>
      </c>
      <c r="AJ14" s="218">
        <f t="shared" si="2"/>
        <v>0.05</v>
      </c>
      <c r="AK14" s="218">
        <f t="shared" si="2"/>
        <v>0.05</v>
      </c>
      <c r="AL14" s="218">
        <f t="shared" si="2"/>
        <v>0.05</v>
      </c>
      <c r="AM14" s="218">
        <f t="shared" si="2"/>
        <v>0.05</v>
      </c>
      <c r="AN14" s="218">
        <f t="shared" si="2"/>
        <v>0.05</v>
      </c>
      <c r="AO14" s="218">
        <f t="shared" si="2"/>
        <v>0.05</v>
      </c>
      <c r="AP14" s="218">
        <f t="shared" si="2"/>
        <v>0.05</v>
      </c>
      <c r="AQ14" s="218">
        <f t="shared" si="2"/>
        <v>0.05</v>
      </c>
    </row>
    <row r="15" spans="1:43" ht="15" customHeight="1">
      <c r="A15" s="381" t="s">
        <v>353</v>
      </c>
      <c r="B15" s="382">
        <f>D15/(0.3048/12)</f>
        <v>55.658137563598693</v>
      </c>
      <c r="C15" s="383" t="s">
        <v>200</v>
      </c>
      <c r="D15" s="382">
        <f>PI()*D13</f>
        <v>1.4137166941154069</v>
      </c>
      <c r="E15" s="383" t="s">
        <v>131</v>
      </c>
      <c r="G15" s="5" t="s">
        <v>354</v>
      </c>
      <c r="H15" s="69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22">
        <v>0.7</v>
      </c>
      <c r="Z15" s="5" t="s">
        <v>354</v>
      </c>
      <c r="AA15" s="69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378" t="s">
        <v>355</v>
      </c>
      <c r="B16" s="379">
        <f>D16/0.3048</f>
        <v>183.89332536153628</v>
      </c>
      <c r="C16" s="380" t="s">
        <v>130</v>
      </c>
      <c r="D16" s="385">
        <f>D9/D14</f>
        <v>56.050685570196265</v>
      </c>
      <c r="E16" s="380" t="s">
        <v>131</v>
      </c>
      <c r="G16" s="49" t="s">
        <v>356</v>
      </c>
      <c r="H16" s="72" t="s">
        <v>514</v>
      </c>
      <c r="I16" s="375">
        <f t="shared" ref="I16:X16" si="3">(I13+I15)/5.678</f>
        <v>1.5322296583303978</v>
      </c>
      <c r="J16" s="375">
        <f t="shared" si="3"/>
        <v>1.5322296583303978</v>
      </c>
      <c r="K16" s="375">
        <f t="shared" si="3"/>
        <v>1.5322296583303978</v>
      </c>
      <c r="L16" s="375">
        <f t="shared" si="3"/>
        <v>1.5322296583303978</v>
      </c>
      <c r="M16" s="375">
        <f t="shared" si="3"/>
        <v>1.5322296583303978</v>
      </c>
      <c r="N16" s="375">
        <f t="shared" si="3"/>
        <v>1.5322296583303978</v>
      </c>
      <c r="O16" s="375">
        <f t="shared" si="3"/>
        <v>1.5322296583303978</v>
      </c>
      <c r="P16" s="375">
        <f t="shared" si="3"/>
        <v>1.5322296583303978</v>
      </c>
      <c r="Q16" s="375">
        <f t="shared" si="3"/>
        <v>1.5322296583303978</v>
      </c>
      <c r="R16" s="375">
        <f t="shared" si="3"/>
        <v>1.5322296583303978</v>
      </c>
      <c r="S16" s="375">
        <f t="shared" si="3"/>
        <v>1.5322296583303978</v>
      </c>
      <c r="T16" s="375">
        <f t="shared" si="3"/>
        <v>1.5322296583303978</v>
      </c>
      <c r="U16" s="375">
        <f t="shared" si="3"/>
        <v>1.5322296583303978</v>
      </c>
      <c r="V16" s="375">
        <f t="shared" si="3"/>
        <v>1.5322296583303978</v>
      </c>
      <c r="W16" s="375">
        <f t="shared" si="3"/>
        <v>1.5322296583303978</v>
      </c>
      <c r="X16" s="375">
        <f t="shared" si="3"/>
        <v>1.5322296583303978</v>
      </c>
      <c r="Y16" s="218">
        <f>(Y13+Y15)/5.678</f>
        <v>1.5322296583303978</v>
      </c>
      <c r="Z16" s="49" t="s">
        <v>356</v>
      </c>
      <c r="AA16" s="72" t="s">
        <v>514</v>
      </c>
      <c r="AB16" s="34">
        <f t="shared" ref="AB16:AQ16" si="4">(AB13+AB15)/5.678</f>
        <v>1.5322296583303978</v>
      </c>
      <c r="AC16" s="34">
        <f t="shared" si="4"/>
        <v>1.5322296583303978</v>
      </c>
      <c r="AD16" s="34">
        <f t="shared" si="4"/>
        <v>1.5322296583303978</v>
      </c>
      <c r="AE16" s="34">
        <f t="shared" si="4"/>
        <v>1.5322296583303978</v>
      </c>
      <c r="AF16" s="34">
        <f t="shared" si="4"/>
        <v>1.5322296583303978</v>
      </c>
      <c r="AG16" s="34">
        <f t="shared" si="4"/>
        <v>1.5322296583303978</v>
      </c>
      <c r="AH16" s="34">
        <f t="shared" si="4"/>
        <v>1.5322296583303978</v>
      </c>
      <c r="AI16" s="34">
        <f t="shared" si="4"/>
        <v>1.5322296583303978</v>
      </c>
      <c r="AJ16" s="34">
        <f t="shared" si="4"/>
        <v>1.5322296583303978</v>
      </c>
      <c r="AK16" s="34">
        <f t="shared" si="4"/>
        <v>1.5322296583303978</v>
      </c>
      <c r="AL16" s="34">
        <f t="shared" si="4"/>
        <v>1.5322296583303978</v>
      </c>
      <c r="AM16" s="34">
        <f t="shared" si="4"/>
        <v>1.5322296583303978</v>
      </c>
      <c r="AN16" s="34">
        <f t="shared" si="4"/>
        <v>1.5322296583303978</v>
      </c>
      <c r="AO16" s="34">
        <f t="shared" si="4"/>
        <v>1.5322296583303978</v>
      </c>
      <c r="AP16" s="34">
        <f t="shared" si="4"/>
        <v>1.5322296583303978</v>
      </c>
      <c r="AQ16" s="34">
        <f t="shared" si="4"/>
        <v>1.5322296583303978</v>
      </c>
    </row>
    <row r="17" spans="1:6" ht="15" customHeight="1">
      <c r="A17" s="378" t="s">
        <v>357</v>
      </c>
      <c r="B17" s="379">
        <f>D17/0.3048</f>
        <v>58.212511985291648</v>
      </c>
      <c r="C17" s="380" t="s">
        <v>130</v>
      </c>
      <c r="D17" s="385">
        <f>D10/D15</f>
        <v>17.743173653116894</v>
      </c>
      <c r="E17" s="380" t="s">
        <v>131</v>
      </c>
    </row>
    <row r="18" spans="1:6" ht="15" customHeight="1">
      <c r="A18" s="214" t="s">
        <v>1150</v>
      </c>
      <c r="D18" s="521">
        <f>DuctLeakage/100/2</f>
        <v>2.5000000000000001E-2</v>
      </c>
      <c r="F18" s="224" t="s">
        <v>1152</v>
      </c>
    </row>
    <row r="19" spans="1:6" ht="15" customHeight="1">
      <c r="A19" s="214" t="s">
        <v>1151</v>
      </c>
      <c r="D19" s="521">
        <f>DuctLeakage/100/2</f>
        <v>2.5000000000000001E-2</v>
      </c>
      <c r="F19" s="224" t="s">
        <v>1154</v>
      </c>
    </row>
    <row r="20" spans="1:6" ht="15" customHeight="1">
      <c r="A20" s="214" t="s">
        <v>110</v>
      </c>
      <c r="D20" s="231">
        <v>0.6</v>
      </c>
      <c r="F20" s="222" t="s">
        <v>111</v>
      </c>
    </row>
    <row r="21" spans="1:6" ht="15" customHeight="1">
      <c r="A21" s="214" t="s">
        <v>112</v>
      </c>
      <c r="D21" s="231">
        <v>0.6</v>
      </c>
      <c r="F21" s="222" t="s">
        <v>113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26" zoomScale="85" zoomScaleNormal="85" zoomScalePageLayoutView="85" workbookViewId="0">
      <selection activeCell="B142" sqref="B142"/>
    </sheetView>
  </sheetViews>
  <sheetFormatPr baseColWidth="10" defaultColWidth="8.6640625" defaultRowHeight="15" customHeight="1" x14ac:dyDescent="0"/>
  <cols>
    <col min="1" max="1" width="29.5" style="222" customWidth="1"/>
    <col min="2" max="2" width="12.1640625" style="222" bestFit="1" customWidth="1"/>
    <col min="3" max="3" width="15.6640625" style="222" customWidth="1"/>
    <col min="4" max="4" width="12.83203125" style="222" customWidth="1"/>
    <col min="5" max="5" width="10.33203125" style="222" bestFit="1" customWidth="1"/>
    <col min="6" max="6" width="11.6640625" style="222" customWidth="1"/>
    <col min="7" max="7" width="9.5" style="222" customWidth="1"/>
    <col min="8" max="8" width="11.5" style="222" customWidth="1"/>
    <col min="9" max="9" width="15.83203125" style="222" bestFit="1" customWidth="1"/>
    <col min="10" max="10" width="14.5" style="222" bestFit="1" customWidth="1"/>
    <col min="11" max="11" width="15.83203125" style="222" bestFit="1" customWidth="1"/>
    <col min="12" max="12" width="15.1640625" style="222" bestFit="1" customWidth="1"/>
    <col min="13" max="13" width="11.6640625" style="222" bestFit="1" customWidth="1"/>
    <col min="14" max="14" width="10" style="222" customWidth="1"/>
    <col min="15" max="16" width="10.33203125" style="222" bestFit="1" customWidth="1"/>
    <col min="17" max="17" width="12.1640625" style="222" bestFit="1" customWidth="1"/>
    <col min="18" max="18" width="10.5" style="222" bestFit="1" customWidth="1"/>
    <col min="19" max="19" width="19" style="222" customWidth="1"/>
    <col min="20" max="20" width="8.6640625" style="222"/>
    <col min="21" max="21" width="11.83203125" style="222" bestFit="1" customWidth="1"/>
    <col min="22" max="25" width="11.83203125" style="222" customWidth="1"/>
    <col min="26" max="26" width="8.5" style="222" customWidth="1"/>
    <col min="27" max="27" width="8" style="222" customWidth="1"/>
    <col min="28" max="28" width="13.5" style="222" customWidth="1"/>
    <col min="29" max="29" width="13.6640625" style="222" customWidth="1"/>
    <col min="30" max="30" width="20.83203125" style="222" customWidth="1"/>
    <col min="31" max="16384" width="8.6640625" style="222"/>
  </cols>
  <sheetData>
    <row r="1" spans="1:31" ht="15" customHeight="1">
      <c r="A1" s="60" t="s">
        <v>358</v>
      </c>
      <c r="Y1" s="73"/>
      <c r="Z1" s="96"/>
      <c r="AA1" s="96"/>
      <c r="AB1" s="96"/>
      <c r="AC1" s="96"/>
      <c r="AD1" s="96"/>
      <c r="AE1" s="73"/>
    </row>
    <row r="2" spans="1:31" ht="17.25" customHeight="1">
      <c r="A2" s="61" t="s">
        <v>359</v>
      </c>
      <c r="H2" s="214"/>
      <c r="J2" s="222" t="s">
        <v>629</v>
      </c>
      <c r="Y2" s="73"/>
      <c r="Z2" s="96"/>
      <c r="AA2" s="96"/>
      <c r="AB2" s="96"/>
      <c r="AC2" s="96"/>
      <c r="AD2" s="96"/>
      <c r="AE2" s="73"/>
    </row>
    <row r="3" spans="1:31" ht="15" customHeight="1">
      <c r="A3" s="112" t="s">
        <v>360</v>
      </c>
      <c r="H3" s="214"/>
      <c r="J3" s="222" t="s">
        <v>630</v>
      </c>
      <c r="N3" s="222" t="s">
        <v>632</v>
      </c>
      <c r="P3" s="50"/>
      <c r="Q3" s="50"/>
      <c r="R3" s="50"/>
      <c r="S3" s="50"/>
      <c r="Y3" s="73"/>
      <c r="Z3" s="96"/>
      <c r="AA3" s="96"/>
      <c r="AB3" s="73"/>
      <c r="AC3" s="73"/>
      <c r="AD3" s="73"/>
      <c r="AE3" s="73"/>
    </row>
    <row r="4" spans="1:31" ht="15" customHeight="1">
      <c r="A4" s="114" t="s">
        <v>361</v>
      </c>
      <c r="H4" s="214"/>
      <c r="I4" s="224"/>
      <c r="J4" s="224" t="s">
        <v>631</v>
      </c>
      <c r="K4" s="224"/>
      <c r="L4" s="224"/>
      <c r="M4" s="224"/>
      <c r="N4" s="224" t="s">
        <v>633</v>
      </c>
      <c r="O4" s="224"/>
      <c r="P4" s="224"/>
      <c r="Q4" s="224"/>
      <c r="R4" s="224"/>
      <c r="Y4" s="73"/>
      <c r="Z4" s="96"/>
      <c r="AA4" s="96"/>
      <c r="AB4" s="73"/>
      <c r="AC4" s="73"/>
      <c r="AD4" s="73"/>
      <c r="AE4" s="73"/>
    </row>
    <row r="5" spans="1:31" ht="15" customHeight="1">
      <c r="A5" s="114"/>
      <c r="I5" s="224"/>
      <c r="J5" s="224"/>
      <c r="K5" s="224"/>
      <c r="L5" s="224"/>
      <c r="M5" s="224"/>
      <c r="N5" s="224"/>
      <c r="O5" s="224"/>
      <c r="P5" s="224"/>
      <c r="Q5" s="51"/>
      <c r="R5" s="51"/>
      <c r="S5" s="216"/>
      <c r="Y5" s="73"/>
      <c r="Z5" s="96"/>
      <c r="AA5" s="96"/>
      <c r="AB5" s="73"/>
      <c r="AC5" s="73"/>
      <c r="AD5" s="73"/>
      <c r="AE5" s="73"/>
    </row>
    <row r="6" spans="1:31" ht="15" customHeight="1">
      <c r="D6" s="222" t="s">
        <v>1</v>
      </c>
      <c r="I6" s="224"/>
      <c r="J6" s="224" t="s">
        <v>634</v>
      </c>
      <c r="K6" s="224"/>
      <c r="L6" s="224"/>
      <c r="M6" s="52"/>
      <c r="N6" s="53"/>
      <c r="O6" s="224"/>
      <c r="P6" s="211"/>
      <c r="Q6" s="51"/>
      <c r="R6" s="51"/>
      <c r="S6" s="216"/>
      <c r="Y6" s="73"/>
      <c r="Z6" s="96"/>
      <c r="AA6" s="96"/>
      <c r="AB6" s="73"/>
      <c r="AC6" s="73"/>
      <c r="AD6" s="73"/>
      <c r="AE6" s="73"/>
    </row>
    <row r="7" spans="1:31" ht="15" customHeight="1">
      <c r="I7" s="224"/>
      <c r="J7" s="224"/>
      <c r="K7" s="224"/>
      <c r="L7" s="224"/>
      <c r="M7" s="52"/>
      <c r="N7" s="53"/>
      <c r="O7" s="224"/>
      <c r="P7" s="211"/>
      <c r="Q7" s="51"/>
      <c r="R7" s="51"/>
      <c r="S7" s="216"/>
      <c r="Y7" s="73"/>
      <c r="Z7" s="96"/>
      <c r="AA7" s="96"/>
      <c r="AB7" s="73"/>
      <c r="AC7" s="73"/>
      <c r="AD7" s="73"/>
      <c r="AE7" s="73"/>
    </row>
    <row r="8" spans="1:31" ht="15" customHeight="1">
      <c r="C8" s="194" t="s">
        <v>626</v>
      </c>
      <c r="D8" s="225" t="s">
        <v>575</v>
      </c>
      <c r="E8" s="225" t="s">
        <v>576</v>
      </c>
      <c r="F8" s="225" t="s">
        <v>577</v>
      </c>
      <c r="G8" s="225" t="s">
        <v>578</v>
      </c>
      <c r="H8" s="225" t="s">
        <v>579</v>
      </c>
      <c r="I8" s="225" t="s">
        <v>580</v>
      </c>
      <c r="J8" s="225" t="s">
        <v>581</v>
      </c>
      <c r="K8" s="225" t="s">
        <v>582</v>
      </c>
      <c r="L8" s="225" t="s">
        <v>583</v>
      </c>
      <c r="M8" s="225" t="s">
        <v>584</v>
      </c>
      <c r="N8" s="225" t="s">
        <v>585</v>
      </c>
      <c r="O8" s="225" t="s">
        <v>586</v>
      </c>
      <c r="P8" s="225">
        <v>7</v>
      </c>
      <c r="Q8" s="194">
        <v>8</v>
      </c>
      <c r="R8" s="222" t="s">
        <v>805</v>
      </c>
      <c r="S8" s="222" t="s">
        <v>806</v>
      </c>
      <c r="Y8" s="73"/>
      <c r="Z8" s="96"/>
      <c r="AA8" s="96"/>
      <c r="AB8" s="73"/>
      <c r="AC8" s="73"/>
      <c r="AD8" s="73"/>
      <c r="AE8" s="73"/>
    </row>
    <row r="9" spans="1:31" ht="15" customHeight="1">
      <c r="A9" s="57" t="s">
        <v>362</v>
      </c>
      <c r="B9" s="57">
        <v>16</v>
      </c>
      <c r="C9" s="57">
        <v>16</v>
      </c>
      <c r="D9" s="57">
        <v>16</v>
      </c>
      <c r="E9" s="57">
        <v>16</v>
      </c>
      <c r="F9" s="57">
        <v>16</v>
      </c>
      <c r="G9" s="57">
        <v>16</v>
      </c>
      <c r="H9" s="57">
        <v>16</v>
      </c>
      <c r="I9" s="57">
        <v>16</v>
      </c>
      <c r="J9" s="57">
        <v>16</v>
      </c>
      <c r="K9" s="57">
        <v>16</v>
      </c>
      <c r="L9" s="57">
        <v>16</v>
      </c>
      <c r="M9" s="57">
        <v>16</v>
      </c>
      <c r="N9" s="57">
        <v>16</v>
      </c>
      <c r="O9" s="57">
        <v>16</v>
      </c>
      <c r="P9" s="57">
        <v>16</v>
      </c>
      <c r="Q9" s="57">
        <v>16</v>
      </c>
      <c r="R9" s="57">
        <v>16</v>
      </c>
      <c r="S9" s="222">
        <f>F9</f>
        <v>16</v>
      </c>
      <c r="T9" s="57" t="s">
        <v>11</v>
      </c>
      <c r="U9" s="61" t="s">
        <v>363</v>
      </c>
      <c r="Y9" s="73"/>
      <c r="Z9" s="96"/>
      <c r="AA9" s="96"/>
      <c r="AB9" s="73"/>
      <c r="AC9" s="73"/>
      <c r="AD9" s="73"/>
      <c r="AE9" s="73"/>
    </row>
    <row r="10" spans="1:31" ht="15" customHeight="1">
      <c r="A10" s="49" t="s">
        <v>360</v>
      </c>
      <c r="B10" s="372">
        <v>12.8</v>
      </c>
      <c r="C10" s="372">
        <v>12.8</v>
      </c>
      <c r="D10" s="372">
        <v>12.8</v>
      </c>
      <c r="E10" s="372">
        <v>12.8</v>
      </c>
      <c r="F10" s="372">
        <v>12.8</v>
      </c>
      <c r="G10" s="372">
        <v>12.8</v>
      </c>
      <c r="H10" s="372">
        <v>12.8</v>
      </c>
      <c r="I10" s="372">
        <v>12.8</v>
      </c>
      <c r="J10" s="372">
        <v>12.8</v>
      </c>
      <c r="K10" s="372">
        <v>12.8</v>
      </c>
      <c r="L10" s="372">
        <v>12.8</v>
      </c>
      <c r="M10" s="372">
        <v>12.8</v>
      </c>
      <c r="N10" s="372">
        <v>12.8</v>
      </c>
      <c r="O10" s="372">
        <v>12.8</v>
      </c>
      <c r="P10" s="372">
        <v>12.8</v>
      </c>
      <c r="Q10" s="372">
        <v>12.8</v>
      </c>
      <c r="R10" s="372">
        <v>12.8</v>
      </c>
      <c r="S10" s="231">
        <f>F10</f>
        <v>12.8</v>
      </c>
      <c r="T10" s="49" t="s">
        <v>11</v>
      </c>
      <c r="U10" s="15" t="s">
        <v>364</v>
      </c>
      <c r="Y10" s="73"/>
      <c r="Z10" s="96"/>
      <c r="AA10" s="96"/>
      <c r="AB10" s="73"/>
      <c r="AC10" s="73"/>
      <c r="AD10" s="73"/>
      <c r="AE10" s="73"/>
    </row>
    <row r="11" spans="1:31" ht="15" customHeight="1">
      <c r="I11" s="224"/>
      <c r="J11" s="224"/>
      <c r="K11" s="224"/>
      <c r="L11" s="224"/>
      <c r="M11" s="52"/>
      <c r="N11" s="53"/>
      <c r="O11" s="224"/>
      <c r="P11" s="211"/>
      <c r="Q11" s="51"/>
      <c r="R11" s="51"/>
      <c r="S11" s="216"/>
      <c r="Y11" s="73"/>
      <c r="Z11" s="96"/>
      <c r="AA11" s="96"/>
      <c r="AB11" s="73"/>
      <c r="AC11" s="73"/>
      <c r="AD11" s="73"/>
      <c r="AE11" s="73"/>
    </row>
    <row r="12" spans="1:31" ht="15" customHeight="1">
      <c r="A12" s="114"/>
      <c r="I12" s="224"/>
      <c r="J12" s="224"/>
      <c r="K12" s="224"/>
      <c r="L12" s="224"/>
      <c r="M12" s="52"/>
      <c r="N12" s="53"/>
      <c r="O12" s="224"/>
      <c r="P12" s="211"/>
      <c r="Q12" s="51"/>
      <c r="R12" s="51"/>
      <c r="S12" s="216"/>
      <c r="Y12" s="73"/>
      <c r="Z12" s="96"/>
      <c r="AA12" s="96"/>
      <c r="AB12" s="73"/>
      <c r="AC12" s="73"/>
      <c r="AD12" s="73"/>
      <c r="AE12" s="73"/>
    </row>
    <row r="13" spans="1:31" ht="15" customHeight="1">
      <c r="A13" s="112" t="s">
        <v>365</v>
      </c>
      <c r="C13" s="194" t="s">
        <v>626</v>
      </c>
      <c r="D13" s="225" t="s">
        <v>575</v>
      </c>
      <c r="E13" s="225" t="s">
        <v>576</v>
      </c>
      <c r="F13" s="225" t="s">
        <v>577</v>
      </c>
      <c r="G13" s="225" t="s">
        <v>578</v>
      </c>
      <c r="H13" s="225" t="s">
        <v>579</v>
      </c>
      <c r="I13" s="225" t="s">
        <v>580</v>
      </c>
      <c r="J13" s="225" t="s">
        <v>581</v>
      </c>
      <c r="K13" s="225" t="s">
        <v>582</v>
      </c>
      <c r="L13" s="225" t="s">
        <v>583</v>
      </c>
      <c r="M13" s="225" t="s">
        <v>584</v>
      </c>
      <c r="N13" s="225" t="s">
        <v>585</v>
      </c>
      <c r="O13" s="225" t="s">
        <v>586</v>
      </c>
      <c r="P13" s="225">
        <v>7</v>
      </c>
      <c r="Q13" s="194">
        <v>8</v>
      </c>
      <c r="R13" s="222" t="s">
        <v>805</v>
      </c>
      <c r="S13" s="222" t="s">
        <v>806</v>
      </c>
      <c r="Y13" s="73"/>
      <c r="Z13" s="96"/>
      <c r="AA13" s="96"/>
      <c r="AB13" s="73"/>
      <c r="AC13" s="73"/>
      <c r="AD13" s="73"/>
      <c r="AE13" s="73"/>
    </row>
    <row r="14" spans="1:31" ht="15" customHeight="1">
      <c r="A14" s="57" t="s">
        <v>366</v>
      </c>
      <c r="B14" s="251">
        <v>0.92</v>
      </c>
      <c r="C14" s="251">
        <v>0.92</v>
      </c>
      <c r="D14" s="251">
        <v>0.92</v>
      </c>
      <c r="E14" s="251">
        <v>0.92</v>
      </c>
      <c r="F14" s="251">
        <v>0.92</v>
      </c>
      <c r="G14" s="251">
        <v>0.92</v>
      </c>
      <c r="H14" s="251">
        <v>0.92</v>
      </c>
      <c r="I14" s="251">
        <v>0.92</v>
      </c>
      <c r="J14" s="251">
        <v>0.92</v>
      </c>
      <c r="K14" s="251">
        <v>0.92</v>
      </c>
      <c r="L14" s="251">
        <v>0.92</v>
      </c>
      <c r="M14" s="251">
        <v>0.92</v>
      </c>
      <c r="N14" s="251">
        <v>0.92</v>
      </c>
      <c r="O14" s="251">
        <v>0.92</v>
      </c>
      <c r="P14" s="251">
        <v>0.92</v>
      </c>
      <c r="Q14" s="251">
        <v>0.92</v>
      </c>
      <c r="R14" s="251">
        <v>0.92</v>
      </c>
      <c r="S14" s="386">
        <f>F14</f>
        <v>0.92</v>
      </c>
      <c r="Y14" s="73"/>
      <c r="Z14" s="96"/>
      <c r="AA14" s="96"/>
      <c r="AB14" s="73"/>
      <c r="AC14" s="73"/>
      <c r="AD14" s="73"/>
      <c r="AE14" s="73"/>
    </row>
    <row r="15" spans="1:31" ht="15" customHeight="1">
      <c r="S15" s="114" t="s">
        <v>1</v>
      </c>
      <c r="Y15" s="73"/>
      <c r="Z15" s="96"/>
      <c r="AA15" s="96"/>
      <c r="AB15" s="73"/>
      <c r="AC15" s="73"/>
      <c r="AD15" s="73"/>
      <c r="AE15" s="73"/>
    </row>
    <row r="16" spans="1:31" ht="15" customHeight="1">
      <c r="A16" s="91" t="s">
        <v>350</v>
      </c>
      <c r="B16" s="90"/>
      <c r="C16" s="194" t="s">
        <v>626</v>
      </c>
      <c r="D16" s="225" t="s">
        <v>575</v>
      </c>
      <c r="E16" s="225" t="s">
        <v>576</v>
      </c>
      <c r="F16" s="225" t="s">
        <v>577</v>
      </c>
      <c r="G16" s="225" t="s">
        <v>578</v>
      </c>
      <c r="H16" s="225" t="s">
        <v>579</v>
      </c>
      <c r="I16" s="225" t="s">
        <v>580</v>
      </c>
      <c r="J16" s="225" t="s">
        <v>581</v>
      </c>
      <c r="K16" s="225" t="s">
        <v>582</v>
      </c>
      <c r="L16" s="225" t="s">
        <v>583</v>
      </c>
      <c r="M16" s="225" t="s">
        <v>584</v>
      </c>
      <c r="N16" s="225" t="s">
        <v>585</v>
      </c>
      <c r="O16" s="225" t="s">
        <v>586</v>
      </c>
      <c r="P16" s="225">
        <v>7</v>
      </c>
      <c r="Q16" s="194">
        <v>8</v>
      </c>
      <c r="R16" s="222" t="s">
        <v>805</v>
      </c>
      <c r="S16" s="222" t="s">
        <v>806</v>
      </c>
      <c r="Y16" s="73"/>
      <c r="Z16" s="96"/>
      <c r="AA16" s="96"/>
      <c r="AB16" s="73"/>
      <c r="AC16" s="73"/>
      <c r="AD16" s="73"/>
      <c r="AE16" s="73"/>
    </row>
    <row r="18" spans="1:18" ht="15" customHeight="1">
      <c r="A18" s="451" t="s">
        <v>1307</v>
      </c>
    </row>
    <row r="19" spans="1:18" ht="15" customHeight="1">
      <c r="A19" s="222" t="s">
        <v>1306</v>
      </c>
    </row>
    <row r="20" spans="1:18" ht="15" customHeight="1">
      <c r="B20" s="222">
        <v>1</v>
      </c>
      <c r="C20" s="222">
        <v>2</v>
      </c>
      <c r="D20" s="222">
        <v>3</v>
      </c>
      <c r="E20" s="222">
        <v>4</v>
      </c>
      <c r="F20" s="222">
        <v>5</v>
      </c>
      <c r="G20" s="222">
        <v>6</v>
      </c>
      <c r="H20" s="222">
        <v>7</v>
      </c>
      <c r="I20" s="222">
        <v>8</v>
      </c>
      <c r="J20" s="222">
        <v>9</v>
      </c>
      <c r="K20" s="222">
        <v>10</v>
      </c>
      <c r="L20" s="222">
        <v>11</v>
      </c>
      <c r="M20" s="222">
        <v>12</v>
      </c>
      <c r="N20" s="222">
        <v>13</v>
      </c>
      <c r="O20" s="222">
        <v>14</v>
      </c>
      <c r="P20" s="222">
        <v>15</v>
      </c>
      <c r="Q20" s="222">
        <v>16</v>
      </c>
    </row>
    <row r="21" spans="1:18" ht="15" customHeight="1">
      <c r="A21" s="427" t="s">
        <v>1213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4"/>
    </row>
    <row r="22" spans="1:18" ht="15" customHeight="1">
      <c r="A22" s="428" t="s">
        <v>1285</v>
      </c>
      <c r="B22" s="73">
        <v>70</v>
      </c>
      <c r="C22" s="73" t="s">
        <v>1286</v>
      </c>
      <c r="D22" s="73">
        <v>75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183"/>
    </row>
    <row r="23" spans="1:18" ht="15" customHeight="1">
      <c r="A23" s="428" t="s">
        <v>1277</v>
      </c>
      <c r="B23" s="73">
        <f>$B$22-[1]Weather!B46</f>
        <v>37</v>
      </c>
      <c r="C23" s="73">
        <f>$B$22-[1]Weather!C46</f>
        <v>41</v>
      </c>
      <c r="D23" s="73">
        <f>$B$22-[1]Weather!D46</f>
        <v>34</v>
      </c>
      <c r="E23" s="73">
        <f>$B$22-[1]Weather!E46</f>
        <v>32</v>
      </c>
      <c r="F23" s="73">
        <f>$B$22-[1]Weather!F46</f>
        <v>35</v>
      </c>
      <c r="G23" s="73">
        <f>$B$22-[1]Weather!G46</f>
        <v>25</v>
      </c>
      <c r="H23" s="73">
        <f>$B$22-[1]Weather!H46</f>
        <v>26</v>
      </c>
      <c r="I23" s="73">
        <f>$B$22-[1]Weather!I46</f>
        <v>33</v>
      </c>
      <c r="J23" s="73">
        <f>$B$22-[1]Weather!J46</f>
        <v>29</v>
      </c>
      <c r="K23" s="73">
        <f>$B$22-[1]Weather!K46</f>
        <v>35</v>
      </c>
      <c r="L23" s="73">
        <f>$B$22-[1]Weather!L46</f>
        <v>38</v>
      </c>
      <c r="M23" s="73">
        <f>$B$22-[1]Weather!M46</f>
        <v>38</v>
      </c>
      <c r="N23" s="73">
        <f>$B$22-[1]Weather!N46</f>
        <v>38</v>
      </c>
      <c r="O23" s="73">
        <f>$B$22-[1]Weather!O46</f>
        <v>46</v>
      </c>
      <c r="P23" s="73">
        <f>$B$22-[1]Weather!P46</f>
        <v>35</v>
      </c>
      <c r="Q23" s="73">
        <f>$B$22-[1]Weather!Q46</f>
        <v>46</v>
      </c>
      <c r="R23" s="73"/>
    </row>
    <row r="24" spans="1:18" ht="15" customHeight="1">
      <c r="A24" s="428" t="s">
        <v>1278</v>
      </c>
      <c r="B24" s="73">
        <f>[1]Weather!B47-$D$22</f>
        <v>-6</v>
      </c>
      <c r="C24" s="73">
        <f>[1]Weather!C47-$D$22</f>
        <v>21</v>
      </c>
      <c r="D24" s="73">
        <f>[1]Weather!D47-$D$22</f>
        <v>5</v>
      </c>
      <c r="E24" s="73">
        <f>[1]Weather!E47-$D$22</f>
        <v>14</v>
      </c>
      <c r="F24" s="73">
        <f>[1]Weather!F47-$D$22</f>
        <v>7</v>
      </c>
      <c r="G24" s="73">
        <f>[1]Weather!G47-$D$22</f>
        <v>6</v>
      </c>
      <c r="H24" s="73">
        <f>[1]Weather!H47-$D$22</f>
        <v>7</v>
      </c>
      <c r="I24" s="73">
        <f>[1]Weather!I47-$D$22</f>
        <v>16</v>
      </c>
      <c r="J24" s="73">
        <f>[1]Weather!J47-$D$22</f>
        <v>20</v>
      </c>
      <c r="K24" s="73">
        <f>[1]Weather!K47-$D$22</f>
        <v>24</v>
      </c>
      <c r="L24" s="73">
        <f>[1]Weather!L47-$D$22</f>
        <v>27</v>
      </c>
      <c r="M24" s="73">
        <f>[1]Weather!M47-$D$22</f>
        <v>22</v>
      </c>
      <c r="N24" s="73">
        <f>[1]Weather!N47-$D$22</f>
        <v>26</v>
      </c>
      <c r="O24" s="73">
        <f>[1]Weather!O47-$D$22</f>
        <v>23</v>
      </c>
      <c r="P24" s="73">
        <f>[1]Weather!P47-$D$22</f>
        <v>35</v>
      </c>
      <c r="Q24" s="73">
        <f>[1]Weather!Q47-$D$22</f>
        <v>6</v>
      </c>
      <c r="R24" s="73"/>
    </row>
    <row r="25" spans="1:18" ht="15" customHeight="1">
      <c r="A25" s="429" t="s">
        <v>1287</v>
      </c>
      <c r="B25" s="87">
        <f>[1]Weather!B49</f>
        <v>5</v>
      </c>
      <c r="C25" s="87">
        <f>[1]Weather!C49</f>
        <v>0</v>
      </c>
      <c r="D25" s="87">
        <f>[1]Weather!D49</f>
        <v>1</v>
      </c>
      <c r="E25" s="87">
        <f>[1]Weather!E49</f>
        <v>1</v>
      </c>
      <c r="F25" s="87">
        <f>[1]Weather!F49</f>
        <v>-7</v>
      </c>
      <c r="G25" s="87">
        <f>[1]Weather!G49</f>
        <v>8</v>
      </c>
      <c r="H25" s="87">
        <f>[1]Weather!H49</f>
        <v>33</v>
      </c>
      <c r="I25" s="87">
        <f>[1]Weather!I49</f>
        <v>19</v>
      </c>
      <c r="J25" s="87">
        <f>[1]Weather!J49</f>
        <v>7</v>
      </c>
      <c r="K25" s="87">
        <f>[1]Weather!K49</f>
        <v>-9</v>
      </c>
      <c r="L25" s="87">
        <f>[1]Weather!L49</f>
        <v>-4</v>
      </c>
      <c r="M25" s="87">
        <f>[1]Weather!M49</f>
        <v>-1</v>
      </c>
      <c r="N25" s="87">
        <f>[1]Weather!N49</f>
        <v>3</v>
      </c>
      <c r="O25" s="87">
        <f>[1]Weather!O49</f>
        <v>-18</v>
      </c>
      <c r="P25" s="87">
        <f>[1]Weather!P49</f>
        <v>-11</v>
      </c>
      <c r="Q25" s="87">
        <f>[1]Weather!Q49</f>
        <v>-28</v>
      </c>
      <c r="R25" s="74"/>
    </row>
    <row r="27" spans="1:18" ht="15" customHeight="1">
      <c r="A27" s="427" t="s">
        <v>1241</v>
      </c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4"/>
    </row>
    <row r="28" spans="1:18" ht="15" customHeight="1">
      <c r="A28" s="428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183"/>
    </row>
    <row r="29" spans="1:18" ht="15" customHeight="1">
      <c r="A29" s="430" t="s">
        <v>240</v>
      </c>
      <c r="B29" s="73">
        <f>(1/UA!AC6)*UA!$B$6*UA!$C$6*10.7639+(1/UA!AC9*UA!$B$9*UA!$C$9*10.7639)</f>
        <v>74.70548308747999</v>
      </c>
      <c r="C29" s="73">
        <f>(1/UA!AD6)*UA!$B$6*UA!$C$6*10.7639+(1/UA!AD9*UA!$B$9*UA!$C$9*10.7639)</f>
        <v>74.70548308747999</v>
      </c>
      <c r="D29" s="73">
        <f>(1/UA!AE6)*UA!$B$6*UA!$C$6*10.7639+(1/UA!AE9*UA!$B$9*UA!$C$9*10.7639)</f>
        <v>74.70548308747999</v>
      </c>
      <c r="E29" s="73">
        <f>(1/UA!AF6)*UA!$B$6*UA!$C$6*10.7639+(1/UA!AF9*UA!$B$9*UA!$C$9*10.7639)</f>
        <v>74.70548308747999</v>
      </c>
      <c r="F29" s="73">
        <f>(1/UA!AG6)*UA!$B$6*UA!$C$6*10.7639+(1/UA!AG9*UA!$B$9*UA!$C$9*10.7639)</f>
        <v>74.70548308747999</v>
      </c>
      <c r="G29" s="73">
        <f>(1/UA!AH6)*UA!$B$6*UA!$C$6*10.7639+(1/UA!AH9*UA!$B$9*UA!$C$9*10.7639)</f>
        <v>93.016866156199995</v>
      </c>
      <c r="H29" s="73">
        <f>(1/UA!AI6)*UA!$B$6*UA!$C$6*10.7639+(1/UA!AI9*UA!$B$9*UA!$C$9*10.7639)</f>
        <v>93.016866156199995</v>
      </c>
      <c r="I29" s="73">
        <f>(1/UA!AJ6)*UA!$B$6*UA!$C$6*10.7639+(1/UA!AJ9*UA!$B$9*UA!$C$9*10.7639)</f>
        <v>74.70548308747999</v>
      </c>
      <c r="J29" s="73">
        <f>(1/UA!AK6)*UA!$B$6*UA!$C$6*10.7639+(1/UA!AK9*UA!$B$9*UA!$C$9*10.7639)</f>
        <v>74.70548308747999</v>
      </c>
      <c r="K29" s="73">
        <f>(1/UA!AL6)*UA!$B$6*UA!$C$6*10.7639+(1/UA!AL9*UA!$B$9*UA!$C$9*10.7639)</f>
        <v>74.70548308747999</v>
      </c>
      <c r="L29" s="73">
        <f>(1/UA!AM6)*UA!$B$6*UA!$C$6*10.7639+(1/UA!AM9*UA!$B$9*UA!$C$9*10.7639)</f>
        <v>74.70548308747999</v>
      </c>
      <c r="M29" s="73">
        <f>(1/UA!AN6)*UA!$B$6*UA!$C$6*10.7639+(1/UA!AN9*UA!$B$9*UA!$C$9*10.7639)</f>
        <v>74.70548308747999</v>
      </c>
      <c r="N29" s="73">
        <f>(1/UA!AO6)*UA!$B$6*UA!$C$6*10.7639+(1/UA!AO9*UA!$B$9*UA!$C$9*10.7639)</f>
        <v>74.70548308747999</v>
      </c>
      <c r="O29" s="73">
        <f>(1/UA!AP6)*UA!$B$6*UA!$C$6*10.7639+(1/UA!AP9*UA!$B$9*UA!$C$9*10.7639)</f>
        <v>74.70548308747999</v>
      </c>
      <c r="P29" s="73">
        <f>(1/UA!AQ6)*UA!$B$6*UA!$C$6*10.7639+(1/UA!AQ9*UA!$B$9*UA!$C$9*10.7639)</f>
        <v>74.70548308747999</v>
      </c>
      <c r="Q29" s="73">
        <f>(1/UA!AR6)*UA!$B$6*UA!$C$6*10.7639+(1/UA!AR9*UA!$B$9*UA!$C$9*10.7639)</f>
        <v>74.70548308747999</v>
      </c>
      <c r="R29" s="73"/>
    </row>
    <row r="30" spans="1:18" ht="15" customHeight="1">
      <c r="A30" s="430" t="s">
        <v>242</v>
      </c>
      <c r="B30" s="73">
        <f>(1/UA!AC7)*UA!$B$7*UA!$C$7*10.7639</f>
        <v>172.79417836799999</v>
      </c>
      <c r="C30" s="73">
        <f>(1/UA!AD7)*UA!$B$7*UA!$C$7*10.7639</f>
        <v>172.79417836799999</v>
      </c>
      <c r="D30" s="73">
        <f>(1/UA!AE7)*UA!$B$7*UA!$C$7*10.7639</f>
        <v>172.79417836799999</v>
      </c>
      <c r="E30" s="73">
        <f>(1/UA!AF7)*UA!$B$7*UA!$C$7*10.7639</f>
        <v>172.79417836799999</v>
      </c>
      <c r="F30" s="73">
        <f>(1/UA!AG7)*UA!$B$7*UA!$C$7*10.7639</f>
        <v>172.79417836799999</v>
      </c>
      <c r="G30" s="73">
        <f>(1/UA!AH7)*UA!$B$7*UA!$C$7*10.7639</f>
        <v>172.79417836799999</v>
      </c>
      <c r="H30" s="73">
        <f>(1/UA!AI7)*UA!$B$7*UA!$C$7*10.7639</f>
        <v>172.79417836799999</v>
      </c>
      <c r="I30" s="73">
        <f>(1/UA!AJ7)*UA!$B$7*UA!$C$7*10.7639</f>
        <v>172.79417836799999</v>
      </c>
      <c r="J30" s="73">
        <f>(1/UA!AK7)*UA!$B$7*UA!$C$7*10.7639</f>
        <v>172.79417836799999</v>
      </c>
      <c r="K30" s="73">
        <f>(1/UA!AL7)*UA!$B$7*UA!$C$7*10.7639</f>
        <v>172.79417836799999</v>
      </c>
      <c r="L30" s="73">
        <f>(1/UA!AM7)*UA!$B$7*UA!$C$7*10.7639</f>
        <v>172.79417836799999</v>
      </c>
      <c r="M30" s="73">
        <f>(1/UA!AN7)*UA!$B$7*UA!$C$7*10.7639</f>
        <v>172.79417836799999</v>
      </c>
      <c r="N30" s="73">
        <f>(1/UA!AO7)*UA!$B$7*UA!$C$7*10.7639</f>
        <v>172.79417836799999</v>
      </c>
      <c r="O30" s="73">
        <f>(1/UA!AP7)*UA!$B$7*UA!$C$7*10.7639</f>
        <v>172.79417836799999</v>
      </c>
      <c r="P30" s="73">
        <f>(1/UA!AQ7)*UA!$B$7*UA!$C$7*10.7639</f>
        <v>172.79417836799999</v>
      </c>
      <c r="Q30" s="73">
        <f>(1/UA!AR7)*UA!$B$7*UA!$C$7*10.7639</f>
        <v>172.79417836799999</v>
      </c>
      <c r="R30" s="183"/>
    </row>
    <row r="31" spans="1:18" ht="15" customHeight="1">
      <c r="A31" s="430" t="s">
        <v>243</v>
      </c>
      <c r="B31" s="73">
        <f>(1/UA!AC10)*UA!$B$8*UA!$C$8*10.7639+(Geometry!$B$11*UA!$M$59)</f>
        <v>132.72</v>
      </c>
      <c r="C31" s="73">
        <f>(1/UA!AD10)*UA!$B$8*UA!$C$8*10.7639+(Geometry!$B$11*UA!$M$59)</f>
        <v>132.72</v>
      </c>
      <c r="D31" s="73">
        <f>(1/UA!AE10)*UA!$B$8*UA!$C$8*10.7639+(Geometry!$B$11*UA!$M$59)</f>
        <v>132.72</v>
      </c>
      <c r="E31" s="73">
        <f>(1/UA!AF10)*UA!$B$8*UA!$C$8*10.7639+(Geometry!$B$11*UA!$M$59)</f>
        <v>132.72</v>
      </c>
      <c r="F31" s="73">
        <f>(1/UA!AG10)*UA!$B$8*UA!$C$8*10.7639+(Geometry!$B$11*UA!$M$59)</f>
        <v>132.72</v>
      </c>
      <c r="G31" s="73">
        <f>(1/UA!AH10)*UA!$B$8*UA!$C$8*10.7639+(Geometry!$B$11*UA!$M$59)</f>
        <v>132.72</v>
      </c>
      <c r="H31" s="73">
        <f>(1/UA!AI10)*UA!$B$8*UA!$C$8*10.7639+(Geometry!$B$11*UA!$M$59)</f>
        <v>132.72</v>
      </c>
      <c r="I31" s="73">
        <f>(1/UA!AJ10)*UA!$B$8*UA!$C$8*10.7639+(Geometry!$B$11*UA!$M$59)</f>
        <v>132.72</v>
      </c>
      <c r="J31" s="73">
        <f>(1/UA!AK10)*UA!$B$8*UA!$C$8*10.7639+(Geometry!$B$11*UA!$M$59)</f>
        <v>132.72</v>
      </c>
      <c r="K31" s="73">
        <f>(1/UA!AL10)*UA!$B$8*UA!$C$8*10.7639+(Geometry!$B$11*UA!$M$59)</f>
        <v>132.72</v>
      </c>
      <c r="L31" s="73">
        <f>(1/UA!AM10)*UA!$B$8*UA!$C$8*10.7639+(Geometry!$B$11*UA!$M$59)</f>
        <v>132.72</v>
      </c>
      <c r="M31" s="73">
        <f>(1/UA!AN10)*UA!$B$8*UA!$C$8*10.7639+(Geometry!$B$11*UA!$M$59)</f>
        <v>132.72</v>
      </c>
      <c r="N31" s="73">
        <f>(1/UA!AO10)*UA!$B$8*UA!$C$8*10.7639+(Geometry!$B$11*UA!$M$59)</f>
        <v>132.72</v>
      </c>
      <c r="O31" s="73">
        <f>(1/UA!AP10)*UA!$B$8*UA!$C$8*10.7639+(Geometry!$B$11*UA!$M$59)</f>
        <v>132.72</v>
      </c>
      <c r="P31" s="73">
        <f>(1/UA!AQ10)*UA!$B$8*UA!$C$8*10.7639+(Geometry!$B$11*UA!$M$59)</f>
        <v>132.72</v>
      </c>
      <c r="Q31" s="73">
        <f>(1/UA!AR10)*UA!$B$8*UA!$C$8*10.7639+(Geometry!$B$11*UA!$M$59)</f>
        <v>132.72</v>
      </c>
      <c r="R31" s="183"/>
    </row>
    <row r="32" spans="1:18" ht="15" customHeight="1">
      <c r="A32" s="431" t="s">
        <v>1214</v>
      </c>
      <c r="B32" s="73">
        <f>(1/UA!AC17+UA!$B$20)*planareaSI*10.7639</f>
        <v>43.748526062499998</v>
      </c>
      <c r="C32" s="73">
        <f>(1/UA!AD17+UA!$B$20)*planareaSI*10.7639</f>
        <v>43.748526062499998</v>
      </c>
      <c r="D32" s="73">
        <f>(1/UA!AE17+UA!$B$20)*planareaSI*10.7639</f>
        <v>51.248273387499999</v>
      </c>
      <c r="E32" s="73">
        <f>(1/UA!AF17+UA!$B$20)*planareaSI*10.7639</f>
        <v>43.748526062499998</v>
      </c>
      <c r="F32" s="73">
        <f>(1/UA!AG17+UA!$B$20)*planareaSI*10.7639</f>
        <v>51.248273387499999</v>
      </c>
      <c r="G32" s="73">
        <f>(1/UA!AH17+UA!$B$20)*planareaSI*10.7639</f>
        <v>51.248273387499999</v>
      </c>
      <c r="H32" s="73">
        <f>(1/UA!AI17+UA!$B$20)*planareaSI*10.7639</f>
        <v>51.248273387499999</v>
      </c>
      <c r="I32" s="73">
        <f>(1/UA!AJ17+UA!$B$20)*planareaSI*10.7639</f>
        <v>43.748526062499998</v>
      </c>
      <c r="J32" s="73">
        <f>(1/UA!AK17+UA!$B$20)*planareaSI*10.7639</f>
        <v>43.748526062499998</v>
      </c>
      <c r="K32" s="73">
        <f>(1/UA!AL17+UA!$B$20)*planareaSI*10.7639</f>
        <v>43.748526062499998</v>
      </c>
      <c r="L32" s="73">
        <f>(1/UA!AM17+UA!$B$20)*planareaSI*10.7639</f>
        <v>43.748526062499998</v>
      </c>
      <c r="M32" s="73">
        <f>(1/UA!AN17+UA!$B$20)*planareaSI*10.7639</f>
        <v>43.748526062499998</v>
      </c>
      <c r="N32" s="73">
        <f>(1/UA!AO17+UA!$B$20)*planareaSI*10.7639</f>
        <v>43.748526062499998</v>
      </c>
      <c r="O32" s="73">
        <f>(1/UA!AP17+UA!$B$20)*planareaSI*10.7639</f>
        <v>43.748526062499998</v>
      </c>
      <c r="P32" s="73">
        <f>(1/UA!AQ17+UA!$B$20)*planareaSI*10.7639</f>
        <v>43.748526062499998</v>
      </c>
      <c r="Q32" s="73">
        <f>(1/UA!AR17+UA!$B$20)*planareaSI*10.7639</f>
        <v>43.748526062499998</v>
      </c>
      <c r="R32" s="73"/>
    </row>
    <row r="33" spans="1:18" ht="15" customHeight="1">
      <c r="A33" s="431" t="s">
        <v>1227</v>
      </c>
      <c r="B33" s="73">
        <f>SUM(B29:B32)</f>
        <v>423.96818751797997</v>
      </c>
      <c r="C33" s="73">
        <f t="shared" ref="C33:Q33" si="0">SUM(C29:C32)</f>
        <v>423.96818751797997</v>
      </c>
      <c r="D33" s="73">
        <f t="shared" si="0"/>
        <v>431.46793484297996</v>
      </c>
      <c r="E33" s="73">
        <f t="shared" si="0"/>
        <v>423.96818751797997</v>
      </c>
      <c r="F33" s="73">
        <f t="shared" si="0"/>
        <v>431.46793484297996</v>
      </c>
      <c r="G33" s="73">
        <f t="shared" si="0"/>
        <v>449.77931791169993</v>
      </c>
      <c r="H33" s="73">
        <f t="shared" si="0"/>
        <v>449.77931791169993</v>
      </c>
      <c r="I33" s="73">
        <f t="shared" si="0"/>
        <v>423.96818751797997</v>
      </c>
      <c r="J33" s="73">
        <f t="shared" si="0"/>
        <v>423.96818751797997</v>
      </c>
      <c r="K33" s="73">
        <f t="shared" si="0"/>
        <v>423.96818751797997</v>
      </c>
      <c r="L33" s="73">
        <f t="shared" si="0"/>
        <v>423.96818751797997</v>
      </c>
      <c r="M33" s="73">
        <f t="shared" si="0"/>
        <v>423.96818751797997</v>
      </c>
      <c r="N33" s="73">
        <f t="shared" si="0"/>
        <v>423.96818751797997</v>
      </c>
      <c r="O33" s="73">
        <f t="shared" si="0"/>
        <v>423.96818751797997</v>
      </c>
      <c r="P33" s="73">
        <f t="shared" si="0"/>
        <v>423.96818751797997</v>
      </c>
      <c r="Q33" s="73">
        <f t="shared" si="0"/>
        <v>423.96818751797997</v>
      </c>
      <c r="R33" s="183"/>
    </row>
    <row r="34" spans="1:18" ht="15" customHeight="1">
      <c r="A34" s="432" t="s">
        <v>1264</v>
      </c>
      <c r="B34" s="441">
        <f>B33*B23</f>
        <v>15686.822938165258</v>
      </c>
      <c r="C34" s="441">
        <f t="shared" ref="C34:Q34" si="1">C33*C23</f>
        <v>17382.695688237178</v>
      </c>
      <c r="D34" s="441">
        <f t="shared" si="1"/>
        <v>14669.909784661319</v>
      </c>
      <c r="E34" s="441">
        <f t="shared" si="1"/>
        <v>13566.982000575359</v>
      </c>
      <c r="F34" s="441">
        <f t="shared" si="1"/>
        <v>15101.377719504299</v>
      </c>
      <c r="G34" s="441">
        <f t="shared" si="1"/>
        <v>11244.482947792498</v>
      </c>
      <c r="H34" s="441">
        <f t="shared" si="1"/>
        <v>11694.262265704197</v>
      </c>
      <c r="I34" s="441">
        <f t="shared" si="1"/>
        <v>13990.950188093339</v>
      </c>
      <c r="J34" s="441">
        <f t="shared" si="1"/>
        <v>12295.077438021419</v>
      </c>
      <c r="K34" s="441">
        <f t="shared" si="1"/>
        <v>14838.886563129299</v>
      </c>
      <c r="L34" s="441">
        <f t="shared" si="1"/>
        <v>16110.791125683239</v>
      </c>
      <c r="M34" s="441">
        <f t="shared" si="1"/>
        <v>16110.791125683239</v>
      </c>
      <c r="N34" s="441">
        <f t="shared" si="1"/>
        <v>16110.791125683239</v>
      </c>
      <c r="O34" s="441">
        <f t="shared" si="1"/>
        <v>19502.536625827077</v>
      </c>
      <c r="P34" s="441">
        <f t="shared" si="1"/>
        <v>14838.886563129299</v>
      </c>
      <c r="Q34" s="441">
        <f t="shared" si="1"/>
        <v>19502.536625827077</v>
      </c>
      <c r="R34" s="442"/>
    </row>
    <row r="37" spans="1:18" ht="15" customHeight="1">
      <c r="A37" s="427" t="s">
        <v>1215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4"/>
    </row>
    <row r="38" spans="1:18" ht="15" customHeight="1">
      <c r="A38" s="428" t="s">
        <v>1289</v>
      </c>
      <c r="B38" s="73">
        <f>Fans!B10*2.11888</f>
        <v>68.403221877880583</v>
      </c>
      <c r="C38" s="73">
        <f>Fans!C10*2.11888</f>
        <v>81.484876256502332</v>
      </c>
      <c r="D38" s="73">
        <f>Fans!D10*2.11888</f>
        <v>72.318819106855798</v>
      </c>
      <c r="E38" s="73">
        <f>Fans!E10*2.11888</f>
        <v>83.211298671095946</v>
      </c>
      <c r="F38" s="73">
        <f>Fans!F10*2.11888</f>
        <v>76.09203098205009</v>
      </c>
      <c r="G38" s="73">
        <f>Fans!G10*2.11888</f>
        <v>92.822310051307824</v>
      </c>
      <c r="H38" s="73">
        <f>Fans!H10*2.11888</f>
        <v>98.5177242025445</v>
      </c>
      <c r="I38" s="73">
        <f>Fans!I10*2.11888</f>
        <v>103.64359693865751</v>
      </c>
      <c r="J38" s="73">
        <f>Fans!J10*2.11888</f>
        <v>97.147265172403166</v>
      </c>
      <c r="K38" s="73">
        <f>Fans!K10*2.11888</f>
        <v>92.822310051307824</v>
      </c>
      <c r="L38" s="73">
        <f>Fans!L10*2.11888</f>
        <v>79.722857503463473</v>
      </c>
      <c r="M38" s="73">
        <f>Fans!M10*2.11888</f>
        <v>77.925242411979397</v>
      </c>
      <c r="N38" s="73">
        <f>Fans!N10*2.11888</f>
        <v>88.176987884205417</v>
      </c>
      <c r="O38" s="73">
        <f>Fans!O10*2.11888</f>
        <v>66.392028755725136</v>
      </c>
      <c r="P38" s="73">
        <f>Fans!P10*2.11888</f>
        <v>86.557354484947481</v>
      </c>
      <c r="Q38" s="73">
        <f>Fans!Q10*2.11888</f>
        <v>89.761024945018121</v>
      </c>
      <c r="R38" s="73"/>
    </row>
    <row r="39" spans="1:18" ht="15" customHeight="1">
      <c r="A39" s="428" t="s">
        <v>1288</v>
      </c>
      <c r="B39" s="73">
        <f>2.11888*Fans!B9</f>
        <v>83.266143292747572</v>
      </c>
      <c r="C39" s="73">
        <f>2.11888*Fans!C9</f>
        <v>72.857875381154116</v>
      </c>
      <c r="D39" s="73">
        <f>2.11888*Fans!D9</f>
        <v>80.292352460863739</v>
      </c>
      <c r="E39" s="73">
        <f>2.11888*Fans!E9</f>
        <v>71.3709799652122</v>
      </c>
      <c r="F39" s="73">
        <f>2.11888*Fans!F9</f>
        <v>77.318561628979879</v>
      </c>
      <c r="G39" s="73">
        <f>2.11888*Fans!G9</f>
        <v>62.449607469560675</v>
      </c>
      <c r="H39" s="73">
        <f>2.11888*Fans!H9</f>
        <v>56.502025805792989</v>
      </c>
      <c r="I39" s="73">
        <f>2.11888*Fans!I9</f>
        <v>50.554444142025311</v>
      </c>
      <c r="J39" s="73">
        <f>2.11888*Fans!J9</f>
        <v>57.988921221734913</v>
      </c>
      <c r="K39" s="73">
        <f>2.11888*Fans!K9</f>
        <v>62.449607469560675</v>
      </c>
      <c r="L39" s="73">
        <f>2.11888*Fans!L9</f>
        <v>74.344770797096032</v>
      </c>
      <c r="M39" s="73">
        <f>2.11888*Fans!M9</f>
        <v>75.831666213037963</v>
      </c>
      <c r="N39" s="73">
        <f>2.11888*Fans!N9</f>
        <v>66.910293717386438</v>
      </c>
      <c r="O39" s="73">
        <f>2.11888*Fans!O9</f>
        <v>84.753038708689488</v>
      </c>
      <c r="P39" s="73">
        <f>2.11888*Fans!P9</f>
        <v>68.397189133328368</v>
      </c>
      <c r="Q39" s="73">
        <f>2.11888*Fans!Q9</f>
        <v>65.423398301444507</v>
      </c>
      <c r="R39" s="183"/>
    </row>
    <row r="40" spans="1:18" ht="15" customHeight="1">
      <c r="A40" s="428" t="s">
        <v>1228</v>
      </c>
      <c r="B40" s="73">
        <f>B39/(B39+B38)</f>
        <v>0.54899777024234975</v>
      </c>
      <c r="C40" s="73">
        <f>C39/(C39+C38)</f>
        <v>0.47205245862273648</v>
      </c>
      <c r="D40" s="73">
        <f t="shared" ref="D40:Q40" si="2">D39/(D39+D38)</f>
        <v>0.52612368829915501</v>
      </c>
      <c r="E40" s="73">
        <f t="shared" si="2"/>
        <v>0.46170221188891597</v>
      </c>
      <c r="F40" s="73">
        <f t="shared" si="2"/>
        <v>0.5039975422363423</v>
      </c>
      <c r="G40" s="73">
        <f t="shared" si="2"/>
        <v>0.40219511980437461</v>
      </c>
      <c r="H40" s="73">
        <f t="shared" si="2"/>
        <v>0.36448275656975393</v>
      </c>
      <c r="I40" s="73">
        <f t="shared" si="2"/>
        <v>0.32785399728634118</v>
      </c>
      <c r="J40" s="73">
        <f t="shared" si="2"/>
        <v>0.37379364911297103</v>
      </c>
      <c r="K40" s="73">
        <f t="shared" si="2"/>
        <v>0.40219511980437461</v>
      </c>
      <c r="L40" s="73">
        <f t="shared" si="2"/>
        <v>0.48254634420711756</v>
      </c>
      <c r="M40" s="73">
        <f t="shared" si="2"/>
        <v>0.49319192803216649</v>
      </c>
      <c r="N40" s="73">
        <f t="shared" si="2"/>
        <v>0.4314363694198613</v>
      </c>
      <c r="O40" s="73">
        <f t="shared" si="2"/>
        <v>0.56073969286919412</v>
      </c>
      <c r="P40" s="73">
        <f t="shared" si="2"/>
        <v>0.44140163648135433</v>
      </c>
      <c r="Q40" s="73">
        <f t="shared" si="2"/>
        <v>0.42158482747678611</v>
      </c>
      <c r="R40" s="73"/>
    </row>
    <row r="41" spans="1:18" ht="15" customHeight="1">
      <c r="A41" s="428" t="s">
        <v>1229</v>
      </c>
      <c r="B41" s="73">
        <f>(B38)+(HVAC!B40*HVAC!B39)</f>
        <v>114.11614888227899</v>
      </c>
      <c r="C41" s="73">
        <f>(C38)+(HVAC!C40*HVAC!C39)</f>
        <v>115.87761546020508</v>
      </c>
      <c r="D41" s="73">
        <f>(D38)+(HVAC!D40*HVAC!D39)</f>
        <v>114.56252772578117</v>
      </c>
      <c r="E41" s="73">
        <f>(E38)+(HVAC!E40*HVAC!E39)</f>
        <v>116.16343798571393</v>
      </c>
      <c r="F41" s="73">
        <f>(F38)+(HVAC!F40*HVAC!F39)</f>
        <v>115.06039601230512</v>
      </c>
      <c r="G41" s="73">
        <f>(G38)+(HVAC!G40*HVAC!G39)</f>
        <v>117.93923740926394</v>
      </c>
      <c r="H41" s="73">
        <f>(H38)+(HVAC!H40*HVAC!H39)</f>
        <v>119.11173832001531</v>
      </c>
      <c r="I41" s="73">
        <f>(I38)+(HVAC!I40*HVAC!I39)</f>
        <v>120.21807353120957</v>
      </c>
      <c r="J41" s="73">
        <f>(J38)+(HVAC!J40*HVAC!J39)</f>
        <v>118.82315564400007</v>
      </c>
      <c r="K41" s="73">
        <f>(K38)+(HVAC!K40*HVAC!K39)</f>
        <v>117.93923740926394</v>
      </c>
      <c r="L41" s="73">
        <f>(L38)+(HVAC!L40*HVAC!L39)</f>
        <v>115.59765486251824</v>
      </c>
      <c r="M41" s="73">
        <f>(M38)+(HVAC!M40*HVAC!M39)</f>
        <v>115.32480807747929</v>
      </c>
      <c r="N41" s="73">
        <f>(N38)+(HVAC!N40*HVAC!N39)</f>
        <v>117.04452208245118</v>
      </c>
      <c r="O41" s="73">
        <f>(O38)+(HVAC!O40*HVAC!O39)</f>
        <v>113.9164216509666</v>
      </c>
      <c r="P41" s="73">
        <f>(P38)+(HVAC!P40*HVAC!P39)</f>
        <v>116.74798569912333</v>
      </c>
      <c r="Q41" s="73">
        <f>(Q38)+(HVAC!Q40*HVAC!Q39)</f>
        <v>117.34253703087766</v>
      </c>
      <c r="R41" s="73"/>
    </row>
    <row r="42" spans="1:18" ht="15" customHeight="1">
      <c r="A42" s="428" t="s">
        <v>1230</v>
      </c>
      <c r="B42" s="73">
        <f t="shared" ref="B42:Q42" si="3">B41*60/(V_houseSI*35.3147)</f>
        <v>0.26590170613346559</v>
      </c>
      <c r="C42" s="73">
        <f t="shared" si="3"/>
        <v>0.27000609427620598</v>
      </c>
      <c r="D42" s="73">
        <f t="shared" si="3"/>
        <v>0.26694181217657748</v>
      </c>
      <c r="E42" s="73">
        <f t="shared" si="3"/>
        <v>0.27067208851040137</v>
      </c>
      <c r="F42" s="73">
        <f t="shared" si="3"/>
        <v>0.26810189362090514</v>
      </c>
      <c r="G42" s="73">
        <f t="shared" si="3"/>
        <v>0.27480987357498393</v>
      </c>
      <c r="H42" s="73">
        <f t="shared" si="3"/>
        <v>0.2775419145320745</v>
      </c>
      <c r="I42" s="73">
        <f t="shared" si="3"/>
        <v>0.28011978298534268</v>
      </c>
      <c r="J42" s="73">
        <f t="shared" si="3"/>
        <v>0.27686948887922347</v>
      </c>
      <c r="K42" s="73">
        <f t="shared" si="3"/>
        <v>0.27480987357498393</v>
      </c>
      <c r="L42" s="73">
        <f t="shared" si="3"/>
        <v>0.2693537589029551</v>
      </c>
      <c r="M42" s="73">
        <f t="shared" si="3"/>
        <v>0.26871799940383523</v>
      </c>
      <c r="N42" s="73">
        <f t="shared" si="3"/>
        <v>0.27272509999794448</v>
      </c>
      <c r="O42" s="73">
        <f t="shared" si="3"/>
        <v>0.26543632229351438</v>
      </c>
      <c r="P42" s="73">
        <f t="shared" si="3"/>
        <v>0.2720341414348505</v>
      </c>
      <c r="Q42" s="73">
        <f t="shared" si="3"/>
        <v>0.27341950376126833</v>
      </c>
      <c r="R42" s="183"/>
    </row>
    <row r="43" spans="1:18" ht="15" customHeight="1">
      <c r="A43" s="428" t="s">
        <v>1231</v>
      </c>
      <c r="B43" s="439">
        <f>1.1*B41*B23</f>
        <v>4644.5272595087554</v>
      </c>
      <c r="C43" s="439">
        <f t="shared" ref="C43:Q43" si="4">1.1*C41*C23</f>
        <v>5226.0804572552497</v>
      </c>
      <c r="D43" s="439">
        <f t="shared" si="4"/>
        <v>4284.638536944216</v>
      </c>
      <c r="E43" s="439">
        <f t="shared" si="4"/>
        <v>4088.9530170971307</v>
      </c>
      <c r="F43" s="439">
        <f t="shared" si="4"/>
        <v>4429.8252464737479</v>
      </c>
      <c r="G43" s="439">
        <f t="shared" si="4"/>
        <v>3243.3290287547584</v>
      </c>
      <c r="H43" s="439">
        <f t="shared" si="4"/>
        <v>3406.5957159524382</v>
      </c>
      <c r="I43" s="439">
        <f t="shared" si="4"/>
        <v>4363.9160691829084</v>
      </c>
      <c r="J43" s="439">
        <f t="shared" si="4"/>
        <v>3790.4586650436027</v>
      </c>
      <c r="K43" s="439">
        <f t="shared" si="4"/>
        <v>4540.6606402566622</v>
      </c>
      <c r="L43" s="439">
        <f t="shared" si="4"/>
        <v>4831.9819732532633</v>
      </c>
      <c r="M43" s="439">
        <f t="shared" si="4"/>
        <v>4820.5769776386351</v>
      </c>
      <c r="N43" s="439">
        <f t="shared" si="4"/>
        <v>4892.4610230464596</v>
      </c>
      <c r="O43" s="439">
        <f t="shared" si="4"/>
        <v>5764.1709355389103</v>
      </c>
      <c r="P43" s="439">
        <f t="shared" si="4"/>
        <v>4494.7974494162481</v>
      </c>
      <c r="Q43" s="439">
        <f t="shared" si="4"/>
        <v>5937.5323737624112</v>
      </c>
      <c r="R43" s="440"/>
    </row>
    <row r="44" spans="1:18" ht="15" customHeight="1">
      <c r="A44" s="428" t="s">
        <v>1215</v>
      </c>
      <c r="B44" s="73">
        <f>2.11888*Fans!B9</f>
        <v>83.266143292747572</v>
      </c>
      <c r="C44" s="73">
        <f>2.11888*Fans!C9</f>
        <v>72.857875381154116</v>
      </c>
      <c r="D44" s="73">
        <f>2.11888*Fans!D9</f>
        <v>80.292352460863739</v>
      </c>
      <c r="E44" s="73">
        <f>2.11888*Fans!E9</f>
        <v>71.3709799652122</v>
      </c>
      <c r="F44" s="73">
        <f>2.11888*Fans!F9</f>
        <v>77.318561628979879</v>
      </c>
      <c r="G44" s="73">
        <f>2.11888*Fans!G9</f>
        <v>62.449607469560675</v>
      </c>
      <c r="H44" s="73">
        <f>2.11888*Fans!H9</f>
        <v>56.502025805792989</v>
      </c>
      <c r="I44" s="73">
        <f>2.11888*Fans!I9</f>
        <v>50.554444142025311</v>
      </c>
      <c r="J44" s="73">
        <f>2.11888*Fans!J9</f>
        <v>57.988921221734913</v>
      </c>
      <c r="K44" s="73">
        <f>2.11888*Fans!K9</f>
        <v>62.449607469560675</v>
      </c>
      <c r="L44" s="73">
        <f>2.11888*Fans!L9</f>
        <v>74.344770797096032</v>
      </c>
      <c r="M44" s="73">
        <f>2.11888*Fans!M9</f>
        <v>75.831666213037963</v>
      </c>
      <c r="N44" s="73">
        <f>2.11888*Fans!N9</f>
        <v>66.910293717386438</v>
      </c>
      <c r="O44" s="73">
        <f>2.11888*Fans!O9</f>
        <v>84.753038708689488</v>
      </c>
      <c r="P44" s="73">
        <f>2.11888*Fans!P9</f>
        <v>68.397189133328368</v>
      </c>
      <c r="Q44" s="73">
        <f>2.11888*Fans!Q9</f>
        <v>65.423398301444507</v>
      </c>
      <c r="R44" s="73"/>
    </row>
    <row r="45" spans="1:18" ht="15" customHeight="1">
      <c r="A45" s="428" t="s">
        <v>1228</v>
      </c>
      <c r="B45" s="73">
        <f>B44/(B44+B38)</f>
        <v>0.54899777024234975</v>
      </c>
      <c r="C45" s="73">
        <f t="shared" ref="C45:Q45" si="5">C44/(C44+C38)</f>
        <v>0.47205245862273648</v>
      </c>
      <c r="D45" s="73">
        <f t="shared" si="5"/>
        <v>0.52612368829915501</v>
      </c>
      <c r="E45" s="73">
        <f t="shared" si="5"/>
        <v>0.46170221188891597</v>
      </c>
      <c r="F45" s="73">
        <f t="shared" si="5"/>
        <v>0.5039975422363423</v>
      </c>
      <c r="G45" s="73">
        <f t="shared" si="5"/>
        <v>0.40219511980437461</v>
      </c>
      <c r="H45" s="73">
        <f t="shared" si="5"/>
        <v>0.36448275656975393</v>
      </c>
      <c r="I45" s="73">
        <f t="shared" si="5"/>
        <v>0.32785399728634118</v>
      </c>
      <c r="J45" s="73">
        <f t="shared" si="5"/>
        <v>0.37379364911297103</v>
      </c>
      <c r="K45" s="73">
        <f t="shared" si="5"/>
        <v>0.40219511980437461</v>
      </c>
      <c r="L45" s="73">
        <f t="shared" si="5"/>
        <v>0.48254634420711756</v>
      </c>
      <c r="M45" s="73">
        <f t="shared" si="5"/>
        <v>0.49319192803216649</v>
      </c>
      <c r="N45" s="73">
        <f t="shared" si="5"/>
        <v>0.4314363694198613</v>
      </c>
      <c r="O45" s="73">
        <f t="shared" si="5"/>
        <v>0.56073969286919412</v>
      </c>
      <c r="P45" s="73">
        <f t="shared" si="5"/>
        <v>0.44140163648135433</v>
      </c>
      <c r="Q45" s="73">
        <f t="shared" si="5"/>
        <v>0.42158482747678611</v>
      </c>
      <c r="R45" s="73"/>
    </row>
    <row r="46" spans="1:18" ht="15" customHeight="1">
      <c r="A46" s="428" t="s">
        <v>1229</v>
      </c>
      <c r="B46" s="73">
        <f>(B38)+(HVAC!B45*HVAC!B44)</f>
        <v>114.11614888227899</v>
      </c>
      <c r="C46" s="73">
        <f>(C38)+(HVAC!C45*HVAC!C44)</f>
        <v>115.87761546020508</v>
      </c>
      <c r="D46" s="73">
        <f>(D38)+(HVAC!D45*HVAC!D44)</f>
        <v>114.56252772578117</v>
      </c>
      <c r="E46" s="73">
        <f>(E38)+(HVAC!E45*HVAC!E44)</f>
        <v>116.16343798571393</v>
      </c>
      <c r="F46" s="73">
        <f>(F38)+(HVAC!F45*HVAC!F44)</f>
        <v>115.06039601230512</v>
      </c>
      <c r="G46" s="73">
        <f>(G38)+(HVAC!G45*HVAC!G44)</f>
        <v>117.93923740926394</v>
      </c>
      <c r="H46" s="73">
        <f>(H38)+(HVAC!H45*HVAC!H44)</f>
        <v>119.11173832001531</v>
      </c>
      <c r="I46" s="73">
        <f>(I38)+(HVAC!I45*HVAC!I44)</f>
        <v>120.21807353120957</v>
      </c>
      <c r="J46" s="73">
        <f>(J38)+(HVAC!J45*HVAC!J44)</f>
        <v>118.82315564400007</v>
      </c>
      <c r="K46" s="73">
        <f>(K38)+(HVAC!K45*HVAC!K44)</f>
        <v>117.93923740926394</v>
      </c>
      <c r="L46" s="73">
        <f>(L38)+(HVAC!L45*HVAC!L44)</f>
        <v>115.59765486251824</v>
      </c>
      <c r="M46" s="73">
        <f>(M38)+(HVAC!M45*HVAC!M44)</f>
        <v>115.32480807747929</v>
      </c>
      <c r="N46" s="73">
        <f>(N38)+(HVAC!N45*HVAC!N44)</f>
        <v>117.04452208245118</v>
      </c>
      <c r="O46" s="73">
        <f>(O38)+(HVAC!O45*HVAC!O44)</f>
        <v>113.9164216509666</v>
      </c>
      <c r="P46" s="73">
        <f>(P38)+(HVAC!P45*HVAC!P44)</f>
        <v>116.74798569912333</v>
      </c>
      <c r="Q46" s="73">
        <f>(Q38)+(HVAC!Q45*HVAC!Q44)</f>
        <v>117.34253703087766</v>
      </c>
      <c r="R46" s="73"/>
    </row>
    <row r="47" spans="1:18" ht="15" customHeight="1">
      <c r="A47" s="428" t="s">
        <v>1230</v>
      </c>
      <c r="B47" s="73">
        <f t="shared" ref="B47:Q47" si="6">B46*60/(V_houseSI*35.3147)</f>
        <v>0.26590170613346559</v>
      </c>
      <c r="C47" s="73">
        <f t="shared" si="6"/>
        <v>0.27000609427620598</v>
      </c>
      <c r="D47" s="73">
        <f t="shared" si="6"/>
        <v>0.26694181217657748</v>
      </c>
      <c r="E47" s="73">
        <f t="shared" si="6"/>
        <v>0.27067208851040137</v>
      </c>
      <c r="F47" s="73">
        <f t="shared" si="6"/>
        <v>0.26810189362090514</v>
      </c>
      <c r="G47" s="73">
        <f t="shared" si="6"/>
        <v>0.27480987357498393</v>
      </c>
      <c r="H47" s="73">
        <f t="shared" si="6"/>
        <v>0.2775419145320745</v>
      </c>
      <c r="I47" s="73">
        <f t="shared" si="6"/>
        <v>0.28011978298534268</v>
      </c>
      <c r="J47" s="73">
        <f t="shared" si="6"/>
        <v>0.27686948887922347</v>
      </c>
      <c r="K47" s="73">
        <f t="shared" si="6"/>
        <v>0.27480987357498393</v>
      </c>
      <c r="L47" s="73">
        <f t="shared" si="6"/>
        <v>0.2693537589029551</v>
      </c>
      <c r="M47" s="73">
        <f t="shared" si="6"/>
        <v>0.26871799940383523</v>
      </c>
      <c r="N47" s="73">
        <f t="shared" si="6"/>
        <v>0.27272509999794448</v>
      </c>
      <c r="O47" s="73">
        <f t="shared" si="6"/>
        <v>0.26543632229351438</v>
      </c>
      <c r="P47" s="73">
        <f t="shared" si="6"/>
        <v>0.2720341414348505</v>
      </c>
      <c r="Q47" s="73">
        <f t="shared" si="6"/>
        <v>0.27341950376126833</v>
      </c>
      <c r="R47" s="183"/>
    </row>
    <row r="48" spans="1:18" ht="15" customHeight="1">
      <c r="A48" s="428" t="s">
        <v>1232</v>
      </c>
      <c r="B48" s="439">
        <f t="shared" ref="B48:Q48" si="7">1.1*B46*B24</f>
        <v>-753.16658262304145</v>
      </c>
      <c r="C48" s="439">
        <f t="shared" si="7"/>
        <v>2676.7729171307374</v>
      </c>
      <c r="D48" s="439">
        <f t="shared" si="7"/>
        <v>630.09390249179648</v>
      </c>
      <c r="E48" s="439">
        <f t="shared" si="7"/>
        <v>1788.9169449799947</v>
      </c>
      <c r="F48" s="439">
        <f t="shared" si="7"/>
        <v>885.96504929474952</v>
      </c>
      <c r="G48" s="439">
        <f t="shared" si="7"/>
        <v>778.3989669011421</v>
      </c>
      <c r="H48" s="439">
        <f t="shared" si="7"/>
        <v>917.16038506411803</v>
      </c>
      <c r="I48" s="439">
        <f t="shared" si="7"/>
        <v>2115.8380941492887</v>
      </c>
      <c r="J48" s="439">
        <f t="shared" si="7"/>
        <v>2614.1094241680021</v>
      </c>
      <c r="K48" s="439">
        <f t="shared" si="7"/>
        <v>3113.5958676045684</v>
      </c>
      <c r="L48" s="439">
        <f t="shared" si="7"/>
        <v>3433.2503494167922</v>
      </c>
      <c r="M48" s="439">
        <f t="shared" si="7"/>
        <v>2790.8603554749993</v>
      </c>
      <c r="N48" s="439">
        <f t="shared" si="7"/>
        <v>3347.4733315581043</v>
      </c>
      <c r="O48" s="439">
        <f t="shared" si="7"/>
        <v>2882.0854677694551</v>
      </c>
      <c r="P48" s="439">
        <f t="shared" si="7"/>
        <v>4494.7974494162481</v>
      </c>
      <c r="Q48" s="439">
        <f t="shared" si="7"/>
        <v>774.46074440379266</v>
      </c>
      <c r="R48" s="440"/>
    </row>
    <row r="49" spans="1:18" ht="15" customHeight="1">
      <c r="A49" s="429" t="s">
        <v>1233</v>
      </c>
      <c r="B49" s="441">
        <f>0.68*B46*Weather!B31</f>
        <v>3802.3500807575365</v>
      </c>
      <c r="C49" s="441">
        <f>0.68*C46*Weather!C31</f>
        <v>3309.4646975434571</v>
      </c>
      <c r="D49" s="441">
        <f>0.68*D46*Weather!D31</f>
        <v>0</v>
      </c>
      <c r="E49" s="441">
        <f>0.68*E46*Weather!E31</f>
        <v>2606.7075483994208</v>
      </c>
      <c r="F49" s="441">
        <f>0.68*F46*Weather!F31</f>
        <v>0</v>
      </c>
      <c r="G49" s="441">
        <f>0.68*G46*Weather!G31</f>
        <v>0</v>
      </c>
      <c r="H49" s="441">
        <f>0.68*H46*Weather!H31</f>
        <v>2834.8593720163649</v>
      </c>
      <c r="I49" s="441">
        <f>0.68*I46*Weather!I31</f>
        <v>0</v>
      </c>
      <c r="J49" s="441">
        <f>0.68*J46*Weather!J31</f>
        <v>0</v>
      </c>
      <c r="K49" s="441">
        <f>0.68*K46*Weather!K31</f>
        <v>1844.5696730808882</v>
      </c>
      <c r="L49" s="441">
        <f>0.68*L46*Weather!L31</f>
        <v>0</v>
      </c>
      <c r="M49" s="441">
        <f>0.68*M46*Weather!M31</f>
        <v>1176.313042390289</v>
      </c>
      <c r="N49" s="441">
        <f>0.68*N46*Weather!N31</f>
        <v>0</v>
      </c>
      <c r="O49" s="441">
        <f>0.68*O46*Weather!O31</f>
        <v>774.63166722657297</v>
      </c>
      <c r="P49" s="441">
        <f>0.68*P46*Weather!P31</f>
        <v>0</v>
      </c>
      <c r="Q49" s="441">
        <f>0.68*Q46*Weather!Q31</f>
        <v>2952.3382316968823</v>
      </c>
      <c r="R49" s="442"/>
    </row>
    <row r="51" spans="1:18" ht="15" customHeight="1">
      <c r="A51" s="427" t="s">
        <v>1265</v>
      </c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4"/>
    </row>
    <row r="52" spans="1:18" ht="15" customHeight="1">
      <c r="A52" s="428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183"/>
    </row>
    <row r="53" spans="1:18" ht="15" customHeight="1">
      <c r="A53" s="437" t="s">
        <v>1234</v>
      </c>
      <c r="B53" s="438" t="s">
        <v>1235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183"/>
    </row>
    <row r="54" spans="1:18" ht="15" customHeight="1">
      <c r="A54" s="428" t="s">
        <v>1236</v>
      </c>
      <c r="B54" s="73">
        <v>10</v>
      </c>
      <c r="C54" s="73">
        <v>10</v>
      </c>
      <c r="D54" s="73">
        <v>15</v>
      </c>
      <c r="E54" s="73">
        <v>15</v>
      </c>
      <c r="F54" s="73">
        <v>15</v>
      </c>
      <c r="G54" s="73">
        <v>20</v>
      </c>
      <c r="H54" s="73">
        <v>20</v>
      </c>
      <c r="I54" s="73">
        <v>20</v>
      </c>
      <c r="J54" s="73">
        <v>25</v>
      </c>
      <c r="K54" s="73">
        <v>25</v>
      </c>
      <c r="L54" s="73">
        <v>30</v>
      </c>
      <c r="M54" s="73">
        <v>35</v>
      </c>
      <c r="N54" s="73"/>
      <c r="O54" s="73"/>
      <c r="P54" s="73"/>
      <c r="Q54" s="73"/>
      <c r="R54" s="183"/>
    </row>
    <row r="55" spans="1:18" ht="15" customHeight="1">
      <c r="A55" s="428" t="s">
        <v>1237</v>
      </c>
      <c r="B55" s="73" t="s">
        <v>213</v>
      </c>
      <c r="C55" s="73" t="s">
        <v>1225</v>
      </c>
      <c r="D55" s="73" t="s">
        <v>213</v>
      </c>
      <c r="E55" s="73" t="s">
        <v>1225</v>
      </c>
      <c r="F55" s="73" t="s">
        <v>1226</v>
      </c>
      <c r="G55" s="73" t="s">
        <v>213</v>
      </c>
      <c r="H55" s="73" t="s">
        <v>1225</v>
      </c>
      <c r="I55" s="73" t="s">
        <v>1226</v>
      </c>
      <c r="J55" s="73" t="s">
        <v>1225</v>
      </c>
      <c r="K55" s="73" t="s">
        <v>1226</v>
      </c>
      <c r="L55" s="73" t="s">
        <v>1226</v>
      </c>
      <c r="M55" s="73" t="s">
        <v>1226</v>
      </c>
      <c r="N55" s="73"/>
      <c r="O55" s="73"/>
      <c r="P55" s="73"/>
      <c r="Q55" s="73"/>
      <c r="R55" s="183"/>
    </row>
    <row r="56" spans="1:18" ht="15" customHeight="1">
      <c r="A56" s="428" t="s">
        <v>1238</v>
      </c>
      <c r="B56" s="73">
        <v>17.600000000000001</v>
      </c>
      <c r="C56" s="73">
        <v>13.6</v>
      </c>
      <c r="D56" s="73">
        <v>22.6</v>
      </c>
      <c r="E56" s="73">
        <v>18.600000000000001</v>
      </c>
      <c r="F56" s="73">
        <v>13.6</v>
      </c>
      <c r="G56" s="73">
        <v>27.6</v>
      </c>
      <c r="H56" s="73">
        <v>23.6</v>
      </c>
      <c r="I56" s="73">
        <v>18.600000000000001</v>
      </c>
      <c r="J56" s="73">
        <v>28.6</v>
      </c>
      <c r="K56" s="73">
        <v>23.6</v>
      </c>
      <c r="L56" s="73">
        <v>28.6</v>
      </c>
      <c r="M56" s="73">
        <v>33.6</v>
      </c>
      <c r="N56" s="73"/>
      <c r="O56" s="73"/>
      <c r="P56" s="73"/>
      <c r="Q56" s="73"/>
      <c r="R56" s="183"/>
    </row>
    <row r="57" spans="1:18" ht="15" customHeight="1">
      <c r="A57" s="428" t="s">
        <v>1239</v>
      </c>
      <c r="B57" s="73">
        <v>38</v>
      </c>
      <c r="C57" s="73">
        <v>34</v>
      </c>
      <c r="D57" s="73">
        <v>43</v>
      </c>
      <c r="E57" s="73">
        <v>39</v>
      </c>
      <c r="F57" s="73">
        <v>34</v>
      </c>
      <c r="G57" s="73">
        <v>48</v>
      </c>
      <c r="H57" s="73">
        <v>44</v>
      </c>
      <c r="I57" s="73">
        <v>39</v>
      </c>
      <c r="J57" s="73">
        <v>49</v>
      </c>
      <c r="K57" s="73">
        <v>44</v>
      </c>
      <c r="L57" s="73">
        <v>49</v>
      </c>
      <c r="M57" s="73">
        <v>54</v>
      </c>
      <c r="N57" s="73"/>
      <c r="O57" s="73"/>
      <c r="P57" s="73"/>
      <c r="Q57" s="73"/>
      <c r="R57" s="183"/>
    </row>
    <row r="58" spans="1:18" ht="15" customHeight="1">
      <c r="A58" s="428" t="s">
        <v>1240</v>
      </c>
      <c r="B58" s="73">
        <v>30</v>
      </c>
      <c r="C58" s="73">
        <v>26</v>
      </c>
      <c r="D58" s="73">
        <v>35</v>
      </c>
      <c r="E58" s="73">
        <v>31</v>
      </c>
      <c r="F58" s="73">
        <v>26</v>
      </c>
      <c r="G58" s="73">
        <v>40</v>
      </c>
      <c r="H58" s="73">
        <v>36</v>
      </c>
      <c r="I58" s="73">
        <v>31</v>
      </c>
      <c r="J58" s="73">
        <v>41</v>
      </c>
      <c r="K58" s="73">
        <v>36</v>
      </c>
      <c r="L58" s="73">
        <v>41</v>
      </c>
      <c r="M58" s="73">
        <v>46</v>
      </c>
      <c r="N58" s="73"/>
      <c r="O58" s="73"/>
      <c r="P58" s="73"/>
      <c r="Q58" s="73"/>
      <c r="R58" s="183"/>
    </row>
    <row r="59" spans="1:18" ht="15" customHeight="1">
      <c r="A59" s="428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183"/>
    </row>
    <row r="60" spans="1:18" ht="15" customHeight="1">
      <c r="A60" s="428"/>
      <c r="B60" s="73"/>
      <c r="C60" s="73"/>
      <c r="D60" s="73"/>
      <c r="E60" s="73"/>
      <c r="F60" s="73">
        <f>F56+(G24-F54)</f>
        <v>4.5999999999999996</v>
      </c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183"/>
    </row>
    <row r="61" spans="1:18" ht="15" customHeight="1">
      <c r="A61" s="428" t="s">
        <v>1242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183"/>
    </row>
    <row r="62" spans="1:18" ht="15" customHeight="1">
      <c r="A62" s="428" t="s">
        <v>213</v>
      </c>
      <c r="B62" s="73">
        <f>$D$56+(B24-$D$54)</f>
        <v>1.6000000000000014</v>
      </c>
      <c r="C62" s="73">
        <f t="shared" ref="C62:Q62" si="8">$D$56+(C24-$D$54)</f>
        <v>28.6</v>
      </c>
      <c r="D62" s="73">
        <f t="shared" si="8"/>
        <v>12.600000000000001</v>
      </c>
      <c r="E62" s="73">
        <f t="shared" si="8"/>
        <v>21.6</v>
      </c>
      <c r="F62" s="73">
        <f t="shared" si="8"/>
        <v>14.600000000000001</v>
      </c>
      <c r="G62" s="73">
        <f t="shared" si="8"/>
        <v>13.600000000000001</v>
      </c>
      <c r="H62" s="73">
        <f t="shared" si="8"/>
        <v>14.600000000000001</v>
      </c>
      <c r="I62" s="73">
        <f t="shared" si="8"/>
        <v>23.6</v>
      </c>
      <c r="J62" s="73">
        <f t="shared" si="8"/>
        <v>27.6</v>
      </c>
      <c r="K62" s="73">
        <f t="shared" si="8"/>
        <v>31.6</v>
      </c>
      <c r="L62" s="73">
        <f t="shared" si="8"/>
        <v>34.6</v>
      </c>
      <c r="M62" s="73">
        <f t="shared" si="8"/>
        <v>29.6</v>
      </c>
      <c r="N62" s="73">
        <f t="shared" si="8"/>
        <v>33.6</v>
      </c>
      <c r="O62" s="73">
        <f t="shared" si="8"/>
        <v>30.6</v>
      </c>
      <c r="P62" s="73">
        <f t="shared" si="8"/>
        <v>42.6</v>
      </c>
      <c r="Q62" s="73">
        <f t="shared" si="8"/>
        <v>13.600000000000001</v>
      </c>
      <c r="R62" s="183"/>
    </row>
    <row r="63" spans="1:18" ht="15" customHeight="1">
      <c r="A63" s="428" t="s">
        <v>1225</v>
      </c>
      <c r="B63" s="73">
        <f t="shared" ref="B63:Q63" si="9">$E$56+(B24-$E$54)</f>
        <v>-2.3999999999999986</v>
      </c>
      <c r="C63" s="73">
        <f t="shared" si="9"/>
        <v>24.6</v>
      </c>
      <c r="D63" s="73">
        <f t="shared" si="9"/>
        <v>8.6000000000000014</v>
      </c>
      <c r="E63" s="73">
        <f t="shared" si="9"/>
        <v>17.600000000000001</v>
      </c>
      <c r="F63" s="73">
        <f t="shared" si="9"/>
        <v>10.600000000000001</v>
      </c>
      <c r="G63" s="73">
        <f t="shared" si="9"/>
        <v>9.6000000000000014</v>
      </c>
      <c r="H63" s="73">
        <f t="shared" si="9"/>
        <v>10.600000000000001</v>
      </c>
      <c r="I63" s="73">
        <f t="shared" si="9"/>
        <v>19.600000000000001</v>
      </c>
      <c r="J63" s="73">
        <f t="shared" si="9"/>
        <v>23.6</v>
      </c>
      <c r="K63" s="73">
        <f>$E$56+(K24-$E$54)</f>
        <v>27.6</v>
      </c>
      <c r="L63" s="73">
        <f t="shared" si="9"/>
        <v>30.6</v>
      </c>
      <c r="M63" s="73">
        <f t="shared" si="9"/>
        <v>25.6</v>
      </c>
      <c r="N63" s="73">
        <f t="shared" si="9"/>
        <v>29.6</v>
      </c>
      <c r="O63" s="73">
        <f t="shared" si="9"/>
        <v>26.6</v>
      </c>
      <c r="P63" s="73">
        <f t="shared" si="9"/>
        <v>38.6</v>
      </c>
      <c r="Q63" s="73">
        <f t="shared" si="9"/>
        <v>9.6000000000000014</v>
      </c>
      <c r="R63" s="183"/>
    </row>
    <row r="64" spans="1:18" ht="15" customHeight="1">
      <c r="A64" s="428" t="s">
        <v>1226</v>
      </c>
      <c r="B64" s="73">
        <f t="shared" ref="B64:Q64" si="10">$F$56+(B24-$F$54)</f>
        <v>-7.4</v>
      </c>
      <c r="C64" s="73">
        <f t="shared" si="10"/>
        <v>19.600000000000001</v>
      </c>
      <c r="D64" s="73">
        <f t="shared" si="10"/>
        <v>3.5999999999999996</v>
      </c>
      <c r="E64" s="73">
        <f t="shared" si="10"/>
        <v>12.6</v>
      </c>
      <c r="F64" s="73">
        <f t="shared" si="10"/>
        <v>5.6</v>
      </c>
      <c r="G64" s="73">
        <f t="shared" si="10"/>
        <v>4.5999999999999996</v>
      </c>
      <c r="H64" s="73">
        <f t="shared" si="10"/>
        <v>5.6</v>
      </c>
      <c r="I64" s="73">
        <f t="shared" si="10"/>
        <v>14.6</v>
      </c>
      <c r="J64" s="73">
        <f t="shared" si="10"/>
        <v>18.600000000000001</v>
      </c>
      <c r="K64" s="73">
        <f t="shared" si="10"/>
        <v>22.6</v>
      </c>
      <c r="L64" s="73">
        <f t="shared" si="10"/>
        <v>25.6</v>
      </c>
      <c r="M64" s="73">
        <f t="shared" si="10"/>
        <v>20.6</v>
      </c>
      <c r="N64" s="73">
        <f t="shared" si="10"/>
        <v>24.6</v>
      </c>
      <c r="O64" s="73">
        <f t="shared" si="10"/>
        <v>21.6</v>
      </c>
      <c r="P64" s="73">
        <f t="shared" si="10"/>
        <v>33.6</v>
      </c>
      <c r="Q64" s="73">
        <f t="shared" si="10"/>
        <v>4.5999999999999996</v>
      </c>
      <c r="R64" s="183"/>
    </row>
    <row r="65" spans="1:18" ht="15" customHeight="1">
      <c r="A65" s="428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183"/>
    </row>
    <row r="66" spans="1:18" ht="15" customHeight="1">
      <c r="A66" s="428" t="s">
        <v>1239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183"/>
    </row>
    <row r="67" spans="1:18" ht="15" customHeight="1">
      <c r="A67" s="428" t="s">
        <v>213</v>
      </c>
      <c r="B67" s="73">
        <f t="shared" ref="B67:Q67" si="11">$D$57+(B24-$D$54)</f>
        <v>22</v>
      </c>
      <c r="C67" s="73">
        <f t="shared" si="11"/>
        <v>49</v>
      </c>
      <c r="D67" s="73">
        <f t="shared" si="11"/>
        <v>33</v>
      </c>
      <c r="E67" s="73">
        <f t="shared" si="11"/>
        <v>42</v>
      </c>
      <c r="F67" s="73">
        <f t="shared" si="11"/>
        <v>35</v>
      </c>
      <c r="G67" s="73">
        <f t="shared" si="11"/>
        <v>34</v>
      </c>
      <c r="H67" s="73">
        <f t="shared" si="11"/>
        <v>35</v>
      </c>
      <c r="I67" s="73">
        <f t="shared" si="11"/>
        <v>44</v>
      </c>
      <c r="J67" s="73">
        <f t="shared" si="11"/>
        <v>48</v>
      </c>
      <c r="K67" s="73">
        <f t="shared" si="11"/>
        <v>52</v>
      </c>
      <c r="L67" s="73">
        <f t="shared" si="11"/>
        <v>55</v>
      </c>
      <c r="M67" s="73">
        <f t="shared" si="11"/>
        <v>50</v>
      </c>
      <c r="N67" s="73">
        <f t="shared" si="11"/>
        <v>54</v>
      </c>
      <c r="O67" s="73">
        <f t="shared" si="11"/>
        <v>51</v>
      </c>
      <c r="P67" s="73">
        <f t="shared" si="11"/>
        <v>63</v>
      </c>
      <c r="Q67" s="73">
        <f t="shared" si="11"/>
        <v>34</v>
      </c>
      <c r="R67" s="183"/>
    </row>
    <row r="68" spans="1:18" ht="15" customHeight="1">
      <c r="A68" s="428" t="s">
        <v>1225</v>
      </c>
      <c r="B68" s="73">
        <f t="shared" ref="B68:Q68" si="12">$E$57+(B24-$E$54)</f>
        <v>18</v>
      </c>
      <c r="C68" s="73">
        <f t="shared" si="12"/>
        <v>45</v>
      </c>
      <c r="D68" s="73">
        <f t="shared" si="12"/>
        <v>29</v>
      </c>
      <c r="E68" s="73">
        <f t="shared" si="12"/>
        <v>38</v>
      </c>
      <c r="F68" s="73">
        <f t="shared" si="12"/>
        <v>31</v>
      </c>
      <c r="G68" s="73">
        <f t="shared" si="12"/>
        <v>30</v>
      </c>
      <c r="H68" s="73">
        <f t="shared" si="12"/>
        <v>31</v>
      </c>
      <c r="I68" s="73">
        <f t="shared" si="12"/>
        <v>40</v>
      </c>
      <c r="J68" s="73">
        <f t="shared" si="12"/>
        <v>44</v>
      </c>
      <c r="K68" s="73">
        <f t="shared" si="12"/>
        <v>48</v>
      </c>
      <c r="L68" s="73">
        <f t="shared" si="12"/>
        <v>51</v>
      </c>
      <c r="M68" s="73">
        <f t="shared" si="12"/>
        <v>46</v>
      </c>
      <c r="N68" s="73">
        <f t="shared" si="12"/>
        <v>50</v>
      </c>
      <c r="O68" s="73">
        <f t="shared" si="12"/>
        <v>47</v>
      </c>
      <c r="P68" s="73">
        <f t="shared" si="12"/>
        <v>59</v>
      </c>
      <c r="Q68" s="73">
        <f t="shared" si="12"/>
        <v>30</v>
      </c>
      <c r="R68" s="183"/>
    </row>
    <row r="69" spans="1:18" ht="15" customHeight="1">
      <c r="A69" s="428" t="s">
        <v>1226</v>
      </c>
      <c r="B69" s="73">
        <f t="shared" ref="B69:Q69" si="13">$F$57+(B24-$F$54)</f>
        <v>13</v>
      </c>
      <c r="C69" s="73">
        <f t="shared" si="13"/>
        <v>40</v>
      </c>
      <c r="D69" s="73">
        <f t="shared" si="13"/>
        <v>24</v>
      </c>
      <c r="E69" s="73">
        <f t="shared" si="13"/>
        <v>33</v>
      </c>
      <c r="F69" s="73">
        <f t="shared" si="13"/>
        <v>26</v>
      </c>
      <c r="G69" s="73">
        <f t="shared" si="13"/>
        <v>25</v>
      </c>
      <c r="H69" s="73">
        <f t="shared" si="13"/>
        <v>26</v>
      </c>
      <c r="I69" s="73">
        <f t="shared" si="13"/>
        <v>35</v>
      </c>
      <c r="J69" s="73">
        <f t="shared" si="13"/>
        <v>39</v>
      </c>
      <c r="K69" s="73">
        <f t="shared" si="13"/>
        <v>43</v>
      </c>
      <c r="L69" s="73">
        <f t="shared" si="13"/>
        <v>46</v>
      </c>
      <c r="M69" s="73">
        <f t="shared" si="13"/>
        <v>41</v>
      </c>
      <c r="N69" s="73">
        <f t="shared" si="13"/>
        <v>45</v>
      </c>
      <c r="O69" s="73">
        <f t="shared" si="13"/>
        <v>42</v>
      </c>
      <c r="P69" s="73">
        <f t="shared" si="13"/>
        <v>54</v>
      </c>
      <c r="Q69" s="73">
        <f t="shared" si="13"/>
        <v>25</v>
      </c>
      <c r="R69" s="183"/>
    </row>
    <row r="70" spans="1:18" ht="15" customHeight="1">
      <c r="A70" s="428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183"/>
    </row>
    <row r="71" spans="1:18" ht="15" customHeight="1">
      <c r="A71" s="428" t="s">
        <v>1240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183"/>
    </row>
    <row r="72" spans="1:18" ht="15" customHeight="1">
      <c r="A72" s="428" t="s">
        <v>213</v>
      </c>
      <c r="B72" s="73">
        <f t="shared" ref="B72:Q72" si="14">$D$58+(B24-$D$54)</f>
        <v>14</v>
      </c>
      <c r="C72" s="73">
        <f t="shared" si="14"/>
        <v>41</v>
      </c>
      <c r="D72" s="73">
        <f t="shared" si="14"/>
        <v>25</v>
      </c>
      <c r="E72" s="73">
        <f t="shared" si="14"/>
        <v>34</v>
      </c>
      <c r="F72" s="73">
        <f t="shared" si="14"/>
        <v>27</v>
      </c>
      <c r="G72" s="73">
        <f t="shared" si="14"/>
        <v>26</v>
      </c>
      <c r="H72" s="73">
        <f t="shared" si="14"/>
        <v>27</v>
      </c>
      <c r="I72" s="73">
        <f t="shared" si="14"/>
        <v>36</v>
      </c>
      <c r="J72" s="73">
        <f t="shared" si="14"/>
        <v>40</v>
      </c>
      <c r="K72" s="73">
        <f t="shared" si="14"/>
        <v>44</v>
      </c>
      <c r="L72" s="73">
        <f t="shared" si="14"/>
        <v>47</v>
      </c>
      <c r="M72" s="73">
        <f t="shared" si="14"/>
        <v>42</v>
      </c>
      <c r="N72" s="73">
        <f t="shared" si="14"/>
        <v>46</v>
      </c>
      <c r="O72" s="73">
        <f t="shared" si="14"/>
        <v>43</v>
      </c>
      <c r="P72" s="73">
        <f t="shared" si="14"/>
        <v>55</v>
      </c>
      <c r="Q72" s="73">
        <f t="shared" si="14"/>
        <v>26</v>
      </c>
      <c r="R72" s="183"/>
    </row>
    <row r="73" spans="1:18" ht="15" customHeight="1">
      <c r="A73" s="428" t="s">
        <v>1225</v>
      </c>
      <c r="B73" s="73">
        <f t="shared" ref="B73:Q73" si="15">$E$58+(B24-$E$54)</f>
        <v>10</v>
      </c>
      <c r="C73" s="73">
        <f t="shared" si="15"/>
        <v>37</v>
      </c>
      <c r="D73" s="73">
        <f t="shared" si="15"/>
        <v>21</v>
      </c>
      <c r="E73" s="73">
        <f t="shared" si="15"/>
        <v>30</v>
      </c>
      <c r="F73" s="73">
        <f t="shared" si="15"/>
        <v>23</v>
      </c>
      <c r="G73" s="73">
        <f t="shared" si="15"/>
        <v>22</v>
      </c>
      <c r="H73" s="73">
        <f t="shared" si="15"/>
        <v>23</v>
      </c>
      <c r="I73" s="73">
        <f t="shared" si="15"/>
        <v>32</v>
      </c>
      <c r="J73" s="73">
        <f t="shared" si="15"/>
        <v>36</v>
      </c>
      <c r="K73" s="73">
        <f t="shared" si="15"/>
        <v>40</v>
      </c>
      <c r="L73" s="73">
        <f t="shared" si="15"/>
        <v>43</v>
      </c>
      <c r="M73" s="73">
        <f t="shared" si="15"/>
        <v>38</v>
      </c>
      <c r="N73" s="73">
        <f t="shared" si="15"/>
        <v>42</v>
      </c>
      <c r="O73" s="73">
        <f t="shared" si="15"/>
        <v>39</v>
      </c>
      <c r="P73" s="73">
        <f t="shared" si="15"/>
        <v>51</v>
      </c>
      <c r="Q73" s="73">
        <f t="shared" si="15"/>
        <v>22</v>
      </c>
      <c r="R73" s="183"/>
    </row>
    <row r="74" spans="1:18" ht="15" customHeight="1">
      <c r="A74" s="428" t="s">
        <v>1226</v>
      </c>
      <c r="B74" s="73">
        <f t="shared" ref="B74:Q74" si="16">$F$58+(B24-$F$54)</f>
        <v>5</v>
      </c>
      <c r="C74" s="73">
        <f t="shared" si="16"/>
        <v>32</v>
      </c>
      <c r="D74" s="73">
        <f t="shared" si="16"/>
        <v>16</v>
      </c>
      <c r="E74" s="73">
        <f t="shared" si="16"/>
        <v>25</v>
      </c>
      <c r="F74" s="73">
        <f t="shared" si="16"/>
        <v>18</v>
      </c>
      <c r="G74" s="73">
        <f t="shared" si="16"/>
        <v>17</v>
      </c>
      <c r="H74" s="73">
        <f t="shared" si="16"/>
        <v>18</v>
      </c>
      <c r="I74" s="73">
        <f t="shared" si="16"/>
        <v>27</v>
      </c>
      <c r="J74" s="73">
        <f t="shared" si="16"/>
        <v>31</v>
      </c>
      <c r="K74" s="73">
        <f t="shared" si="16"/>
        <v>35</v>
      </c>
      <c r="L74" s="73">
        <f t="shared" si="16"/>
        <v>38</v>
      </c>
      <c r="M74" s="73">
        <f t="shared" si="16"/>
        <v>33</v>
      </c>
      <c r="N74" s="73">
        <f t="shared" si="16"/>
        <v>37</v>
      </c>
      <c r="O74" s="73">
        <f t="shared" si="16"/>
        <v>34</v>
      </c>
      <c r="P74" s="73">
        <f t="shared" si="16"/>
        <v>46</v>
      </c>
      <c r="Q74" s="73">
        <f t="shared" si="16"/>
        <v>17</v>
      </c>
      <c r="R74" s="183"/>
    </row>
    <row r="75" spans="1:18" ht="15" customHeight="1">
      <c r="A75" s="428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183"/>
    </row>
    <row r="76" spans="1:18" ht="15" customHeight="1">
      <c r="A76" s="428" t="s">
        <v>1242</v>
      </c>
      <c r="B76" s="73">
        <f>VLOOKUP(Weather!B50,HVAC!$A$62:$R$64,Weather!B34,FALSE)</f>
        <v>1.6000000000000014</v>
      </c>
      <c r="C76" s="73">
        <f>VLOOKUP(Weather!C50,HVAC!$A$62:$R$64,Weather!C34,FALSE)</f>
        <v>19.600000000000001</v>
      </c>
      <c r="D76" s="73">
        <f>VLOOKUP(Weather!D50,HVAC!$A$62:$R$64,Weather!D34,FALSE)</f>
        <v>8.6000000000000014</v>
      </c>
      <c r="E76" s="73">
        <f>VLOOKUP(Weather!E50,HVAC!$A$62:$R$64,Weather!E34,FALSE)</f>
        <v>12.6</v>
      </c>
      <c r="F76" s="73">
        <f>VLOOKUP(Weather!F50,HVAC!$A$62:$R$64,Weather!F34,FALSE)</f>
        <v>10.600000000000001</v>
      </c>
      <c r="G76" s="73">
        <f>VLOOKUP(Weather!G50,HVAC!$A$62:$R$64,Weather!G34,FALSE)</f>
        <v>13.600000000000001</v>
      </c>
      <c r="H76" s="73">
        <f>VLOOKUP(Weather!H50,HVAC!$A$62:$R$64,Weather!H34,FALSE)</f>
        <v>14.600000000000001</v>
      </c>
      <c r="I76" s="73">
        <f>VLOOKUP(Weather!I50,HVAC!$A$62:$R$64,Weather!I34,FALSE)</f>
        <v>14.6</v>
      </c>
      <c r="J76" s="73">
        <f>VLOOKUP(Weather!J50,HVAC!$A$62:$R$64,Weather!J34,FALSE)</f>
        <v>23.6</v>
      </c>
      <c r="K76" s="73">
        <f>VLOOKUP(Weather!K50,HVAC!$A$62:$R$64,Weather!K34,FALSE)</f>
        <v>22.6</v>
      </c>
      <c r="L76" s="73">
        <f>VLOOKUP(Weather!L50,HVAC!$A$62:$R$64,Weather!L34,FALSE)</f>
        <v>25.6</v>
      </c>
      <c r="M76" s="73">
        <f>VLOOKUP(Weather!M50,HVAC!$A$62:$R$64,Weather!M34,FALSE)</f>
        <v>20.6</v>
      </c>
      <c r="N76" s="73">
        <f>VLOOKUP(Weather!N50,HVAC!$A$62:$R$64,Weather!N34,FALSE)</f>
        <v>24.6</v>
      </c>
      <c r="O76" s="73">
        <f>VLOOKUP(Weather!O50,HVAC!$A$62:$R$64,Weather!O34,FALSE)</f>
        <v>21.6</v>
      </c>
      <c r="P76" s="73">
        <f>VLOOKUP(Weather!P50,HVAC!$A$62:$R$64,Weather!P34,FALSE)</f>
        <v>33.6</v>
      </c>
      <c r="Q76" s="73">
        <f>VLOOKUP(Weather!Q50,HVAC!$A$62:$R$64,Weather!Q34,FALSE)</f>
        <v>9.6000000000000014</v>
      </c>
      <c r="R76" s="73"/>
    </row>
    <row r="77" spans="1:18" ht="15" customHeight="1">
      <c r="A77" s="428" t="s">
        <v>1239</v>
      </c>
      <c r="B77" s="73">
        <f>VLOOKUP(Weather!B50,HVAC!$A$67:$R$69,Weather!B34,FALSE)</f>
        <v>22</v>
      </c>
      <c r="C77" s="73">
        <f>VLOOKUP(Weather!C50,HVAC!$A$67:$R$69,Weather!C34,FALSE)</f>
        <v>40</v>
      </c>
      <c r="D77" s="73">
        <f>VLOOKUP(Weather!D50,HVAC!$A$67:$R$69,Weather!D34,FALSE)</f>
        <v>29</v>
      </c>
      <c r="E77" s="73">
        <f>VLOOKUP(Weather!E50,HVAC!$A$67:$R$69,Weather!E34,FALSE)</f>
        <v>33</v>
      </c>
      <c r="F77" s="73">
        <f>VLOOKUP(Weather!F50,HVAC!$A$67:$R$69,Weather!F34,FALSE)</f>
        <v>31</v>
      </c>
      <c r="G77" s="73">
        <f>VLOOKUP(Weather!G50,HVAC!$A$67:$R$69,Weather!G34,FALSE)</f>
        <v>34</v>
      </c>
      <c r="H77" s="73">
        <f>VLOOKUP(Weather!H50,HVAC!$A$67:$R$69,Weather!H34,FALSE)</f>
        <v>35</v>
      </c>
      <c r="I77" s="73">
        <f>VLOOKUP(Weather!I50,HVAC!$A$67:$R$69,Weather!I34,FALSE)</f>
        <v>35</v>
      </c>
      <c r="J77" s="73">
        <f>VLOOKUP(Weather!J50,HVAC!$A$67:$R$69,Weather!J34,FALSE)</f>
        <v>44</v>
      </c>
      <c r="K77" s="73">
        <f>VLOOKUP(Weather!K50,HVAC!$A$67:$R$69,Weather!K34,FALSE)</f>
        <v>43</v>
      </c>
      <c r="L77" s="73">
        <f>VLOOKUP(Weather!L50,HVAC!$A$67:$R$69,Weather!L34,FALSE)</f>
        <v>46</v>
      </c>
      <c r="M77" s="73">
        <f>VLOOKUP(Weather!M50,HVAC!$A$67:$R$69,Weather!M34,FALSE)</f>
        <v>41</v>
      </c>
      <c r="N77" s="73">
        <f>VLOOKUP(Weather!N50,HVAC!$A$67:$R$69,Weather!N34,FALSE)</f>
        <v>45</v>
      </c>
      <c r="O77" s="73">
        <f>VLOOKUP(Weather!O50,HVAC!$A$67:$R$69,Weather!O34,FALSE)</f>
        <v>42</v>
      </c>
      <c r="P77" s="73">
        <f>VLOOKUP(Weather!P50,HVAC!$A$67:$R$69,Weather!P34,FALSE)</f>
        <v>54</v>
      </c>
      <c r="Q77" s="73">
        <f>VLOOKUP(Weather!Q50,HVAC!$A$67:$R$69,Weather!Q34,FALSE)</f>
        <v>30</v>
      </c>
      <c r="R77" s="183"/>
    </row>
    <row r="78" spans="1:18" ht="15" customHeight="1">
      <c r="A78" s="428" t="s">
        <v>1240</v>
      </c>
      <c r="B78" s="73">
        <f>VLOOKUP(Weather!B50,HVAC!$A$72:$R$74,Weather!B34,FALSE)</f>
        <v>14</v>
      </c>
      <c r="C78" s="73">
        <f>VLOOKUP(Weather!C50,HVAC!$A$72:$R$74,Weather!C34,FALSE)</f>
        <v>32</v>
      </c>
      <c r="D78" s="73">
        <f>VLOOKUP(Weather!D50,HVAC!$A$72:$R$74,Weather!D34,FALSE)</f>
        <v>21</v>
      </c>
      <c r="E78" s="73">
        <f>VLOOKUP(Weather!E50,HVAC!$A$72:$R$74,Weather!E34,FALSE)</f>
        <v>25</v>
      </c>
      <c r="F78" s="73">
        <f>VLOOKUP(Weather!F50,HVAC!$A$72:$R$74,Weather!F34,FALSE)</f>
        <v>23</v>
      </c>
      <c r="G78" s="73">
        <f>VLOOKUP(Weather!G50,HVAC!$A$72:$R$74,Weather!G34,FALSE)</f>
        <v>26</v>
      </c>
      <c r="H78" s="73">
        <f>VLOOKUP(Weather!H50,HVAC!$A$72:$R$74,Weather!H34,FALSE)</f>
        <v>27</v>
      </c>
      <c r="I78" s="73">
        <f>VLOOKUP(Weather!I50,HVAC!$A$72:$R$74,Weather!I34,FALSE)</f>
        <v>27</v>
      </c>
      <c r="J78" s="73">
        <f>VLOOKUP(Weather!J50,HVAC!$A$72:$R$74,Weather!J34,FALSE)</f>
        <v>36</v>
      </c>
      <c r="K78" s="73">
        <f>VLOOKUP(Weather!K50,HVAC!$A$72:$R$74,Weather!K34,FALSE)</f>
        <v>35</v>
      </c>
      <c r="L78" s="73">
        <f>VLOOKUP(Weather!L50,HVAC!$A$72:$R$74,Weather!L34,FALSE)</f>
        <v>38</v>
      </c>
      <c r="M78" s="73">
        <f>VLOOKUP(Weather!M50,HVAC!$A$72:$R$74,Weather!M34,FALSE)</f>
        <v>33</v>
      </c>
      <c r="N78" s="73">
        <f>VLOOKUP(Weather!N50,HVAC!$A$72:$R$74,Weather!N34,FALSE)</f>
        <v>37</v>
      </c>
      <c r="O78" s="73">
        <f>VLOOKUP(Weather!O50,HVAC!$A$72:$R$74,Weather!O34,FALSE)</f>
        <v>34</v>
      </c>
      <c r="P78" s="73">
        <f>VLOOKUP(Weather!P50,HVAC!$A$72:$R$74,Weather!P34,FALSE)</f>
        <v>46</v>
      </c>
      <c r="Q78" s="73">
        <f>VLOOKUP(Weather!Q50,HVAC!$A$72:$R$74,Weather!Q34,FALSE)</f>
        <v>22</v>
      </c>
      <c r="R78" s="183"/>
    </row>
    <row r="79" spans="1:18" ht="15" customHeight="1">
      <c r="A79" s="428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183"/>
    </row>
    <row r="80" spans="1:18" ht="15" customHeight="1">
      <c r="A80" s="428" t="s">
        <v>1242</v>
      </c>
      <c r="B80" s="439">
        <f>B29*B76</f>
        <v>119.52877293996809</v>
      </c>
      <c r="C80" s="439">
        <f t="shared" ref="C80:Q80" si="17">C29*C76</f>
        <v>1464.2274685146078</v>
      </c>
      <c r="D80" s="439">
        <f t="shared" si="17"/>
        <v>642.467154552328</v>
      </c>
      <c r="E80" s="439">
        <f t="shared" si="17"/>
        <v>941.28908690224785</v>
      </c>
      <c r="F80" s="439">
        <f t="shared" si="17"/>
        <v>791.87812072728798</v>
      </c>
      <c r="G80" s="439">
        <f t="shared" si="17"/>
        <v>1265.0293797243201</v>
      </c>
      <c r="H80" s="439">
        <f t="shared" si="17"/>
        <v>1358.04624588052</v>
      </c>
      <c r="I80" s="439">
        <f t="shared" si="17"/>
        <v>1090.7000530772079</v>
      </c>
      <c r="J80" s="439">
        <f t="shared" si="17"/>
        <v>1763.0494008645278</v>
      </c>
      <c r="K80" s="439">
        <f t="shared" si="17"/>
        <v>1688.3439177770479</v>
      </c>
      <c r="L80" s="439">
        <f t="shared" si="17"/>
        <v>1912.4603670394879</v>
      </c>
      <c r="M80" s="439">
        <f t="shared" si="17"/>
        <v>1538.932951602088</v>
      </c>
      <c r="N80" s="439">
        <f t="shared" si="17"/>
        <v>1837.754883952008</v>
      </c>
      <c r="O80" s="439">
        <f t="shared" si="17"/>
        <v>1613.6384346895679</v>
      </c>
      <c r="P80" s="439">
        <f t="shared" si="17"/>
        <v>2510.1042317393276</v>
      </c>
      <c r="Q80" s="439">
        <f t="shared" si="17"/>
        <v>717.17263763980804</v>
      </c>
      <c r="R80" s="440"/>
    </row>
    <row r="81" spans="1:18" ht="15" customHeight="1">
      <c r="A81" s="428" t="s">
        <v>1239</v>
      </c>
      <c r="B81" s="439">
        <f t="shared" ref="B81:Q81" si="18">B32*B77</f>
        <v>962.46757337499992</v>
      </c>
      <c r="C81" s="439">
        <f t="shared" si="18"/>
        <v>1749.9410424999999</v>
      </c>
      <c r="D81" s="439">
        <f t="shared" si="18"/>
        <v>1486.1999282375</v>
      </c>
      <c r="E81" s="439">
        <f t="shared" si="18"/>
        <v>1443.7013600625</v>
      </c>
      <c r="F81" s="439">
        <f t="shared" si="18"/>
        <v>1588.6964750125001</v>
      </c>
      <c r="G81" s="439">
        <f t="shared" si="18"/>
        <v>1742.4412951750001</v>
      </c>
      <c r="H81" s="439">
        <f t="shared" si="18"/>
        <v>1793.6895685625</v>
      </c>
      <c r="I81" s="439">
        <f t="shared" si="18"/>
        <v>1531.1984121875</v>
      </c>
      <c r="J81" s="439">
        <f t="shared" si="18"/>
        <v>1924.9351467499998</v>
      </c>
      <c r="K81" s="439">
        <f t="shared" si="18"/>
        <v>1881.1866206875</v>
      </c>
      <c r="L81" s="439">
        <f t="shared" si="18"/>
        <v>2012.4321988749998</v>
      </c>
      <c r="M81" s="439">
        <f t="shared" si="18"/>
        <v>1793.6895685625</v>
      </c>
      <c r="N81" s="439">
        <f t="shared" si="18"/>
        <v>1968.6836728124999</v>
      </c>
      <c r="O81" s="439">
        <f t="shared" si="18"/>
        <v>1837.4380946249998</v>
      </c>
      <c r="P81" s="439">
        <f t="shared" si="18"/>
        <v>2362.4204073749997</v>
      </c>
      <c r="Q81" s="439">
        <f t="shared" si="18"/>
        <v>1312.455781875</v>
      </c>
      <c r="R81" s="440"/>
    </row>
    <row r="82" spans="1:18" ht="15" customHeight="1">
      <c r="A82" s="429" t="s">
        <v>1240</v>
      </c>
      <c r="B82" s="441">
        <f t="shared" ref="B82:Q82" si="19">B32*B78</f>
        <v>612.47936487499999</v>
      </c>
      <c r="C82" s="441">
        <f t="shared" si="19"/>
        <v>1399.9528339999999</v>
      </c>
      <c r="D82" s="441">
        <f t="shared" si="19"/>
        <v>1076.2137411374999</v>
      </c>
      <c r="E82" s="441">
        <f t="shared" si="19"/>
        <v>1093.7131515624999</v>
      </c>
      <c r="F82" s="441">
        <f t="shared" si="19"/>
        <v>1178.7102879125</v>
      </c>
      <c r="G82" s="441">
        <f t="shared" si="19"/>
        <v>1332.455108075</v>
      </c>
      <c r="H82" s="441">
        <f t="shared" si="19"/>
        <v>1383.7033814624999</v>
      </c>
      <c r="I82" s="441">
        <f t="shared" si="19"/>
        <v>1181.2102036874999</v>
      </c>
      <c r="J82" s="441">
        <f t="shared" si="19"/>
        <v>1574.9469382499999</v>
      </c>
      <c r="K82" s="441">
        <f t="shared" si="19"/>
        <v>1531.1984121875</v>
      </c>
      <c r="L82" s="441">
        <f t="shared" si="19"/>
        <v>1662.4439903749999</v>
      </c>
      <c r="M82" s="441">
        <f t="shared" si="19"/>
        <v>1443.7013600625</v>
      </c>
      <c r="N82" s="441">
        <f t="shared" si="19"/>
        <v>1618.6954643125</v>
      </c>
      <c r="O82" s="441">
        <f t="shared" si="19"/>
        <v>1487.4498861249999</v>
      </c>
      <c r="P82" s="441">
        <f t="shared" si="19"/>
        <v>2012.4321988749998</v>
      </c>
      <c r="Q82" s="441">
        <f t="shared" si="19"/>
        <v>962.46757337499992</v>
      </c>
      <c r="R82" s="442"/>
    </row>
    <row r="85" spans="1:18" ht="15" customHeight="1">
      <c r="A85" s="427" t="s">
        <v>1279</v>
      </c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4"/>
    </row>
    <row r="86" spans="1:18" ht="15" customHeight="1">
      <c r="A86" s="428" t="s">
        <v>1243</v>
      </c>
      <c r="B86" s="73" t="s">
        <v>1268</v>
      </c>
      <c r="C86" s="73"/>
      <c r="D86" s="73"/>
      <c r="E86" s="73"/>
      <c r="F86" s="73"/>
      <c r="G86" s="73"/>
      <c r="H86" s="73"/>
      <c r="I86" s="73" t="s">
        <v>1269</v>
      </c>
      <c r="J86" s="73"/>
      <c r="K86" s="73"/>
      <c r="L86" s="73"/>
      <c r="M86" s="73"/>
      <c r="N86" s="73"/>
      <c r="O86" s="73"/>
      <c r="P86" s="73"/>
      <c r="Q86" s="73"/>
      <c r="R86" s="183"/>
    </row>
    <row r="87" spans="1:18" ht="15" customHeight="1">
      <c r="A87" s="428"/>
      <c r="B87" s="73" t="s">
        <v>1247</v>
      </c>
      <c r="C87" s="73" t="s">
        <v>1267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183"/>
    </row>
    <row r="88" spans="1:18" ht="15" customHeight="1">
      <c r="A88" s="428"/>
      <c r="B88" s="73">
        <v>10</v>
      </c>
      <c r="C88" s="73">
        <v>15</v>
      </c>
      <c r="D88" s="73">
        <v>20</v>
      </c>
      <c r="E88" s="73">
        <v>25</v>
      </c>
      <c r="F88" s="73">
        <v>30</v>
      </c>
      <c r="G88" s="73">
        <v>35</v>
      </c>
      <c r="H88" s="73"/>
      <c r="I88" s="73">
        <v>10</v>
      </c>
      <c r="J88" s="73">
        <v>15</v>
      </c>
      <c r="K88" s="73">
        <v>20</v>
      </c>
      <c r="L88" s="73">
        <v>25</v>
      </c>
      <c r="M88" s="73">
        <v>30</v>
      </c>
      <c r="N88" s="73">
        <v>35</v>
      </c>
      <c r="O88" s="73"/>
      <c r="P88" s="73"/>
      <c r="Q88" s="73"/>
      <c r="R88" s="183"/>
    </row>
    <row r="89" spans="1:18" ht="15" customHeight="1">
      <c r="A89" s="428" t="s">
        <v>28</v>
      </c>
      <c r="B89" s="73">
        <v>17</v>
      </c>
      <c r="C89" s="73">
        <v>18</v>
      </c>
      <c r="D89" s="73">
        <v>19</v>
      </c>
      <c r="E89" s="73">
        <v>20</v>
      </c>
      <c r="F89" s="73">
        <v>21</v>
      </c>
      <c r="G89" s="73">
        <v>22</v>
      </c>
      <c r="H89" s="73"/>
      <c r="I89" s="73">
        <v>17</v>
      </c>
      <c r="J89" s="73">
        <v>18</v>
      </c>
      <c r="K89" s="73">
        <v>19</v>
      </c>
      <c r="L89" s="73">
        <v>20</v>
      </c>
      <c r="M89" s="73">
        <v>21</v>
      </c>
      <c r="N89" s="73">
        <v>22</v>
      </c>
      <c r="O89" s="73"/>
      <c r="P89" s="73"/>
      <c r="Q89" s="73"/>
      <c r="R89" s="183"/>
    </row>
    <row r="90" spans="1:18" ht="15" customHeight="1">
      <c r="A90" s="428" t="s">
        <v>1244</v>
      </c>
      <c r="B90" s="73">
        <v>24</v>
      </c>
      <c r="C90" s="73">
        <v>25</v>
      </c>
      <c r="D90" s="73">
        <v>26</v>
      </c>
      <c r="E90" s="73">
        <v>27</v>
      </c>
      <c r="F90" s="73">
        <v>28</v>
      </c>
      <c r="G90" s="73">
        <v>29</v>
      </c>
      <c r="H90" s="73"/>
      <c r="I90" s="73">
        <v>43</v>
      </c>
      <c r="J90" s="73">
        <v>44</v>
      </c>
      <c r="K90" s="73">
        <v>45</v>
      </c>
      <c r="L90" s="73">
        <v>46</v>
      </c>
      <c r="M90" s="73">
        <v>47</v>
      </c>
      <c r="N90" s="73">
        <v>48</v>
      </c>
      <c r="O90" s="73"/>
      <c r="P90" s="73"/>
      <c r="Q90" s="73"/>
      <c r="R90" s="183"/>
    </row>
    <row r="91" spans="1:18" ht="15" customHeight="1">
      <c r="A91" s="428" t="s">
        <v>1245</v>
      </c>
      <c r="B91" s="73">
        <v>28</v>
      </c>
      <c r="C91" s="73">
        <v>29</v>
      </c>
      <c r="D91" s="73">
        <v>30</v>
      </c>
      <c r="E91" s="73">
        <v>31</v>
      </c>
      <c r="F91" s="73">
        <v>32</v>
      </c>
      <c r="G91" s="73">
        <v>33</v>
      </c>
      <c r="H91" s="73"/>
      <c r="I91" s="73">
        <v>62</v>
      </c>
      <c r="J91" s="73">
        <v>63</v>
      </c>
      <c r="K91" s="73">
        <v>64</v>
      </c>
      <c r="L91" s="73">
        <v>65</v>
      </c>
      <c r="M91" s="73">
        <v>66</v>
      </c>
      <c r="N91" s="73">
        <v>67</v>
      </c>
      <c r="O91" s="73"/>
      <c r="P91" s="73"/>
      <c r="Q91" s="73"/>
      <c r="R91" s="183"/>
    </row>
    <row r="92" spans="1:18" ht="15" customHeight="1">
      <c r="A92" s="428" t="s">
        <v>1246</v>
      </c>
      <c r="B92" s="73">
        <v>26</v>
      </c>
      <c r="C92" s="73">
        <v>27</v>
      </c>
      <c r="D92" s="73">
        <v>28</v>
      </c>
      <c r="E92" s="73">
        <v>29</v>
      </c>
      <c r="F92" s="73">
        <v>30</v>
      </c>
      <c r="G92" s="73">
        <v>31</v>
      </c>
      <c r="H92" s="73"/>
      <c r="I92" s="73">
        <v>53</v>
      </c>
      <c r="J92" s="73">
        <v>54</v>
      </c>
      <c r="K92" s="73">
        <v>55</v>
      </c>
      <c r="L92" s="73">
        <v>56</v>
      </c>
      <c r="M92" s="73">
        <v>57</v>
      </c>
      <c r="N92" s="73">
        <v>58</v>
      </c>
      <c r="O92" s="73"/>
      <c r="P92" s="73"/>
      <c r="Q92" s="73"/>
      <c r="R92" s="183"/>
    </row>
    <row r="93" spans="1:18" ht="15" customHeight="1">
      <c r="A93" s="428" t="s">
        <v>30</v>
      </c>
      <c r="B93" s="73">
        <v>20</v>
      </c>
      <c r="C93" s="73">
        <v>21</v>
      </c>
      <c r="D93" s="73">
        <v>22</v>
      </c>
      <c r="E93" s="73">
        <v>23</v>
      </c>
      <c r="F93" s="73">
        <v>24</v>
      </c>
      <c r="G93" s="73">
        <v>25</v>
      </c>
      <c r="H93" s="73"/>
      <c r="I93" s="73">
        <v>30</v>
      </c>
      <c r="J93" s="73">
        <v>31</v>
      </c>
      <c r="K93" s="73">
        <v>32</v>
      </c>
      <c r="L93" s="73">
        <v>33</v>
      </c>
      <c r="M93" s="73">
        <v>34</v>
      </c>
      <c r="N93" s="73">
        <v>35</v>
      </c>
      <c r="O93" s="73"/>
      <c r="P93" s="73"/>
      <c r="Q93" s="73"/>
      <c r="R93" s="183"/>
    </row>
    <row r="94" spans="1:18" ht="15" customHeight="1">
      <c r="A94" s="428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183"/>
    </row>
    <row r="95" spans="1:18" ht="15" customHeight="1">
      <c r="A95" s="428" t="s">
        <v>28</v>
      </c>
      <c r="B95" s="73">
        <f>$B$89+(B24-$B$88)/5</f>
        <v>13.8</v>
      </c>
      <c r="C95" s="73">
        <f t="shared" ref="C95:Q95" si="20">$B$89+(C24-$B$88)/5</f>
        <v>19.2</v>
      </c>
      <c r="D95" s="73">
        <f t="shared" si="20"/>
        <v>16</v>
      </c>
      <c r="E95" s="73">
        <f t="shared" si="20"/>
        <v>17.8</v>
      </c>
      <c r="F95" s="73">
        <f t="shared" si="20"/>
        <v>16.399999999999999</v>
      </c>
      <c r="G95" s="73">
        <f t="shared" si="20"/>
        <v>16.2</v>
      </c>
      <c r="H95" s="73">
        <f t="shared" si="20"/>
        <v>16.399999999999999</v>
      </c>
      <c r="I95" s="73">
        <f t="shared" si="20"/>
        <v>18.2</v>
      </c>
      <c r="J95" s="73">
        <f t="shared" si="20"/>
        <v>19</v>
      </c>
      <c r="K95" s="73">
        <f t="shared" si="20"/>
        <v>19.8</v>
      </c>
      <c r="L95" s="73">
        <f t="shared" si="20"/>
        <v>20.399999999999999</v>
      </c>
      <c r="M95" s="73">
        <f t="shared" si="20"/>
        <v>19.399999999999999</v>
      </c>
      <c r="N95" s="73">
        <f t="shared" si="20"/>
        <v>20.2</v>
      </c>
      <c r="O95" s="73">
        <f t="shared" si="20"/>
        <v>19.600000000000001</v>
      </c>
      <c r="P95" s="73">
        <f t="shared" si="20"/>
        <v>22</v>
      </c>
      <c r="Q95" s="73">
        <f t="shared" si="20"/>
        <v>16.2</v>
      </c>
      <c r="R95" s="183"/>
    </row>
    <row r="96" spans="1:18" ht="15" customHeight="1">
      <c r="A96" s="428" t="s">
        <v>1244</v>
      </c>
      <c r="B96" s="73">
        <f t="shared" ref="B96:Q96" si="21">$B$90+(B24-$B$88)/5</f>
        <v>20.8</v>
      </c>
      <c r="C96" s="73">
        <f t="shared" si="21"/>
        <v>26.2</v>
      </c>
      <c r="D96" s="73">
        <f t="shared" si="21"/>
        <v>23</v>
      </c>
      <c r="E96" s="73">
        <f t="shared" si="21"/>
        <v>24.8</v>
      </c>
      <c r="F96" s="73">
        <f t="shared" si="21"/>
        <v>23.4</v>
      </c>
      <c r="G96" s="73">
        <f t="shared" si="21"/>
        <v>23.2</v>
      </c>
      <c r="H96" s="73">
        <f t="shared" si="21"/>
        <v>23.4</v>
      </c>
      <c r="I96" s="73">
        <f t="shared" si="21"/>
        <v>25.2</v>
      </c>
      <c r="J96" s="73">
        <f t="shared" si="21"/>
        <v>26</v>
      </c>
      <c r="K96" s="73">
        <f t="shared" si="21"/>
        <v>26.8</v>
      </c>
      <c r="L96" s="73">
        <f t="shared" si="21"/>
        <v>27.4</v>
      </c>
      <c r="M96" s="73">
        <f t="shared" si="21"/>
        <v>26.4</v>
      </c>
      <c r="N96" s="73">
        <f t="shared" si="21"/>
        <v>27.2</v>
      </c>
      <c r="O96" s="73">
        <f t="shared" si="21"/>
        <v>26.6</v>
      </c>
      <c r="P96" s="73">
        <f t="shared" si="21"/>
        <v>29</v>
      </c>
      <c r="Q96" s="73">
        <f t="shared" si="21"/>
        <v>23.2</v>
      </c>
      <c r="R96" s="183"/>
    </row>
    <row r="97" spans="1:18" ht="15" customHeight="1">
      <c r="A97" s="428" t="s">
        <v>1245</v>
      </c>
      <c r="B97" s="73">
        <f t="shared" ref="B97:Q97" si="22">$B$91+(B24-$B$88)/5</f>
        <v>24.8</v>
      </c>
      <c r="C97" s="73">
        <f t="shared" si="22"/>
        <v>30.2</v>
      </c>
      <c r="D97" s="73">
        <f t="shared" si="22"/>
        <v>27</v>
      </c>
      <c r="E97" s="73">
        <f t="shared" si="22"/>
        <v>28.8</v>
      </c>
      <c r="F97" s="73">
        <f t="shared" si="22"/>
        <v>27.4</v>
      </c>
      <c r="G97" s="73">
        <f t="shared" si="22"/>
        <v>27.2</v>
      </c>
      <c r="H97" s="73">
        <f t="shared" si="22"/>
        <v>27.4</v>
      </c>
      <c r="I97" s="73">
        <f t="shared" si="22"/>
        <v>29.2</v>
      </c>
      <c r="J97" s="73">
        <f t="shared" si="22"/>
        <v>30</v>
      </c>
      <c r="K97" s="73">
        <f t="shared" si="22"/>
        <v>30.8</v>
      </c>
      <c r="L97" s="73">
        <f t="shared" si="22"/>
        <v>31.4</v>
      </c>
      <c r="M97" s="73">
        <f t="shared" si="22"/>
        <v>30.4</v>
      </c>
      <c r="N97" s="73">
        <f t="shared" si="22"/>
        <v>31.2</v>
      </c>
      <c r="O97" s="73">
        <f t="shared" si="22"/>
        <v>30.6</v>
      </c>
      <c r="P97" s="73">
        <f t="shared" si="22"/>
        <v>33</v>
      </c>
      <c r="Q97" s="73">
        <f t="shared" si="22"/>
        <v>27.2</v>
      </c>
      <c r="R97" s="183"/>
    </row>
    <row r="98" spans="1:18" ht="15" customHeight="1">
      <c r="A98" s="428" t="s">
        <v>1246</v>
      </c>
      <c r="B98" s="73">
        <f t="shared" ref="B98:Q98" si="23">$B$92+(B24-$B$88)/5</f>
        <v>22.8</v>
      </c>
      <c r="C98" s="73">
        <f t="shared" si="23"/>
        <v>28.2</v>
      </c>
      <c r="D98" s="73">
        <f t="shared" si="23"/>
        <v>25</v>
      </c>
      <c r="E98" s="73">
        <f t="shared" si="23"/>
        <v>26.8</v>
      </c>
      <c r="F98" s="73">
        <f t="shared" si="23"/>
        <v>25.4</v>
      </c>
      <c r="G98" s="73">
        <f t="shared" si="23"/>
        <v>25.2</v>
      </c>
      <c r="H98" s="73">
        <f t="shared" si="23"/>
        <v>25.4</v>
      </c>
      <c r="I98" s="73">
        <f t="shared" si="23"/>
        <v>27.2</v>
      </c>
      <c r="J98" s="73">
        <f t="shared" si="23"/>
        <v>28</v>
      </c>
      <c r="K98" s="73">
        <f t="shared" si="23"/>
        <v>28.8</v>
      </c>
      <c r="L98" s="73">
        <f t="shared" si="23"/>
        <v>29.4</v>
      </c>
      <c r="M98" s="73">
        <f t="shared" si="23"/>
        <v>28.4</v>
      </c>
      <c r="N98" s="73">
        <f t="shared" si="23"/>
        <v>29.2</v>
      </c>
      <c r="O98" s="73">
        <f t="shared" si="23"/>
        <v>28.6</v>
      </c>
      <c r="P98" s="73">
        <f t="shared" si="23"/>
        <v>31</v>
      </c>
      <c r="Q98" s="73">
        <f t="shared" si="23"/>
        <v>25.2</v>
      </c>
      <c r="R98" s="183"/>
    </row>
    <row r="99" spans="1:18" ht="15" customHeight="1">
      <c r="A99" s="428" t="s">
        <v>30</v>
      </c>
      <c r="B99" s="73">
        <f t="shared" ref="B99:Q99" si="24">$B$93+(B24-$B$88)/5</f>
        <v>16.8</v>
      </c>
      <c r="C99" s="73">
        <f t="shared" si="24"/>
        <v>22.2</v>
      </c>
      <c r="D99" s="73">
        <f t="shared" si="24"/>
        <v>19</v>
      </c>
      <c r="E99" s="73">
        <f t="shared" si="24"/>
        <v>20.8</v>
      </c>
      <c r="F99" s="73">
        <f t="shared" si="24"/>
        <v>19.399999999999999</v>
      </c>
      <c r="G99" s="73">
        <f t="shared" si="24"/>
        <v>19.2</v>
      </c>
      <c r="H99" s="73">
        <f t="shared" si="24"/>
        <v>19.399999999999999</v>
      </c>
      <c r="I99" s="73">
        <f t="shared" si="24"/>
        <v>21.2</v>
      </c>
      <c r="J99" s="73">
        <f t="shared" si="24"/>
        <v>22</v>
      </c>
      <c r="K99" s="73">
        <f t="shared" si="24"/>
        <v>22.8</v>
      </c>
      <c r="L99" s="73">
        <f t="shared" si="24"/>
        <v>23.4</v>
      </c>
      <c r="M99" s="73">
        <f t="shared" si="24"/>
        <v>22.4</v>
      </c>
      <c r="N99" s="73">
        <f t="shared" si="24"/>
        <v>23.2</v>
      </c>
      <c r="O99" s="73">
        <f t="shared" si="24"/>
        <v>22.6</v>
      </c>
      <c r="P99" s="73">
        <f t="shared" si="24"/>
        <v>25</v>
      </c>
      <c r="Q99" s="73">
        <f t="shared" si="24"/>
        <v>19.2</v>
      </c>
      <c r="R99" s="183"/>
    </row>
    <row r="100" spans="1:18" ht="15" customHeight="1">
      <c r="A100" s="428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183"/>
    </row>
    <row r="101" spans="1:18" ht="15" customHeight="1">
      <c r="A101" s="428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183"/>
    </row>
    <row r="102" spans="1:18" ht="15" customHeight="1">
      <c r="A102" s="428"/>
      <c r="B102" s="73" t="s">
        <v>1248</v>
      </c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183"/>
    </row>
    <row r="103" spans="1:18" ht="15" customHeight="1">
      <c r="A103" s="428" t="s">
        <v>28</v>
      </c>
      <c r="B103" s="439">
        <f t="shared" ref="B103:Q103" si="25">A_windowSI*(1/0.0929)/4*B95</f>
        <v>1863</v>
      </c>
      <c r="C103" s="439">
        <f t="shared" si="25"/>
        <v>2592</v>
      </c>
      <c r="D103" s="439">
        <f t="shared" si="25"/>
        <v>2160</v>
      </c>
      <c r="E103" s="439">
        <f t="shared" si="25"/>
        <v>2403</v>
      </c>
      <c r="F103" s="439">
        <f t="shared" si="25"/>
        <v>2214</v>
      </c>
      <c r="G103" s="439">
        <f t="shared" si="25"/>
        <v>2187</v>
      </c>
      <c r="H103" s="439">
        <f t="shared" si="25"/>
        <v>2214</v>
      </c>
      <c r="I103" s="439">
        <f t="shared" si="25"/>
        <v>2457</v>
      </c>
      <c r="J103" s="439">
        <f t="shared" si="25"/>
        <v>2565</v>
      </c>
      <c r="K103" s="439">
        <f t="shared" si="25"/>
        <v>2673</v>
      </c>
      <c r="L103" s="439">
        <f t="shared" si="25"/>
        <v>2754</v>
      </c>
      <c r="M103" s="439">
        <f t="shared" si="25"/>
        <v>2619</v>
      </c>
      <c r="N103" s="439">
        <f t="shared" si="25"/>
        <v>2727</v>
      </c>
      <c r="O103" s="439">
        <f t="shared" si="25"/>
        <v>2646</v>
      </c>
      <c r="P103" s="439">
        <f t="shared" si="25"/>
        <v>2970</v>
      </c>
      <c r="Q103" s="439">
        <f t="shared" si="25"/>
        <v>2187</v>
      </c>
      <c r="R103" s="440"/>
    </row>
    <row r="104" spans="1:18" ht="15" customHeight="1">
      <c r="A104" s="428" t="s">
        <v>1244</v>
      </c>
      <c r="B104" s="439">
        <v>0</v>
      </c>
      <c r="C104" s="439">
        <v>0</v>
      </c>
      <c r="D104" s="439">
        <v>0</v>
      </c>
      <c r="E104" s="439">
        <v>0</v>
      </c>
      <c r="F104" s="439">
        <v>0</v>
      </c>
      <c r="G104" s="439">
        <v>0</v>
      </c>
      <c r="H104" s="439">
        <v>0</v>
      </c>
      <c r="I104" s="439">
        <v>0</v>
      </c>
      <c r="J104" s="439">
        <v>0</v>
      </c>
      <c r="K104" s="439">
        <v>0</v>
      </c>
      <c r="L104" s="439">
        <v>0</v>
      </c>
      <c r="M104" s="439">
        <v>0</v>
      </c>
      <c r="N104" s="439">
        <v>0</v>
      </c>
      <c r="O104" s="439">
        <v>0</v>
      </c>
      <c r="P104" s="439">
        <v>0</v>
      </c>
      <c r="Q104" s="439">
        <v>0</v>
      </c>
      <c r="R104" s="440"/>
    </row>
    <row r="105" spans="1:18" ht="15" customHeight="1">
      <c r="A105" s="428" t="s">
        <v>1245</v>
      </c>
      <c r="B105" s="439">
        <f t="shared" ref="B105:Q105" si="26">A_windowSI*(1/0.0929)/2*B97</f>
        <v>6696</v>
      </c>
      <c r="C105" s="439">
        <f t="shared" si="26"/>
        <v>8154</v>
      </c>
      <c r="D105" s="439">
        <f t="shared" si="26"/>
        <v>7290</v>
      </c>
      <c r="E105" s="439">
        <f t="shared" si="26"/>
        <v>7776</v>
      </c>
      <c r="F105" s="439">
        <f t="shared" si="26"/>
        <v>7398</v>
      </c>
      <c r="G105" s="439">
        <f t="shared" si="26"/>
        <v>7344</v>
      </c>
      <c r="H105" s="439">
        <f t="shared" si="26"/>
        <v>7398</v>
      </c>
      <c r="I105" s="439">
        <f t="shared" si="26"/>
        <v>7884</v>
      </c>
      <c r="J105" s="439">
        <f t="shared" si="26"/>
        <v>8100</v>
      </c>
      <c r="K105" s="439">
        <f t="shared" si="26"/>
        <v>8316</v>
      </c>
      <c r="L105" s="439">
        <f t="shared" si="26"/>
        <v>8478</v>
      </c>
      <c r="M105" s="439">
        <f t="shared" si="26"/>
        <v>8208</v>
      </c>
      <c r="N105" s="439">
        <f t="shared" si="26"/>
        <v>8424</v>
      </c>
      <c r="O105" s="439">
        <f t="shared" si="26"/>
        <v>8262</v>
      </c>
      <c r="P105" s="439">
        <f t="shared" si="26"/>
        <v>8910</v>
      </c>
      <c r="Q105" s="439">
        <f t="shared" si="26"/>
        <v>7344</v>
      </c>
      <c r="R105" s="440"/>
    </row>
    <row r="106" spans="1:18" ht="15" customHeight="1">
      <c r="A106" s="428" t="s">
        <v>1246</v>
      </c>
      <c r="B106" s="439">
        <v>0</v>
      </c>
      <c r="C106" s="439">
        <v>0</v>
      </c>
      <c r="D106" s="439">
        <v>0</v>
      </c>
      <c r="E106" s="439">
        <v>0</v>
      </c>
      <c r="F106" s="439">
        <v>0</v>
      </c>
      <c r="G106" s="439">
        <v>0</v>
      </c>
      <c r="H106" s="439">
        <v>0</v>
      </c>
      <c r="I106" s="439">
        <v>0</v>
      </c>
      <c r="J106" s="439">
        <v>0</v>
      </c>
      <c r="K106" s="439">
        <v>0</v>
      </c>
      <c r="L106" s="439">
        <v>0</v>
      </c>
      <c r="M106" s="439">
        <v>0</v>
      </c>
      <c r="N106" s="439">
        <v>0</v>
      </c>
      <c r="O106" s="439">
        <v>0</v>
      </c>
      <c r="P106" s="439">
        <v>0</v>
      </c>
      <c r="Q106" s="439">
        <v>0</v>
      </c>
      <c r="R106" s="440"/>
    </row>
    <row r="107" spans="1:18" ht="15" customHeight="1">
      <c r="A107" s="429" t="s">
        <v>30</v>
      </c>
      <c r="B107" s="441">
        <f t="shared" ref="B107:Q107" si="27">A_windowSI*(1/0.0929)/4*B99</f>
        <v>2268</v>
      </c>
      <c r="C107" s="441">
        <f t="shared" si="27"/>
        <v>2997</v>
      </c>
      <c r="D107" s="441">
        <f t="shared" si="27"/>
        <v>2565</v>
      </c>
      <c r="E107" s="441">
        <f t="shared" si="27"/>
        <v>2808</v>
      </c>
      <c r="F107" s="441">
        <f t="shared" si="27"/>
        <v>2619</v>
      </c>
      <c r="G107" s="441">
        <f t="shared" si="27"/>
        <v>2592</v>
      </c>
      <c r="H107" s="441">
        <f t="shared" si="27"/>
        <v>2619</v>
      </c>
      <c r="I107" s="441">
        <f t="shared" si="27"/>
        <v>2862</v>
      </c>
      <c r="J107" s="441">
        <f t="shared" si="27"/>
        <v>2970</v>
      </c>
      <c r="K107" s="441">
        <f t="shared" si="27"/>
        <v>3078</v>
      </c>
      <c r="L107" s="441">
        <f t="shared" si="27"/>
        <v>3159</v>
      </c>
      <c r="M107" s="441">
        <f t="shared" si="27"/>
        <v>3024</v>
      </c>
      <c r="N107" s="441">
        <f t="shared" si="27"/>
        <v>3132</v>
      </c>
      <c r="O107" s="441">
        <f t="shared" si="27"/>
        <v>3051</v>
      </c>
      <c r="P107" s="441">
        <f t="shared" si="27"/>
        <v>3375</v>
      </c>
      <c r="Q107" s="441">
        <f t="shared" si="27"/>
        <v>2592</v>
      </c>
      <c r="R107" s="442"/>
    </row>
    <row r="109" spans="1:18" ht="15" customHeight="1">
      <c r="A109" s="427" t="s">
        <v>1266</v>
      </c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4"/>
    </row>
    <row r="110" spans="1:18" ht="15" customHeight="1">
      <c r="A110" s="428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183"/>
    </row>
    <row r="111" spans="1:18" ht="15" customHeight="1">
      <c r="A111" s="428" t="s">
        <v>1271</v>
      </c>
      <c r="B111" s="439">
        <f t="shared" ref="B111:Q111" si="28">Noccupants*300</f>
        <v>1800</v>
      </c>
      <c r="C111" s="439">
        <f t="shared" si="28"/>
        <v>1800</v>
      </c>
      <c r="D111" s="439">
        <f t="shared" si="28"/>
        <v>1800</v>
      </c>
      <c r="E111" s="439">
        <f t="shared" si="28"/>
        <v>1800</v>
      </c>
      <c r="F111" s="439">
        <f t="shared" si="28"/>
        <v>1800</v>
      </c>
      <c r="G111" s="439">
        <f t="shared" si="28"/>
        <v>1800</v>
      </c>
      <c r="H111" s="439">
        <f t="shared" si="28"/>
        <v>1800</v>
      </c>
      <c r="I111" s="439">
        <f t="shared" si="28"/>
        <v>1800</v>
      </c>
      <c r="J111" s="439">
        <f t="shared" si="28"/>
        <v>1800</v>
      </c>
      <c r="K111" s="439">
        <f t="shared" si="28"/>
        <v>1800</v>
      </c>
      <c r="L111" s="439">
        <f t="shared" si="28"/>
        <v>1800</v>
      </c>
      <c r="M111" s="439">
        <f t="shared" si="28"/>
        <v>1800</v>
      </c>
      <c r="N111" s="439">
        <f t="shared" si="28"/>
        <v>1800</v>
      </c>
      <c r="O111" s="439">
        <f t="shared" si="28"/>
        <v>1800</v>
      </c>
      <c r="P111" s="439">
        <f t="shared" si="28"/>
        <v>1800</v>
      </c>
      <c r="Q111" s="439">
        <f t="shared" si="28"/>
        <v>1800</v>
      </c>
      <c r="R111" s="440"/>
    </row>
    <row r="112" spans="1:18" ht="15" customHeight="1">
      <c r="A112" s="428" t="s">
        <v>1272</v>
      </c>
      <c r="B112" s="439">
        <f t="shared" ref="B112:Q112" si="29">Noccupants*230</f>
        <v>1380</v>
      </c>
      <c r="C112" s="439">
        <f t="shared" si="29"/>
        <v>1380</v>
      </c>
      <c r="D112" s="439">
        <f t="shared" si="29"/>
        <v>1380</v>
      </c>
      <c r="E112" s="439">
        <f t="shared" si="29"/>
        <v>1380</v>
      </c>
      <c r="F112" s="439">
        <f t="shared" si="29"/>
        <v>1380</v>
      </c>
      <c r="G112" s="439">
        <f t="shared" si="29"/>
        <v>1380</v>
      </c>
      <c r="H112" s="439">
        <f t="shared" si="29"/>
        <v>1380</v>
      </c>
      <c r="I112" s="439">
        <f t="shared" si="29"/>
        <v>1380</v>
      </c>
      <c r="J112" s="439">
        <f t="shared" si="29"/>
        <v>1380</v>
      </c>
      <c r="K112" s="439">
        <f t="shared" si="29"/>
        <v>1380</v>
      </c>
      <c r="L112" s="439">
        <f t="shared" si="29"/>
        <v>1380</v>
      </c>
      <c r="M112" s="439">
        <f t="shared" si="29"/>
        <v>1380</v>
      </c>
      <c r="N112" s="439">
        <f t="shared" si="29"/>
        <v>1380</v>
      </c>
      <c r="O112" s="439">
        <f t="shared" si="29"/>
        <v>1380</v>
      </c>
      <c r="P112" s="439">
        <f t="shared" si="29"/>
        <v>1380</v>
      </c>
      <c r="Q112" s="439">
        <f t="shared" si="29"/>
        <v>1380</v>
      </c>
      <c r="R112" s="440"/>
    </row>
    <row r="113" spans="1:18" ht="15" customHeight="1">
      <c r="A113" s="429" t="s">
        <v>1249</v>
      </c>
      <c r="B113" s="441">
        <v>1200</v>
      </c>
      <c r="C113" s="441">
        <v>1200</v>
      </c>
      <c r="D113" s="441">
        <v>1200</v>
      </c>
      <c r="E113" s="441">
        <v>1200</v>
      </c>
      <c r="F113" s="441">
        <v>1200</v>
      </c>
      <c r="G113" s="441">
        <v>1200</v>
      </c>
      <c r="H113" s="441">
        <v>1200</v>
      </c>
      <c r="I113" s="441">
        <v>1200</v>
      </c>
      <c r="J113" s="441">
        <v>1200</v>
      </c>
      <c r="K113" s="441">
        <v>1200</v>
      </c>
      <c r="L113" s="441">
        <v>1200</v>
      </c>
      <c r="M113" s="441">
        <v>1200</v>
      </c>
      <c r="N113" s="441">
        <v>1200</v>
      </c>
      <c r="O113" s="441">
        <v>1200</v>
      </c>
      <c r="P113" s="441">
        <v>1200</v>
      </c>
      <c r="Q113" s="441">
        <v>1200</v>
      </c>
      <c r="R113" s="442"/>
    </row>
    <row r="114" spans="1:18" ht="15" customHeight="1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</row>
    <row r="115" spans="1:18" ht="15" customHeight="1">
      <c r="A115" s="427" t="s">
        <v>1297</v>
      </c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4"/>
    </row>
    <row r="116" spans="1:18" ht="15" customHeight="1">
      <c r="A116" s="428"/>
      <c r="B116" s="436"/>
      <c r="C116" s="436"/>
      <c r="D116" s="436"/>
      <c r="E116" s="436"/>
      <c r="F116" s="436"/>
      <c r="G116" s="436"/>
      <c r="H116" s="436"/>
      <c r="I116" s="436"/>
      <c r="J116" s="436"/>
      <c r="K116" s="436"/>
      <c r="L116" s="436"/>
      <c r="M116" s="436"/>
      <c r="N116" s="436"/>
      <c r="O116" s="436"/>
      <c r="P116" s="436"/>
      <c r="Q116" s="436"/>
      <c r="R116" s="226"/>
    </row>
    <row r="117" spans="1:18" ht="15" customHeight="1">
      <c r="A117" s="428" t="s">
        <v>1280</v>
      </c>
      <c r="B117" s="443">
        <f>SUM(B48,B80,IF(Inputs!$C$110=1,B81, B82),B103:B107,B111:B113)</f>
        <v>15185.841555191926</v>
      </c>
      <c r="C117" s="443">
        <f>SUM(C48,C80,IF(Inputs!$C$110=1,C81, C82),C103:C107,C111:C113)</f>
        <v>23663.953219645344</v>
      </c>
      <c r="D117" s="443">
        <f>SUM(D48,D80,IF(Inputs!$C$110=1,D81, D82),D103:D107,D111:D113)</f>
        <v>18743.774798181625</v>
      </c>
      <c r="E117" s="443">
        <f>SUM(E48,E80,IF(Inputs!$C$110=1,E81, E82),E103:E107,E111:E113)</f>
        <v>21190.919183444741</v>
      </c>
      <c r="F117" s="443">
        <f>SUM(F48,F80,IF(Inputs!$C$110=1,F81, F82),F103:F107,F111:F113)</f>
        <v>19467.553457934537</v>
      </c>
      <c r="G117" s="443">
        <f>SUM(G48,G80,IF(Inputs!$C$110=1,G81, G82),G103:G107,G111:G113)</f>
        <v>19878.883454700463</v>
      </c>
      <c r="H117" s="443">
        <f>SUM(H48,H80,IF(Inputs!$C$110=1,H81, H82),H103:H107,H111:H113)</f>
        <v>20269.910012407137</v>
      </c>
      <c r="I117" s="443">
        <f>SUM(I48,I80,IF(Inputs!$C$110=1,I81, I82),I103:I107,I111:I113)</f>
        <v>21970.748350913997</v>
      </c>
      <c r="J117" s="443">
        <f>SUM(J48,J80,IF(Inputs!$C$110=1,J81, J82),J103:J107,J111:J113)</f>
        <v>23967.105763282529</v>
      </c>
      <c r="K117" s="443">
        <f>SUM(K48,K80,IF(Inputs!$C$110=1,K81, K82),K103:K107,K111:K113)</f>
        <v>24780.138197569118</v>
      </c>
      <c r="L117" s="443">
        <f>SUM(L48,L80,IF(Inputs!$C$110=1,L81, L82),L103:L107,L111:L113)</f>
        <v>25779.154706831279</v>
      </c>
      <c r="M117" s="443">
        <f>SUM(M48,M80,IF(Inputs!$C$110=1,M81, M82),M103:M107,M111:M113)</f>
        <v>24004.494667139588</v>
      </c>
      <c r="N117" s="443">
        <f>SUM(N48,N80,IF(Inputs!$C$110=1,N81, N82),N103:N107,N111:N113)</f>
        <v>25466.923679822612</v>
      </c>
      <c r="O117" s="443">
        <f>SUM(O48,O80,IF(Inputs!$C$110=1,O81, O82),O103:O107,O111:O113)</f>
        <v>24322.173788584023</v>
      </c>
      <c r="P117" s="443">
        <f>SUM(P48,P80,IF(Inputs!$C$110=1,P81, P82),P103:P107,P111:P113)</f>
        <v>28652.333880030576</v>
      </c>
      <c r="Q117" s="443">
        <f>SUM(Q48,Q80,IF(Inputs!$C$110=1,Q81, Q82),Q103:Q107,Q111:Q113)</f>
        <v>18957.100955418602</v>
      </c>
      <c r="R117" s="444"/>
    </row>
    <row r="118" spans="1:18" ht="15" customHeight="1">
      <c r="A118" s="428" t="s">
        <v>1281</v>
      </c>
      <c r="B118" s="443">
        <f>SUM(B34,B43)</f>
        <v>20331.350197674015</v>
      </c>
      <c r="C118" s="443">
        <f t="shared" ref="C118:Q118" si="30">SUM(C34,C43)</f>
        <v>22608.776145492426</v>
      </c>
      <c r="D118" s="443">
        <f t="shared" si="30"/>
        <v>18954.548321605536</v>
      </c>
      <c r="E118" s="443">
        <f t="shared" si="30"/>
        <v>17655.935017672491</v>
      </c>
      <c r="F118" s="443">
        <f t="shared" si="30"/>
        <v>19531.202965978046</v>
      </c>
      <c r="G118" s="443">
        <f t="shared" si="30"/>
        <v>14487.811976547257</v>
      </c>
      <c r="H118" s="443">
        <f t="shared" si="30"/>
        <v>15100.857981656636</v>
      </c>
      <c r="I118" s="443">
        <f t="shared" si="30"/>
        <v>18354.866257276248</v>
      </c>
      <c r="J118" s="443">
        <f t="shared" si="30"/>
        <v>16085.536103065022</v>
      </c>
      <c r="K118" s="443">
        <f t="shared" si="30"/>
        <v>19379.547203385962</v>
      </c>
      <c r="L118" s="443">
        <f t="shared" si="30"/>
        <v>20942.773098936501</v>
      </c>
      <c r="M118" s="443">
        <f t="shared" si="30"/>
        <v>20931.368103321875</v>
      </c>
      <c r="N118" s="443">
        <f t="shared" si="30"/>
        <v>21003.252148729698</v>
      </c>
      <c r="O118" s="443">
        <f t="shared" si="30"/>
        <v>25266.707561365987</v>
      </c>
      <c r="P118" s="443">
        <f t="shared" si="30"/>
        <v>19333.684012545549</v>
      </c>
      <c r="Q118" s="443">
        <f t="shared" si="30"/>
        <v>25440.068999589486</v>
      </c>
      <c r="R118" s="444"/>
    </row>
    <row r="119" spans="1:18" ht="15" customHeight="1">
      <c r="A119" s="428"/>
      <c r="B119" s="435"/>
      <c r="C119" s="435"/>
      <c r="D119" s="435"/>
      <c r="E119" s="435"/>
      <c r="F119" s="435"/>
      <c r="G119" s="435"/>
      <c r="H119" s="435"/>
      <c r="I119" s="435"/>
      <c r="J119" s="435"/>
      <c r="K119" s="435"/>
      <c r="L119" s="435"/>
      <c r="M119" s="435"/>
      <c r="N119" s="435"/>
      <c r="O119" s="435"/>
      <c r="P119" s="435"/>
      <c r="Q119" s="435"/>
      <c r="R119" s="156"/>
    </row>
    <row r="120" spans="1:18" ht="15" customHeight="1">
      <c r="A120" s="428" t="s">
        <v>1282</v>
      </c>
      <c r="B120" s="435">
        <f t="shared" ref="B120:Q120" si="31">SUM(B49,B112)</f>
        <v>5182.3500807575365</v>
      </c>
      <c r="C120" s="435">
        <f t="shared" si="31"/>
        <v>4689.4646975434571</v>
      </c>
      <c r="D120" s="435">
        <f t="shared" si="31"/>
        <v>1380</v>
      </c>
      <c r="E120" s="435">
        <f t="shared" si="31"/>
        <v>3986.7075483994208</v>
      </c>
      <c r="F120" s="435">
        <f t="shared" si="31"/>
        <v>1380</v>
      </c>
      <c r="G120" s="435">
        <f t="shared" si="31"/>
        <v>1380</v>
      </c>
      <c r="H120" s="435">
        <f t="shared" si="31"/>
        <v>4214.8593720163644</v>
      </c>
      <c r="I120" s="435">
        <f t="shared" si="31"/>
        <v>1380</v>
      </c>
      <c r="J120" s="435">
        <f t="shared" si="31"/>
        <v>1380</v>
      </c>
      <c r="K120" s="435">
        <f t="shared" si="31"/>
        <v>3224.5696730808882</v>
      </c>
      <c r="L120" s="435">
        <f t="shared" si="31"/>
        <v>1380</v>
      </c>
      <c r="M120" s="435">
        <f t="shared" si="31"/>
        <v>2556.313042390289</v>
      </c>
      <c r="N120" s="435">
        <f t="shared" si="31"/>
        <v>1380</v>
      </c>
      <c r="O120" s="435">
        <f t="shared" si="31"/>
        <v>2154.631667226573</v>
      </c>
      <c r="P120" s="435">
        <f t="shared" si="31"/>
        <v>1380</v>
      </c>
      <c r="Q120" s="435">
        <f t="shared" si="31"/>
        <v>4332.3382316968818</v>
      </c>
      <c r="R120" s="156"/>
    </row>
    <row r="121" spans="1:18" ht="15" customHeight="1">
      <c r="A121" s="428" t="s">
        <v>1273</v>
      </c>
      <c r="B121" s="435">
        <f>B117/SUM(B117,B120)</f>
        <v>0.74556651010633701</v>
      </c>
      <c r="C121" s="435">
        <f t="shared" ref="C121:Q121" si="32">C117/SUM(C117,C120)</f>
        <v>0.83460672320917806</v>
      </c>
      <c r="D121" s="435">
        <f t="shared" si="32"/>
        <v>0.93142439657371356</v>
      </c>
      <c r="E121" s="435">
        <f t="shared" si="32"/>
        <v>0.84165673791020534</v>
      </c>
      <c r="F121" s="435">
        <f t="shared" si="32"/>
        <v>0.93380518233065013</v>
      </c>
      <c r="G121" s="435">
        <f t="shared" si="32"/>
        <v>0.93508596051431503</v>
      </c>
      <c r="H121" s="435">
        <f t="shared" si="32"/>
        <v>0.82785791012196597</v>
      </c>
      <c r="I121" s="435">
        <f t="shared" si="32"/>
        <v>0.9409012516746178</v>
      </c>
      <c r="J121" s="435">
        <f t="shared" si="32"/>
        <v>0.94555591423778851</v>
      </c>
      <c r="K121" s="435">
        <f t="shared" si="32"/>
        <v>0.88485615747270985</v>
      </c>
      <c r="L121" s="435">
        <f t="shared" si="32"/>
        <v>0.94918840387720571</v>
      </c>
      <c r="M121" s="435">
        <f t="shared" si="32"/>
        <v>0.90375620085254049</v>
      </c>
      <c r="N121" s="435">
        <f t="shared" si="32"/>
        <v>0.94859746254513444</v>
      </c>
      <c r="O121" s="435">
        <f t="shared" si="32"/>
        <v>0.91862191717869357</v>
      </c>
      <c r="P121" s="435">
        <f t="shared" si="32"/>
        <v>0.95404952523794351</v>
      </c>
      <c r="Q121" s="435">
        <f t="shared" si="32"/>
        <v>0.81397842185510072</v>
      </c>
      <c r="R121" s="156"/>
    </row>
    <row r="122" spans="1:18" ht="15" customHeight="1">
      <c r="A122" s="428"/>
      <c r="B122" s="435"/>
      <c r="C122" s="435"/>
      <c r="D122" s="435"/>
      <c r="E122" s="435"/>
      <c r="F122" s="435"/>
      <c r="G122" s="435"/>
      <c r="H122" s="435"/>
      <c r="I122" s="435"/>
      <c r="J122" s="435"/>
      <c r="K122" s="435"/>
      <c r="L122" s="435"/>
      <c r="M122" s="435"/>
      <c r="N122" s="435"/>
      <c r="O122" s="435"/>
      <c r="P122" s="435"/>
      <c r="Q122" s="435"/>
      <c r="R122" s="435"/>
    </row>
    <row r="123" spans="1:18" ht="15" customHeight="1">
      <c r="A123" s="428" t="s">
        <v>1283</v>
      </c>
      <c r="B123" s="447">
        <f>SUM(B117,B120)</f>
        <v>20368.191635949464</v>
      </c>
      <c r="C123" s="448">
        <f t="shared" ref="C123:Q123" si="33">SUM(C117,C120)</f>
        <v>28353.417917188803</v>
      </c>
      <c r="D123" s="448">
        <f t="shared" si="33"/>
        <v>20123.774798181625</v>
      </c>
      <c r="E123" s="448">
        <f t="shared" si="33"/>
        <v>25177.626731844161</v>
      </c>
      <c r="F123" s="448">
        <f t="shared" si="33"/>
        <v>20847.553457934537</v>
      </c>
      <c r="G123" s="448">
        <f t="shared" si="33"/>
        <v>21258.883454700463</v>
      </c>
      <c r="H123" s="448">
        <f t="shared" si="33"/>
        <v>24484.769384423504</v>
      </c>
      <c r="I123" s="448">
        <f t="shared" si="33"/>
        <v>23350.748350913997</v>
      </c>
      <c r="J123" s="448">
        <f t="shared" si="33"/>
        <v>25347.105763282529</v>
      </c>
      <c r="K123" s="448">
        <f t="shared" si="33"/>
        <v>28004.707870650007</v>
      </c>
      <c r="L123" s="448">
        <f t="shared" si="33"/>
        <v>27159.154706831279</v>
      </c>
      <c r="M123" s="448">
        <f t="shared" si="33"/>
        <v>26560.807709529876</v>
      </c>
      <c r="N123" s="448">
        <f t="shared" si="33"/>
        <v>26846.923679822612</v>
      </c>
      <c r="O123" s="448">
        <f t="shared" si="33"/>
        <v>26476.805455810594</v>
      </c>
      <c r="P123" s="448">
        <f t="shared" si="33"/>
        <v>30032.333880030576</v>
      </c>
      <c r="Q123" s="448">
        <f t="shared" si="33"/>
        <v>23289.439187115484</v>
      </c>
      <c r="R123" s="449"/>
    </row>
    <row r="124" spans="1:18" ht="15" customHeight="1">
      <c r="A124" s="429" t="s">
        <v>1284</v>
      </c>
      <c r="B124" s="450">
        <f>B118</f>
        <v>20331.350197674015</v>
      </c>
      <c r="C124" s="445">
        <f t="shared" ref="C124:Q124" si="34">C118</f>
        <v>22608.776145492426</v>
      </c>
      <c r="D124" s="445">
        <f t="shared" si="34"/>
        <v>18954.548321605536</v>
      </c>
      <c r="E124" s="445">
        <f t="shared" si="34"/>
        <v>17655.935017672491</v>
      </c>
      <c r="F124" s="445">
        <f t="shared" si="34"/>
        <v>19531.202965978046</v>
      </c>
      <c r="G124" s="445">
        <f t="shared" si="34"/>
        <v>14487.811976547257</v>
      </c>
      <c r="H124" s="445">
        <f t="shared" si="34"/>
        <v>15100.857981656636</v>
      </c>
      <c r="I124" s="445">
        <f t="shared" si="34"/>
        <v>18354.866257276248</v>
      </c>
      <c r="J124" s="445">
        <f t="shared" si="34"/>
        <v>16085.536103065022</v>
      </c>
      <c r="K124" s="445">
        <f t="shared" si="34"/>
        <v>19379.547203385962</v>
      </c>
      <c r="L124" s="445">
        <f t="shared" si="34"/>
        <v>20942.773098936501</v>
      </c>
      <c r="M124" s="445">
        <f t="shared" si="34"/>
        <v>20931.368103321875</v>
      </c>
      <c r="N124" s="445">
        <f t="shared" si="34"/>
        <v>21003.252148729698</v>
      </c>
      <c r="O124" s="445">
        <f t="shared" si="34"/>
        <v>25266.707561365987</v>
      </c>
      <c r="P124" s="445">
        <f t="shared" si="34"/>
        <v>19333.684012545549</v>
      </c>
      <c r="Q124" s="445">
        <f t="shared" si="34"/>
        <v>25440.068999589486</v>
      </c>
      <c r="R124" s="446"/>
    </row>
    <row r="127" spans="1:18" ht="15" customHeight="1">
      <c r="A127" s="427" t="s">
        <v>1296</v>
      </c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  <c r="L127" s="433"/>
      <c r="M127" s="433"/>
      <c r="N127" s="433"/>
      <c r="O127" s="433"/>
      <c r="P127" s="433"/>
      <c r="Q127" s="433"/>
      <c r="R127" s="434"/>
    </row>
    <row r="128" spans="1:18" ht="15" customHeight="1">
      <c r="A128" s="452" t="s">
        <v>1298</v>
      </c>
      <c r="B128" s="435">
        <f t="shared" ref="B128:Q128" si="35">CEILING((B123/12000), 0.5)</f>
        <v>2</v>
      </c>
      <c r="C128" s="435">
        <f t="shared" si="35"/>
        <v>2.5</v>
      </c>
      <c r="D128" s="435">
        <f t="shared" si="35"/>
        <v>2</v>
      </c>
      <c r="E128" s="435">
        <f t="shared" si="35"/>
        <v>2.5</v>
      </c>
      <c r="F128" s="435">
        <f t="shared" si="35"/>
        <v>2</v>
      </c>
      <c r="G128" s="435">
        <f t="shared" si="35"/>
        <v>2</v>
      </c>
      <c r="H128" s="435">
        <f t="shared" si="35"/>
        <v>2.5</v>
      </c>
      <c r="I128" s="435">
        <f t="shared" si="35"/>
        <v>2</v>
      </c>
      <c r="J128" s="435">
        <f t="shared" si="35"/>
        <v>2.5</v>
      </c>
      <c r="K128" s="435">
        <f t="shared" si="35"/>
        <v>2.5</v>
      </c>
      <c r="L128" s="435">
        <f t="shared" si="35"/>
        <v>2.5</v>
      </c>
      <c r="M128" s="435">
        <f t="shared" si="35"/>
        <v>2.5</v>
      </c>
      <c r="N128" s="435">
        <f t="shared" si="35"/>
        <v>2.5</v>
      </c>
      <c r="O128" s="435">
        <f t="shared" si="35"/>
        <v>2.5</v>
      </c>
      <c r="P128" s="435">
        <f t="shared" si="35"/>
        <v>3</v>
      </c>
      <c r="Q128" s="435">
        <f t="shared" si="35"/>
        <v>2</v>
      </c>
      <c r="R128" s="156"/>
    </row>
    <row r="129" spans="1:19" ht="15" customHeight="1">
      <c r="A129" s="452" t="s">
        <v>1299</v>
      </c>
      <c r="B129" s="435">
        <f t="shared" ref="B129:Q129" si="36">CEILING((B124/12000),0.5)</f>
        <v>2</v>
      </c>
      <c r="C129" s="435">
        <f t="shared" si="36"/>
        <v>2</v>
      </c>
      <c r="D129" s="435">
        <f t="shared" si="36"/>
        <v>2</v>
      </c>
      <c r="E129" s="435">
        <f t="shared" si="36"/>
        <v>1.5</v>
      </c>
      <c r="F129" s="435">
        <f t="shared" si="36"/>
        <v>2</v>
      </c>
      <c r="G129" s="435">
        <f t="shared" si="36"/>
        <v>1.5</v>
      </c>
      <c r="H129" s="435">
        <f t="shared" si="36"/>
        <v>1.5</v>
      </c>
      <c r="I129" s="435">
        <f t="shared" si="36"/>
        <v>2</v>
      </c>
      <c r="J129" s="435">
        <f t="shared" si="36"/>
        <v>1.5</v>
      </c>
      <c r="K129" s="435">
        <f t="shared" si="36"/>
        <v>2</v>
      </c>
      <c r="L129" s="435">
        <f t="shared" si="36"/>
        <v>2</v>
      </c>
      <c r="M129" s="435">
        <f t="shared" si="36"/>
        <v>2</v>
      </c>
      <c r="N129" s="435">
        <f t="shared" si="36"/>
        <v>2</v>
      </c>
      <c r="O129" s="435">
        <f t="shared" si="36"/>
        <v>2.5</v>
      </c>
      <c r="P129" s="435">
        <f t="shared" si="36"/>
        <v>2</v>
      </c>
      <c r="Q129" s="435">
        <f t="shared" si="36"/>
        <v>2.5</v>
      </c>
      <c r="R129" s="156"/>
    </row>
    <row r="130" spans="1:19" ht="15" customHeight="1">
      <c r="A130" s="428" t="s">
        <v>1300</v>
      </c>
      <c r="B130" s="435">
        <f t="shared" ref="B130:Q130" si="37">400*B128</f>
        <v>800</v>
      </c>
      <c r="C130" s="435">
        <f t="shared" si="37"/>
        <v>1000</v>
      </c>
      <c r="D130" s="435">
        <f t="shared" si="37"/>
        <v>800</v>
      </c>
      <c r="E130" s="435">
        <f t="shared" si="37"/>
        <v>1000</v>
      </c>
      <c r="F130" s="435">
        <f t="shared" si="37"/>
        <v>800</v>
      </c>
      <c r="G130" s="435">
        <f t="shared" si="37"/>
        <v>800</v>
      </c>
      <c r="H130" s="435">
        <f t="shared" si="37"/>
        <v>1000</v>
      </c>
      <c r="I130" s="435">
        <f t="shared" si="37"/>
        <v>800</v>
      </c>
      <c r="J130" s="435">
        <f t="shared" si="37"/>
        <v>1000</v>
      </c>
      <c r="K130" s="435">
        <f t="shared" si="37"/>
        <v>1000</v>
      </c>
      <c r="L130" s="435">
        <f t="shared" si="37"/>
        <v>1000</v>
      </c>
      <c r="M130" s="435">
        <f t="shared" si="37"/>
        <v>1000</v>
      </c>
      <c r="N130" s="435">
        <f t="shared" si="37"/>
        <v>1000</v>
      </c>
      <c r="O130" s="435">
        <f t="shared" si="37"/>
        <v>1000</v>
      </c>
      <c r="P130" s="435">
        <f t="shared" si="37"/>
        <v>1200</v>
      </c>
      <c r="Q130" s="435">
        <f t="shared" si="37"/>
        <v>800</v>
      </c>
      <c r="R130" s="156"/>
      <c r="S130" s="222" t="s">
        <v>1274</v>
      </c>
    </row>
    <row r="131" spans="1:19" ht="15" customHeight="1">
      <c r="A131" s="428" t="s">
        <v>1301</v>
      </c>
      <c r="B131" s="435">
        <f t="shared" ref="B131:Q131" si="38">B129*12000/1000*16.8</f>
        <v>403.20000000000005</v>
      </c>
      <c r="C131" s="435">
        <f t="shared" si="38"/>
        <v>403.20000000000005</v>
      </c>
      <c r="D131" s="435">
        <f t="shared" si="38"/>
        <v>403.20000000000005</v>
      </c>
      <c r="E131" s="435">
        <f t="shared" si="38"/>
        <v>302.40000000000003</v>
      </c>
      <c r="F131" s="435">
        <f t="shared" si="38"/>
        <v>403.20000000000005</v>
      </c>
      <c r="G131" s="435">
        <f t="shared" si="38"/>
        <v>302.40000000000003</v>
      </c>
      <c r="H131" s="435">
        <f t="shared" si="38"/>
        <v>302.40000000000003</v>
      </c>
      <c r="I131" s="435">
        <f t="shared" si="38"/>
        <v>403.20000000000005</v>
      </c>
      <c r="J131" s="435">
        <f t="shared" si="38"/>
        <v>302.40000000000003</v>
      </c>
      <c r="K131" s="435">
        <f t="shared" si="38"/>
        <v>403.20000000000005</v>
      </c>
      <c r="L131" s="435">
        <f t="shared" si="38"/>
        <v>403.20000000000005</v>
      </c>
      <c r="M131" s="435">
        <f t="shared" si="38"/>
        <v>403.20000000000005</v>
      </c>
      <c r="N131" s="435">
        <f t="shared" si="38"/>
        <v>403.20000000000005</v>
      </c>
      <c r="O131" s="435">
        <f t="shared" si="38"/>
        <v>504</v>
      </c>
      <c r="P131" s="435">
        <f t="shared" si="38"/>
        <v>403.20000000000005</v>
      </c>
      <c r="Q131" s="435">
        <f t="shared" si="38"/>
        <v>504</v>
      </c>
      <c r="R131" s="156"/>
      <c r="S131" s="222" t="s">
        <v>1275</v>
      </c>
    </row>
    <row r="132" spans="1:19" ht="15" customHeight="1">
      <c r="A132" s="428" t="s">
        <v>1276</v>
      </c>
      <c r="B132" s="435">
        <f>IF(B131/B130&lt;0.5,0.5*B130/B131,IF(B131/B130&gt;1.5,1.5*B130/B131,1))</f>
        <v>1</v>
      </c>
      <c r="C132" s="435">
        <f t="shared" ref="C132:Q132" si="39">IF(C131/C130&lt;0.5,0.5*C130/C131,IF(C131/C130&gt;1.5,1.5*C130/C131,1))</f>
        <v>1.2400793650793649</v>
      </c>
      <c r="D132" s="435">
        <f t="shared" si="39"/>
        <v>1</v>
      </c>
      <c r="E132" s="435">
        <f t="shared" si="39"/>
        <v>1.6534391534391533</v>
      </c>
      <c r="F132" s="435">
        <f t="shared" si="39"/>
        <v>1</v>
      </c>
      <c r="G132" s="435">
        <f t="shared" si="39"/>
        <v>1.3227513227513226</v>
      </c>
      <c r="H132" s="435">
        <f t="shared" si="39"/>
        <v>1.6534391534391533</v>
      </c>
      <c r="I132" s="435">
        <f t="shared" si="39"/>
        <v>1</v>
      </c>
      <c r="J132" s="435">
        <f t="shared" si="39"/>
        <v>1.6534391534391533</v>
      </c>
      <c r="K132" s="435">
        <f t="shared" si="39"/>
        <v>1.2400793650793649</v>
      </c>
      <c r="L132" s="435">
        <f t="shared" si="39"/>
        <v>1.2400793650793649</v>
      </c>
      <c r="M132" s="435">
        <f t="shared" si="39"/>
        <v>1.2400793650793649</v>
      </c>
      <c r="N132" s="435">
        <f t="shared" si="39"/>
        <v>1.2400793650793649</v>
      </c>
      <c r="O132" s="435">
        <f t="shared" si="39"/>
        <v>1</v>
      </c>
      <c r="P132" s="435">
        <f t="shared" si="39"/>
        <v>1.4880952380952379</v>
      </c>
      <c r="Q132" s="435">
        <f t="shared" si="39"/>
        <v>1</v>
      </c>
      <c r="R132" s="156"/>
    </row>
    <row r="133" spans="1:19" ht="15" customHeight="1">
      <c r="A133" s="428" t="s">
        <v>1302</v>
      </c>
      <c r="B133" s="435">
        <f t="shared" ref="B133:Q133" si="40">CEILING(IF(B130&gt;B131,B128,B128*B132), 0.5)</f>
        <v>2</v>
      </c>
      <c r="C133" s="435">
        <f t="shared" si="40"/>
        <v>2.5</v>
      </c>
      <c r="D133" s="435">
        <f t="shared" si="40"/>
        <v>2</v>
      </c>
      <c r="E133" s="435">
        <f t="shared" si="40"/>
        <v>2.5</v>
      </c>
      <c r="F133" s="435">
        <f t="shared" si="40"/>
        <v>2</v>
      </c>
      <c r="G133" s="435">
        <f t="shared" si="40"/>
        <v>2</v>
      </c>
      <c r="H133" s="435">
        <f t="shared" si="40"/>
        <v>2.5</v>
      </c>
      <c r="I133" s="435">
        <f t="shared" si="40"/>
        <v>2</v>
      </c>
      <c r="J133" s="435">
        <f t="shared" si="40"/>
        <v>2.5</v>
      </c>
      <c r="K133" s="435">
        <f t="shared" si="40"/>
        <v>2.5</v>
      </c>
      <c r="L133" s="435">
        <f t="shared" si="40"/>
        <v>2.5</v>
      </c>
      <c r="M133" s="435">
        <f t="shared" si="40"/>
        <v>2.5</v>
      </c>
      <c r="N133" s="435">
        <f t="shared" si="40"/>
        <v>2.5</v>
      </c>
      <c r="O133" s="435">
        <f t="shared" si="40"/>
        <v>2.5</v>
      </c>
      <c r="P133" s="435">
        <f t="shared" si="40"/>
        <v>3</v>
      </c>
      <c r="Q133" s="435">
        <f t="shared" si="40"/>
        <v>2</v>
      </c>
      <c r="R133" s="156"/>
    </row>
    <row r="134" spans="1:19" ht="15" customHeight="1">
      <c r="A134" s="428" t="s">
        <v>1292</v>
      </c>
      <c r="B134" s="435">
        <f>400*B133</f>
        <v>800</v>
      </c>
      <c r="C134" s="435">
        <f t="shared" ref="C134:Q134" si="41">400*C133</f>
        <v>1000</v>
      </c>
      <c r="D134" s="435">
        <f t="shared" si="41"/>
        <v>800</v>
      </c>
      <c r="E134" s="435">
        <f t="shared" si="41"/>
        <v>1000</v>
      </c>
      <c r="F134" s="435">
        <f t="shared" si="41"/>
        <v>800</v>
      </c>
      <c r="G134" s="435">
        <f t="shared" si="41"/>
        <v>800</v>
      </c>
      <c r="H134" s="435">
        <f t="shared" si="41"/>
        <v>1000</v>
      </c>
      <c r="I134" s="435">
        <f t="shared" si="41"/>
        <v>800</v>
      </c>
      <c r="J134" s="435">
        <f t="shared" si="41"/>
        <v>1000</v>
      </c>
      <c r="K134" s="435">
        <f t="shared" si="41"/>
        <v>1000</v>
      </c>
      <c r="L134" s="435">
        <f t="shared" si="41"/>
        <v>1000</v>
      </c>
      <c r="M134" s="435">
        <f t="shared" si="41"/>
        <v>1000</v>
      </c>
      <c r="N134" s="435">
        <f t="shared" si="41"/>
        <v>1000</v>
      </c>
      <c r="O134" s="435">
        <f t="shared" si="41"/>
        <v>1000</v>
      </c>
      <c r="P134" s="435">
        <f t="shared" si="41"/>
        <v>1200</v>
      </c>
      <c r="Q134" s="435">
        <f t="shared" si="41"/>
        <v>800</v>
      </c>
      <c r="R134" s="156"/>
    </row>
    <row r="135" spans="1:19" ht="15" customHeight="1">
      <c r="A135" s="428" t="s">
        <v>1293</v>
      </c>
      <c r="B135" s="435">
        <f>0.000472*B134</f>
        <v>0.37759999999999999</v>
      </c>
      <c r="C135" s="435">
        <f t="shared" ref="C135:Q135" si="42">0.000472*C134</f>
        <v>0.47199999999999998</v>
      </c>
      <c r="D135" s="435">
        <f t="shared" si="42"/>
        <v>0.37759999999999999</v>
      </c>
      <c r="E135" s="435">
        <f t="shared" si="42"/>
        <v>0.47199999999999998</v>
      </c>
      <c r="F135" s="435">
        <f t="shared" si="42"/>
        <v>0.37759999999999999</v>
      </c>
      <c r="G135" s="435">
        <f t="shared" si="42"/>
        <v>0.37759999999999999</v>
      </c>
      <c r="H135" s="435">
        <f t="shared" si="42"/>
        <v>0.47199999999999998</v>
      </c>
      <c r="I135" s="435">
        <f t="shared" si="42"/>
        <v>0.37759999999999999</v>
      </c>
      <c r="J135" s="435">
        <f t="shared" si="42"/>
        <v>0.47199999999999998</v>
      </c>
      <c r="K135" s="435">
        <f t="shared" si="42"/>
        <v>0.47199999999999998</v>
      </c>
      <c r="L135" s="435">
        <f t="shared" si="42"/>
        <v>0.47199999999999998</v>
      </c>
      <c r="M135" s="435">
        <f t="shared" si="42"/>
        <v>0.47199999999999998</v>
      </c>
      <c r="N135" s="435">
        <f t="shared" si="42"/>
        <v>0.47199999999999998</v>
      </c>
      <c r="O135" s="435">
        <f t="shared" si="42"/>
        <v>0.47199999999999998</v>
      </c>
      <c r="P135" s="435">
        <f t="shared" si="42"/>
        <v>0.56640000000000001</v>
      </c>
      <c r="Q135" s="435">
        <f t="shared" si="42"/>
        <v>0.37759999999999999</v>
      </c>
      <c r="R135" s="156"/>
    </row>
    <row r="136" spans="1:19" ht="15" customHeight="1">
      <c r="A136" s="428" t="s">
        <v>1290</v>
      </c>
      <c r="B136" s="435">
        <f>B134/2.5</f>
        <v>320</v>
      </c>
      <c r="C136" s="435">
        <f t="shared" ref="C136:Q136" si="43">C134/2.5</f>
        <v>400</v>
      </c>
      <c r="D136" s="435">
        <f t="shared" si="43"/>
        <v>320</v>
      </c>
      <c r="E136" s="435">
        <f t="shared" si="43"/>
        <v>400</v>
      </c>
      <c r="F136" s="435">
        <f t="shared" si="43"/>
        <v>320</v>
      </c>
      <c r="G136" s="435">
        <f t="shared" si="43"/>
        <v>320</v>
      </c>
      <c r="H136" s="435">
        <f t="shared" si="43"/>
        <v>400</v>
      </c>
      <c r="I136" s="435">
        <f t="shared" si="43"/>
        <v>320</v>
      </c>
      <c r="J136" s="435">
        <f t="shared" si="43"/>
        <v>400</v>
      </c>
      <c r="K136" s="435">
        <f t="shared" si="43"/>
        <v>400</v>
      </c>
      <c r="L136" s="435">
        <f t="shared" si="43"/>
        <v>400</v>
      </c>
      <c r="M136" s="435">
        <f t="shared" si="43"/>
        <v>400</v>
      </c>
      <c r="N136" s="435">
        <f t="shared" si="43"/>
        <v>400</v>
      </c>
      <c r="O136" s="435">
        <f t="shared" si="43"/>
        <v>400</v>
      </c>
      <c r="P136" s="435">
        <f t="shared" si="43"/>
        <v>480</v>
      </c>
      <c r="Q136" s="435">
        <f t="shared" si="43"/>
        <v>320</v>
      </c>
      <c r="R136" s="156"/>
    </row>
    <row r="137" spans="1:19" ht="15" customHeight="1">
      <c r="A137" s="428" t="s">
        <v>1303</v>
      </c>
      <c r="B137" s="435">
        <f t="shared" ref="B137:Q137" si="44">CEILING(IF(AND(B131&lt;B130, B132&lt;&gt;1),B129*B132,B129), 0.5)</f>
        <v>2</v>
      </c>
      <c r="C137" s="435">
        <f t="shared" si="44"/>
        <v>2.5</v>
      </c>
      <c r="D137" s="435">
        <f t="shared" si="44"/>
        <v>2</v>
      </c>
      <c r="E137" s="435">
        <f t="shared" si="44"/>
        <v>2.5</v>
      </c>
      <c r="F137" s="435">
        <f t="shared" si="44"/>
        <v>2</v>
      </c>
      <c r="G137" s="435">
        <f t="shared" si="44"/>
        <v>2</v>
      </c>
      <c r="H137" s="435">
        <f t="shared" si="44"/>
        <v>2.5</v>
      </c>
      <c r="I137" s="435">
        <f t="shared" si="44"/>
        <v>2</v>
      </c>
      <c r="J137" s="435">
        <f t="shared" si="44"/>
        <v>2.5</v>
      </c>
      <c r="K137" s="435">
        <f t="shared" si="44"/>
        <v>2.5</v>
      </c>
      <c r="L137" s="435">
        <f t="shared" si="44"/>
        <v>2.5</v>
      </c>
      <c r="M137" s="435">
        <f t="shared" si="44"/>
        <v>2.5</v>
      </c>
      <c r="N137" s="435">
        <f t="shared" si="44"/>
        <v>2.5</v>
      </c>
      <c r="O137" s="435">
        <f t="shared" si="44"/>
        <v>2.5</v>
      </c>
      <c r="P137" s="435">
        <f t="shared" si="44"/>
        <v>3</v>
      </c>
      <c r="Q137" s="435">
        <f t="shared" si="44"/>
        <v>2.5</v>
      </c>
      <c r="R137" s="156"/>
    </row>
    <row r="138" spans="1:19" ht="15" customHeight="1">
      <c r="A138" s="428" t="s">
        <v>1294</v>
      </c>
      <c r="B138" s="435">
        <f>16.8*B137*12000/1000</f>
        <v>403.2</v>
      </c>
      <c r="C138" s="435">
        <f t="shared" ref="C138:Q138" si="45">16.8*C137*12000/1000</f>
        <v>504</v>
      </c>
      <c r="D138" s="435">
        <f t="shared" si="45"/>
        <v>403.2</v>
      </c>
      <c r="E138" s="435">
        <f t="shared" si="45"/>
        <v>504</v>
      </c>
      <c r="F138" s="435">
        <f t="shared" si="45"/>
        <v>403.2</v>
      </c>
      <c r="G138" s="435">
        <f t="shared" si="45"/>
        <v>403.2</v>
      </c>
      <c r="H138" s="435">
        <f t="shared" si="45"/>
        <v>504</v>
      </c>
      <c r="I138" s="435">
        <f t="shared" si="45"/>
        <v>403.2</v>
      </c>
      <c r="J138" s="435">
        <f t="shared" si="45"/>
        <v>504</v>
      </c>
      <c r="K138" s="435">
        <f t="shared" si="45"/>
        <v>504</v>
      </c>
      <c r="L138" s="435">
        <f t="shared" si="45"/>
        <v>504</v>
      </c>
      <c r="M138" s="435">
        <f t="shared" si="45"/>
        <v>504</v>
      </c>
      <c r="N138" s="435">
        <f t="shared" si="45"/>
        <v>504</v>
      </c>
      <c r="O138" s="435">
        <f t="shared" si="45"/>
        <v>504</v>
      </c>
      <c r="P138" s="435">
        <f t="shared" si="45"/>
        <v>604.80000000000007</v>
      </c>
      <c r="Q138" s="435">
        <f t="shared" si="45"/>
        <v>504</v>
      </c>
      <c r="R138" s="156"/>
    </row>
    <row r="139" spans="1:19" ht="15" customHeight="1">
      <c r="A139" s="428" t="s">
        <v>1295</v>
      </c>
      <c r="B139" s="435">
        <f>0.000472*B138</f>
        <v>0.19031039999999999</v>
      </c>
      <c r="C139" s="435">
        <f t="shared" ref="C139:Q139" si="46">0.000472*C138</f>
        <v>0.23788799999999999</v>
      </c>
      <c r="D139" s="435">
        <f t="shared" si="46"/>
        <v>0.19031039999999999</v>
      </c>
      <c r="E139" s="435">
        <f t="shared" si="46"/>
        <v>0.23788799999999999</v>
      </c>
      <c r="F139" s="435">
        <f t="shared" si="46"/>
        <v>0.19031039999999999</v>
      </c>
      <c r="G139" s="435">
        <f t="shared" si="46"/>
        <v>0.19031039999999999</v>
      </c>
      <c r="H139" s="435">
        <f t="shared" si="46"/>
        <v>0.23788799999999999</v>
      </c>
      <c r="I139" s="435">
        <f t="shared" si="46"/>
        <v>0.19031039999999999</v>
      </c>
      <c r="J139" s="435">
        <f t="shared" si="46"/>
        <v>0.23788799999999999</v>
      </c>
      <c r="K139" s="435">
        <f t="shared" si="46"/>
        <v>0.23788799999999999</v>
      </c>
      <c r="L139" s="435">
        <f t="shared" si="46"/>
        <v>0.23788799999999999</v>
      </c>
      <c r="M139" s="435">
        <f t="shared" si="46"/>
        <v>0.23788799999999999</v>
      </c>
      <c r="N139" s="435">
        <f t="shared" si="46"/>
        <v>0.23788799999999999</v>
      </c>
      <c r="O139" s="435">
        <f t="shared" si="46"/>
        <v>0.23788799999999999</v>
      </c>
      <c r="P139" s="435">
        <f t="shared" si="46"/>
        <v>0.28546560000000004</v>
      </c>
      <c r="Q139" s="435">
        <f t="shared" si="46"/>
        <v>0.23788799999999999</v>
      </c>
      <c r="R139" s="156"/>
    </row>
    <row r="140" spans="1:19" ht="15" customHeight="1">
      <c r="A140" s="428" t="s">
        <v>1291</v>
      </c>
      <c r="B140" s="435">
        <f>B138/2.5</f>
        <v>161.28</v>
      </c>
      <c r="C140" s="435">
        <f t="shared" ref="C140:Q140" si="47">C138/2.5</f>
        <v>201.6</v>
      </c>
      <c r="D140" s="435">
        <f t="shared" si="47"/>
        <v>161.28</v>
      </c>
      <c r="E140" s="435">
        <f t="shared" si="47"/>
        <v>201.6</v>
      </c>
      <c r="F140" s="435">
        <f t="shared" si="47"/>
        <v>161.28</v>
      </c>
      <c r="G140" s="435">
        <f t="shared" si="47"/>
        <v>161.28</v>
      </c>
      <c r="H140" s="435">
        <f t="shared" si="47"/>
        <v>201.6</v>
      </c>
      <c r="I140" s="435">
        <f t="shared" si="47"/>
        <v>161.28</v>
      </c>
      <c r="J140" s="435">
        <f t="shared" si="47"/>
        <v>201.6</v>
      </c>
      <c r="K140" s="435">
        <f t="shared" si="47"/>
        <v>201.6</v>
      </c>
      <c r="L140" s="435">
        <f t="shared" si="47"/>
        <v>201.6</v>
      </c>
      <c r="M140" s="435">
        <f t="shared" si="47"/>
        <v>201.6</v>
      </c>
      <c r="N140" s="435">
        <f t="shared" si="47"/>
        <v>201.6</v>
      </c>
      <c r="O140" s="435">
        <f t="shared" si="47"/>
        <v>201.6</v>
      </c>
      <c r="P140" s="435">
        <f t="shared" si="47"/>
        <v>241.92000000000002</v>
      </c>
      <c r="Q140" s="435">
        <f t="shared" si="47"/>
        <v>201.6</v>
      </c>
      <c r="R140" s="156"/>
    </row>
    <row r="141" spans="1:19" ht="15" customHeight="1">
      <c r="A141" s="454" t="s">
        <v>1304</v>
      </c>
      <c r="B141" s="453">
        <f>IF(B135&gt;B139,B135,B139)*Ducts!$D$18/(25^Ducts!$D$20)</f>
        <v>1.3683840050234895E-3</v>
      </c>
      <c r="C141" s="453">
        <f>IF(C135&gt;C139,C135,C139)*Ducts!$D$18/(25^Ducts!$D$20)</f>
        <v>1.7104800062793617E-3</v>
      </c>
      <c r="D141" s="453">
        <f>IF(D135&gt;D139,D135,D139)*Ducts!$D$18/(25^Ducts!$D$20)</f>
        <v>1.3683840050234895E-3</v>
      </c>
      <c r="E141" s="453">
        <f>IF(E135&gt;E139,E135,E139)*Ducts!$D$18/(25^Ducts!$D$20)</f>
        <v>1.7104800062793617E-3</v>
      </c>
      <c r="F141" s="453">
        <f>IF(F135&gt;F139,F135,F139)*Ducts!$D$18/(25^Ducts!$D$20)</f>
        <v>1.3683840050234895E-3</v>
      </c>
      <c r="G141" s="453">
        <f>IF(G135&gt;G139,G135,G139)*Ducts!$D$18/(25^Ducts!$D$20)</f>
        <v>1.3683840050234895E-3</v>
      </c>
      <c r="H141" s="453">
        <f>IF(H135&gt;H139,H135,H139)*Ducts!$D$18/(25^Ducts!$D$20)</f>
        <v>1.7104800062793617E-3</v>
      </c>
      <c r="I141" s="453">
        <f>IF(I135&gt;I139,I135,I139)*Ducts!$D$18/(25^Ducts!$D$20)</f>
        <v>1.3683840050234895E-3</v>
      </c>
      <c r="J141" s="453">
        <f>IF(J135&gt;J139,J135,J139)*Ducts!$D$18/(25^Ducts!$D$20)</f>
        <v>1.7104800062793617E-3</v>
      </c>
      <c r="K141" s="453">
        <f>IF(K135&gt;K139,K135,K139)*Ducts!$D$18/(25^Ducts!$D$20)</f>
        <v>1.7104800062793617E-3</v>
      </c>
      <c r="L141" s="453">
        <f>IF(L135&gt;L139,L135,L139)*Ducts!$D$18/(25^Ducts!$D$20)</f>
        <v>1.7104800062793617E-3</v>
      </c>
      <c r="M141" s="453">
        <f>IF(M135&gt;M139,M135,M139)*Ducts!$D$18/(25^Ducts!$D$20)</f>
        <v>1.7104800062793617E-3</v>
      </c>
      <c r="N141" s="453">
        <f>IF(N135&gt;N139,N135,N139)*Ducts!$D$18/(25^Ducts!$D$20)</f>
        <v>1.7104800062793617E-3</v>
      </c>
      <c r="O141" s="453">
        <f>IF(O135&gt;O139,O135,O139)*Ducts!$D$18/(25^Ducts!$D$20)</f>
        <v>1.7104800062793617E-3</v>
      </c>
      <c r="P141" s="453">
        <f>IF(P135&gt;P139,P135,P139)*Ducts!$D$18/(25^Ducts!$D$20)</f>
        <v>2.0525760075352341E-3</v>
      </c>
      <c r="Q141" s="453">
        <f>IF(Q135&gt;Q139,Q135,Q139)*Ducts!$D$18/(25^Ducts!$D$20)</f>
        <v>1.3683840050234895E-3</v>
      </c>
      <c r="R141" s="455"/>
    </row>
    <row r="142" spans="1:19" ht="15" customHeight="1">
      <c r="A142" s="456" t="s">
        <v>1305</v>
      </c>
      <c r="B142" s="457">
        <f>IF(B135&gt;B139,B135,B139)*Ducts!$D$19/(25^Ducts!$D$21)</f>
        <v>1.3683840050234895E-3</v>
      </c>
      <c r="C142" s="457">
        <f>IF(C135&gt;C139,C135,C139)*Ducts!$D$19/(25^Ducts!$D$21)</f>
        <v>1.7104800062793617E-3</v>
      </c>
      <c r="D142" s="457">
        <f>IF(D135&gt;D139,D135,D139)*Ducts!$D$19/(25^Ducts!$D$21)</f>
        <v>1.3683840050234895E-3</v>
      </c>
      <c r="E142" s="457">
        <f>IF(E135&gt;E139,E135,E139)*Ducts!$D$19/(25^Ducts!$D$21)</f>
        <v>1.7104800062793617E-3</v>
      </c>
      <c r="F142" s="457">
        <f>IF(F135&gt;F139,F135,F139)*Ducts!$D$19/(25^Ducts!$D$21)</f>
        <v>1.3683840050234895E-3</v>
      </c>
      <c r="G142" s="457">
        <f>IF(G135&gt;G139,G135,G139)*Ducts!$D$19/(25^Ducts!$D$21)</f>
        <v>1.3683840050234895E-3</v>
      </c>
      <c r="H142" s="457">
        <f>IF(H135&gt;H139,H135,H139)*Ducts!$D$19/(25^Ducts!$D$21)</f>
        <v>1.7104800062793617E-3</v>
      </c>
      <c r="I142" s="457">
        <f>IF(I135&gt;I139,I135,I139)*Ducts!$D$19/(25^Ducts!$D$21)</f>
        <v>1.3683840050234895E-3</v>
      </c>
      <c r="J142" s="457">
        <f>IF(J135&gt;J139,J135,J139)*Ducts!$D$19/(25^Ducts!$D$21)</f>
        <v>1.7104800062793617E-3</v>
      </c>
      <c r="K142" s="457">
        <f>IF(K135&gt;K139,K135,K139)*Ducts!$D$19/(25^Ducts!$D$21)</f>
        <v>1.7104800062793617E-3</v>
      </c>
      <c r="L142" s="457">
        <f>IF(L135&gt;L139,L135,L139)*Ducts!$D$19/(25^Ducts!$D$21)</f>
        <v>1.7104800062793617E-3</v>
      </c>
      <c r="M142" s="457">
        <f>IF(M135&gt;M139,M135,M139)*Ducts!$D$19/(25^Ducts!$D$21)</f>
        <v>1.7104800062793617E-3</v>
      </c>
      <c r="N142" s="457">
        <f>IF(N135&gt;N139,N135,N139)*Ducts!$D$19/(25^Ducts!$D$21)</f>
        <v>1.7104800062793617E-3</v>
      </c>
      <c r="O142" s="457">
        <f>IF(O135&gt;O139,O135,O139)*Ducts!$D$19/(25^Ducts!$D$21)</f>
        <v>1.7104800062793617E-3</v>
      </c>
      <c r="P142" s="457">
        <f>IF(P135&gt;P139,P135,P139)*Ducts!$D$19/(25^Ducts!$D$21)</f>
        <v>2.0525760075352341E-3</v>
      </c>
      <c r="Q142" s="457">
        <f>IF(Q135&gt;Q139,Q135,Q139)*Ducts!$D$19/(25^Ducts!$D$21)</f>
        <v>1.3683840050234895E-3</v>
      </c>
      <c r="R142" s="458"/>
    </row>
    <row r="143" spans="1:19" ht="15" customHeight="1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</row>
    <row r="144" spans="1:19" ht="15" customHeight="1">
      <c r="A144" s="222" t="s">
        <v>1250</v>
      </c>
    </row>
    <row r="145" spans="1:2" ht="15" customHeight="1">
      <c r="A145" s="222" t="s">
        <v>1263</v>
      </c>
      <c r="B145" s="222">
        <v>0</v>
      </c>
    </row>
    <row r="146" spans="1:2" ht="15" customHeight="1">
      <c r="A146" s="222" t="s">
        <v>1251</v>
      </c>
      <c r="B146" s="222" t="s">
        <v>1262</v>
      </c>
    </row>
    <row r="147" spans="1:2" ht="15" customHeight="1">
      <c r="A147" s="222" t="s">
        <v>1252</v>
      </c>
      <c r="B147" s="222">
        <v>0.3</v>
      </c>
    </row>
    <row r="148" spans="1:2" ht="15" customHeight="1">
      <c r="A148" s="222" t="s">
        <v>1253</v>
      </c>
      <c r="B148" s="222">
        <v>0.2</v>
      </c>
    </row>
    <row r="149" spans="1:2" ht="15" customHeight="1">
      <c r="A149" s="222" t="s">
        <v>1254</v>
      </c>
      <c r="B149" s="222">
        <v>0.15</v>
      </c>
    </row>
    <row r="150" spans="1:2" ht="15" customHeight="1">
      <c r="A150" s="222" t="s">
        <v>1255</v>
      </c>
      <c r="B150" s="222">
        <v>0.1</v>
      </c>
    </row>
    <row r="151" spans="1:2" ht="15" customHeight="1">
      <c r="A151" s="222" t="s">
        <v>1256</v>
      </c>
    </row>
    <row r="152" spans="1:2" ht="15" customHeight="1">
      <c r="A152" s="222" t="s">
        <v>1252</v>
      </c>
      <c r="B152" s="222">
        <v>0.15</v>
      </c>
    </row>
    <row r="153" spans="1:2" ht="15" customHeight="1">
      <c r="A153" s="222" t="s">
        <v>1253</v>
      </c>
      <c r="B153" s="222">
        <v>0.1</v>
      </c>
    </row>
    <row r="154" spans="1:2" ht="15" customHeight="1">
      <c r="A154" s="222" t="s">
        <v>1254</v>
      </c>
      <c r="B154" s="222">
        <v>0.05</v>
      </c>
    </row>
    <row r="155" spans="1:2" ht="15" customHeight="1">
      <c r="A155" s="222" t="s">
        <v>1255</v>
      </c>
      <c r="B155" s="222">
        <v>0</v>
      </c>
    </row>
    <row r="156" spans="1:2" ht="15" customHeight="1">
      <c r="A156" s="222" t="s">
        <v>1257</v>
      </c>
    </row>
    <row r="157" spans="1:2" ht="15" customHeight="1">
      <c r="A157" s="222" t="s">
        <v>1258</v>
      </c>
      <c r="B157" s="222">
        <v>0.1</v>
      </c>
    </row>
    <row r="158" spans="1:2" ht="15" customHeight="1">
      <c r="A158" s="222" t="s">
        <v>1259</v>
      </c>
      <c r="B158" s="222">
        <v>0.05</v>
      </c>
    </row>
    <row r="159" spans="1:2" ht="15" customHeight="1">
      <c r="A159" s="222" t="s">
        <v>1260</v>
      </c>
      <c r="B159" s="222">
        <v>0</v>
      </c>
    </row>
    <row r="160" spans="1:2" ht="15" customHeight="1">
      <c r="A160" s="222" t="s">
        <v>1261</v>
      </c>
      <c r="B160" s="222">
        <v>0</v>
      </c>
    </row>
    <row r="167" spans="1:19" ht="15" customHeight="1">
      <c r="A167" s="235" t="s">
        <v>671</v>
      </c>
      <c r="B167" s="186" t="s">
        <v>667</v>
      </c>
      <c r="C167" s="186">
        <v>0.8</v>
      </c>
      <c r="D167" s="186">
        <v>0.8</v>
      </c>
      <c r="E167" s="186">
        <v>0.8</v>
      </c>
      <c r="F167" s="186">
        <v>0.9</v>
      </c>
      <c r="G167" s="186">
        <v>0.9</v>
      </c>
      <c r="H167" s="186">
        <v>0.9</v>
      </c>
      <c r="I167" s="186">
        <v>0.9</v>
      </c>
      <c r="J167" s="186">
        <v>0.9</v>
      </c>
      <c r="K167" s="186">
        <v>0.94</v>
      </c>
      <c r="L167" s="186">
        <v>0.94</v>
      </c>
      <c r="M167" s="186">
        <v>0.94</v>
      </c>
      <c r="N167" s="186">
        <v>0.94</v>
      </c>
      <c r="O167" s="186">
        <v>0.94</v>
      </c>
      <c r="P167" s="186">
        <v>0.94</v>
      </c>
      <c r="Q167" s="186">
        <v>0.94</v>
      </c>
      <c r="S167" s="222" t="s">
        <v>673</v>
      </c>
    </row>
    <row r="168" spans="1:19" ht="15" customHeight="1">
      <c r="A168" s="186"/>
      <c r="B168" s="186" t="s">
        <v>668</v>
      </c>
      <c r="C168" s="186">
        <v>18</v>
      </c>
      <c r="D168" s="186">
        <v>18</v>
      </c>
      <c r="E168" s="186">
        <v>18</v>
      </c>
      <c r="F168" s="186">
        <v>15</v>
      </c>
      <c r="G168" s="186">
        <v>15</v>
      </c>
      <c r="H168" s="186">
        <v>15</v>
      </c>
      <c r="I168" s="186">
        <v>15</v>
      </c>
      <c r="J168" s="186">
        <v>15</v>
      </c>
      <c r="K168" s="186">
        <v>13</v>
      </c>
      <c r="L168" s="186">
        <v>13</v>
      </c>
      <c r="M168" s="186">
        <v>13</v>
      </c>
      <c r="N168" s="186">
        <v>13</v>
      </c>
      <c r="O168" s="186">
        <v>13</v>
      </c>
      <c r="P168" s="186">
        <v>13</v>
      </c>
      <c r="Q168" s="186">
        <v>13</v>
      </c>
    </row>
    <row r="169" spans="1:19" ht="15" customHeight="1">
      <c r="A169" s="186"/>
      <c r="B169" s="186" t="s">
        <v>669</v>
      </c>
      <c r="C169" s="186">
        <v>8.1999999999999993</v>
      </c>
      <c r="D169" s="186">
        <v>8.1999999999999993</v>
      </c>
      <c r="E169" s="186">
        <v>8.1999999999999993</v>
      </c>
      <c r="F169" s="186">
        <v>9</v>
      </c>
      <c r="G169" s="186">
        <v>9</v>
      </c>
      <c r="H169" s="186">
        <v>9</v>
      </c>
      <c r="I169" s="186">
        <v>9</v>
      </c>
      <c r="J169" s="186">
        <v>9</v>
      </c>
      <c r="K169" s="186">
        <v>10</v>
      </c>
      <c r="L169" s="186">
        <v>10</v>
      </c>
      <c r="M169" s="186">
        <v>10</v>
      </c>
      <c r="N169" s="186">
        <v>10</v>
      </c>
      <c r="O169" s="186">
        <v>10</v>
      </c>
      <c r="P169" s="186">
        <v>10</v>
      </c>
      <c r="Q169" s="186">
        <v>10</v>
      </c>
    </row>
    <row r="172" spans="1:19" ht="15" customHeight="1">
      <c r="C172" s="400" t="s">
        <v>698</v>
      </c>
      <c r="D172" s="401" t="s">
        <v>690</v>
      </c>
      <c r="E172" s="400" t="s">
        <v>366</v>
      </c>
      <c r="F172" s="400" t="s">
        <v>696</v>
      </c>
      <c r="G172" s="400" t="s">
        <v>697</v>
      </c>
      <c r="H172" s="186"/>
      <c r="I172" s="201" t="s">
        <v>706</v>
      </c>
      <c r="J172" s="186"/>
      <c r="K172" s="186"/>
      <c r="S172" s="222" t="s">
        <v>677</v>
      </c>
    </row>
    <row r="173" spans="1:19" ht="15" customHeight="1">
      <c r="C173" s="186"/>
      <c r="D173" s="203" t="s">
        <v>691</v>
      </c>
      <c r="E173" s="186">
        <v>90</v>
      </c>
      <c r="F173" s="237">
        <v>5.0000000000000001E-3</v>
      </c>
      <c r="G173" s="237">
        <v>1.4999999999999999E-2</v>
      </c>
      <c r="H173" s="186"/>
      <c r="I173" s="186"/>
      <c r="J173" s="186"/>
      <c r="K173" s="186"/>
    </row>
    <row r="174" spans="1:19" ht="15" customHeight="1">
      <c r="C174" s="186"/>
      <c r="D174" s="203" t="s">
        <v>692</v>
      </c>
      <c r="E174" s="186">
        <v>80</v>
      </c>
      <c r="F174" s="237">
        <v>5.0000000000000001E-3</v>
      </c>
      <c r="G174" s="237">
        <v>1.4999999999999999E-2</v>
      </c>
      <c r="H174" s="186"/>
      <c r="I174" s="186"/>
      <c r="J174" s="186"/>
      <c r="K174" s="186"/>
    </row>
    <row r="175" spans="1:19" ht="15" customHeight="1">
      <c r="C175" s="186"/>
      <c r="D175" s="203" t="s">
        <v>693</v>
      </c>
      <c r="E175" s="186">
        <v>78</v>
      </c>
      <c r="F175" s="237">
        <v>5.0000000000000001E-3</v>
      </c>
      <c r="G175" s="237">
        <v>1.4999999999999999E-2</v>
      </c>
      <c r="H175" s="186"/>
      <c r="I175" s="186"/>
      <c r="J175" s="186"/>
      <c r="K175" s="186"/>
    </row>
    <row r="176" spans="1:19" ht="15" customHeight="1">
      <c r="C176" s="186"/>
      <c r="D176" s="402" t="s">
        <v>694</v>
      </c>
      <c r="E176" s="186">
        <v>75</v>
      </c>
      <c r="F176" s="237">
        <v>5.0000000000000001E-3</v>
      </c>
      <c r="G176" s="237">
        <v>1.4999999999999999E-2</v>
      </c>
      <c r="H176" s="186"/>
      <c r="I176" s="186"/>
      <c r="J176" s="186"/>
      <c r="K176" s="186"/>
    </row>
    <row r="177" spans="3:11" ht="15" customHeight="1">
      <c r="C177" s="186"/>
      <c r="D177" s="402" t="s">
        <v>695</v>
      </c>
      <c r="E177" s="186">
        <v>64</v>
      </c>
      <c r="F177" s="237">
        <v>5.0000000000000001E-3</v>
      </c>
      <c r="G177" s="237">
        <v>1.4999999999999999E-2</v>
      </c>
      <c r="H177" s="186"/>
      <c r="I177" s="186"/>
      <c r="J177" s="186"/>
      <c r="K177" s="186"/>
    </row>
    <row r="178" spans="3:11" ht="15" customHeight="1">
      <c r="C178" s="186"/>
      <c r="D178" s="236"/>
      <c r="E178" s="186"/>
      <c r="F178" s="186"/>
      <c r="G178" s="186"/>
      <c r="H178" s="186"/>
      <c r="I178" s="186"/>
      <c r="J178" s="186"/>
      <c r="K178" s="186"/>
    </row>
    <row r="179" spans="3:11" ht="15" customHeight="1">
      <c r="C179" s="403" t="s">
        <v>705</v>
      </c>
      <c r="D179" s="404" t="s">
        <v>699</v>
      </c>
      <c r="E179" s="403" t="s">
        <v>700</v>
      </c>
      <c r="F179" s="403" t="s">
        <v>701</v>
      </c>
      <c r="G179" s="403" t="s">
        <v>702</v>
      </c>
      <c r="H179" s="403" t="s">
        <v>696</v>
      </c>
      <c r="I179" s="403" t="s">
        <v>697</v>
      </c>
      <c r="J179" s="186"/>
      <c r="K179" s="186"/>
    </row>
    <row r="180" spans="3:11" ht="15" customHeight="1">
      <c r="C180" s="186"/>
      <c r="D180" s="203" t="s">
        <v>703</v>
      </c>
      <c r="E180" s="186">
        <v>6.5</v>
      </c>
      <c r="F180" s="186">
        <v>6.4</v>
      </c>
      <c r="G180" s="186"/>
      <c r="H180" s="186">
        <v>0.01</v>
      </c>
      <c r="I180" s="186">
        <v>0.03</v>
      </c>
      <c r="J180" s="186"/>
      <c r="K180" s="186"/>
    </row>
    <row r="181" spans="3:11" ht="15" customHeight="1">
      <c r="C181" s="186"/>
      <c r="D181" s="203" t="s">
        <v>704</v>
      </c>
      <c r="E181" s="186">
        <v>6.5</v>
      </c>
      <c r="F181" s="186">
        <v>6.4</v>
      </c>
      <c r="G181" s="186">
        <v>6</v>
      </c>
      <c r="H181" s="186">
        <v>0.01</v>
      </c>
      <c r="I181" s="186">
        <v>0.03</v>
      </c>
      <c r="J181" s="186"/>
      <c r="K181" s="186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25" workbookViewId="0">
      <selection activeCell="B52" sqref="B52"/>
    </sheetView>
  </sheetViews>
  <sheetFormatPr baseColWidth="10" defaultColWidth="8.83203125" defaultRowHeight="14" x14ac:dyDescent="0"/>
  <cols>
    <col min="1" max="1" width="26.83203125" style="214" customWidth="1"/>
    <col min="2" max="2" width="9.83203125" style="214" customWidth="1"/>
    <col min="3" max="8" width="8.83203125" style="214"/>
    <col min="9" max="9" width="8.33203125" style="214" customWidth="1"/>
    <col min="10" max="16384" width="8.83203125" style="214"/>
  </cols>
  <sheetData>
    <row r="1" spans="1:22">
      <c r="A1" s="214" t="s">
        <v>573</v>
      </c>
      <c r="B1" s="163">
        <v>0.37901531243731801</v>
      </c>
    </row>
    <row r="2" spans="1:22">
      <c r="B2" s="163"/>
    </row>
    <row r="3" spans="1:22">
      <c r="A3" s="164" t="s">
        <v>574</v>
      </c>
    </row>
    <row r="4" spans="1:22">
      <c r="A4" s="153" t="s">
        <v>564</v>
      </c>
      <c r="B4" s="194" t="s">
        <v>626</v>
      </c>
      <c r="C4" s="225" t="s">
        <v>575</v>
      </c>
      <c r="D4" s="225" t="s">
        <v>576</v>
      </c>
      <c r="E4" s="225" t="s">
        <v>577</v>
      </c>
      <c r="F4" s="225" t="s">
        <v>578</v>
      </c>
      <c r="G4" s="225" t="s">
        <v>579</v>
      </c>
      <c r="H4" s="225" t="s">
        <v>580</v>
      </c>
      <c r="I4" s="225" t="s">
        <v>581</v>
      </c>
      <c r="J4" s="225" t="s">
        <v>582</v>
      </c>
      <c r="K4" s="225" t="s">
        <v>583</v>
      </c>
      <c r="L4" s="225" t="s">
        <v>584</v>
      </c>
      <c r="M4" s="225" t="s">
        <v>585</v>
      </c>
      <c r="N4" s="225" t="s">
        <v>586</v>
      </c>
      <c r="O4" s="225">
        <v>7</v>
      </c>
      <c r="P4" s="194">
        <v>8</v>
      </c>
      <c r="Q4" s="154">
        <v>16</v>
      </c>
    </row>
    <row r="5" spans="1:22">
      <c r="A5" s="165" t="s">
        <v>588</v>
      </c>
      <c r="B5" s="228">
        <f>B11*[1]Inputs!$C$137^[1]Weather!$B$1</f>
        <v>0.43</v>
      </c>
      <c r="C5" s="228">
        <f>C11*[1]Inputs!$C$137^[1]Weather!$B$1</f>
        <v>0.44</v>
      </c>
      <c r="D5" s="228">
        <f>D11*[1]Inputs!$C$137^[1]Weather!$B$1</f>
        <v>0.46</v>
      </c>
      <c r="E5" s="228">
        <f>E11*[1]Inputs!$C$137^[1]Weather!$B$1</f>
        <v>0.48</v>
      </c>
      <c r="F5" s="228">
        <f>F11*[1]Inputs!$C$137^[1]Weather!$B$1</f>
        <v>0.6</v>
      </c>
      <c r="G5" s="228">
        <f>G11*[1]Inputs!$C$137^[1]Weather!$B$1</f>
        <v>0.49</v>
      </c>
      <c r="H5" s="228">
        <f>H11*[1]Inputs!$C$137^[1]Weather!$B$1</f>
        <v>0.55000000000000004</v>
      </c>
      <c r="I5" s="228">
        <f>I11*[1]Inputs!$C$137^[1]Weather!$B$1</f>
        <v>0.55000000000000004</v>
      </c>
      <c r="J5" s="228">
        <f>J11*[1]Inputs!$C$137^[1]Weather!$B$1</f>
        <v>0.6</v>
      </c>
      <c r="K5" s="228">
        <f>K11*[1]Inputs!$C$137^[1]Weather!$B$1</f>
        <v>0.56000000000000005</v>
      </c>
      <c r="L5" s="228">
        <f>L11*[1]Inputs!$C$137^[1]Weather!$B$1</f>
        <v>0.53</v>
      </c>
      <c r="M5" s="228">
        <f>M11*[1]Inputs!$C$137^[1]Weather!$B$1</f>
        <v>0.62</v>
      </c>
      <c r="N5" s="228">
        <f>N11*[1]Inputs!$C$137^[1]Weather!$B$1</f>
        <v>0.71</v>
      </c>
      <c r="O5" s="228">
        <f>O11*[1]Inputs!$C$137^[1]Weather!$B$1</f>
        <v>0</v>
      </c>
      <c r="P5" s="228">
        <f>P11*[1]Inputs!$C$137^[1]Weather!$B$1</f>
        <v>0</v>
      </c>
      <c r="Q5" s="228">
        <f>Q11*[1]Inputs!$C$137^[1]Weather!$B$1</f>
        <v>0</v>
      </c>
    </row>
    <row r="6" spans="1:22">
      <c r="A6" s="166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</row>
    <row r="7" spans="1:22">
      <c r="A7" s="166"/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</row>
    <row r="9" spans="1:22">
      <c r="A9" s="164" t="s">
        <v>589</v>
      </c>
    </row>
    <row r="10" spans="1:22">
      <c r="A10" s="153" t="s">
        <v>564</v>
      </c>
      <c r="B10" s="154" t="s">
        <v>575</v>
      </c>
      <c r="C10" s="154" t="s">
        <v>576</v>
      </c>
      <c r="D10" s="154" t="s">
        <v>577</v>
      </c>
      <c r="E10" s="154" t="s">
        <v>578</v>
      </c>
      <c r="F10" s="154" t="s">
        <v>579</v>
      </c>
      <c r="G10" s="154" t="s">
        <v>580</v>
      </c>
      <c r="H10" s="154" t="s">
        <v>581</v>
      </c>
      <c r="I10" s="154" t="s">
        <v>582</v>
      </c>
      <c r="J10" s="154" t="s">
        <v>583</v>
      </c>
      <c r="K10" s="154" t="s">
        <v>584</v>
      </c>
      <c r="L10" s="154" t="s">
        <v>585</v>
      </c>
      <c r="M10" s="154" t="s">
        <v>586</v>
      </c>
      <c r="N10" s="154" t="s">
        <v>587</v>
      </c>
    </row>
    <row r="11" spans="1:22">
      <c r="A11" s="227" t="s">
        <v>168</v>
      </c>
      <c r="B11" s="132">
        <v>0.43</v>
      </c>
      <c r="C11" s="132">
        <v>0.44</v>
      </c>
      <c r="D11" s="132">
        <v>0.46</v>
      </c>
      <c r="E11" s="132">
        <v>0.48</v>
      </c>
      <c r="F11" s="132">
        <v>0.6</v>
      </c>
      <c r="G11" s="132">
        <v>0.49</v>
      </c>
      <c r="H11" s="132">
        <v>0.55000000000000004</v>
      </c>
      <c r="I11" s="132">
        <v>0.55000000000000004</v>
      </c>
      <c r="J11" s="132">
        <v>0.6</v>
      </c>
      <c r="K11" s="132">
        <v>0.56000000000000005</v>
      </c>
      <c r="L11" s="132">
        <v>0.53</v>
      </c>
      <c r="M11" s="132">
        <v>0.62</v>
      </c>
      <c r="N11" s="132">
        <v>0.71</v>
      </c>
    </row>
    <row r="12" spans="1:22">
      <c r="A12" s="227" t="s">
        <v>167</v>
      </c>
      <c r="B12" s="228">
        <v>0.55919519815510799</v>
      </c>
      <c r="C12" s="228">
        <v>0.5721997376470872</v>
      </c>
      <c r="D12" s="228">
        <v>0.59820881663104575</v>
      </c>
      <c r="E12" s="228">
        <v>0.62421789561500418</v>
      </c>
      <c r="F12" s="228">
        <v>0.78027236951875523</v>
      </c>
      <c r="G12" s="228">
        <v>0.63722243510698351</v>
      </c>
      <c r="H12" s="228">
        <v>0.71524967205885903</v>
      </c>
      <c r="I12" s="228">
        <v>0.71524967205885903</v>
      </c>
      <c r="J12" s="228">
        <v>0.78027236951875523</v>
      </c>
      <c r="K12" s="228">
        <v>0.72825421155083836</v>
      </c>
      <c r="L12" s="228">
        <v>0.68924059307490049</v>
      </c>
      <c r="M12" s="228">
        <v>0.80628144850271377</v>
      </c>
      <c r="N12" s="228">
        <v>0.92332230393052706</v>
      </c>
      <c r="P12" s="163"/>
      <c r="Q12" s="163"/>
      <c r="R12" s="163"/>
      <c r="S12" s="163"/>
      <c r="T12" s="163"/>
      <c r="U12" s="163"/>
      <c r="V12" s="163"/>
    </row>
    <row r="13" spans="1:22">
      <c r="A13" s="227" t="s">
        <v>627</v>
      </c>
      <c r="B13" s="228">
        <v>0.65208576098168169</v>
      </c>
      <c r="C13" s="228">
        <v>0.6672505461207906</v>
      </c>
      <c r="D13" s="228">
        <v>0.6975801163990083</v>
      </c>
      <c r="E13" s="228">
        <v>0.727909686677226</v>
      </c>
      <c r="F13" s="228">
        <v>0.90988710834653252</v>
      </c>
      <c r="G13" s="228">
        <v>0.7430744718163349</v>
      </c>
      <c r="H13" s="228">
        <v>0.83406318265098822</v>
      </c>
      <c r="I13" s="228">
        <v>0.83406318265098822</v>
      </c>
      <c r="J13" s="228">
        <v>0.90988710834653252</v>
      </c>
      <c r="K13" s="228">
        <v>0.84922796779009713</v>
      </c>
      <c r="L13" s="228">
        <v>0.80373361237277052</v>
      </c>
      <c r="M13" s="228">
        <v>0.94021667862475033</v>
      </c>
      <c r="N13" s="228">
        <v>1.0766997448767301</v>
      </c>
      <c r="P13" s="163"/>
      <c r="Q13" s="163"/>
      <c r="R13" s="163"/>
      <c r="S13" s="163"/>
      <c r="T13" s="163"/>
      <c r="U13" s="163"/>
      <c r="V13" s="163"/>
    </row>
    <row r="15" spans="1:22">
      <c r="A15" s="171" t="s">
        <v>590</v>
      </c>
      <c r="B15" s="152"/>
    </row>
    <row r="16" spans="1:22">
      <c r="A16" s="153" t="s">
        <v>564</v>
      </c>
      <c r="B16" s="154">
        <v>1</v>
      </c>
      <c r="C16" s="154">
        <v>2</v>
      </c>
      <c r="D16" s="154">
        <v>3</v>
      </c>
      <c r="E16" s="154">
        <v>4</v>
      </c>
      <c r="F16" s="154">
        <v>5</v>
      </c>
      <c r="G16" s="154">
        <v>6</v>
      </c>
      <c r="H16" s="154">
        <v>7</v>
      </c>
      <c r="I16" s="154">
        <v>8</v>
      </c>
      <c r="J16" s="154">
        <v>9</v>
      </c>
      <c r="K16" s="154">
        <v>10</v>
      </c>
      <c r="L16" s="154">
        <v>11</v>
      </c>
      <c r="M16" s="154">
        <v>12</v>
      </c>
      <c r="N16" s="154">
        <v>13</v>
      </c>
      <c r="O16" s="154">
        <v>14</v>
      </c>
      <c r="P16" s="154">
        <v>15</v>
      </c>
      <c r="Q16" s="154">
        <v>16</v>
      </c>
    </row>
    <row r="17" spans="1:26">
      <c r="A17" s="227" t="s">
        <v>168</v>
      </c>
      <c r="B17" s="168">
        <v>0.56360936165894659</v>
      </c>
      <c r="C17" s="168">
        <v>0.48885549567600978</v>
      </c>
      <c r="D17" s="168">
        <v>0.54208232257462774</v>
      </c>
      <c r="E17" s="168">
        <v>0.47845929296058437</v>
      </c>
      <c r="F17" s="168">
        <v>0.51837365623999176</v>
      </c>
      <c r="G17" s="168">
        <v>0.41788661831438195</v>
      </c>
      <c r="H17" s="168">
        <v>0.37942235442668815</v>
      </c>
      <c r="I17" s="168">
        <v>0.34136734806535374</v>
      </c>
      <c r="J17" s="168">
        <v>0.39317637879534129</v>
      </c>
      <c r="K17" s="168">
        <v>0.42189478941889719</v>
      </c>
      <c r="L17" s="168">
        <v>0.50187001587391433</v>
      </c>
      <c r="M17" s="168">
        <v>0.50766953254479896</v>
      </c>
      <c r="N17" s="168">
        <v>0.45543655021096829</v>
      </c>
      <c r="O17" s="168">
        <v>0.52458293514912235</v>
      </c>
      <c r="P17" s="168">
        <v>0.45040732320028565</v>
      </c>
      <c r="Q17" s="168">
        <v>0.43796184671932231</v>
      </c>
    </row>
    <row r="18" spans="1:26">
      <c r="A18" s="227" t="s">
        <v>167</v>
      </c>
      <c r="B18" s="168">
        <v>0.7248166367358726</v>
      </c>
      <c r="C18" s="168">
        <v>0.62708326118835933</v>
      </c>
      <c r="D18" s="168">
        <v>0.69538709992486236</v>
      </c>
      <c r="E18" s="168">
        <v>0.61315971250841084</v>
      </c>
      <c r="F18" s="168">
        <v>0.66503797395079167</v>
      </c>
      <c r="G18" s="168">
        <v>0.53477302293826767</v>
      </c>
      <c r="H18" s="168">
        <v>0.48590439299190807</v>
      </c>
      <c r="I18" s="168">
        <v>0.43641684175739326</v>
      </c>
      <c r="J18" s="168">
        <v>0.50195133557344052</v>
      </c>
      <c r="K18" s="168">
        <v>0.53767567995907639</v>
      </c>
      <c r="L18" s="168">
        <v>0.63882702592755691</v>
      </c>
      <c r="M18" s="168">
        <v>0.6488752632127025</v>
      </c>
      <c r="N18" s="168">
        <v>0.58043957001106339</v>
      </c>
      <c r="O18" s="168">
        <v>0.66580229679831271</v>
      </c>
      <c r="P18" s="168">
        <v>0.57161146797379636</v>
      </c>
      <c r="Q18" s="168">
        <v>0.56152742625436514</v>
      </c>
      <c r="S18" s="163"/>
      <c r="T18" s="163"/>
      <c r="U18" s="163"/>
      <c r="V18" s="163"/>
      <c r="W18" s="163"/>
      <c r="X18" s="163"/>
      <c r="Y18" s="163"/>
      <c r="Z18" s="163"/>
    </row>
    <row r="19" spans="1:26">
      <c r="A19" s="227" t="s">
        <v>627</v>
      </c>
      <c r="B19" s="168">
        <v>0.86834031138810353</v>
      </c>
      <c r="C19" s="168">
        <v>0.74939759949679141</v>
      </c>
      <c r="D19" s="168">
        <v>0.83049656710313591</v>
      </c>
      <c r="E19" s="168">
        <v>0.73175387031078654</v>
      </c>
      <c r="F19" s="168">
        <v>0.79456350692969679</v>
      </c>
      <c r="G19" s="168">
        <v>0.63704978044323324</v>
      </c>
      <c r="H19" s="168">
        <v>0.57887972226628115</v>
      </c>
      <c r="I19" s="168">
        <v>0.51976073261794775</v>
      </c>
      <c r="J19" s="168">
        <v>0.59712354608454088</v>
      </c>
      <c r="K19" s="168">
        <v>0.63902949563231792</v>
      </c>
      <c r="L19" s="168">
        <v>0.75846002934376988</v>
      </c>
      <c r="M19" s="168">
        <v>0.77292624267172982</v>
      </c>
      <c r="N19" s="168">
        <v>0.68982480549315572</v>
      </c>
      <c r="O19" s="168">
        <v>0.78911231419216588</v>
      </c>
      <c r="P19" s="168">
        <v>0.67708889855316245</v>
      </c>
      <c r="Q19" s="168">
        <v>0.67077337182535413</v>
      </c>
      <c r="S19" s="163"/>
      <c r="T19" s="163"/>
      <c r="U19" s="163"/>
      <c r="V19" s="163"/>
      <c r="W19" s="163"/>
      <c r="X19" s="163"/>
      <c r="Y19" s="163"/>
      <c r="Z19" s="163"/>
    </row>
    <row r="20" spans="1:26">
      <c r="A20" s="155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</row>
    <row r="21" spans="1:26">
      <c r="A21" s="166" t="s">
        <v>763</v>
      </c>
    </row>
    <row r="22" spans="1:26">
      <c r="A22" s="166" t="s">
        <v>564</v>
      </c>
      <c r="B22" s="214" t="s">
        <v>626</v>
      </c>
      <c r="C22" s="214" t="s">
        <v>575</v>
      </c>
      <c r="D22" s="214" t="s">
        <v>576</v>
      </c>
      <c r="E22" s="214" t="s">
        <v>577</v>
      </c>
      <c r="F22" s="214" t="s">
        <v>578</v>
      </c>
      <c r="G22" s="214" t="s">
        <v>579</v>
      </c>
      <c r="H22" s="214" t="s">
        <v>580</v>
      </c>
      <c r="I22" s="214" t="s">
        <v>581</v>
      </c>
      <c r="J22" s="214" t="s">
        <v>582</v>
      </c>
      <c r="K22" s="214" t="s">
        <v>583</v>
      </c>
      <c r="L22" s="214" t="s">
        <v>584</v>
      </c>
      <c r="M22" s="214" t="s">
        <v>585</v>
      </c>
      <c r="N22" s="214" t="s">
        <v>586</v>
      </c>
      <c r="O22" s="243">
        <v>7</v>
      </c>
      <c r="P22" s="243">
        <v>8</v>
      </c>
      <c r="Q22" s="243" t="s">
        <v>1108</v>
      </c>
      <c r="R22" s="243" t="s">
        <v>1109</v>
      </c>
    </row>
    <row r="23" spans="1:26">
      <c r="A23" s="166" t="s">
        <v>761</v>
      </c>
      <c r="B23" s="214" t="s">
        <v>746</v>
      </c>
      <c r="C23" s="214" t="s">
        <v>747</v>
      </c>
      <c r="D23" s="214" t="s">
        <v>748</v>
      </c>
      <c r="E23" s="214" t="s">
        <v>749</v>
      </c>
      <c r="F23" s="214" t="s">
        <v>750</v>
      </c>
      <c r="G23" s="214" t="s">
        <v>751</v>
      </c>
      <c r="H23" s="214" t="s">
        <v>752</v>
      </c>
      <c r="I23" s="214" t="s">
        <v>753</v>
      </c>
      <c r="J23" s="214" t="s">
        <v>754</v>
      </c>
      <c r="K23" s="214" t="s">
        <v>755</v>
      </c>
      <c r="L23" s="214" t="s">
        <v>756</v>
      </c>
      <c r="M23" s="214" t="s">
        <v>757</v>
      </c>
      <c r="N23" s="214" t="s">
        <v>758</v>
      </c>
      <c r="O23" s="214" t="s">
        <v>759</v>
      </c>
      <c r="P23" s="214" t="s">
        <v>760</v>
      </c>
      <c r="Q23" s="214" t="s">
        <v>804</v>
      </c>
      <c r="R23" s="214" t="s">
        <v>803</v>
      </c>
    </row>
    <row r="24" spans="1:26">
      <c r="A24" s="166" t="s">
        <v>762</v>
      </c>
      <c r="B24" s="214">
        <v>722020</v>
      </c>
      <c r="C24" s="214">
        <v>722430</v>
      </c>
      <c r="D24" s="214">
        <v>722780</v>
      </c>
      <c r="E24" s="214">
        <v>723340</v>
      </c>
      <c r="F24" s="214">
        <v>722700</v>
      </c>
      <c r="G24" s="214">
        <v>724940</v>
      </c>
      <c r="H24" s="214">
        <v>724060</v>
      </c>
      <c r="I24" s="214">
        <v>723650</v>
      </c>
      <c r="J24" s="214">
        <v>726940</v>
      </c>
      <c r="K24" s="214">
        <v>725300</v>
      </c>
      <c r="L24" s="214">
        <v>726810</v>
      </c>
      <c r="M24" s="214">
        <v>726170</v>
      </c>
      <c r="N24" s="214">
        <v>727720</v>
      </c>
      <c r="O24" s="214">
        <v>727450</v>
      </c>
      <c r="P24" s="214">
        <v>702610</v>
      </c>
      <c r="Q24" s="214">
        <v>722050</v>
      </c>
      <c r="R24" s="214">
        <v>722080</v>
      </c>
    </row>
    <row r="25" spans="1:26">
      <c r="A25" s="166" t="s">
        <v>588</v>
      </c>
      <c r="B25" s="230">
        <v>0.41</v>
      </c>
      <c r="C25" s="230">
        <v>0.42</v>
      </c>
      <c r="D25" s="230">
        <v>0.43</v>
      </c>
      <c r="E25" s="230">
        <v>0.46</v>
      </c>
      <c r="F25" s="230">
        <v>0.48</v>
      </c>
      <c r="G25" s="230">
        <v>0.6</v>
      </c>
      <c r="H25" s="230">
        <v>0.5</v>
      </c>
      <c r="I25" s="230">
        <v>0.54</v>
      </c>
      <c r="J25" s="230">
        <v>0.55000000000000004</v>
      </c>
      <c r="K25" s="230">
        <v>0.6</v>
      </c>
      <c r="L25" s="230">
        <v>0.56000000000000005</v>
      </c>
      <c r="M25" s="230">
        <v>0.61</v>
      </c>
      <c r="N25" s="230">
        <v>0.63</v>
      </c>
      <c r="O25" s="230">
        <v>0.7</v>
      </c>
      <c r="P25" s="230">
        <v>0.7</v>
      </c>
      <c r="Q25" s="230">
        <v>0.38</v>
      </c>
      <c r="R25" s="230">
        <v>0.43</v>
      </c>
    </row>
    <row r="26" spans="1:26">
      <c r="B26" s="214" t="str">
        <f>CONCATENATE(B24,"TYA.CSV")</f>
        <v>722020TYA.CSV</v>
      </c>
      <c r="C26" s="214" t="str">
        <f t="shared" ref="C26:R26" si="0">CONCATENATE(C24,"TYA.CSV")</f>
        <v>722430TYA.CSV</v>
      </c>
      <c r="D26" s="214" t="str">
        <f t="shared" si="0"/>
        <v>722780TYA.CSV</v>
      </c>
      <c r="E26" s="214" t="str">
        <f t="shared" si="0"/>
        <v>723340TYA.CSV</v>
      </c>
      <c r="F26" s="214" t="str">
        <f t="shared" si="0"/>
        <v>722700TYA.CSV</v>
      </c>
      <c r="G26" s="214" t="str">
        <f t="shared" si="0"/>
        <v>724940TYA.CSV</v>
      </c>
      <c r="H26" s="214" t="str">
        <f t="shared" si="0"/>
        <v>724060TYA.CSV</v>
      </c>
      <c r="I26" s="214" t="str">
        <f t="shared" si="0"/>
        <v>723650TYA.CSV</v>
      </c>
      <c r="J26" s="214" t="str">
        <f t="shared" si="0"/>
        <v>726940TYA.CSV</v>
      </c>
      <c r="K26" s="214" t="str">
        <f t="shared" si="0"/>
        <v>725300TYA.CSV</v>
      </c>
      <c r="L26" s="214" t="str">
        <f t="shared" si="0"/>
        <v>726810TYA.CSV</v>
      </c>
      <c r="M26" s="214" t="str">
        <f t="shared" si="0"/>
        <v>726170TYA.CSV</v>
      </c>
      <c r="N26" s="214" t="str">
        <f t="shared" si="0"/>
        <v>727720TYA.CSV</v>
      </c>
      <c r="O26" s="214" t="str">
        <f t="shared" si="0"/>
        <v>727450TYA.CSV</v>
      </c>
      <c r="P26" s="214" t="str">
        <f t="shared" si="0"/>
        <v>702610TYA.CSV</v>
      </c>
      <c r="Q26" s="214" t="str">
        <f t="shared" si="0"/>
        <v>722050TYA.CSV</v>
      </c>
      <c r="R26" s="214" t="str">
        <f t="shared" si="0"/>
        <v>722080TYA.CSV</v>
      </c>
    </row>
    <row r="27" spans="1:26">
      <c r="A27" s="166" t="s">
        <v>1219</v>
      </c>
      <c r="B27" s="214">
        <v>25</v>
      </c>
      <c r="C27" s="214">
        <v>29</v>
      </c>
      <c r="D27" s="214">
        <v>33</v>
      </c>
      <c r="E27" s="214">
        <v>35</v>
      </c>
      <c r="F27" s="214">
        <v>31</v>
      </c>
      <c r="G27" s="214">
        <v>37</v>
      </c>
      <c r="H27" s="214">
        <v>39</v>
      </c>
      <c r="I27" s="214">
        <v>35</v>
      </c>
      <c r="J27" s="214">
        <v>45</v>
      </c>
      <c r="K27" s="214">
        <v>41</v>
      </c>
      <c r="L27" s="214">
        <v>43</v>
      </c>
      <c r="M27" s="214">
        <v>44</v>
      </c>
      <c r="N27" s="214">
        <v>46</v>
      </c>
      <c r="O27" s="214">
        <v>46</v>
      </c>
      <c r="P27" s="214">
        <v>64</v>
      </c>
      <c r="Q27" s="214">
        <v>28</v>
      </c>
      <c r="R27" s="214">
        <v>32</v>
      </c>
    </row>
    <row r="28" spans="1:26">
      <c r="A28" s="426" t="s">
        <v>1221</v>
      </c>
      <c r="B28" s="214">
        <v>47</v>
      </c>
      <c r="C28" s="214">
        <v>32</v>
      </c>
      <c r="D28" s="214">
        <v>34</v>
      </c>
      <c r="E28" s="214">
        <v>18</v>
      </c>
      <c r="F28" s="214">
        <v>24</v>
      </c>
      <c r="G28" s="214">
        <v>38</v>
      </c>
      <c r="H28" s="214">
        <v>13</v>
      </c>
      <c r="I28" s="214">
        <v>16</v>
      </c>
      <c r="J28" s="214">
        <v>23</v>
      </c>
      <c r="K28" s="214">
        <v>0</v>
      </c>
      <c r="L28" s="214">
        <v>10</v>
      </c>
      <c r="M28" s="214">
        <v>-7</v>
      </c>
      <c r="N28" s="214">
        <v>-16</v>
      </c>
      <c r="O28" s="214">
        <v>-16</v>
      </c>
      <c r="P28" s="214">
        <v>-47</v>
      </c>
      <c r="Q28" s="214">
        <v>38</v>
      </c>
      <c r="R28" s="214">
        <v>28</v>
      </c>
    </row>
    <row r="29" spans="1:26">
      <c r="A29" s="426" t="s">
        <v>1222</v>
      </c>
      <c r="B29" s="214">
        <v>90</v>
      </c>
      <c r="C29" s="214">
        <v>94</v>
      </c>
      <c r="D29" s="214">
        <v>107</v>
      </c>
      <c r="E29" s="214">
        <v>95</v>
      </c>
      <c r="F29" s="214">
        <v>98</v>
      </c>
      <c r="G29" s="214">
        <v>77</v>
      </c>
      <c r="H29" s="214">
        <v>91</v>
      </c>
      <c r="I29" s="214">
        <v>94</v>
      </c>
      <c r="J29" s="214">
        <v>88</v>
      </c>
      <c r="K29" s="214">
        <v>91</v>
      </c>
      <c r="L29" s="214">
        <v>94</v>
      </c>
      <c r="M29" s="214">
        <v>85</v>
      </c>
      <c r="N29" s="214">
        <v>88</v>
      </c>
      <c r="O29" s="214">
        <v>82</v>
      </c>
      <c r="P29" s="214">
        <v>78</v>
      </c>
      <c r="Q29" s="214">
        <v>93</v>
      </c>
      <c r="R29" s="214">
        <v>92</v>
      </c>
    </row>
    <row r="30" spans="1:26">
      <c r="A30" s="214" t="s">
        <v>1223</v>
      </c>
      <c r="B30" s="214">
        <v>77</v>
      </c>
      <c r="C30" s="214">
        <v>77</v>
      </c>
      <c r="D30" s="214">
        <v>71</v>
      </c>
      <c r="E30" s="214">
        <v>76</v>
      </c>
      <c r="F30" s="214">
        <v>64</v>
      </c>
      <c r="G30" s="214">
        <v>63</v>
      </c>
      <c r="H30" s="214">
        <v>75</v>
      </c>
      <c r="I30" s="214">
        <v>61</v>
      </c>
      <c r="J30" s="214">
        <v>66</v>
      </c>
      <c r="K30" s="214">
        <v>73</v>
      </c>
      <c r="L30" s="214">
        <v>64</v>
      </c>
      <c r="M30" s="214">
        <v>70</v>
      </c>
      <c r="N30" s="214">
        <v>60</v>
      </c>
      <c r="O30" s="214">
        <v>68</v>
      </c>
      <c r="P30" s="214">
        <v>60</v>
      </c>
      <c r="Q30" s="214">
        <v>76</v>
      </c>
      <c r="R30" s="214">
        <v>78</v>
      </c>
    </row>
    <row r="31" spans="1:26">
      <c r="A31" s="214" t="s">
        <v>1224</v>
      </c>
      <c r="B31" s="214">
        <v>49</v>
      </c>
      <c r="C31" s="214">
        <v>42</v>
      </c>
      <c r="D31" s="214">
        <v>0</v>
      </c>
      <c r="E31" s="214">
        <v>33</v>
      </c>
      <c r="F31" s="214">
        <v>0</v>
      </c>
      <c r="G31" s="214">
        <v>0</v>
      </c>
      <c r="H31" s="214">
        <v>35</v>
      </c>
      <c r="I31" s="214">
        <v>0</v>
      </c>
      <c r="J31" s="214">
        <v>0</v>
      </c>
      <c r="K31" s="214">
        <v>23</v>
      </c>
      <c r="L31" s="214">
        <v>0</v>
      </c>
      <c r="M31" s="214">
        <v>15</v>
      </c>
      <c r="N31" s="214">
        <v>0</v>
      </c>
      <c r="O31" s="214">
        <v>10</v>
      </c>
      <c r="P31" s="214">
        <v>0</v>
      </c>
      <c r="Q31" s="214">
        <v>37</v>
      </c>
      <c r="R31" s="214">
        <v>51</v>
      </c>
    </row>
    <row r="32" spans="1:26">
      <c r="A32" s="214" t="s">
        <v>1220</v>
      </c>
      <c r="B32" s="214">
        <v>15</v>
      </c>
      <c r="C32" s="214">
        <v>18</v>
      </c>
      <c r="D32" s="214">
        <v>27</v>
      </c>
      <c r="E32" s="214">
        <v>21</v>
      </c>
      <c r="F32" s="214">
        <v>27</v>
      </c>
      <c r="G32" s="214">
        <v>20</v>
      </c>
      <c r="H32" s="214">
        <v>21</v>
      </c>
      <c r="I32" s="214">
        <v>27</v>
      </c>
      <c r="J32" s="214">
        <v>31</v>
      </c>
      <c r="K32" s="214">
        <v>20</v>
      </c>
      <c r="L32" s="214">
        <v>31</v>
      </c>
      <c r="M32" s="214">
        <v>23</v>
      </c>
      <c r="N32" s="214">
        <v>32</v>
      </c>
      <c r="O32" s="214">
        <v>22</v>
      </c>
      <c r="P32" s="214">
        <v>24</v>
      </c>
      <c r="Q32" s="214">
        <v>17</v>
      </c>
      <c r="R32" s="214">
        <v>13</v>
      </c>
    </row>
    <row r="33" spans="1:18">
      <c r="B33" s="214" t="s">
        <v>213</v>
      </c>
      <c r="C33" s="214" t="s">
        <v>1225</v>
      </c>
      <c r="D33" s="214" t="s">
        <v>1226</v>
      </c>
      <c r="E33" s="214" t="s">
        <v>1225</v>
      </c>
      <c r="F33" s="214" t="s">
        <v>1226</v>
      </c>
      <c r="G33" s="214" t="s">
        <v>1225</v>
      </c>
      <c r="H33" s="214" t="s">
        <v>1225</v>
      </c>
      <c r="I33" s="214" t="s">
        <v>1226</v>
      </c>
      <c r="J33" s="214" t="s">
        <v>1226</v>
      </c>
      <c r="K33" s="214" t="s">
        <v>1225</v>
      </c>
      <c r="L33" s="214" t="s">
        <v>1226</v>
      </c>
      <c r="M33" s="214" t="s">
        <v>1225</v>
      </c>
      <c r="N33" s="214" t="s">
        <v>1226</v>
      </c>
      <c r="O33" s="214" t="s">
        <v>1225</v>
      </c>
      <c r="P33" s="214" t="s">
        <v>1225</v>
      </c>
      <c r="Q33" s="214" t="s">
        <v>1225</v>
      </c>
      <c r="R33" s="214" t="s">
        <v>213</v>
      </c>
    </row>
    <row r="34" spans="1:18">
      <c r="B34" s="214">
        <v>2</v>
      </c>
      <c r="C34" s="214">
        <v>3</v>
      </c>
      <c r="D34" s="214">
        <v>4</v>
      </c>
      <c r="E34" s="214">
        <v>5</v>
      </c>
      <c r="F34" s="214">
        <v>6</v>
      </c>
      <c r="G34" s="214">
        <v>7</v>
      </c>
      <c r="H34" s="214">
        <v>8</v>
      </c>
      <c r="I34" s="214">
        <v>9</v>
      </c>
      <c r="J34" s="214">
        <v>10</v>
      </c>
      <c r="K34" s="214">
        <v>11</v>
      </c>
      <c r="L34" s="214">
        <v>12</v>
      </c>
      <c r="M34" s="214">
        <v>13</v>
      </c>
      <c r="N34" s="214">
        <v>14</v>
      </c>
      <c r="O34" s="214">
        <v>15</v>
      </c>
      <c r="P34" s="214">
        <v>16</v>
      </c>
      <c r="Q34" s="214">
        <v>17</v>
      </c>
      <c r="R34" s="214">
        <v>18</v>
      </c>
    </row>
    <row r="36" spans="1:18">
      <c r="B36" s="214" t="s">
        <v>1216</v>
      </c>
    </row>
    <row r="37" spans="1:18">
      <c r="B37" s="214" t="s">
        <v>1217</v>
      </c>
    </row>
    <row r="38" spans="1:18">
      <c r="B38" s="214" t="s">
        <v>1218</v>
      </c>
    </row>
    <row r="40" spans="1:18" ht="18">
      <c r="A40" s="519" t="s">
        <v>1402</v>
      </c>
    </row>
    <row r="41" spans="1:18">
      <c r="A41" s="214" t="s">
        <v>564</v>
      </c>
      <c r="B41" s="214">
        <v>1</v>
      </c>
      <c r="C41" s="214">
        <v>2</v>
      </c>
      <c r="D41" s="214">
        <v>3</v>
      </c>
      <c r="E41" s="214">
        <v>4</v>
      </c>
      <c r="F41" s="214">
        <v>5</v>
      </c>
      <c r="G41" s="214">
        <v>6</v>
      </c>
      <c r="H41" s="214">
        <v>7</v>
      </c>
      <c r="I41" s="214">
        <v>8</v>
      </c>
      <c r="J41" s="214">
        <v>9</v>
      </c>
      <c r="K41" s="214">
        <v>10</v>
      </c>
      <c r="L41" s="214">
        <v>11</v>
      </c>
      <c r="M41" s="214">
        <v>12</v>
      </c>
      <c r="N41" s="214">
        <v>13</v>
      </c>
      <c r="O41" s="214">
        <v>14</v>
      </c>
      <c r="P41" s="214">
        <v>15</v>
      </c>
      <c r="Q41" s="214">
        <v>16</v>
      </c>
    </row>
    <row r="42" spans="1:18">
      <c r="A42" s="214" t="s">
        <v>1403</v>
      </c>
      <c r="B42" s="112" t="s">
        <v>1404</v>
      </c>
      <c r="C42" s="112" t="s">
        <v>1405</v>
      </c>
      <c r="D42" s="112" t="s">
        <v>1406</v>
      </c>
      <c r="E42" s="112" t="s">
        <v>1407</v>
      </c>
      <c r="F42" s="112" t="s">
        <v>1408</v>
      </c>
      <c r="G42" s="112" t="s">
        <v>1409</v>
      </c>
      <c r="H42" s="112" t="s">
        <v>1410</v>
      </c>
      <c r="I42" s="112" t="s">
        <v>1411</v>
      </c>
      <c r="J42" s="112" t="s">
        <v>1412</v>
      </c>
      <c r="K42" s="112" t="s">
        <v>1413</v>
      </c>
      <c r="L42" s="112" t="s">
        <v>1414</v>
      </c>
      <c r="M42" s="112" t="s">
        <v>1415</v>
      </c>
      <c r="N42" s="112" t="s">
        <v>1416</v>
      </c>
      <c r="O42" s="112" t="s">
        <v>1417</v>
      </c>
      <c r="P42" s="112" t="s">
        <v>1418</v>
      </c>
      <c r="Q42" s="112" t="s">
        <v>1419</v>
      </c>
    </row>
    <row r="43" spans="1:18">
      <c r="A43" s="214" t="s">
        <v>762</v>
      </c>
      <c r="B43" s="214">
        <v>725945</v>
      </c>
      <c r="C43" s="214">
        <v>724957</v>
      </c>
      <c r="D43" s="214">
        <v>724930</v>
      </c>
      <c r="E43" s="214">
        <v>724945</v>
      </c>
      <c r="F43" s="214">
        <v>723940</v>
      </c>
      <c r="G43" s="222">
        <v>722950</v>
      </c>
      <c r="H43" s="214">
        <v>722900</v>
      </c>
      <c r="I43" s="214">
        <v>722976</v>
      </c>
      <c r="J43" s="214">
        <v>722880</v>
      </c>
      <c r="K43" s="214">
        <v>722869</v>
      </c>
      <c r="L43" s="214">
        <v>725910</v>
      </c>
      <c r="M43" s="214">
        <v>724830</v>
      </c>
      <c r="N43" s="214">
        <v>723890</v>
      </c>
      <c r="O43" s="214">
        <v>723820</v>
      </c>
      <c r="P43" s="214">
        <v>747187</v>
      </c>
      <c r="Q43" s="214">
        <v>725845</v>
      </c>
    </row>
    <row r="44" spans="1:18">
      <c r="A44" s="214" t="s">
        <v>1420</v>
      </c>
      <c r="B44" s="214">
        <v>0.56000000000000005</v>
      </c>
      <c r="C44" s="214">
        <v>0.49</v>
      </c>
      <c r="D44" s="214">
        <v>0.54</v>
      </c>
      <c r="E44" s="214">
        <v>0.48</v>
      </c>
      <c r="F44" s="214">
        <v>0.52</v>
      </c>
      <c r="G44" s="214">
        <v>0.42</v>
      </c>
      <c r="H44" s="214">
        <v>0.38</v>
      </c>
      <c r="I44" s="214">
        <v>0.34</v>
      </c>
      <c r="J44" s="214">
        <v>0.39</v>
      </c>
      <c r="K44" s="214">
        <v>0.42</v>
      </c>
      <c r="L44" s="214">
        <v>0.5</v>
      </c>
      <c r="M44" s="214">
        <v>0.51</v>
      </c>
      <c r="N44" s="214">
        <v>0.45</v>
      </c>
      <c r="O44" s="214">
        <v>0.56999999999999995</v>
      </c>
      <c r="P44" s="214">
        <v>0.46</v>
      </c>
      <c r="Q44" s="214">
        <v>0.44</v>
      </c>
    </row>
    <row r="45" spans="1:18">
      <c r="A45" s="166" t="s">
        <v>1219</v>
      </c>
      <c r="B45" s="214">
        <v>41</v>
      </c>
      <c r="C45" s="214">
        <v>39</v>
      </c>
      <c r="D45" s="214">
        <v>37</v>
      </c>
      <c r="E45" s="214">
        <v>37</v>
      </c>
      <c r="F45" s="214">
        <v>34</v>
      </c>
      <c r="G45" s="214">
        <v>34</v>
      </c>
      <c r="H45" s="214">
        <v>33</v>
      </c>
      <c r="I45" s="214">
        <v>34</v>
      </c>
      <c r="J45" s="214">
        <v>34</v>
      </c>
      <c r="K45" s="214">
        <v>34</v>
      </c>
      <c r="L45" s="214">
        <v>40</v>
      </c>
      <c r="M45" s="214">
        <v>38</v>
      </c>
      <c r="N45" s="214">
        <v>36</v>
      </c>
      <c r="O45" s="214">
        <v>34</v>
      </c>
      <c r="P45" s="214">
        <v>33</v>
      </c>
      <c r="Q45" s="214">
        <v>39</v>
      </c>
    </row>
    <row r="46" spans="1:18">
      <c r="A46" s="426" t="s">
        <v>1421</v>
      </c>
      <c r="B46" s="214">
        <v>33</v>
      </c>
      <c r="C46" s="214">
        <v>29</v>
      </c>
      <c r="D46" s="214">
        <v>36</v>
      </c>
      <c r="E46" s="214">
        <v>38</v>
      </c>
      <c r="F46" s="214">
        <v>35</v>
      </c>
      <c r="G46" s="214">
        <v>45</v>
      </c>
      <c r="H46" s="214">
        <v>44</v>
      </c>
      <c r="I46" s="214">
        <v>37</v>
      </c>
      <c r="J46" s="214">
        <v>41</v>
      </c>
      <c r="K46" s="214">
        <v>35</v>
      </c>
      <c r="L46" s="214">
        <v>32</v>
      </c>
      <c r="M46" s="214">
        <v>32</v>
      </c>
      <c r="N46" s="214">
        <v>32</v>
      </c>
      <c r="O46" s="214">
        <v>24</v>
      </c>
      <c r="P46" s="214">
        <v>35</v>
      </c>
      <c r="Q46" s="214">
        <v>24</v>
      </c>
    </row>
    <row r="47" spans="1:18">
      <c r="A47" s="426" t="s">
        <v>1422</v>
      </c>
      <c r="B47" s="214">
        <v>69</v>
      </c>
      <c r="C47" s="214">
        <v>96</v>
      </c>
      <c r="D47" s="214">
        <v>80</v>
      </c>
      <c r="E47" s="214">
        <v>89</v>
      </c>
      <c r="F47" s="214">
        <v>82</v>
      </c>
      <c r="G47" s="214">
        <v>81</v>
      </c>
      <c r="H47" s="214">
        <v>82</v>
      </c>
      <c r="I47" s="214">
        <v>91</v>
      </c>
      <c r="J47" s="214">
        <v>95</v>
      </c>
      <c r="K47" s="214">
        <v>99</v>
      </c>
      <c r="L47" s="214">
        <v>102</v>
      </c>
      <c r="M47" s="214">
        <v>97</v>
      </c>
      <c r="N47" s="214">
        <v>101</v>
      </c>
      <c r="O47" s="214">
        <v>98</v>
      </c>
      <c r="P47" s="214">
        <v>110</v>
      </c>
      <c r="Q47" s="214">
        <v>81</v>
      </c>
    </row>
    <row r="48" spans="1:18">
      <c r="A48" s="214" t="s">
        <v>1223</v>
      </c>
      <c r="B48" s="214">
        <v>60</v>
      </c>
      <c r="C48" s="214">
        <v>68</v>
      </c>
      <c r="D48" s="214">
        <v>63</v>
      </c>
      <c r="E48" s="214">
        <v>66</v>
      </c>
      <c r="F48" s="214">
        <v>62</v>
      </c>
      <c r="G48" s="214">
        <v>64</v>
      </c>
      <c r="H48" s="214">
        <v>70</v>
      </c>
      <c r="I48" s="214">
        <v>70</v>
      </c>
      <c r="J48" s="214">
        <v>69</v>
      </c>
      <c r="K48" s="214">
        <v>67</v>
      </c>
      <c r="L48" s="214">
        <v>69</v>
      </c>
      <c r="M48" s="214">
        <v>68</v>
      </c>
      <c r="N48" s="214">
        <v>70</v>
      </c>
      <c r="O48" s="214">
        <v>67</v>
      </c>
      <c r="P48" s="214">
        <v>66</v>
      </c>
      <c r="Q48" s="214">
        <v>57</v>
      </c>
    </row>
    <row r="49" spans="1:17">
      <c r="A49" s="214" t="s">
        <v>1224</v>
      </c>
      <c r="B49" s="214">
        <v>5</v>
      </c>
      <c r="C49" s="214">
        <v>0</v>
      </c>
      <c r="D49" s="214">
        <v>1</v>
      </c>
      <c r="E49" s="214">
        <v>1</v>
      </c>
      <c r="F49" s="214">
        <v>-7</v>
      </c>
      <c r="G49" s="214">
        <v>8</v>
      </c>
      <c r="H49" s="214">
        <v>33</v>
      </c>
      <c r="I49" s="214">
        <v>19</v>
      </c>
      <c r="J49" s="214">
        <v>7</v>
      </c>
      <c r="K49" s="214">
        <v>-9</v>
      </c>
      <c r="L49" s="214">
        <v>-4</v>
      </c>
      <c r="M49" s="214">
        <v>-1</v>
      </c>
      <c r="N49" s="214">
        <v>3</v>
      </c>
      <c r="O49" s="214">
        <v>-18</v>
      </c>
      <c r="P49" s="214">
        <v>-11</v>
      </c>
      <c r="Q49" s="214">
        <v>-28</v>
      </c>
    </row>
    <row r="50" spans="1:17">
      <c r="A50" s="214" t="s">
        <v>1220</v>
      </c>
      <c r="B50" s="214" t="s">
        <v>213</v>
      </c>
      <c r="C50" s="214" t="s">
        <v>1226</v>
      </c>
      <c r="D50" s="214" t="s">
        <v>1225</v>
      </c>
      <c r="E50" s="214" t="s">
        <v>1226</v>
      </c>
      <c r="F50" s="214" t="s">
        <v>1225</v>
      </c>
      <c r="G50" s="214" t="s">
        <v>213</v>
      </c>
      <c r="H50" s="214" t="s">
        <v>213</v>
      </c>
      <c r="I50" s="214" t="s">
        <v>1226</v>
      </c>
      <c r="J50" s="214" t="s">
        <v>1225</v>
      </c>
      <c r="K50" s="214" t="s">
        <v>1226</v>
      </c>
      <c r="L50" s="214" t="s">
        <v>1226</v>
      </c>
      <c r="M50" s="214" t="s">
        <v>1226</v>
      </c>
      <c r="N50" s="214" t="s">
        <v>1226</v>
      </c>
      <c r="O50" s="214" t="s">
        <v>1226</v>
      </c>
      <c r="P50" s="214" t="s">
        <v>1226</v>
      </c>
      <c r="Q50" s="214" t="s">
        <v>1225</v>
      </c>
    </row>
    <row r="51" spans="1:17">
      <c r="A51" s="214" t="s">
        <v>1423</v>
      </c>
      <c r="B51" s="214" t="s">
        <v>1424</v>
      </c>
    </row>
    <row r="52" spans="1:17">
      <c r="B52" s="214" t="str">
        <f>CONCATENATE("CZ", B56,"RV2.epw", "")</f>
        <v>CZ01RV2.epw</v>
      </c>
      <c r="C52" s="214" t="str">
        <f t="shared" ref="C52:Q52" si="1">CONCATENATE("CZ", C56,"RV2.epw", "")</f>
        <v>CZ02RV2.epw</v>
      </c>
      <c r="D52" s="214" t="str">
        <f t="shared" si="1"/>
        <v>CZ03RV2.epw</v>
      </c>
      <c r="E52" s="214" t="str">
        <f t="shared" si="1"/>
        <v>CZ04RV2.epw</v>
      </c>
      <c r="F52" s="214" t="str">
        <f t="shared" si="1"/>
        <v>CZ05RV2.epw</v>
      </c>
      <c r="G52" s="214" t="str">
        <f t="shared" si="1"/>
        <v>CZ06RV2.epw</v>
      </c>
      <c r="H52" s="214" t="str">
        <f t="shared" si="1"/>
        <v>CZ07RV2.epw</v>
      </c>
      <c r="I52" s="214" t="str">
        <f t="shared" si="1"/>
        <v>CZ08RV2.epw</v>
      </c>
      <c r="J52" s="214" t="str">
        <f t="shared" si="1"/>
        <v>CZ09RV2.epw</v>
      </c>
      <c r="K52" s="214" t="str">
        <f t="shared" si="1"/>
        <v>CZ10RV2.epw</v>
      </c>
      <c r="L52" s="214" t="str">
        <f t="shared" si="1"/>
        <v>CZ11RV2.epw</v>
      </c>
      <c r="M52" s="214" t="str">
        <f t="shared" si="1"/>
        <v>CZ12RV2.epw</v>
      </c>
      <c r="N52" s="214" t="str">
        <f t="shared" si="1"/>
        <v>CZ13RV2.epw</v>
      </c>
      <c r="O52" s="214" t="str">
        <f t="shared" si="1"/>
        <v>CZ14RV2.epw</v>
      </c>
      <c r="P52" s="214" t="str">
        <f t="shared" si="1"/>
        <v>CZ15RV2.epw</v>
      </c>
      <c r="Q52" s="214" t="str">
        <f t="shared" si="1"/>
        <v>CZ16RV2.epw</v>
      </c>
    </row>
    <row r="53" spans="1:17">
      <c r="B53" s="214" t="s">
        <v>1216</v>
      </c>
    </row>
    <row r="54" spans="1:17">
      <c r="B54" s="214" t="s">
        <v>1217</v>
      </c>
    </row>
    <row r="55" spans="1:17">
      <c r="B55" s="214" t="s">
        <v>1218</v>
      </c>
    </row>
    <row r="56" spans="1:17">
      <c r="B56" s="520" t="s">
        <v>1425</v>
      </c>
      <c r="C56" s="520" t="s">
        <v>1426</v>
      </c>
      <c r="D56" s="520" t="s">
        <v>1427</v>
      </c>
      <c r="E56" s="520" t="s">
        <v>1428</v>
      </c>
      <c r="F56" s="520" t="s">
        <v>1429</v>
      </c>
      <c r="G56" s="520" t="s">
        <v>1430</v>
      </c>
      <c r="H56" s="520" t="s">
        <v>1431</v>
      </c>
      <c r="I56" s="520" t="s">
        <v>1432</v>
      </c>
      <c r="J56" s="520" t="s">
        <v>1433</v>
      </c>
      <c r="K56" s="520" t="s">
        <v>1434</v>
      </c>
      <c r="L56" s="520" t="s">
        <v>1435</v>
      </c>
      <c r="M56" s="520" t="s">
        <v>1436</v>
      </c>
      <c r="N56" s="520" t="s">
        <v>1437</v>
      </c>
      <c r="O56" s="520" t="s">
        <v>1438</v>
      </c>
      <c r="P56" s="520" t="s">
        <v>1439</v>
      </c>
      <c r="Q56" s="520" t="s">
        <v>1440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14" customFormat="1">
      <c r="A1" s="166" t="s">
        <v>934</v>
      </c>
      <c r="B1" s="214">
        <v>1</v>
      </c>
      <c r="C1" s="214">
        <v>2</v>
      </c>
      <c r="D1" s="214">
        <v>3</v>
      </c>
      <c r="E1" s="214">
        <v>4</v>
      </c>
      <c r="F1" s="214">
        <v>5</v>
      </c>
      <c r="G1" s="214">
        <v>6</v>
      </c>
      <c r="H1" s="214">
        <v>7</v>
      </c>
      <c r="I1" s="214">
        <v>8</v>
      </c>
      <c r="J1" s="214">
        <v>9</v>
      </c>
      <c r="K1" s="214">
        <v>10</v>
      </c>
      <c r="L1" s="214">
        <v>11</v>
      </c>
      <c r="M1" s="214">
        <v>12</v>
      </c>
      <c r="N1" s="214">
        <v>13</v>
      </c>
      <c r="O1" s="214">
        <v>14</v>
      </c>
      <c r="P1" s="214">
        <v>15</v>
      </c>
      <c r="Q1" s="214" t="s">
        <v>804</v>
      </c>
      <c r="R1" s="214" t="s">
        <v>803</v>
      </c>
    </row>
    <row r="2" spans="1:18">
      <c r="A2" s="166" t="s">
        <v>564</v>
      </c>
      <c r="B2" s="214" t="s">
        <v>626</v>
      </c>
      <c r="C2" s="214" t="s">
        <v>575</v>
      </c>
      <c r="D2" s="214" t="s">
        <v>576</v>
      </c>
      <c r="E2" s="214" t="s">
        <v>577</v>
      </c>
      <c r="F2" s="214" t="s">
        <v>578</v>
      </c>
      <c r="G2" s="214" t="s">
        <v>579</v>
      </c>
      <c r="H2" s="214" t="s">
        <v>580</v>
      </c>
      <c r="I2" s="214" t="s">
        <v>581</v>
      </c>
      <c r="J2" s="214" t="s">
        <v>582</v>
      </c>
      <c r="K2" s="214" t="s">
        <v>583</v>
      </c>
      <c r="L2" s="214" t="s">
        <v>584</v>
      </c>
      <c r="M2" s="214" t="s">
        <v>585</v>
      </c>
      <c r="N2" s="214" t="s">
        <v>586</v>
      </c>
      <c r="O2" s="243">
        <v>7</v>
      </c>
      <c r="P2" s="243">
        <v>8</v>
      </c>
      <c r="Q2" s="243" t="s">
        <v>1108</v>
      </c>
      <c r="R2" s="243" t="s">
        <v>1109</v>
      </c>
    </row>
    <row r="3" spans="1:18">
      <c r="A3" s="166" t="s">
        <v>761</v>
      </c>
      <c r="B3" s="214" t="s">
        <v>746</v>
      </c>
      <c r="C3" s="214" t="s">
        <v>747</v>
      </c>
      <c r="D3" s="214" t="s">
        <v>748</v>
      </c>
      <c r="E3" s="214" t="s">
        <v>749</v>
      </c>
      <c r="F3" s="214" t="s">
        <v>750</v>
      </c>
      <c r="G3" s="214" t="s">
        <v>751</v>
      </c>
      <c r="H3" s="214" t="s">
        <v>752</v>
      </c>
      <c r="I3" s="214" t="s">
        <v>753</v>
      </c>
      <c r="J3" s="214" t="s">
        <v>754</v>
      </c>
      <c r="K3" s="214" t="s">
        <v>755</v>
      </c>
      <c r="L3" s="214" t="s">
        <v>756</v>
      </c>
      <c r="M3" s="214" t="s">
        <v>757</v>
      </c>
      <c r="N3" s="214" t="s">
        <v>758</v>
      </c>
      <c r="O3" s="214" t="s">
        <v>759</v>
      </c>
      <c r="P3" s="214" t="s">
        <v>760</v>
      </c>
      <c r="Q3" s="214" t="s">
        <v>802</v>
      </c>
      <c r="R3" s="214" t="s">
        <v>803</v>
      </c>
    </row>
    <row r="4" spans="1:18" s="214" customFormat="1"/>
    <row r="5" spans="1:18" s="214" customFormat="1">
      <c r="A5" s="222" t="s">
        <v>816</v>
      </c>
      <c r="B5" s="300">
        <f t="shared" ref="B5:R5" si="0">IF(HumControl=13, VLOOKUP(B1,$A$96:$B$101,2,FALSE),B23)</f>
        <v>1.8143650428724283E-2</v>
      </c>
      <c r="C5" s="300">
        <f t="shared" si="0"/>
        <v>1.8093565104086943E-2</v>
      </c>
      <c r="D5" s="300" t="str">
        <f t="shared" si="0"/>
        <v>NA</v>
      </c>
      <c r="E5" s="300">
        <f t="shared" si="0"/>
        <v>1.6457918085888881E-2</v>
      </c>
      <c r="F5" s="300" t="str">
        <f t="shared" si="0"/>
        <v>NA</v>
      </c>
      <c r="G5" s="300" t="str">
        <f t="shared" si="0"/>
        <v>NA</v>
      </c>
      <c r="H5" s="300">
        <f t="shared" si="0"/>
        <v>1.4623221193902717E-2</v>
      </c>
      <c r="I5" s="300" t="str">
        <f t="shared" si="0"/>
        <v>NA</v>
      </c>
      <c r="J5" s="300" t="str">
        <f t="shared" si="0"/>
        <v>NA</v>
      </c>
      <c r="K5" s="300" t="str">
        <f t="shared" si="0"/>
        <v>NA</v>
      </c>
      <c r="L5" s="300" t="str">
        <f t="shared" si="0"/>
        <v>NA</v>
      </c>
      <c r="M5" s="300" t="str">
        <f t="shared" si="0"/>
        <v>NA</v>
      </c>
      <c r="N5" s="300" t="str">
        <f t="shared" si="0"/>
        <v>NA</v>
      </c>
      <c r="O5" s="300" t="str">
        <f t="shared" si="0"/>
        <v>NA</v>
      </c>
      <c r="P5" s="300" t="str">
        <f t="shared" si="0"/>
        <v>NA</v>
      </c>
      <c r="Q5" s="300">
        <f t="shared" si="0"/>
        <v>1.7707763234996277E-2</v>
      </c>
      <c r="R5" s="300">
        <f t="shared" si="0"/>
        <v>1.7457897967807213E-2</v>
      </c>
    </row>
    <row r="6" spans="1:18" s="214" customFormat="1">
      <c r="A6" s="222" t="s">
        <v>818</v>
      </c>
      <c r="B6" s="300">
        <f t="shared" ref="B6:R6" si="1">IF(OR(HumControl=4, HumControl=5),VLOOKUP(B1,$A$88:$C$93,3,FALSE),0)</f>
        <v>0</v>
      </c>
      <c r="C6" s="300">
        <f t="shared" si="1"/>
        <v>0</v>
      </c>
      <c r="D6" s="300">
        <f t="shared" si="1"/>
        <v>0</v>
      </c>
      <c r="E6" s="300">
        <f t="shared" si="1"/>
        <v>0</v>
      </c>
      <c r="F6" s="300">
        <f t="shared" si="1"/>
        <v>0</v>
      </c>
      <c r="G6" s="300">
        <f t="shared" si="1"/>
        <v>0</v>
      </c>
      <c r="H6" s="300">
        <f t="shared" si="1"/>
        <v>0</v>
      </c>
      <c r="I6" s="300">
        <f t="shared" si="1"/>
        <v>0</v>
      </c>
      <c r="J6" s="300">
        <f t="shared" si="1"/>
        <v>0</v>
      </c>
      <c r="K6" s="300">
        <f t="shared" si="1"/>
        <v>0</v>
      </c>
      <c r="L6" s="300">
        <f t="shared" si="1"/>
        <v>0</v>
      </c>
      <c r="M6" s="300">
        <f t="shared" si="1"/>
        <v>0</v>
      </c>
      <c r="N6" s="300">
        <f t="shared" si="1"/>
        <v>0</v>
      </c>
      <c r="O6" s="300">
        <f t="shared" si="1"/>
        <v>0</v>
      </c>
      <c r="P6" s="300">
        <f t="shared" si="1"/>
        <v>0</v>
      </c>
      <c r="Q6" s="300">
        <f t="shared" si="1"/>
        <v>0</v>
      </c>
      <c r="R6" s="300">
        <f t="shared" si="1"/>
        <v>0</v>
      </c>
    </row>
    <row r="7" spans="1:18" s="214" customFormat="1">
      <c r="A7" s="222" t="s">
        <v>819</v>
      </c>
      <c r="B7" s="231">
        <f t="shared" ref="B7:R7" si="2">IF(OR(HumControl=4,HumControl=5),VLOOKUP(B1,$A$88:$C$93,2,FALSE),0)</f>
        <v>0</v>
      </c>
      <c r="C7" s="231">
        <f t="shared" si="2"/>
        <v>0</v>
      </c>
      <c r="D7" s="231">
        <f t="shared" si="2"/>
        <v>0</v>
      </c>
      <c r="E7" s="231">
        <f t="shared" si="2"/>
        <v>0</v>
      </c>
      <c r="F7" s="231">
        <f t="shared" si="2"/>
        <v>0</v>
      </c>
      <c r="G7" s="231">
        <f t="shared" si="2"/>
        <v>0</v>
      </c>
      <c r="H7" s="231">
        <f t="shared" si="2"/>
        <v>0</v>
      </c>
      <c r="I7" s="231">
        <f t="shared" si="2"/>
        <v>0</v>
      </c>
      <c r="J7" s="231">
        <f t="shared" si="2"/>
        <v>0</v>
      </c>
      <c r="K7" s="231">
        <f t="shared" si="2"/>
        <v>0</v>
      </c>
      <c r="L7" s="231">
        <f t="shared" si="2"/>
        <v>0</v>
      </c>
      <c r="M7" s="231">
        <f t="shared" si="2"/>
        <v>0</v>
      </c>
      <c r="N7" s="231">
        <f t="shared" si="2"/>
        <v>0</v>
      </c>
      <c r="O7" s="231">
        <f t="shared" si="2"/>
        <v>0</v>
      </c>
      <c r="P7" s="231">
        <f t="shared" si="2"/>
        <v>0</v>
      </c>
      <c r="Q7" s="231">
        <f t="shared" si="2"/>
        <v>0</v>
      </c>
      <c r="R7" s="231">
        <f t="shared" si="2"/>
        <v>0</v>
      </c>
    </row>
    <row r="8" spans="1:18" s="214" customFormat="1">
      <c r="A8" s="222" t="s">
        <v>910</v>
      </c>
      <c r="B8" s="300">
        <f t="shared" ref="B8:R8" si="3">IF(OR(HumControl=6,HumControl=8,HumControl=11,HumControl=12),VLOOKUP(B1,$A$72:$E$78,2,FALSE),0)</f>
        <v>0</v>
      </c>
      <c r="C8" s="300">
        <f t="shared" si="3"/>
        <v>0</v>
      </c>
      <c r="D8" s="300">
        <f t="shared" si="3"/>
        <v>0</v>
      </c>
      <c r="E8" s="300">
        <f t="shared" si="3"/>
        <v>0</v>
      </c>
      <c r="F8" s="300">
        <f t="shared" si="3"/>
        <v>0</v>
      </c>
      <c r="G8" s="300">
        <f t="shared" si="3"/>
        <v>0</v>
      </c>
      <c r="H8" s="300">
        <f t="shared" si="3"/>
        <v>0</v>
      </c>
      <c r="I8" s="300">
        <f t="shared" si="3"/>
        <v>0</v>
      </c>
      <c r="J8" s="300">
        <f t="shared" si="3"/>
        <v>0</v>
      </c>
      <c r="K8" s="300">
        <f t="shared" si="3"/>
        <v>0</v>
      </c>
      <c r="L8" s="300">
        <f t="shared" si="3"/>
        <v>0</v>
      </c>
      <c r="M8" s="300">
        <f t="shared" si="3"/>
        <v>0</v>
      </c>
      <c r="N8" s="300">
        <f t="shared" si="3"/>
        <v>0</v>
      </c>
      <c r="O8" s="300">
        <f t="shared" si="3"/>
        <v>0</v>
      </c>
      <c r="P8" s="300">
        <f t="shared" si="3"/>
        <v>0</v>
      </c>
      <c r="Q8" s="300">
        <f t="shared" si="3"/>
        <v>0</v>
      </c>
      <c r="R8" s="300">
        <f t="shared" si="3"/>
        <v>0</v>
      </c>
    </row>
    <row r="9" spans="1:18" s="214" customFormat="1">
      <c r="A9" s="222" t="s">
        <v>911</v>
      </c>
      <c r="B9" s="300">
        <f t="shared" ref="B9:R9" si="4">IF(OR(HumControl=6,HumControl=8,HumControl=11,HumControl=12),VLOOKUP(B1,$A$73:$E$78,3,FALSE),0)</f>
        <v>0</v>
      </c>
      <c r="C9" s="300">
        <f t="shared" si="4"/>
        <v>0</v>
      </c>
      <c r="D9" s="300">
        <f t="shared" si="4"/>
        <v>0</v>
      </c>
      <c r="E9" s="300">
        <f t="shared" si="4"/>
        <v>0</v>
      </c>
      <c r="F9" s="300">
        <f t="shared" si="4"/>
        <v>0</v>
      </c>
      <c r="G9" s="300">
        <f t="shared" si="4"/>
        <v>0</v>
      </c>
      <c r="H9" s="300">
        <f t="shared" si="4"/>
        <v>0</v>
      </c>
      <c r="I9" s="300">
        <f t="shared" si="4"/>
        <v>0</v>
      </c>
      <c r="J9" s="300">
        <f t="shared" si="4"/>
        <v>0</v>
      </c>
      <c r="K9" s="300">
        <f t="shared" si="4"/>
        <v>0</v>
      </c>
      <c r="L9" s="300">
        <f t="shared" si="4"/>
        <v>0</v>
      </c>
      <c r="M9" s="300">
        <f t="shared" si="4"/>
        <v>0</v>
      </c>
      <c r="N9" s="300">
        <f t="shared" si="4"/>
        <v>0</v>
      </c>
      <c r="O9" s="300">
        <f t="shared" si="4"/>
        <v>0</v>
      </c>
      <c r="P9" s="300">
        <f t="shared" si="4"/>
        <v>0</v>
      </c>
      <c r="Q9" s="300">
        <f t="shared" si="4"/>
        <v>0</v>
      </c>
      <c r="R9" s="300">
        <f t="shared" si="4"/>
        <v>0</v>
      </c>
    </row>
    <row r="10" spans="1:18" s="214" customFormat="1">
      <c r="A10" s="222" t="s">
        <v>912</v>
      </c>
      <c r="B10" s="300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00">
        <f t="shared" si="5"/>
        <v>0</v>
      </c>
      <c r="D10" s="300">
        <f t="shared" si="5"/>
        <v>0</v>
      </c>
      <c r="E10" s="300">
        <f t="shared" si="5"/>
        <v>0</v>
      </c>
      <c r="F10" s="300">
        <f t="shared" si="5"/>
        <v>0</v>
      </c>
      <c r="G10" s="300">
        <f t="shared" si="5"/>
        <v>0</v>
      </c>
      <c r="H10" s="300">
        <f t="shared" si="5"/>
        <v>0</v>
      </c>
      <c r="I10" s="300">
        <f t="shared" si="5"/>
        <v>0</v>
      </c>
      <c r="J10" s="300">
        <f t="shared" si="5"/>
        <v>0</v>
      </c>
      <c r="K10" s="300">
        <f t="shared" si="5"/>
        <v>0</v>
      </c>
      <c r="L10" s="300">
        <f t="shared" si="5"/>
        <v>0</v>
      </c>
      <c r="M10" s="300">
        <f t="shared" si="5"/>
        <v>0</v>
      </c>
      <c r="N10" s="300">
        <f t="shared" si="5"/>
        <v>0</v>
      </c>
      <c r="O10" s="300">
        <f t="shared" si="5"/>
        <v>0</v>
      </c>
      <c r="P10" s="300">
        <f t="shared" si="5"/>
        <v>0</v>
      </c>
      <c r="Q10" s="300">
        <f t="shared" si="5"/>
        <v>0</v>
      </c>
      <c r="R10" s="300">
        <f t="shared" si="5"/>
        <v>0</v>
      </c>
    </row>
    <row r="11" spans="1:18" s="214" customFormat="1">
      <c r="A11" s="222" t="s">
        <v>913</v>
      </c>
      <c r="B11" s="300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00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00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00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00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00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00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00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00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00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00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00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00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00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00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00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00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14" customFormat="1"/>
    <row r="13" spans="1:18">
      <c r="B13" t="s">
        <v>820</v>
      </c>
      <c r="C13" t="s">
        <v>821</v>
      </c>
      <c r="D13" t="s">
        <v>822</v>
      </c>
      <c r="E13" t="s">
        <v>823</v>
      </c>
      <c r="F13" t="s">
        <v>824</v>
      </c>
      <c r="G13" t="s">
        <v>825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14">
        <v>1.2014072889631714E-2</v>
      </c>
      <c r="H15" s="214"/>
      <c r="I15" s="21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14">
        <v>1.3272681585791464E-2</v>
      </c>
      <c r="H16" s="214"/>
      <c r="I16" s="21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14">
        <v>1.4623221193902717E-2</v>
      </c>
      <c r="H17" s="214"/>
      <c r="I17" s="21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14">
        <v>1.6159245924347556E-2</v>
      </c>
      <c r="H18" s="214"/>
      <c r="I18" s="21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14">
        <v>1.8170735998349296E-2</v>
      </c>
      <c r="H19" s="214"/>
      <c r="I19" s="214"/>
    </row>
    <row r="20" spans="1:18" s="214" customFormat="1"/>
    <row r="21" spans="1:18">
      <c r="A21" s="214" t="s">
        <v>826</v>
      </c>
      <c r="G21" s="214"/>
      <c r="H21" s="214"/>
      <c r="I21" s="214"/>
    </row>
    <row r="22" spans="1:18">
      <c r="A22" s="166" t="s">
        <v>762</v>
      </c>
      <c r="B22" s="214">
        <v>722020</v>
      </c>
      <c r="C22" s="214">
        <v>722430</v>
      </c>
      <c r="D22" s="214">
        <v>722780</v>
      </c>
      <c r="E22" s="214">
        <v>723340</v>
      </c>
      <c r="F22" s="214">
        <v>722700</v>
      </c>
      <c r="G22" s="214">
        <v>724940</v>
      </c>
      <c r="H22" s="214">
        <v>724060</v>
      </c>
      <c r="I22" s="214">
        <v>723650</v>
      </c>
      <c r="J22" s="214">
        <v>726940</v>
      </c>
      <c r="K22" s="214">
        <v>725300</v>
      </c>
      <c r="L22" s="214">
        <v>726810</v>
      </c>
      <c r="M22" s="214">
        <v>726170</v>
      </c>
      <c r="N22" s="214">
        <v>727720</v>
      </c>
      <c r="O22" s="214">
        <v>727450</v>
      </c>
      <c r="P22" s="214">
        <v>702610</v>
      </c>
      <c r="Q22" s="214">
        <v>722057</v>
      </c>
      <c r="R22" s="214">
        <v>722080</v>
      </c>
    </row>
    <row r="23" spans="1:18">
      <c r="A23" s="166" t="s">
        <v>588</v>
      </c>
      <c r="B23" s="214">
        <v>1.8143650428724283E-2</v>
      </c>
      <c r="C23" s="214">
        <v>1.8093565104086943E-2</v>
      </c>
      <c r="D23" s="214" t="s">
        <v>644</v>
      </c>
      <c r="E23" s="214">
        <v>1.6457918085888881E-2</v>
      </c>
      <c r="F23" s="214" t="s">
        <v>644</v>
      </c>
      <c r="G23" s="214" t="s">
        <v>644</v>
      </c>
      <c r="H23" s="214">
        <v>1.4623221193902717E-2</v>
      </c>
      <c r="I23" s="214" t="s">
        <v>644</v>
      </c>
      <c r="J23" s="214" t="s">
        <v>644</v>
      </c>
      <c r="K23" s="214" t="s">
        <v>644</v>
      </c>
      <c r="L23" s="214" t="s">
        <v>644</v>
      </c>
      <c r="M23" s="214" t="s">
        <v>644</v>
      </c>
      <c r="N23" s="214" t="s">
        <v>644</v>
      </c>
      <c r="O23" s="214" t="s">
        <v>644</v>
      </c>
      <c r="P23" s="214" t="s">
        <v>644</v>
      </c>
      <c r="Q23" s="214">
        <v>1.7707763234996277E-2</v>
      </c>
      <c r="R23" s="214">
        <v>1.7457897967807213E-2</v>
      </c>
    </row>
    <row r="24" spans="1:18">
      <c r="A24" s="214"/>
      <c r="B24" s="214"/>
      <c r="C24" s="214"/>
      <c r="D24" s="214"/>
      <c r="G24" s="214"/>
    </row>
    <row r="25" spans="1:18">
      <c r="A25" s="255" t="s">
        <v>827</v>
      </c>
      <c r="B25" s="214"/>
      <c r="C25" s="214"/>
      <c r="D25" s="214"/>
      <c r="G25" s="214"/>
    </row>
    <row r="26" spans="1:18">
      <c r="A26" s="166" t="s">
        <v>818</v>
      </c>
      <c r="B26" s="214"/>
      <c r="C26" s="214"/>
      <c r="D26" s="214"/>
      <c r="G26" s="214"/>
    </row>
    <row r="27" spans="1:18">
      <c r="A27" s="166" t="s">
        <v>564</v>
      </c>
      <c r="B27" s="214" t="s">
        <v>626</v>
      </c>
      <c r="C27" s="214" t="s">
        <v>575</v>
      </c>
      <c r="D27" s="214" t="s">
        <v>576</v>
      </c>
      <c r="E27" s="214" t="s">
        <v>577</v>
      </c>
      <c r="F27" s="214" t="s">
        <v>578</v>
      </c>
      <c r="G27" s="214" t="s">
        <v>579</v>
      </c>
      <c r="H27" s="214" t="s">
        <v>580</v>
      </c>
      <c r="I27" s="214" t="s">
        <v>581</v>
      </c>
      <c r="J27" s="214" t="s">
        <v>582</v>
      </c>
      <c r="K27" s="214" t="s">
        <v>583</v>
      </c>
      <c r="L27" s="214" t="s">
        <v>584</v>
      </c>
      <c r="M27" s="214" t="s">
        <v>585</v>
      </c>
      <c r="N27" s="214" t="s">
        <v>586</v>
      </c>
      <c r="O27" s="243">
        <v>7</v>
      </c>
      <c r="P27" s="243">
        <v>8</v>
      </c>
      <c r="Q27" s="214"/>
      <c r="R27" s="214"/>
    </row>
    <row r="28" spans="1:18">
      <c r="A28" s="166" t="s">
        <v>761</v>
      </c>
      <c r="B28" s="214" t="s">
        <v>746</v>
      </c>
      <c r="C28" s="214" t="s">
        <v>747</v>
      </c>
      <c r="D28" s="214" t="s">
        <v>748</v>
      </c>
      <c r="E28" s="214" t="s">
        <v>749</v>
      </c>
      <c r="F28" s="214" t="s">
        <v>750</v>
      </c>
      <c r="G28" s="214" t="s">
        <v>751</v>
      </c>
      <c r="H28" s="214" t="s">
        <v>752</v>
      </c>
      <c r="I28" s="214" t="s">
        <v>753</v>
      </c>
      <c r="J28" s="214" t="s">
        <v>754</v>
      </c>
      <c r="K28" s="214" t="s">
        <v>755</v>
      </c>
      <c r="L28" s="214" t="s">
        <v>756</v>
      </c>
      <c r="M28" s="214" t="s">
        <v>757</v>
      </c>
      <c r="N28" s="214" t="s">
        <v>758</v>
      </c>
      <c r="O28" s="214" t="s">
        <v>759</v>
      </c>
      <c r="P28" s="214" t="s">
        <v>760</v>
      </c>
      <c r="Q28" s="214" t="s">
        <v>802</v>
      </c>
      <c r="R28" s="214" t="s">
        <v>803</v>
      </c>
    </row>
    <row r="29" spans="1:18">
      <c r="A29" s="166" t="s">
        <v>762</v>
      </c>
      <c r="B29" s="214">
        <v>722020</v>
      </c>
      <c r="C29" s="214">
        <v>722430</v>
      </c>
      <c r="D29" s="214">
        <v>722780</v>
      </c>
      <c r="E29" s="214">
        <v>723340</v>
      </c>
      <c r="F29" s="214">
        <v>722700</v>
      </c>
      <c r="G29" s="214">
        <v>724940</v>
      </c>
      <c r="H29" s="214">
        <v>724060</v>
      </c>
      <c r="I29" s="214">
        <v>723650</v>
      </c>
      <c r="J29" s="214">
        <v>726940</v>
      </c>
      <c r="K29" s="214">
        <v>725300</v>
      </c>
      <c r="L29" s="214">
        <v>726810</v>
      </c>
      <c r="M29" s="214">
        <v>726170</v>
      </c>
      <c r="N29" s="214">
        <v>727720</v>
      </c>
      <c r="O29" s="214">
        <v>727450</v>
      </c>
      <c r="P29" s="214">
        <v>702610</v>
      </c>
      <c r="Q29" s="214">
        <v>722057</v>
      </c>
      <c r="R29" s="214">
        <v>722080</v>
      </c>
    </row>
    <row r="30" spans="1:18">
      <c r="A30" s="166" t="s">
        <v>588</v>
      </c>
      <c r="B30" s="256">
        <v>-9.2318999999999995E-3</v>
      </c>
      <c r="C30" s="256">
        <f>B30-0.0007134257</f>
        <v>-9.9453257000000003E-3</v>
      </c>
      <c r="D30" s="256" t="s">
        <v>644</v>
      </c>
      <c r="E30" s="256">
        <f>B30+0.00001815469</f>
        <v>-9.2137453100000002E-3</v>
      </c>
      <c r="F30" s="256" t="s">
        <v>644</v>
      </c>
      <c r="G30" s="256" t="s">
        <v>644</v>
      </c>
      <c r="H30" s="256">
        <f>B30+ 0.0003334949</f>
        <v>-8.8984050999999995E-3</v>
      </c>
      <c r="I30" s="256" t="s">
        <v>644</v>
      </c>
      <c r="J30" s="256" t="s">
        <v>644</v>
      </c>
      <c r="K30" s="256" t="s">
        <v>644</v>
      </c>
      <c r="L30" s="256" t="s">
        <v>644</v>
      </c>
      <c r="M30" s="256" t="s">
        <v>644</v>
      </c>
      <c r="N30" s="256" t="s">
        <v>644</v>
      </c>
      <c r="O30" s="256" t="s">
        <v>644</v>
      </c>
      <c r="P30" s="256" t="s">
        <v>644</v>
      </c>
      <c r="Q30" s="256">
        <f>B30-0.0001231346</f>
        <v>-9.3550345999999993E-3</v>
      </c>
      <c r="R30" s="256">
        <f>B30-0.0009062274</f>
        <v>-1.0138127399999999E-2</v>
      </c>
    </row>
    <row r="31" spans="1:18"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</row>
    <row r="32" spans="1:18">
      <c r="A32" s="166" t="s">
        <v>819</v>
      </c>
      <c r="B32" s="194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194"/>
    </row>
    <row r="33" spans="1:21">
      <c r="A33" s="166" t="s">
        <v>564</v>
      </c>
      <c r="B33" s="214" t="s">
        <v>626</v>
      </c>
      <c r="C33" s="214" t="s">
        <v>575</v>
      </c>
      <c r="D33" s="214" t="s">
        <v>576</v>
      </c>
      <c r="E33" s="214" t="s">
        <v>577</v>
      </c>
      <c r="F33" s="214" t="s">
        <v>578</v>
      </c>
      <c r="G33" s="214" t="s">
        <v>579</v>
      </c>
      <c r="H33" s="214" t="s">
        <v>580</v>
      </c>
      <c r="I33" s="214" t="s">
        <v>581</v>
      </c>
      <c r="J33" s="214" t="s">
        <v>582</v>
      </c>
      <c r="K33" s="214" t="s">
        <v>583</v>
      </c>
      <c r="L33" s="214" t="s">
        <v>584</v>
      </c>
      <c r="M33" s="214" t="s">
        <v>585</v>
      </c>
      <c r="N33" s="214" t="s">
        <v>586</v>
      </c>
      <c r="O33" s="243">
        <v>7</v>
      </c>
      <c r="P33" s="243">
        <v>8</v>
      </c>
      <c r="Q33" s="214"/>
      <c r="R33" s="214"/>
    </row>
    <row r="34" spans="1:21">
      <c r="A34" s="166" t="s">
        <v>761</v>
      </c>
      <c r="B34" s="214" t="s">
        <v>746</v>
      </c>
      <c r="C34" s="214" t="s">
        <v>747</v>
      </c>
      <c r="D34" s="214" t="s">
        <v>748</v>
      </c>
      <c r="E34" s="214" t="s">
        <v>749</v>
      </c>
      <c r="F34" s="214" t="s">
        <v>750</v>
      </c>
      <c r="G34" s="214" t="s">
        <v>751</v>
      </c>
      <c r="H34" s="214" t="s">
        <v>752</v>
      </c>
      <c r="I34" s="214" t="s">
        <v>753</v>
      </c>
      <c r="J34" s="214" t="s">
        <v>754</v>
      </c>
      <c r="K34" s="214" t="s">
        <v>755</v>
      </c>
      <c r="L34" s="214" t="s">
        <v>756</v>
      </c>
      <c r="M34" s="214" t="s">
        <v>757</v>
      </c>
      <c r="N34" s="214" t="s">
        <v>758</v>
      </c>
      <c r="O34" s="214" t="s">
        <v>759</v>
      </c>
      <c r="P34" s="214" t="s">
        <v>760</v>
      </c>
      <c r="Q34" s="214" t="s">
        <v>802</v>
      </c>
      <c r="R34" s="214" t="s">
        <v>803</v>
      </c>
    </row>
    <row r="35" spans="1:21">
      <c r="A35" s="166" t="s">
        <v>762</v>
      </c>
      <c r="B35" s="214">
        <v>722020</v>
      </c>
      <c r="C35" s="214">
        <v>722430</v>
      </c>
      <c r="D35" s="214">
        <v>722780</v>
      </c>
      <c r="E35" s="214">
        <v>723340</v>
      </c>
      <c r="F35" s="214">
        <v>722700</v>
      </c>
      <c r="G35" s="214">
        <v>724940</v>
      </c>
      <c r="H35" s="214">
        <v>724060</v>
      </c>
      <c r="I35" s="214">
        <v>723650</v>
      </c>
      <c r="J35" s="214">
        <v>726940</v>
      </c>
      <c r="K35" s="214">
        <v>725300</v>
      </c>
      <c r="L35" s="214">
        <v>726810</v>
      </c>
      <c r="M35" s="214">
        <v>726170</v>
      </c>
      <c r="N35" s="214">
        <v>727720</v>
      </c>
      <c r="O35" s="214">
        <v>727450</v>
      </c>
      <c r="P35" s="214">
        <v>702610</v>
      </c>
      <c r="Q35" s="214">
        <v>722057</v>
      </c>
      <c r="R35" s="214">
        <v>722080</v>
      </c>
    </row>
    <row r="36" spans="1:21">
      <c r="A36" s="166" t="s">
        <v>588</v>
      </c>
      <c r="B36" s="214">
        <v>8.4997935999999996E-3</v>
      </c>
      <c r="C36" s="214">
        <f>B36+0.0007116777</f>
        <v>9.2114712999999994E-3</v>
      </c>
      <c r="D36" s="214" t="s">
        <v>644</v>
      </c>
      <c r="E36" s="214">
        <f>B36-0.0014466751</f>
        <v>7.0531184999999995E-3</v>
      </c>
      <c r="F36" s="214" t="s">
        <v>644</v>
      </c>
      <c r="G36" s="214" t="s">
        <v>644</v>
      </c>
      <c r="H36" s="214">
        <f>B36-0.0018362786</f>
        <v>6.6635150000000001E-3</v>
      </c>
      <c r="I36" s="214" t="s">
        <v>644</v>
      </c>
      <c r="J36" s="214" t="s">
        <v>644</v>
      </c>
      <c r="K36" s="214" t="s">
        <v>644</v>
      </c>
      <c r="L36" s="214" t="s">
        <v>644</v>
      </c>
      <c r="M36" s="214" t="s">
        <v>644</v>
      </c>
      <c r="N36" s="214" t="s">
        <v>644</v>
      </c>
      <c r="O36" s="214" t="s">
        <v>644</v>
      </c>
      <c r="P36" s="214" t="s">
        <v>644</v>
      </c>
      <c r="Q36" s="214">
        <f>B36-0.000011915</f>
        <v>8.4878786000000001E-3</v>
      </c>
      <c r="R36" s="214">
        <f>B36+0.0009016638</f>
        <v>9.4014574000000004E-3</v>
      </c>
    </row>
    <row r="39" spans="1:21">
      <c r="A39" s="166" t="s">
        <v>841</v>
      </c>
    </row>
    <row r="40" spans="1:21" s="214" customFormat="1">
      <c r="A40" s="166" t="s">
        <v>564</v>
      </c>
      <c r="B40" s="214" t="s">
        <v>626</v>
      </c>
      <c r="C40" s="214" t="s">
        <v>575</v>
      </c>
      <c r="D40" s="214" t="s">
        <v>576</v>
      </c>
      <c r="E40" s="214" t="s">
        <v>577</v>
      </c>
      <c r="F40" s="214" t="s">
        <v>578</v>
      </c>
      <c r="G40" s="214" t="s">
        <v>579</v>
      </c>
      <c r="H40" s="214" t="s">
        <v>580</v>
      </c>
      <c r="I40" s="214" t="s">
        <v>581</v>
      </c>
      <c r="J40" s="214" t="s">
        <v>582</v>
      </c>
      <c r="K40" s="214" t="s">
        <v>583</v>
      </c>
      <c r="L40" s="214" t="s">
        <v>584</v>
      </c>
      <c r="M40" s="214" t="s">
        <v>585</v>
      </c>
      <c r="N40" s="214" t="s">
        <v>586</v>
      </c>
      <c r="O40" s="243">
        <v>7</v>
      </c>
      <c r="P40" s="243">
        <v>8</v>
      </c>
    </row>
    <row r="41" spans="1:21">
      <c r="A41" s="166" t="s">
        <v>842</v>
      </c>
      <c r="B41" s="214" t="s">
        <v>746</v>
      </c>
      <c r="C41" s="214" t="s">
        <v>747</v>
      </c>
      <c r="D41" s="214" t="s">
        <v>748</v>
      </c>
      <c r="E41" s="214" t="s">
        <v>749</v>
      </c>
      <c r="F41" s="214" t="s">
        <v>750</v>
      </c>
      <c r="G41" s="214" t="s">
        <v>751</v>
      </c>
      <c r="H41" s="214" t="s">
        <v>752</v>
      </c>
      <c r="I41" s="214" t="s">
        <v>753</v>
      </c>
      <c r="J41" s="214" t="s">
        <v>754</v>
      </c>
      <c r="K41" s="214" t="s">
        <v>755</v>
      </c>
      <c r="L41" s="214" t="s">
        <v>756</v>
      </c>
      <c r="M41" s="214" t="s">
        <v>757</v>
      </c>
      <c r="N41" s="214" t="s">
        <v>758</v>
      </c>
      <c r="O41" s="214" t="s">
        <v>759</v>
      </c>
      <c r="P41" s="214" t="s">
        <v>760</v>
      </c>
      <c r="Q41" s="214" t="s">
        <v>802</v>
      </c>
      <c r="R41" s="214" t="s">
        <v>803</v>
      </c>
    </row>
    <row r="42" spans="1:21">
      <c r="A42" s="214" t="s">
        <v>829</v>
      </c>
      <c r="B42" s="230">
        <v>7.6169999999999996E-3</v>
      </c>
      <c r="C42" s="230">
        <v>3.7669999999999999E-3</v>
      </c>
      <c r="D42" s="230"/>
      <c r="E42" s="230">
        <v>2.1570000000000001E-3</v>
      </c>
      <c r="F42" s="230"/>
      <c r="G42" s="230"/>
      <c r="H42" s="230">
        <v>1.544E-3</v>
      </c>
      <c r="I42" s="230"/>
      <c r="J42" s="230"/>
      <c r="K42" s="230"/>
      <c r="L42" s="230"/>
      <c r="M42" s="230"/>
      <c r="N42" s="230"/>
      <c r="O42" s="230"/>
      <c r="P42" s="230"/>
      <c r="Q42" s="230">
        <v>6.8250000000000003E-3</v>
      </c>
      <c r="R42" s="230">
        <v>3.4429999999999999E-3</v>
      </c>
      <c r="T42" s="214"/>
      <c r="U42" s="214"/>
    </row>
    <row r="43" spans="1:21">
      <c r="A43" s="214" t="s">
        <v>830</v>
      </c>
      <c r="B43" s="230">
        <v>7.8799999999999999E-3</v>
      </c>
      <c r="C43" s="230">
        <v>3.6329999999999999E-3</v>
      </c>
      <c r="D43" s="230"/>
      <c r="E43" s="230">
        <v>1.9650000000000002E-3</v>
      </c>
      <c r="F43" s="230"/>
      <c r="G43" s="230"/>
      <c r="H43" s="230">
        <v>1.6559999999999999E-3</v>
      </c>
      <c r="I43" s="230"/>
      <c r="J43" s="230"/>
      <c r="K43" s="230"/>
      <c r="L43" s="230"/>
      <c r="M43" s="230"/>
      <c r="N43" s="230"/>
      <c r="O43" s="230"/>
      <c r="P43" s="230"/>
      <c r="Q43" s="230">
        <v>6.6210000000000001E-3</v>
      </c>
      <c r="R43" s="230">
        <v>2.928E-3</v>
      </c>
      <c r="T43" s="214"/>
      <c r="U43" s="214"/>
    </row>
    <row r="44" spans="1:21">
      <c r="A44" s="214" t="s">
        <v>831</v>
      </c>
      <c r="B44" s="230">
        <v>8.541E-3</v>
      </c>
      <c r="C44" s="230">
        <v>4.7939999999999997E-3</v>
      </c>
      <c r="D44" s="230"/>
      <c r="E44" s="230">
        <v>3.9420000000000002E-3</v>
      </c>
      <c r="F44" s="230"/>
      <c r="G44" s="230"/>
      <c r="H44" s="230">
        <v>2.088E-3</v>
      </c>
      <c r="I44" s="230"/>
      <c r="J44" s="230"/>
      <c r="K44" s="230"/>
      <c r="L44" s="230"/>
      <c r="M44" s="230"/>
      <c r="N44" s="230"/>
      <c r="O44" s="230"/>
      <c r="P44" s="230"/>
      <c r="Q44" s="230">
        <v>4.6239999999999996E-3</v>
      </c>
      <c r="R44" s="230">
        <v>4.9439999999999996E-3</v>
      </c>
      <c r="T44" s="214"/>
      <c r="U44" s="214"/>
    </row>
    <row r="45" spans="1:21">
      <c r="A45" s="214" t="s">
        <v>832</v>
      </c>
      <c r="B45" s="230">
        <v>1.1350000000000001E-2</v>
      </c>
      <c r="C45" s="230">
        <v>9.1559999999999992E-3</v>
      </c>
      <c r="D45" s="230"/>
      <c r="E45" s="230">
        <v>4.6220000000000002E-3</v>
      </c>
      <c r="F45" s="230"/>
      <c r="G45" s="230"/>
      <c r="H45" s="230">
        <v>4.0499999999999998E-3</v>
      </c>
      <c r="I45" s="230"/>
      <c r="J45" s="230"/>
      <c r="K45" s="230"/>
      <c r="L45" s="230"/>
      <c r="M45" s="230"/>
      <c r="N45" s="230"/>
      <c r="O45" s="230"/>
      <c r="P45" s="230"/>
      <c r="Q45" s="230">
        <v>8.0610000000000005E-3</v>
      </c>
      <c r="R45" s="230">
        <v>6.4580000000000002E-3</v>
      </c>
      <c r="T45" s="214"/>
      <c r="U45" s="214"/>
    </row>
    <row r="46" spans="1:21">
      <c r="A46" s="214" t="s">
        <v>833</v>
      </c>
      <c r="B46" s="230">
        <v>1.4200000000000001E-2</v>
      </c>
      <c r="C46" s="230">
        <v>1.2579999999999999E-2</v>
      </c>
      <c r="D46" s="230"/>
      <c r="E46" s="230">
        <v>8.8590000000000006E-3</v>
      </c>
      <c r="F46" s="230"/>
      <c r="G46" s="230"/>
      <c r="H46" s="230">
        <v>5.8789999999999997E-3</v>
      </c>
      <c r="I46" s="230"/>
      <c r="J46" s="230"/>
      <c r="K46" s="230"/>
      <c r="L46" s="230"/>
      <c r="M46" s="230"/>
      <c r="N46" s="230"/>
      <c r="O46" s="230"/>
      <c r="P46" s="230"/>
      <c r="Q46" s="230">
        <v>1.0699999999999999E-2</v>
      </c>
      <c r="R46" s="230">
        <v>1.091E-2</v>
      </c>
      <c r="T46" s="214"/>
      <c r="U46" s="214"/>
    </row>
    <row r="47" spans="1:21">
      <c r="A47" s="214" t="s">
        <v>834</v>
      </c>
      <c r="B47" s="230">
        <v>1.6289999999999999E-2</v>
      </c>
      <c r="C47" s="230">
        <v>1.6219999999999998E-2</v>
      </c>
      <c r="D47" s="230"/>
      <c r="E47" s="230">
        <v>1.2749999999999999E-2</v>
      </c>
      <c r="F47" s="230"/>
      <c r="G47" s="230"/>
      <c r="H47" s="230">
        <v>9.5149999999999992E-3</v>
      </c>
      <c r="I47" s="230"/>
      <c r="J47" s="230"/>
      <c r="K47" s="230"/>
      <c r="L47" s="230"/>
      <c r="M47" s="230"/>
      <c r="N47" s="230"/>
      <c r="O47" s="230"/>
      <c r="P47" s="230"/>
      <c r="Q47" s="230">
        <v>1.371E-2</v>
      </c>
      <c r="R47" s="230">
        <v>1.4019999999999999E-2</v>
      </c>
      <c r="T47" s="214"/>
      <c r="U47" s="214"/>
    </row>
    <row r="48" spans="1:21">
      <c r="A48" s="214" t="s">
        <v>835</v>
      </c>
      <c r="B48" s="230">
        <v>1.6670000000000001E-2</v>
      </c>
      <c r="C48" s="230">
        <v>1.6740000000000001E-2</v>
      </c>
      <c r="D48" s="230"/>
      <c r="E48" s="230">
        <v>1.426E-2</v>
      </c>
      <c r="F48" s="230"/>
      <c r="G48" s="230"/>
      <c r="H48" s="230">
        <v>1.163E-2</v>
      </c>
      <c r="I48" s="230"/>
      <c r="J48" s="230"/>
      <c r="K48" s="230"/>
      <c r="L48" s="230"/>
      <c r="M48" s="230"/>
      <c r="N48" s="230"/>
      <c r="O48" s="230"/>
      <c r="P48" s="230"/>
      <c r="Q48" s="230">
        <v>1.668E-2</v>
      </c>
      <c r="R48" s="230">
        <v>1.6289999999999999E-2</v>
      </c>
      <c r="T48" s="214"/>
      <c r="U48" s="214"/>
    </row>
    <row r="49" spans="1:21">
      <c r="A49" s="214" t="s">
        <v>836</v>
      </c>
      <c r="B49" s="230">
        <v>1.686E-2</v>
      </c>
      <c r="C49" s="230">
        <v>1.6830000000000001E-2</v>
      </c>
      <c r="D49" s="387"/>
      <c r="E49" s="388">
        <v>1.239E-2</v>
      </c>
      <c r="F49" s="387"/>
      <c r="G49" s="387"/>
      <c r="H49" s="388">
        <v>1.059E-2</v>
      </c>
      <c r="I49" s="388"/>
      <c r="J49" s="387"/>
      <c r="K49" s="387"/>
      <c r="L49" s="387"/>
      <c r="M49" s="387"/>
      <c r="N49" s="387"/>
      <c r="O49" s="387"/>
      <c r="P49" s="387"/>
      <c r="Q49" s="230">
        <v>1.6760000000000001E-2</v>
      </c>
      <c r="R49" s="230">
        <v>1.626E-2</v>
      </c>
      <c r="T49" s="214"/>
      <c r="U49" s="214"/>
    </row>
    <row r="50" spans="1:21">
      <c r="A50" s="214" t="s">
        <v>837</v>
      </c>
      <c r="B50" s="230">
        <v>1.6320000000000001E-2</v>
      </c>
      <c r="C50" s="230">
        <v>1.145E-2</v>
      </c>
      <c r="D50" s="230"/>
      <c r="E50" s="230">
        <v>1.0970000000000001E-2</v>
      </c>
      <c r="F50" s="230"/>
      <c r="G50" s="230"/>
      <c r="H50" s="230">
        <v>8.8909999999999996E-3</v>
      </c>
      <c r="I50" s="230"/>
      <c r="J50" s="230"/>
      <c r="K50" s="230"/>
      <c r="L50" s="230"/>
      <c r="M50" s="230"/>
      <c r="N50" s="230"/>
      <c r="O50" s="230"/>
      <c r="P50" s="230"/>
      <c r="Q50" s="230">
        <v>1.404E-2</v>
      </c>
      <c r="R50" s="230">
        <v>1.3559999999999999E-2</v>
      </c>
      <c r="T50" s="214"/>
      <c r="U50" s="214"/>
    </row>
    <row r="51" spans="1:21">
      <c r="A51" s="214" t="s">
        <v>838</v>
      </c>
      <c r="B51" s="230">
        <v>1.4590000000000001E-2</v>
      </c>
      <c r="C51" s="230">
        <v>7.8910000000000004E-3</v>
      </c>
      <c r="D51" s="230"/>
      <c r="E51" s="230">
        <v>5.4270000000000004E-3</v>
      </c>
      <c r="F51" s="230"/>
      <c r="G51" s="230"/>
      <c r="H51" s="230">
        <v>3.9449999999999997E-3</v>
      </c>
      <c r="I51" s="230"/>
      <c r="J51" s="230"/>
      <c r="K51" s="230"/>
      <c r="L51" s="230"/>
      <c r="M51" s="230"/>
      <c r="N51" s="230"/>
      <c r="O51" s="230"/>
      <c r="P51" s="230"/>
      <c r="Q51" s="230">
        <v>1.0500000000000001E-2</v>
      </c>
      <c r="R51" s="230">
        <v>7.4929999999999997E-3</v>
      </c>
      <c r="T51" s="214"/>
      <c r="U51" s="214"/>
    </row>
    <row r="52" spans="1:21">
      <c r="A52" s="214" t="s">
        <v>839</v>
      </c>
      <c r="B52" s="230">
        <v>1.225E-2</v>
      </c>
      <c r="C52" s="230">
        <v>6.0429999999999998E-3</v>
      </c>
      <c r="D52" s="230"/>
      <c r="E52" s="230">
        <v>4.2989999999999999E-3</v>
      </c>
      <c r="F52" s="230"/>
      <c r="G52" s="230"/>
      <c r="H52" s="230">
        <v>3.2200000000000002E-3</v>
      </c>
      <c r="I52" s="230"/>
      <c r="J52" s="230"/>
      <c r="K52" s="230"/>
      <c r="L52" s="230"/>
      <c r="M52" s="230"/>
      <c r="N52" s="230"/>
      <c r="O52" s="230"/>
      <c r="P52" s="230"/>
      <c r="Q52" s="230">
        <v>7.1399999999999996E-3</v>
      </c>
      <c r="R52" s="230">
        <v>5.2579999999999997E-3</v>
      </c>
      <c r="T52" s="214"/>
      <c r="U52" s="214"/>
    </row>
    <row r="53" spans="1:21">
      <c r="A53" s="214" t="s">
        <v>840</v>
      </c>
      <c r="B53" s="230">
        <v>8.7150000000000005E-3</v>
      </c>
      <c r="C53" s="230">
        <v>4.2940000000000001E-3</v>
      </c>
      <c r="D53" s="230"/>
      <c r="E53" s="230">
        <v>2.2769999999999999E-3</v>
      </c>
      <c r="F53" s="230"/>
      <c r="G53" s="230"/>
      <c r="H53" s="230">
        <v>1.505E-3</v>
      </c>
      <c r="I53" s="230"/>
      <c r="J53" s="230"/>
      <c r="K53" s="230"/>
      <c r="L53" s="230"/>
      <c r="M53" s="230"/>
      <c r="N53" s="230"/>
      <c r="O53" s="230"/>
      <c r="P53" s="230"/>
      <c r="Q53" s="230">
        <v>6.6519999999999999E-3</v>
      </c>
      <c r="R53" s="230">
        <v>2.604E-3</v>
      </c>
      <c r="T53" s="214"/>
      <c r="U53" s="214"/>
    </row>
    <row r="54" spans="1:21">
      <c r="A54" s="214"/>
    </row>
    <row r="55" spans="1:21">
      <c r="A55" s="214"/>
    </row>
    <row r="56" spans="1:21">
      <c r="A56" s="166" t="s">
        <v>843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</row>
    <row r="57" spans="1:21">
      <c r="A57" s="166" t="s">
        <v>564</v>
      </c>
      <c r="B57" s="214" t="s">
        <v>626</v>
      </c>
      <c r="C57" s="214" t="s">
        <v>575</v>
      </c>
      <c r="D57" s="214" t="s">
        <v>576</v>
      </c>
      <c r="E57" s="214" t="s">
        <v>577</v>
      </c>
      <c r="F57" s="214" t="s">
        <v>578</v>
      </c>
      <c r="G57" s="214" t="s">
        <v>579</v>
      </c>
      <c r="H57" s="214" t="s">
        <v>580</v>
      </c>
      <c r="I57" s="214" t="s">
        <v>581</v>
      </c>
      <c r="J57" s="214" t="s">
        <v>582</v>
      </c>
      <c r="K57" s="214" t="s">
        <v>583</v>
      </c>
      <c r="L57" s="214" t="s">
        <v>584</v>
      </c>
      <c r="M57" s="214" t="s">
        <v>585</v>
      </c>
      <c r="N57" s="214" t="s">
        <v>586</v>
      </c>
      <c r="O57" s="243">
        <v>7</v>
      </c>
      <c r="P57" s="243">
        <v>8</v>
      </c>
      <c r="Q57" s="214"/>
      <c r="R57" s="214"/>
    </row>
    <row r="58" spans="1:21">
      <c r="A58" s="166" t="s">
        <v>842</v>
      </c>
      <c r="B58" s="214" t="s">
        <v>746</v>
      </c>
      <c r="C58" s="214" t="s">
        <v>747</v>
      </c>
      <c r="D58" s="214" t="s">
        <v>748</v>
      </c>
      <c r="E58" s="214" t="s">
        <v>749</v>
      </c>
      <c r="F58" s="214" t="s">
        <v>750</v>
      </c>
      <c r="G58" s="214" t="s">
        <v>751</v>
      </c>
      <c r="H58" s="214" t="s">
        <v>752</v>
      </c>
      <c r="I58" s="214" t="s">
        <v>753</v>
      </c>
      <c r="J58" s="214" t="s">
        <v>754</v>
      </c>
      <c r="K58" s="214" t="s">
        <v>755</v>
      </c>
      <c r="L58" s="214" t="s">
        <v>756</v>
      </c>
      <c r="M58" s="214" t="s">
        <v>757</v>
      </c>
      <c r="N58" s="214" t="s">
        <v>758</v>
      </c>
      <c r="O58" s="214" t="s">
        <v>759</v>
      </c>
      <c r="P58" s="214" t="s">
        <v>760</v>
      </c>
      <c r="Q58" s="214" t="s">
        <v>802</v>
      </c>
      <c r="R58" s="214" t="s">
        <v>803</v>
      </c>
    </row>
    <row r="59" spans="1:21">
      <c r="A59" s="214" t="s">
        <v>829</v>
      </c>
      <c r="B59" s="230">
        <v>1.3089999999999999E-2</v>
      </c>
      <c r="C59" s="230">
        <v>8.8339999999999998E-3</v>
      </c>
      <c r="D59" s="230"/>
      <c r="E59" s="230">
        <v>5.5209999999999999E-3</v>
      </c>
      <c r="F59" s="230"/>
      <c r="G59" s="230"/>
      <c r="H59" s="230">
        <v>3.2390000000000001E-3</v>
      </c>
      <c r="I59" s="230"/>
      <c r="J59" s="230"/>
      <c r="K59" s="230"/>
      <c r="L59" s="230"/>
      <c r="M59" s="230"/>
      <c r="N59" s="230"/>
      <c r="O59" s="230"/>
      <c r="P59" s="230"/>
      <c r="Q59" s="230">
        <v>1.0449999999999999E-2</v>
      </c>
      <c r="R59" s="230">
        <v>6.9750000000000003E-3</v>
      </c>
      <c r="T59" s="214"/>
    </row>
    <row r="60" spans="1:21">
      <c r="A60" s="214" t="s">
        <v>830</v>
      </c>
      <c r="B60" s="230">
        <v>1.312E-2</v>
      </c>
      <c r="C60" s="230">
        <v>1.022E-2</v>
      </c>
      <c r="D60" s="230"/>
      <c r="E60" s="230">
        <v>5.0109999999999998E-3</v>
      </c>
      <c r="F60" s="230"/>
      <c r="G60" s="230"/>
      <c r="H60" s="230">
        <v>3.6640000000000002E-3</v>
      </c>
      <c r="I60" s="230"/>
      <c r="J60" s="230"/>
      <c r="K60" s="230"/>
      <c r="L60" s="230"/>
      <c r="M60" s="230"/>
      <c r="N60" s="230"/>
      <c r="O60" s="230"/>
      <c r="P60" s="230"/>
      <c r="Q60" s="230">
        <v>1.132E-2</v>
      </c>
      <c r="R60" s="230">
        <v>7.0429999999999998E-3</v>
      </c>
      <c r="T60" s="214"/>
    </row>
    <row r="61" spans="1:21">
      <c r="A61" s="214" t="s">
        <v>831</v>
      </c>
      <c r="B61" s="230">
        <v>1.418E-2</v>
      </c>
      <c r="C61" s="230">
        <v>1.196E-2</v>
      </c>
      <c r="D61" s="230"/>
      <c r="E61" s="230">
        <v>8.2719999999999998E-3</v>
      </c>
      <c r="F61" s="230"/>
      <c r="G61" s="230"/>
      <c r="H61" s="230">
        <v>4.254E-3</v>
      </c>
      <c r="I61" s="230"/>
      <c r="J61" s="230"/>
      <c r="K61" s="230"/>
      <c r="L61" s="230"/>
      <c r="M61" s="230"/>
      <c r="N61" s="230"/>
      <c r="O61" s="230"/>
      <c r="P61" s="230"/>
      <c r="Q61" s="230">
        <v>1.102E-2</v>
      </c>
      <c r="R61" s="230">
        <v>0.01</v>
      </c>
      <c r="T61" s="214"/>
    </row>
    <row r="62" spans="1:21">
      <c r="A62" s="214" t="s">
        <v>832</v>
      </c>
      <c r="B62" s="230">
        <v>1.405E-2</v>
      </c>
      <c r="C62" s="230">
        <v>1.41E-2</v>
      </c>
      <c r="D62" s="230"/>
      <c r="E62" s="230">
        <v>9.9340000000000001E-3</v>
      </c>
      <c r="F62" s="230"/>
      <c r="G62" s="230"/>
      <c r="H62" s="230">
        <v>7.2680000000000002E-3</v>
      </c>
      <c r="I62" s="230"/>
      <c r="J62" s="230"/>
      <c r="K62" s="230"/>
      <c r="L62" s="230"/>
      <c r="M62" s="230"/>
      <c r="N62" s="230"/>
      <c r="O62" s="230"/>
      <c r="P62" s="230"/>
      <c r="Q62" s="230">
        <v>1.208E-2</v>
      </c>
      <c r="R62" s="230">
        <v>1.1299999999999999E-2</v>
      </c>
      <c r="T62" s="214"/>
    </row>
    <row r="63" spans="1:21">
      <c r="A63" s="214" t="s">
        <v>833</v>
      </c>
      <c r="B63" s="230">
        <v>1.6299999999999999E-2</v>
      </c>
      <c r="C63" s="230">
        <v>1.5789999999999998E-2</v>
      </c>
      <c r="D63" s="230"/>
      <c r="E63" s="230">
        <v>1.43E-2</v>
      </c>
      <c r="F63" s="230"/>
      <c r="G63" s="230"/>
      <c r="H63" s="230">
        <v>1.107E-2</v>
      </c>
      <c r="I63" s="230"/>
      <c r="J63" s="230"/>
      <c r="K63" s="230"/>
      <c r="L63" s="230"/>
      <c r="M63" s="230"/>
      <c r="N63" s="230"/>
      <c r="O63" s="230"/>
      <c r="P63" s="230"/>
      <c r="Q63" s="230">
        <v>1.47E-2</v>
      </c>
      <c r="R63" s="230">
        <v>1.461E-2</v>
      </c>
      <c r="T63" s="214"/>
    </row>
    <row r="64" spans="1:21">
      <c r="A64" s="214" t="s">
        <v>834</v>
      </c>
      <c r="B64" s="230">
        <v>1.805E-2</v>
      </c>
      <c r="C64" s="230">
        <v>1.8010000000000002E-2</v>
      </c>
      <c r="D64" s="230"/>
      <c r="E64" s="230">
        <v>1.6299999999999999E-2</v>
      </c>
      <c r="F64" s="230"/>
      <c r="G64" s="230"/>
      <c r="H64" s="230">
        <v>1.329E-2</v>
      </c>
      <c r="I64" s="230"/>
      <c r="J64" s="230"/>
      <c r="K64" s="230"/>
      <c r="L64" s="230"/>
      <c r="M64" s="230"/>
      <c r="N64" s="230"/>
      <c r="O64" s="230"/>
      <c r="P64" s="230"/>
      <c r="Q64" s="230">
        <v>1.6549999999999999E-2</v>
      </c>
      <c r="R64" s="230">
        <v>1.797E-2</v>
      </c>
      <c r="T64" s="214"/>
    </row>
    <row r="65" spans="1:20">
      <c r="A65" s="214" t="s">
        <v>835</v>
      </c>
      <c r="B65" s="230">
        <v>1.8460000000000001E-2</v>
      </c>
      <c r="C65" s="230">
        <v>1.8630000000000001E-2</v>
      </c>
      <c r="D65" s="230"/>
      <c r="E65" s="230">
        <v>1.6910000000000001E-2</v>
      </c>
      <c r="F65" s="230"/>
      <c r="G65" s="230"/>
      <c r="H65" s="230">
        <v>1.545E-2</v>
      </c>
      <c r="I65" s="230"/>
      <c r="J65" s="230"/>
      <c r="K65" s="230"/>
      <c r="L65" s="230"/>
      <c r="M65" s="230"/>
      <c r="N65" s="230"/>
      <c r="O65" s="230"/>
      <c r="P65" s="230"/>
      <c r="Q65" s="230">
        <v>1.8689999999999998E-2</v>
      </c>
      <c r="R65" s="230">
        <v>1.848E-2</v>
      </c>
      <c r="T65" s="214"/>
    </row>
    <row r="66" spans="1:20">
      <c r="A66" s="214" t="s">
        <v>836</v>
      </c>
      <c r="B66" s="230">
        <v>1.8519999999999998E-2</v>
      </c>
      <c r="C66" s="230">
        <v>1.874E-2</v>
      </c>
      <c r="D66" s="387"/>
      <c r="E66" s="388">
        <v>1.6420000000000001E-2</v>
      </c>
      <c r="F66" s="387"/>
      <c r="G66" s="387"/>
      <c r="H66" s="388">
        <v>1.5730000000000001E-2</v>
      </c>
      <c r="I66" s="387"/>
      <c r="J66" s="387"/>
      <c r="K66" s="387"/>
      <c r="L66" s="387"/>
      <c r="M66" s="387"/>
      <c r="N66" s="387"/>
      <c r="O66" s="387"/>
      <c r="P66" s="387"/>
      <c r="Q66" s="388">
        <v>1.7989999999999999E-2</v>
      </c>
      <c r="R66" s="230">
        <v>1.763E-2</v>
      </c>
      <c r="T66" s="214"/>
    </row>
    <row r="67" spans="1:20">
      <c r="A67" s="214" t="s">
        <v>837</v>
      </c>
      <c r="B67" s="230">
        <v>1.8010000000000002E-2</v>
      </c>
      <c r="C67" s="230">
        <v>1.7670000000000002E-2</v>
      </c>
      <c r="D67" s="388"/>
      <c r="E67" s="388">
        <v>1.6830000000000001E-2</v>
      </c>
      <c r="F67" s="388"/>
      <c r="G67" s="388"/>
      <c r="H67" s="388">
        <v>1.473E-2</v>
      </c>
      <c r="I67" s="388"/>
      <c r="J67" s="388"/>
      <c r="K67" s="388"/>
      <c r="L67" s="388"/>
      <c r="M67" s="388"/>
      <c r="N67" s="388"/>
      <c r="O67" s="388"/>
      <c r="P67" s="388"/>
      <c r="Q67" s="388">
        <v>1.6729999999999998E-2</v>
      </c>
      <c r="R67" s="230">
        <v>1.5789999999999998E-2</v>
      </c>
      <c r="T67" s="214"/>
    </row>
    <row r="68" spans="1:20">
      <c r="A68" s="214" t="s">
        <v>838</v>
      </c>
      <c r="B68" s="230">
        <v>1.7479999999999999E-2</v>
      </c>
      <c r="C68" s="230">
        <v>1.274E-2</v>
      </c>
      <c r="D68" s="388"/>
      <c r="E68" s="388">
        <v>9.6229999999999996E-3</v>
      </c>
      <c r="F68" s="388"/>
      <c r="G68" s="388"/>
      <c r="H68" s="388">
        <v>7.8040000000000002E-3</v>
      </c>
      <c r="I68" s="388"/>
      <c r="J68" s="388"/>
      <c r="K68" s="388"/>
      <c r="L68" s="388"/>
      <c r="M68" s="388"/>
      <c r="N68" s="388"/>
      <c r="O68" s="388"/>
      <c r="P68" s="388"/>
      <c r="Q68" s="388">
        <v>1.7749999999999998E-2</v>
      </c>
      <c r="R68" s="230">
        <v>1.3180000000000001E-2</v>
      </c>
      <c r="T68" s="214"/>
    </row>
    <row r="69" spans="1:20">
      <c r="A69" s="214" t="s">
        <v>839</v>
      </c>
      <c r="B69" s="230">
        <v>1.6619999999999999E-2</v>
      </c>
      <c r="C69" s="230">
        <v>1.3089999999999999E-2</v>
      </c>
      <c r="D69" s="230"/>
      <c r="E69" s="230">
        <v>7.7149999999999996E-3</v>
      </c>
      <c r="F69" s="230"/>
      <c r="G69" s="230"/>
      <c r="H69" s="230">
        <v>5.9290000000000002E-3</v>
      </c>
      <c r="I69" s="230"/>
      <c r="J69" s="230"/>
      <c r="K69" s="230"/>
      <c r="L69" s="230"/>
      <c r="M69" s="230"/>
      <c r="N69" s="230"/>
      <c r="O69" s="230"/>
      <c r="P69" s="230"/>
      <c r="Q69" s="230">
        <v>1.188E-2</v>
      </c>
      <c r="R69" s="230">
        <v>1.1429999999999999E-2</v>
      </c>
      <c r="T69" s="214"/>
    </row>
    <row r="70" spans="1:20">
      <c r="A70" s="214" t="s">
        <v>840</v>
      </c>
      <c r="B70" s="230">
        <v>1.452E-2</v>
      </c>
      <c r="C70" s="230">
        <v>9.1240000000000002E-3</v>
      </c>
      <c r="D70" s="230"/>
      <c r="E70" s="230">
        <v>5.0899999999999999E-3</v>
      </c>
      <c r="F70" s="230"/>
      <c r="G70" s="230"/>
      <c r="H70" s="230">
        <v>3.7090000000000001E-3</v>
      </c>
      <c r="I70" s="230"/>
      <c r="J70" s="230"/>
      <c r="K70" s="230"/>
      <c r="L70" s="230"/>
      <c r="M70" s="230"/>
      <c r="N70" s="230"/>
      <c r="O70" s="230"/>
      <c r="P70" s="230"/>
      <c r="Q70" s="230">
        <v>1.0070000000000001E-2</v>
      </c>
      <c r="R70" s="230">
        <v>8.9569999999999997E-3</v>
      </c>
      <c r="T70" s="214"/>
    </row>
    <row r="71" spans="1:20">
      <c r="A71" s="214"/>
      <c r="B71" s="214"/>
      <c r="C71" s="214"/>
      <c r="D71" s="214"/>
      <c r="E71" s="214"/>
      <c r="F71" s="214"/>
    </row>
    <row r="72" spans="1:20">
      <c r="A72" s="214"/>
      <c r="B72" s="214" t="s">
        <v>910</v>
      </c>
      <c r="C72" s="214" t="s">
        <v>911</v>
      </c>
      <c r="D72" s="214" t="s">
        <v>914</v>
      </c>
      <c r="E72" s="214" t="s">
        <v>913</v>
      </c>
      <c r="F72" s="214"/>
    </row>
    <row r="73" spans="1:20">
      <c r="A73" s="214">
        <v>1</v>
      </c>
      <c r="B73" s="214">
        <v>1</v>
      </c>
      <c r="C73" s="214">
        <v>13</v>
      </c>
      <c r="D73" s="214">
        <v>0.76</v>
      </c>
      <c r="E73" s="214">
        <v>1</v>
      </c>
      <c r="F73" s="214"/>
    </row>
    <row r="74" spans="1:20">
      <c r="A74" s="214">
        <v>2</v>
      </c>
      <c r="B74" s="214">
        <v>3</v>
      </c>
      <c r="C74" s="214">
        <v>11</v>
      </c>
      <c r="D74" s="214">
        <v>0.53200000000000003</v>
      </c>
      <c r="E74" s="214">
        <v>1.3</v>
      </c>
      <c r="F74" s="214"/>
    </row>
    <row r="75" spans="1:20">
      <c r="A75" s="214">
        <v>4</v>
      </c>
      <c r="B75" s="214">
        <v>4</v>
      </c>
      <c r="C75" s="214">
        <v>10</v>
      </c>
      <c r="D75" s="214">
        <f>IF(HumControl=8, 0.532,0.4657)</f>
        <v>0.4657</v>
      </c>
      <c r="E75" s="214">
        <v>1.7</v>
      </c>
      <c r="F75" s="214"/>
    </row>
    <row r="76" spans="1:20">
      <c r="A76" s="214">
        <v>7</v>
      </c>
      <c r="B76" s="214">
        <v>4</v>
      </c>
      <c r="C76" s="214">
        <v>10</v>
      </c>
      <c r="D76" s="214">
        <f>IF(HumControl=8, 0.532,0.4657)</f>
        <v>0.4657</v>
      </c>
      <c r="E76" s="214">
        <v>1.7</v>
      </c>
      <c r="F76" s="214"/>
    </row>
    <row r="77" spans="1:20">
      <c r="A77" s="214" t="s">
        <v>803</v>
      </c>
      <c r="B77" s="214">
        <v>3</v>
      </c>
      <c r="C77" s="214">
        <v>11</v>
      </c>
      <c r="D77" s="214">
        <v>0.53200000000000003</v>
      </c>
      <c r="E77" s="214">
        <v>1.3</v>
      </c>
      <c r="F77" s="214"/>
    </row>
    <row r="78" spans="1:20">
      <c r="A78" s="214" t="s">
        <v>804</v>
      </c>
      <c r="B78" s="214">
        <v>3</v>
      </c>
      <c r="C78" s="214">
        <v>12</v>
      </c>
      <c r="D78" s="214">
        <v>0.54</v>
      </c>
      <c r="E78" s="214">
        <v>1.2</v>
      </c>
      <c r="F78" s="214"/>
    </row>
    <row r="79" spans="1:20">
      <c r="A79" s="214"/>
      <c r="B79" s="214" t="s">
        <v>917</v>
      </c>
      <c r="C79" s="214" t="s">
        <v>918</v>
      </c>
      <c r="D79" s="214" t="s">
        <v>915</v>
      </c>
      <c r="E79" s="214" t="s">
        <v>916</v>
      </c>
      <c r="F79" s="214"/>
    </row>
    <row r="80" spans="1:20" ht="16">
      <c r="A80" s="214">
        <v>1</v>
      </c>
      <c r="B80" s="259">
        <v>0.38</v>
      </c>
      <c r="C80" s="259">
        <v>1.2</v>
      </c>
      <c r="D80">
        <v>0.38</v>
      </c>
      <c r="E80" s="259">
        <v>1.1000000000000001</v>
      </c>
      <c r="F80" s="259"/>
      <c r="G80" s="259"/>
      <c r="H80" s="259"/>
      <c r="I80" s="259"/>
      <c r="J80" s="259"/>
    </row>
    <row r="81" spans="1:16" ht="16">
      <c r="A81" s="214">
        <v>2</v>
      </c>
      <c r="B81" s="259">
        <v>0.47</v>
      </c>
      <c r="C81" s="259">
        <v>1.2</v>
      </c>
      <c r="D81">
        <v>0.36</v>
      </c>
      <c r="E81" s="214">
        <v>1.2</v>
      </c>
      <c r="F81" s="214"/>
    </row>
    <row r="82" spans="1:16" ht="16">
      <c r="A82" s="214">
        <v>4</v>
      </c>
      <c r="B82" s="259">
        <v>0.626</v>
      </c>
      <c r="C82" s="259">
        <v>1.3</v>
      </c>
      <c r="D82">
        <v>0.36</v>
      </c>
      <c r="E82" s="214">
        <v>1.2</v>
      </c>
      <c r="F82" s="214"/>
    </row>
    <row r="83" spans="1:16" ht="16">
      <c r="A83" s="214">
        <v>7</v>
      </c>
      <c r="B83" s="259">
        <v>0.38</v>
      </c>
      <c r="C83" s="259">
        <v>1.1000000000000001</v>
      </c>
      <c r="D83">
        <v>0.47</v>
      </c>
      <c r="E83" s="214">
        <v>1.2</v>
      </c>
    </row>
    <row r="84" spans="1:16" ht="16">
      <c r="A84" s="214" t="s">
        <v>803</v>
      </c>
      <c r="B84" s="259">
        <v>0.38</v>
      </c>
      <c r="C84" s="259">
        <v>1.2</v>
      </c>
      <c r="D84">
        <v>0.64</v>
      </c>
      <c r="E84" s="214">
        <v>1.2</v>
      </c>
    </row>
    <row r="85" spans="1:16" ht="16">
      <c r="A85" s="214" t="s">
        <v>804</v>
      </c>
      <c r="B85" s="259">
        <v>0.49199999999999999</v>
      </c>
      <c r="C85" s="259">
        <v>1.2</v>
      </c>
      <c r="D85">
        <v>0.66</v>
      </c>
      <c r="E85" s="225">
        <v>1.3</v>
      </c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194"/>
    </row>
    <row r="86" spans="1:16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</row>
    <row r="87" spans="1:16">
      <c r="A87" s="214" t="s">
        <v>919</v>
      </c>
      <c r="B87" s="214" t="s">
        <v>920</v>
      </c>
      <c r="C87" s="214" t="s">
        <v>921</v>
      </c>
    </row>
    <row r="88" spans="1:16">
      <c r="A88" s="214">
        <v>1</v>
      </c>
      <c r="B88" s="214">
        <v>5.8525008333333304E-3</v>
      </c>
      <c r="C88" s="214">
        <v>-1.10201928333333E-2</v>
      </c>
    </row>
    <row r="89" spans="1:16">
      <c r="A89" s="214">
        <v>2</v>
      </c>
      <c r="B89" s="214">
        <v>6.7025327777777803E-3</v>
      </c>
      <c r="C89" s="214">
        <v>-1.12628599814815E-2</v>
      </c>
    </row>
    <row r="90" spans="1:16">
      <c r="A90" s="214">
        <v>4</v>
      </c>
      <c r="B90" s="214">
        <v>6.6991296296296304E-3</v>
      </c>
      <c r="C90" s="214">
        <v>-1.0537344388888901E-2</v>
      </c>
    </row>
    <row r="91" spans="1:16">
      <c r="A91" s="214">
        <v>7</v>
      </c>
      <c r="B91" s="214">
        <v>5.3373196851851899E-3</v>
      </c>
      <c r="C91" s="214">
        <v>-1.0683551703703701E-2</v>
      </c>
    </row>
    <row r="92" spans="1:16">
      <c r="A92" s="214" t="s">
        <v>803</v>
      </c>
      <c r="B92" s="214">
        <v>7.192955E-3</v>
      </c>
      <c r="C92" s="214">
        <v>-1.22137443518518E-2</v>
      </c>
    </row>
    <row r="93" spans="1:16">
      <c r="A93" s="214" t="s">
        <v>804</v>
      </c>
      <c r="B93" s="214">
        <v>6.2541690740740702E-3</v>
      </c>
      <c r="C93" s="214">
        <v>-1.20633005E-2</v>
      </c>
    </row>
    <row r="95" spans="1:16">
      <c r="A95" s="214" t="s">
        <v>919</v>
      </c>
    </row>
    <row r="96" spans="1:16">
      <c r="A96" s="214">
        <v>1</v>
      </c>
      <c r="B96">
        <v>1.6E-2</v>
      </c>
    </row>
    <row r="97" spans="1:2">
      <c r="A97" s="214">
        <v>2</v>
      </c>
      <c r="B97">
        <v>1.2E-2</v>
      </c>
    </row>
    <row r="98" spans="1:2">
      <c r="A98" s="214">
        <v>4</v>
      </c>
      <c r="B98">
        <v>8.9999999999999993E-3</v>
      </c>
    </row>
    <row r="99" spans="1:2">
      <c r="A99" s="214">
        <v>7</v>
      </c>
      <c r="B99">
        <v>6.0000000000000001E-3</v>
      </c>
    </row>
    <row r="100" spans="1:2">
      <c r="A100" s="214" t="s">
        <v>803</v>
      </c>
      <c r="B100">
        <v>1.0999999999999999E-2</v>
      </c>
    </row>
    <row r="101" spans="1:2">
      <c r="A101" s="214" t="s">
        <v>804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72" t="s">
        <v>1052</v>
      </c>
    </row>
    <row r="2" spans="1:3">
      <c r="A2" t="s">
        <v>1057</v>
      </c>
      <c r="B2" t="s">
        <v>1058</v>
      </c>
    </row>
    <row r="7" spans="1:3">
      <c r="A7" t="s">
        <v>1051</v>
      </c>
      <c r="B7" s="346" t="str">
        <f>DehumidType</f>
        <v>No</v>
      </c>
    </row>
    <row r="8" spans="1:3">
      <c r="A8" s="214" t="s">
        <v>1054</v>
      </c>
      <c r="B8" s="389">
        <f>IF(B7="Yes", (IF(A_houseFT&lt;2500,-10,10) + (55-B10)*2 + (18-'Internal gains'!D11*2.2)*(-5/6) + 65), 0)</f>
        <v>0</v>
      </c>
      <c r="C8" s="214"/>
    </row>
    <row r="9" spans="1:3">
      <c r="A9" s="214" t="s">
        <v>1055</v>
      </c>
      <c r="B9" s="390">
        <v>1.85</v>
      </c>
      <c r="C9" s="214"/>
    </row>
    <row r="10" spans="1:3">
      <c r="A10" s="214" t="s">
        <v>1056</v>
      </c>
      <c r="B10" s="390">
        <v>55</v>
      </c>
      <c r="C10" s="214"/>
    </row>
    <row r="13" spans="1:3">
      <c r="A13" t="s">
        <v>1059</v>
      </c>
    </row>
    <row r="14" spans="1:3">
      <c r="A14" t="s">
        <v>1060</v>
      </c>
      <c r="B14" t="s">
        <v>1061</v>
      </c>
    </row>
    <row r="15" spans="1:3">
      <c r="A15" t="s">
        <v>1062</v>
      </c>
      <c r="B15">
        <v>1.85</v>
      </c>
    </row>
    <row r="16" spans="1:3">
      <c r="A16" t="s">
        <v>1063</v>
      </c>
      <c r="B16">
        <v>2.8</v>
      </c>
    </row>
    <row r="18" spans="1:9" ht="15" thickBot="1">
      <c r="A18" t="s">
        <v>1065</v>
      </c>
      <c r="E18" s="113" t="s">
        <v>1064</v>
      </c>
    </row>
    <row r="19" spans="1:9" ht="28">
      <c r="A19" s="336" t="s">
        <v>1067</v>
      </c>
      <c r="B19" s="337" t="s">
        <v>1056</v>
      </c>
      <c r="C19" s="337" t="s">
        <v>1068</v>
      </c>
      <c r="D19" s="338" t="s">
        <v>1054</v>
      </c>
      <c r="E19" t="s">
        <v>787</v>
      </c>
      <c r="F19" t="s">
        <v>1066</v>
      </c>
      <c r="G19" t="s">
        <v>1071</v>
      </c>
      <c r="H19" t="s">
        <v>173</v>
      </c>
    </row>
    <row r="20" spans="1:9">
      <c r="A20" s="339" t="s">
        <v>1069</v>
      </c>
      <c r="B20" s="340">
        <v>0.5</v>
      </c>
      <c r="C20" s="206">
        <v>12</v>
      </c>
      <c r="D20" s="341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35">
        <f>SUM(E20:G20)</f>
        <v>-4.9999999999999911</v>
      </c>
      <c r="I20" s="335">
        <f>H20+65</f>
        <v>60.000000000000007</v>
      </c>
    </row>
    <row r="21" spans="1:9">
      <c r="A21" s="339" t="s">
        <v>1069</v>
      </c>
      <c r="B21" s="340">
        <v>0.5</v>
      </c>
      <c r="C21" s="206">
        <v>24</v>
      </c>
      <c r="D21" s="341">
        <v>70</v>
      </c>
      <c r="E21" s="214">
        <f>A$28</f>
        <v>-10</v>
      </c>
      <c r="F21" s="214">
        <f t="shared" si="0"/>
        <v>10.000000000000009</v>
      </c>
      <c r="G21" s="214">
        <f t="shared" si="1"/>
        <v>5</v>
      </c>
      <c r="H21" s="335">
        <f t="shared" ref="H21:H27" si="2">SUM(E21:G21)</f>
        <v>5.0000000000000089</v>
      </c>
      <c r="I21" s="335">
        <f t="shared" ref="I21:I27" si="3">H21+65</f>
        <v>70.000000000000014</v>
      </c>
    </row>
    <row r="22" spans="1:9">
      <c r="A22" s="339" t="s">
        <v>1069</v>
      </c>
      <c r="B22" s="340">
        <v>0.6</v>
      </c>
      <c r="C22" s="206">
        <v>12</v>
      </c>
      <c r="D22" s="341">
        <v>40</v>
      </c>
      <c r="E22" s="214">
        <f>A$28</f>
        <v>-10</v>
      </c>
      <c r="F22" s="214">
        <f t="shared" si="0"/>
        <v>-9.9999999999999858</v>
      </c>
      <c r="G22" s="214">
        <f t="shared" si="1"/>
        <v>-5</v>
      </c>
      <c r="H22" s="335">
        <f t="shared" si="2"/>
        <v>-24.999999999999986</v>
      </c>
      <c r="I22" s="335">
        <f t="shared" si="3"/>
        <v>40.000000000000014</v>
      </c>
    </row>
    <row r="23" spans="1:9">
      <c r="A23" s="339" t="s">
        <v>1069</v>
      </c>
      <c r="B23" s="340">
        <v>0.6</v>
      </c>
      <c r="C23" s="206">
        <v>24</v>
      </c>
      <c r="D23" s="341">
        <v>50</v>
      </c>
      <c r="E23" s="214">
        <f>A$28</f>
        <v>-10</v>
      </c>
      <c r="F23" s="214">
        <f t="shared" si="0"/>
        <v>-9.9999999999999858</v>
      </c>
      <c r="G23" s="214">
        <f t="shared" si="1"/>
        <v>5</v>
      </c>
      <c r="H23" s="335">
        <f t="shared" si="2"/>
        <v>-14.999999999999986</v>
      </c>
      <c r="I23" s="335">
        <f t="shared" si="3"/>
        <v>50.000000000000014</v>
      </c>
    </row>
    <row r="24" spans="1:9">
      <c r="A24" s="339" t="s">
        <v>1070</v>
      </c>
      <c r="B24" s="340">
        <v>0.5</v>
      </c>
      <c r="C24" s="206">
        <v>12</v>
      </c>
      <c r="D24" s="341">
        <v>80</v>
      </c>
      <c r="E24" s="214">
        <f>A$29</f>
        <v>10</v>
      </c>
      <c r="F24" s="214">
        <f t="shared" si="0"/>
        <v>10.000000000000009</v>
      </c>
      <c r="G24" s="214">
        <f t="shared" si="1"/>
        <v>-5</v>
      </c>
      <c r="H24" s="335">
        <f t="shared" si="2"/>
        <v>15.000000000000007</v>
      </c>
      <c r="I24" s="335">
        <f t="shared" si="3"/>
        <v>80</v>
      </c>
    </row>
    <row r="25" spans="1:9">
      <c r="A25" s="339" t="s">
        <v>1070</v>
      </c>
      <c r="B25" s="340">
        <v>0.5</v>
      </c>
      <c r="C25" s="206">
        <v>24</v>
      </c>
      <c r="D25" s="341">
        <v>90</v>
      </c>
      <c r="E25" s="214">
        <f>A$29</f>
        <v>10</v>
      </c>
      <c r="F25" s="214">
        <f t="shared" si="0"/>
        <v>10.000000000000009</v>
      </c>
      <c r="G25" s="214">
        <f t="shared" si="1"/>
        <v>5</v>
      </c>
      <c r="H25" s="335">
        <f t="shared" si="2"/>
        <v>25.000000000000007</v>
      </c>
      <c r="I25" s="335">
        <f t="shared" si="3"/>
        <v>90</v>
      </c>
    </row>
    <row r="26" spans="1:9">
      <c r="A26" s="339" t="s">
        <v>1070</v>
      </c>
      <c r="B26" s="340">
        <v>0.6</v>
      </c>
      <c r="C26" s="206">
        <v>12</v>
      </c>
      <c r="D26" s="341">
        <v>60</v>
      </c>
      <c r="E26" s="214">
        <f>A$29</f>
        <v>10</v>
      </c>
      <c r="F26" s="214">
        <f t="shared" si="0"/>
        <v>-9.9999999999999858</v>
      </c>
      <c r="G26" s="214">
        <f t="shared" si="1"/>
        <v>-5</v>
      </c>
      <c r="H26" s="335">
        <f t="shared" si="2"/>
        <v>-4.9999999999999858</v>
      </c>
      <c r="I26" s="335">
        <f t="shared" si="3"/>
        <v>60.000000000000014</v>
      </c>
    </row>
    <row r="27" spans="1:9" ht="15" thickBot="1">
      <c r="A27" s="342" t="s">
        <v>1070</v>
      </c>
      <c r="B27" s="343">
        <v>0.6</v>
      </c>
      <c r="C27" s="344">
        <v>24</v>
      </c>
      <c r="D27" s="345">
        <v>70</v>
      </c>
      <c r="E27" s="214">
        <f>A$29</f>
        <v>10</v>
      </c>
      <c r="F27" s="214">
        <f t="shared" si="0"/>
        <v>-9.9999999999999858</v>
      </c>
      <c r="G27" s="214">
        <f t="shared" si="1"/>
        <v>5</v>
      </c>
      <c r="H27" s="335">
        <f t="shared" si="2"/>
        <v>5.0000000000000142</v>
      </c>
      <c r="I27" s="335">
        <f t="shared" si="3"/>
        <v>70.000000000000014</v>
      </c>
    </row>
    <row r="28" spans="1:9" s="214" customFormat="1">
      <c r="A28" s="214">
        <v>-10</v>
      </c>
      <c r="B28" s="214">
        <v>10</v>
      </c>
      <c r="C28" s="214">
        <v>-5</v>
      </c>
    </row>
    <row r="29" spans="1:9">
      <c r="A29">
        <v>10</v>
      </c>
      <c r="B29" s="214">
        <v>-10</v>
      </c>
      <c r="C29" s="214">
        <v>5</v>
      </c>
    </row>
    <row r="32" spans="1:9">
      <c r="A32" s="252"/>
    </row>
    <row r="33" spans="1:5">
      <c r="B33" s="252" t="s">
        <v>787</v>
      </c>
      <c r="C33" s="252" t="s">
        <v>791</v>
      </c>
      <c r="D33" s="252" t="s">
        <v>1134</v>
      </c>
    </row>
    <row r="34" spans="1:5">
      <c r="B34" t="s">
        <v>788</v>
      </c>
      <c r="C34" t="s">
        <v>793</v>
      </c>
      <c r="D34" s="333">
        <v>46</v>
      </c>
      <c r="E34" s="333"/>
    </row>
    <row r="35" spans="1:5">
      <c r="C35" t="s">
        <v>792</v>
      </c>
      <c r="D35" s="333">
        <v>52</v>
      </c>
      <c r="E35" s="334"/>
    </row>
    <row r="36" spans="1:5">
      <c r="A36" s="332"/>
      <c r="C36" t="s">
        <v>794</v>
      </c>
      <c r="D36" s="332">
        <v>62</v>
      </c>
      <c r="E36" s="332"/>
    </row>
    <row r="37" spans="1:5">
      <c r="A37" s="332"/>
      <c r="B37" s="334" t="s">
        <v>792</v>
      </c>
      <c r="C37" s="214" t="s">
        <v>793</v>
      </c>
      <c r="D37" s="333">
        <v>46</v>
      </c>
      <c r="E37" s="332"/>
    </row>
    <row r="38" spans="1:5">
      <c r="C38" s="214" t="s">
        <v>792</v>
      </c>
      <c r="D38" s="333">
        <v>52</v>
      </c>
    </row>
    <row r="39" spans="1:5">
      <c r="C39" s="214" t="s">
        <v>794</v>
      </c>
      <c r="D39" s="332">
        <v>62</v>
      </c>
    </row>
    <row r="40" spans="1:5">
      <c r="B40" s="332" t="s">
        <v>789</v>
      </c>
      <c r="C40" s="214" t="s">
        <v>793</v>
      </c>
      <c r="D40" s="333">
        <v>66</v>
      </c>
    </row>
    <row r="41" spans="1:5">
      <c r="C41" s="214" t="s">
        <v>792</v>
      </c>
      <c r="D41" s="333">
        <v>72</v>
      </c>
    </row>
    <row r="42" spans="1:5">
      <c r="C42" s="214" t="s">
        <v>794</v>
      </c>
      <c r="D42" s="33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14" customFormat="1">
      <c r="A1" s="409" t="s">
        <v>1167</v>
      </c>
      <c r="B1" s="409"/>
      <c r="C1" s="409"/>
      <c r="D1" s="409"/>
      <c r="E1" s="409"/>
      <c r="F1" s="409"/>
      <c r="G1" s="409"/>
      <c r="H1" s="409"/>
    </row>
    <row r="2" spans="1:8" ht="15">
      <c r="A2" s="410" t="s">
        <v>1159</v>
      </c>
      <c r="B2" s="479" t="s">
        <v>1168</v>
      </c>
      <c r="C2" s="479"/>
      <c r="D2" s="479"/>
      <c r="E2" s="411"/>
      <c r="F2" s="411"/>
      <c r="G2" s="411"/>
      <c r="H2" s="409"/>
    </row>
    <row r="3" spans="1:8">
      <c r="A3" s="412">
        <v>1</v>
      </c>
      <c r="B3" s="413">
        <v>0.48</v>
      </c>
      <c r="C3" s="409"/>
      <c r="D3" s="409"/>
      <c r="E3" s="409"/>
      <c r="F3" s="409"/>
      <c r="G3" s="409"/>
      <c r="H3" s="409"/>
    </row>
    <row r="4" spans="1:8">
      <c r="A4" s="412">
        <v>2</v>
      </c>
      <c r="B4" s="413">
        <v>0.59</v>
      </c>
      <c r="C4" s="409"/>
      <c r="D4" s="409"/>
      <c r="E4" s="409"/>
      <c r="F4" s="409"/>
      <c r="G4" s="409"/>
      <c r="H4" s="409"/>
    </row>
    <row r="5" spans="1:8">
      <c r="A5" s="412">
        <v>3</v>
      </c>
      <c r="B5" s="413">
        <v>0.67</v>
      </c>
      <c r="C5" s="409"/>
      <c r="D5" s="409"/>
      <c r="E5" s="409"/>
      <c r="F5" s="409"/>
      <c r="G5" s="409"/>
      <c r="H5" s="409"/>
    </row>
    <row r="6" spans="1:8">
      <c r="A6" s="409"/>
      <c r="B6" s="409"/>
      <c r="C6" s="409"/>
      <c r="D6" s="409"/>
      <c r="E6" s="409"/>
      <c r="F6" s="409"/>
      <c r="G6" s="409"/>
      <c r="H6" s="409"/>
    </row>
    <row r="7" spans="1:8">
      <c r="A7" s="409"/>
      <c r="B7" s="409"/>
      <c r="C7" s="409"/>
      <c r="D7" s="409"/>
      <c r="E7" s="409"/>
      <c r="F7" s="409"/>
      <c r="G7" s="409"/>
      <c r="H7" s="409"/>
    </row>
    <row r="8" spans="1:8" ht="14" customHeight="1">
      <c r="A8" s="414"/>
      <c r="B8" s="414"/>
      <c r="D8" s="420"/>
      <c r="E8" s="411"/>
      <c r="F8" s="411"/>
      <c r="G8" s="411"/>
      <c r="H8" s="409"/>
    </row>
    <row r="9" spans="1:8" ht="22">
      <c r="A9" s="415" t="s">
        <v>1160</v>
      </c>
      <c r="B9" t="s">
        <v>1169</v>
      </c>
      <c r="C9" s="416" t="s">
        <v>1161</v>
      </c>
      <c r="D9" s="421"/>
      <c r="E9" s="411"/>
      <c r="F9" s="411"/>
      <c r="G9" s="411"/>
      <c r="H9" s="409"/>
    </row>
    <row r="10" spans="1:8">
      <c r="A10" s="410" t="s">
        <v>1179</v>
      </c>
      <c r="B10" t="s">
        <v>1145</v>
      </c>
      <c r="C10" s="413">
        <v>0.5</v>
      </c>
      <c r="D10" s="422"/>
      <c r="E10" s="411"/>
      <c r="F10" s="411"/>
      <c r="G10" s="411"/>
      <c r="H10" s="409"/>
    </row>
    <row r="11" spans="1:8">
      <c r="A11" s="412">
        <v>1</v>
      </c>
      <c r="B11" t="s">
        <v>1053</v>
      </c>
      <c r="C11" s="413">
        <v>0.7</v>
      </c>
      <c r="D11" s="422"/>
      <c r="E11" s="411"/>
      <c r="F11" s="411"/>
      <c r="G11" s="411"/>
      <c r="H11" s="409"/>
    </row>
    <row r="12" spans="1:8">
      <c r="A12" s="412">
        <v>2</v>
      </c>
      <c r="B12" t="s">
        <v>1053</v>
      </c>
      <c r="C12" s="413">
        <v>0.64</v>
      </c>
      <c r="D12" s="422"/>
      <c r="E12" s="409"/>
      <c r="F12" s="409"/>
      <c r="G12" s="409"/>
      <c r="H12" s="409"/>
    </row>
    <row r="13" spans="1:8">
      <c r="A13" s="412">
        <v>3</v>
      </c>
      <c r="B13" t="s">
        <v>1053</v>
      </c>
      <c r="C13" s="413">
        <v>0.61</v>
      </c>
      <c r="D13" s="422"/>
      <c r="E13" s="409"/>
      <c r="F13" s="409"/>
      <c r="G13" s="409"/>
      <c r="H13" s="409"/>
    </row>
    <row r="14" spans="1:8" s="214" customFormat="1">
      <c r="A14" s="410"/>
      <c r="B14" s="413"/>
      <c r="C14" s="409"/>
      <c r="D14" s="409"/>
      <c r="E14" s="409"/>
      <c r="F14" s="409"/>
      <c r="G14" s="409"/>
      <c r="H14" s="409"/>
    </row>
    <row r="15" spans="1:8" ht="14" customHeight="1">
      <c r="A15" s="409"/>
      <c r="B15" s="409"/>
      <c r="C15" s="409"/>
      <c r="D15" s="409"/>
      <c r="E15" s="409"/>
      <c r="F15" s="409"/>
      <c r="G15" s="409"/>
      <c r="H15" s="409"/>
    </row>
    <row r="16" spans="1:8">
      <c r="A16" s="417" t="s">
        <v>1171</v>
      </c>
      <c r="B16" s="409"/>
      <c r="C16" s="409"/>
      <c r="D16" s="409"/>
      <c r="E16" s="409"/>
      <c r="F16" s="409"/>
      <c r="G16" s="409"/>
      <c r="H16" s="409"/>
    </row>
    <row r="17" spans="1:8" ht="22">
      <c r="A17" s="410" t="s">
        <v>1159</v>
      </c>
      <c r="B17" s="408" t="s">
        <v>1163</v>
      </c>
      <c r="C17" s="413" t="s">
        <v>1165</v>
      </c>
      <c r="D17" s="413" t="s">
        <v>1166</v>
      </c>
      <c r="E17" s="409"/>
      <c r="F17" s="409"/>
      <c r="G17" s="409"/>
      <c r="H17" s="409"/>
    </row>
    <row r="18" spans="1:8">
      <c r="A18" s="418">
        <v>1</v>
      </c>
      <c r="B18" s="408" t="s">
        <v>1162</v>
      </c>
      <c r="C18" s="413">
        <v>0.156</v>
      </c>
      <c r="D18" s="413">
        <v>0.128</v>
      </c>
      <c r="E18" s="409"/>
      <c r="F18" s="409"/>
      <c r="G18" s="409"/>
      <c r="H18" s="409"/>
    </row>
    <row r="19" spans="1:8">
      <c r="A19" s="418">
        <v>2</v>
      </c>
      <c r="B19" s="408" t="s">
        <v>1162</v>
      </c>
      <c r="C19" s="413">
        <v>0.17</v>
      </c>
      <c r="D19" s="413">
        <v>0.14199999999999999</v>
      </c>
      <c r="E19" s="409"/>
      <c r="F19" s="409"/>
      <c r="G19" s="409"/>
      <c r="H19" s="409"/>
    </row>
    <row r="20" spans="1:8">
      <c r="A20" s="418">
        <v>3</v>
      </c>
      <c r="B20" s="408" t="s">
        <v>1162</v>
      </c>
      <c r="C20" s="413">
        <v>0.17</v>
      </c>
      <c r="D20" s="413">
        <v>0.151</v>
      </c>
      <c r="E20" s="409"/>
      <c r="F20" s="409"/>
      <c r="G20" s="409"/>
      <c r="H20" s="409"/>
    </row>
    <row r="21" spans="1:8">
      <c r="A21" s="418">
        <v>1</v>
      </c>
      <c r="B21" s="408" t="s">
        <v>1164</v>
      </c>
      <c r="C21" s="413">
        <v>0.14199999999999999</v>
      </c>
      <c r="D21" s="413">
        <v>0.128</v>
      </c>
      <c r="E21" s="409"/>
      <c r="F21" s="409"/>
      <c r="G21" s="409"/>
      <c r="H21" s="409"/>
    </row>
    <row r="22" spans="1:8">
      <c r="A22" s="418">
        <v>2</v>
      </c>
      <c r="B22" s="408" t="s">
        <v>1164</v>
      </c>
      <c r="C22" s="413">
        <v>0.156</v>
      </c>
      <c r="D22" s="413">
        <v>0.14199999999999999</v>
      </c>
      <c r="E22" s="409"/>
      <c r="F22" s="409"/>
      <c r="G22" s="409"/>
      <c r="H22" s="409"/>
    </row>
    <row r="23" spans="1:8">
      <c r="A23" s="418">
        <v>3</v>
      </c>
      <c r="B23" s="408" t="s">
        <v>1164</v>
      </c>
      <c r="C23" s="413">
        <v>0.16700000000000001</v>
      </c>
      <c r="D23" s="413">
        <v>0.154</v>
      </c>
      <c r="E23" s="409"/>
      <c r="F23" s="409"/>
      <c r="G23" s="409"/>
      <c r="H23" s="409"/>
    </row>
    <row r="24" spans="1:8" s="214" customFormat="1">
      <c r="A24" s="418"/>
      <c r="B24" s="408"/>
      <c r="C24" s="413"/>
      <c r="D24" s="413"/>
      <c r="E24" s="409"/>
      <c r="F24" s="409"/>
      <c r="G24" s="409"/>
      <c r="H24" s="409"/>
    </row>
    <row r="25" spans="1:8" s="214" customFormat="1">
      <c r="A25" s="418"/>
      <c r="B25" s="408"/>
      <c r="C25" s="413"/>
      <c r="D25" s="413"/>
      <c r="E25" s="409"/>
      <c r="F25" s="409"/>
      <c r="G25" s="409"/>
      <c r="H25" s="409"/>
    </row>
    <row r="26" spans="1:8" ht="22">
      <c r="A26" s="415" t="s">
        <v>1172</v>
      </c>
      <c r="B26" s="409"/>
      <c r="C26" s="409"/>
      <c r="D26" s="409"/>
      <c r="E26" s="409"/>
      <c r="F26" s="409"/>
      <c r="G26" s="409"/>
      <c r="H26" s="409"/>
    </row>
    <row r="27" spans="1:8">
      <c r="A27" s="412" t="s">
        <v>1159</v>
      </c>
      <c r="B27" s="408" t="s">
        <v>1169</v>
      </c>
      <c r="C27" s="419" t="s">
        <v>1170</v>
      </c>
      <c r="D27" s="409"/>
      <c r="E27" s="409"/>
      <c r="F27" s="409"/>
      <c r="G27" s="409"/>
      <c r="H27" s="409"/>
    </row>
    <row r="28" spans="1:8">
      <c r="A28" s="412">
        <v>1</v>
      </c>
      <c r="B28" s="408" t="s">
        <v>1145</v>
      </c>
      <c r="C28" s="413">
        <v>5.3999999999999999E-2</v>
      </c>
      <c r="D28" s="409"/>
      <c r="E28" s="409"/>
      <c r="F28" s="409"/>
      <c r="G28" s="409"/>
      <c r="H28" s="409"/>
    </row>
    <row r="29" spans="1:8">
      <c r="A29" s="412">
        <v>2</v>
      </c>
      <c r="B29" s="408" t="s">
        <v>1145</v>
      </c>
      <c r="C29" s="413">
        <v>7.8E-2</v>
      </c>
      <c r="D29" s="409"/>
      <c r="E29" s="409"/>
      <c r="F29" s="409"/>
      <c r="G29" s="409"/>
      <c r="H29" s="409"/>
    </row>
    <row r="30" spans="1:8">
      <c r="A30" s="412">
        <v>3</v>
      </c>
      <c r="B30" s="408" t="s">
        <v>1145</v>
      </c>
      <c r="C30" s="413">
        <v>9.8000000000000004E-2</v>
      </c>
      <c r="D30" s="411"/>
      <c r="E30" s="411"/>
      <c r="F30" s="411"/>
      <c r="G30" s="411"/>
      <c r="H30" s="409"/>
    </row>
    <row r="31" spans="1:8">
      <c r="A31" s="412">
        <v>1</v>
      </c>
      <c r="B31" s="408" t="s">
        <v>1053</v>
      </c>
      <c r="C31" s="413">
        <v>6.9000000000000006E-2</v>
      </c>
      <c r="D31" s="411"/>
      <c r="E31" s="411"/>
      <c r="F31" s="411"/>
      <c r="G31" s="411"/>
      <c r="H31" s="409"/>
    </row>
    <row r="32" spans="1:8">
      <c r="A32" s="412">
        <v>2</v>
      </c>
      <c r="B32" s="408" t="s">
        <v>1053</v>
      </c>
      <c r="C32" s="413">
        <v>8.8999999999999996E-2</v>
      </c>
      <c r="D32" s="409"/>
      <c r="E32" s="409"/>
      <c r="F32" s="409"/>
      <c r="G32" s="411"/>
      <c r="H32" s="409"/>
    </row>
    <row r="33" spans="1:8">
      <c r="A33" s="412">
        <v>3</v>
      </c>
      <c r="B33" s="408" t="s">
        <v>1053</v>
      </c>
      <c r="C33" s="413">
        <v>0.107</v>
      </c>
      <c r="D33" s="409"/>
      <c r="E33" s="409"/>
      <c r="F33" s="409"/>
      <c r="G33" s="411"/>
      <c r="H33" s="409"/>
    </row>
    <row r="34" spans="1:8">
      <c r="A34" s="409"/>
      <c r="B34" s="409"/>
      <c r="C34" s="409"/>
      <c r="D34" s="409"/>
      <c r="E34" s="409"/>
      <c r="F34" s="409"/>
      <c r="G34" s="411"/>
      <c r="H34" s="409"/>
    </row>
    <row r="35" spans="1:8">
      <c r="A35" s="409"/>
      <c r="B35" s="409"/>
      <c r="C35" s="409"/>
      <c r="D35" s="409"/>
      <c r="E35" s="409"/>
      <c r="F35" s="409"/>
      <c r="G35" s="411"/>
      <c r="H35" s="409"/>
    </row>
    <row r="36" spans="1:8">
      <c r="A36" s="411"/>
      <c r="B36" s="411"/>
      <c r="C36" s="411"/>
      <c r="D36" s="411"/>
      <c r="E36" s="411"/>
      <c r="F36" s="411"/>
      <c r="G36" s="411"/>
      <c r="H36" s="409"/>
    </row>
    <row r="37" spans="1:8">
      <c r="A37" s="409"/>
      <c r="B37" s="409"/>
      <c r="C37" s="409"/>
      <c r="D37" s="409"/>
      <c r="E37" s="409"/>
      <c r="F37" s="409"/>
      <c r="G37" s="409"/>
      <c r="H37" s="409"/>
    </row>
    <row r="38" spans="1:8">
      <c r="A38" s="409"/>
      <c r="B38" s="415"/>
      <c r="C38" s="415"/>
      <c r="D38" s="415"/>
      <c r="E38" s="415"/>
      <c r="F38" s="415"/>
      <c r="G38" s="409"/>
      <c r="H38" s="409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2018-01-24T00:21:04Z</dcterms:modified>
</cp:coreProperties>
</file>