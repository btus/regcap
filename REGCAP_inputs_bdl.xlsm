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4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RvalConv">UA!$B$24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3" i="2" l="1"/>
  <c r="D34" i="2"/>
  <c r="D35" i="2"/>
  <c r="D36" i="2"/>
  <c r="D37" i="2"/>
  <c r="D38" i="2"/>
  <c r="D39" i="2"/>
  <c r="D40" i="2"/>
  <c r="D3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8" i="2"/>
  <c r="B9" i="2"/>
  <c r="B10" i="2"/>
  <c r="B11" i="2"/>
  <c r="B12" i="2"/>
  <c r="B13" i="2"/>
  <c r="B5" i="2"/>
  <c r="L66" i="2"/>
  <c r="D66" i="2"/>
  <c r="L65" i="2"/>
  <c r="D65" i="2"/>
  <c r="L58" i="2"/>
  <c r="D58" i="2"/>
  <c r="D46" i="2"/>
  <c r="D45" i="2"/>
  <c r="D44" i="2"/>
  <c r="D43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X14" i="5"/>
  <c r="C9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C8" i="5"/>
  <c r="X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C7" i="5"/>
  <c r="X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C6" i="5"/>
  <c r="X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B139" i="5"/>
  <c r="F43" i="5"/>
  <c r="B6" i="5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L2" i="6"/>
  <c r="I31" i="3"/>
  <c r="I34" i="3"/>
  <c r="C9" i="6"/>
  <c r="C10" i="6"/>
  <c r="C13" i="6"/>
  <c r="J31" i="3"/>
  <c r="J34" i="3"/>
  <c r="D9" i="6"/>
  <c r="D10" i="6"/>
  <c r="D13" i="6"/>
  <c r="K31" i="3"/>
  <c r="K34" i="3"/>
  <c r="E9" i="6"/>
  <c r="E10" i="6"/>
  <c r="E13" i="6"/>
  <c r="L31" i="3"/>
  <c r="L34" i="3"/>
  <c r="F9" i="6"/>
  <c r="F10" i="6"/>
  <c r="F13" i="6"/>
  <c r="M31" i="3"/>
  <c r="M34" i="3"/>
  <c r="G9" i="6"/>
  <c r="G10" i="6"/>
  <c r="G13" i="6"/>
  <c r="N31" i="3"/>
  <c r="N34" i="3"/>
  <c r="H9" i="6"/>
  <c r="H10" i="6"/>
  <c r="H13" i="6"/>
  <c r="O31" i="3"/>
  <c r="O34" i="3"/>
  <c r="I9" i="6"/>
  <c r="I10" i="6"/>
  <c r="I13" i="6"/>
  <c r="P31" i="3"/>
  <c r="P34" i="3"/>
  <c r="J9" i="6"/>
  <c r="J10" i="6"/>
  <c r="J13" i="6"/>
  <c r="Q31" i="3"/>
  <c r="Q34" i="3"/>
  <c r="K9" i="6"/>
  <c r="K10" i="6"/>
  <c r="K13" i="6"/>
  <c r="R31" i="3"/>
  <c r="R34" i="3"/>
  <c r="L9" i="6"/>
  <c r="L10" i="6"/>
  <c r="L13" i="6"/>
  <c r="S31" i="3"/>
  <c r="S34" i="3"/>
  <c r="M9" i="6"/>
  <c r="M10" i="6"/>
  <c r="M13" i="6"/>
  <c r="T31" i="3"/>
  <c r="T34" i="3"/>
  <c r="N9" i="6"/>
  <c r="N10" i="6"/>
  <c r="N13" i="6"/>
  <c r="U31" i="3"/>
  <c r="U34" i="3"/>
  <c r="O9" i="6"/>
  <c r="O10" i="6"/>
  <c r="O13" i="6"/>
  <c r="V31" i="3"/>
  <c r="V34" i="3"/>
  <c r="P9" i="6"/>
  <c r="P10" i="6"/>
  <c r="P13" i="6"/>
  <c r="W31" i="3"/>
  <c r="W34" i="3"/>
  <c r="Q9" i="6"/>
  <c r="Q10" i="6"/>
  <c r="Q13" i="6"/>
  <c r="X31" i="3"/>
  <c r="X34" i="3"/>
  <c r="R9" i="6"/>
  <c r="R10" i="6"/>
  <c r="R13" i="6"/>
  <c r="H31" i="3"/>
  <c r="H34" i="3"/>
  <c r="B9" i="6"/>
  <c r="B10" i="6"/>
  <c r="B13" i="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B29" i="10"/>
  <c r="F7" i="5"/>
  <c r="B30" i="10"/>
  <c r="F8" i="5"/>
  <c r="B31" i="10"/>
  <c r="F20" i="5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G20" i="5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G7" i="5"/>
  <c r="C30" i="10"/>
  <c r="G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H20" i="5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H7" i="5"/>
  <c r="D30" i="10"/>
  <c r="H8" i="5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I20" i="5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I7" i="5"/>
  <c r="E30" i="10"/>
  <c r="I8" i="5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J20" i="5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J7" i="5"/>
  <c r="F30" i="10"/>
  <c r="J8" i="5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K20" i="5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K7" i="5"/>
  <c r="G30" i="10"/>
  <c r="K8" i="5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L20" i="5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L7" i="5"/>
  <c r="H30" i="10"/>
  <c r="L8" i="5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M20" i="5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M7" i="5"/>
  <c r="I30" i="10"/>
  <c r="M8" i="5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2" i="10"/>
  <c r="I133" i="10"/>
  <c r="I134" i="10"/>
  <c r="I135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N20" i="5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N7" i="5"/>
  <c r="J30" i="10"/>
  <c r="N8" i="5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O20" i="5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O7" i="5"/>
  <c r="K30" i="10"/>
  <c r="O8" i="5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2" i="10"/>
  <c r="K133" i="10"/>
  <c r="K134" i="10"/>
  <c r="K135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P20" i="5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P7" i="5"/>
  <c r="L30" i="10"/>
  <c r="P8" i="5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2" i="10"/>
  <c r="L133" i="10"/>
  <c r="L134" i="10"/>
  <c r="L135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Q20" i="5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Q7" i="5"/>
  <c r="M30" i="10"/>
  <c r="Q8" i="5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2" i="10"/>
  <c r="M133" i="10"/>
  <c r="M134" i="10"/>
  <c r="M135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R20" i="5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R7" i="5"/>
  <c r="N30" i="10"/>
  <c r="R8" i="5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S20" i="5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S7" i="5"/>
  <c r="O30" i="10"/>
  <c r="S8" i="5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T20" i="5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T7" i="5"/>
  <c r="P30" i="10"/>
  <c r="T8" i="5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U6" i="5"/>
  <c r="Q29" i="10"/>
  <c r="Q63" i="10"/>
  <c r="Q76" i="10"/>
  <c r="Q80" i="10"/>
  <c r="U20" i="5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U7" i="5"/>
  <c r="Q30" i="10"/>
  <c r="U8" i="5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V6" i="5"/>
  <c r="R29" i="10"/>
  <c r="R62" i="10"/>
  <c r="R76" i="10"/>
  <c r="R80" i="10"/>
  <c r="V20" i="5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V7" i="5"/>
  <c r="R30" i="10"/>
  <c r="V8" i="5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AC14" i="3"/>
  <c r="AD14" i="3"/>
  <c r="D9" i="3"/>
  <c r="D13" i="3"/>
  <c r="B7" i="17"/>
  <c r="B8" i="17"/>
  <c r="C43" i="16"/>
  <c r="C42" i="16"/>
  <c r="C41" i="16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82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1" i="15"/>
  <c r="C90" i="15"/>
  <c r="C89" i="15"/>
  <c r="C88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77" i="15"/>
  <c r="F27" i="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81" i="15"/>
  <c r="C80" i="15"/>
  <c r="C79" i="15"/>
  <c r="D12" i="7"/>
  <c r="C78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41" i="15"/>
  <c r="C40" i="1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U12" i="5"/>
  <c r="R41" i="1"/>
  <c r="V12" i="5"/>
  <c r="S41" i="1"/>
  <c r="C41" i="1"/>
  <c r="C40" i="1"/>
  <c r="C39" i="1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9" i="7"/>
  <c r="F17" i="5"/>
  <c r="U16" i="5"/>
  <c r="V16" i="5"/>
  <c r="V15" i="5"/>
  <c r="U15" i="5"/>
  <c r="F16" i="5"/>
  <c r="F15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13" i="5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7" i="5"/>
  <c r="V27" i="5"/>
  <c r="G27" i="5"/>
  <c r="U27" i="5"/>
  <c r="R76" i="1"/>
  <c r="S76" i="1"/>
  <c r="R77" i="1"/>
  <c r="S77" i="1"/>
  <c r="S8" i="1"/>
  <c r="J8" i="9"/>
  <c r="Y14" i="9"/>
  <c r="S114" i="1"/>
  <c r="S115" i="1"/>
  <c r="Y16" i="9"/>
  <c r="S116" i="1"/>
  <c r="S117" i="1"/>
  <c r="S137" i="1"/>
  <c r="S140" i="1"/>
  <c r="E17" i="6"/>
  <c r="H17" i="6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H27" i="5"/>
  <c r="J27" i="5"/>
  <c r="K27" i="5"/>
  <c r="L27" i="5"/>
  <c r="M27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F88" i="5"/>
  <c r="C17" i="6"/>
  <c r="C64" i="1"/>
  <c r="G107" i="6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8" i="5"/>
  <c r="B132" i="5"/>
  <c r="B133" i="5"/>
  <c r="D126" i="5"/>
  <c r="D125" i="5"/>
  <c r="D127" i="5"/>
  <c r="D124" i="5"/>
  <c r="Y1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" i="12"/>
  <c r="G5" i="12"/>
  <c r="K5" i="12"/>
  <c r="O5" i="12"/>
  <c r="X7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6" i="5"/>
  <c r="X32" i="5"/>
  <c r="X33" i="5"/>
  <c r="T32" i="5"/>
  <c r="F32" i="5"/>
  <c r="F33" i="5"/>
  <c r="T29" i="5"/>
  <c r="X29" i="5"/>
  <c r="X30" i="5"/>
  <c r="F29" i="5"/>
  <c r="F30" i="5"/>
  <c r="T33" i="5"/>
  <c r="T30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Q27" i="6"/>
  <c r="Q23" i="6"/>
  <c r="Q22" i="6"/>
  <c r="Q21" i="6"/>
  <c r="Q20" i="6"/>
  <c r="Q19" i="6"/>
  <c r="Q18" i="6"/>
  <c r="Q17" i="6"/>
  <c r="Q77" i="1"/>
  <c r="P77" i="1"/>
  <c r="O77" i="1"/>
  <c r="N77" i="1"/>
  <c r="M77" i="1"/>
  <c r="L77" i="1"/>
  <c r="K77" i="1"/>
  <c r="J77" i="1"/>
  <c r="I77" i="1"/>
  <c r="H77" i="1"/>
  <c r="G77" i="1"/>
  <c r="F77" i="1"/>
  <c r="D77" i="1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H13" i="3"/>
  <c r="H14" i="3"/>
  <c r="C14" i="1"/>
  <c r="C25" i="3"/>
  <c r="D25" i="3"/>
  <c r="E25" i="3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E19" i="6"/>
  <c r="H19" i="6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6" i="1"/>
  <c r="E117" i="1"/>
  <c r="L115" i="1"/>
  <c r="H20" i="6"/>
  <c r="D132" i="5"/>
  <c r="D133" i="5"/>
  <c r="B136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5" i="1"/>
  <c r="F114" i="1"/>
  <c r="C50" i="6"/>
  <c r="I14" i="9"/>
  <c r="Q14" i="9"/>
  <c r="AB14" i="9"/>
  <c r="AC16" i="9"/>
  <c r="L117" i="1"/>
  <c r="W14" i="9"/>
  <c r="O14" i="9"/>
  <c r="H16" i="3"/>
  <c r="N116" i="1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7" i="8"/>
  <c r="C29" i="8"/>
  <c r="C30" i="8"/>
  <c r="C32" i="8"/>
  <c r="C80" i="1"/>
  <c r="C25" i="1"/>
  <c r="C29" i="1"/>
  <c r="G42" i="5"/>
  <c r="P34" i="5"/>
  <c r="L34" i="5"/>
  <c r="S42" i="5"/>
  <c r="F34" i="5"/>
  <c r="T34" i="5"/>
  <c r="I42" i="5"/>
  <c r="X34" i="5"/>
  <c r="X10" i="5"/>
  <c r="H42" i="5"/>
  <c r="O34" i="5"/>
  <c r="M42" i="5"/>
  <c r="N42" i="5"/>
  <c r="J34" i="5"/>
  <c r="J42" i="5"/>
  <c r="F42" i="5"/>
  <c r="Q34" i="5"/>
  <c r="G34" i="5"/>
  <c r="M34" i="5"/>
  <c r="L42" i="5"/>
  <c r="H34" i="5"/>
  <c r="O42" i="5"/>
  <c r="T42" i="5"/>
  <c r="N34" i="5"/>
  <c r="K34" i="5"/>
  <c r="I34" i="5"/>
  <c r="R42" i="5"/>
  <c r="R34" i="5"/>
  <c r="K42" i="5"/>
  <c r="S34" i="5"/>
  <c r="Q42" i="5"/>
  <c r="P42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U6" i="3"/>
  <c r="U7" i="3"/>
  <c r="U8" i="3"/>
  <c r="AB6" i="3"/>
  <c r="AB7" i="3"/>
  <c r="C35" i="1"/>
  <c r="L20" i="6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O3" i="6"/>
  <c r="I3" i="6"/>
  <c r="M3" i="6"/>
  <c r="K3" i="6"/>
  <c r="J3" i="6"/>
  <c r="N3" i="6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AE12" i="3"/>
  <c r="AF8" i="3"/>
  <c r="AF9" i="3"/>
  <c r="N7" i="1"/>
  <c r="AD8" i="3"/>
  <c r="AD9" i="3"/>
  <c r="C7" i="1"/>
  <c r="S7" i="1"/>
  <c r="AE15" i="3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B79" i="6"/>
  <c r="B100" i="6"/>
  <c r="B90" i="6"/>
  <c r="B112" i="6"/>
  <c r="B115" i="6"/>
  <c r="B93" i="6"/>
  <c r="B82" i="6"/>
  <c r="B103" i="6"/>
  <c r="E11" i="6"/>
  <c r="I11" i="6"/>
  <c r="J11" i="6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H11" i="6"/>
  <c r="B114" i="6"/>
  <c r="B102" i="6"/>
  <c r="B81" i="6"/>
  <c r="B92" i="6"/>
  <c r="P11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N11" i="6"/>
  <c r="B113" i="6"/>
  <c r="B91" i="6"/>
  <c r="B101" i="6"/>
  <c r="B80" i="6"/>
  <c r="O11" i="6"/>
  <c r="F11" i="6"/>
  <c r="AB13" i="5"/>
  <c r="AB14" i="5"/>
  <c r="AC13" i="5"/>
  <c r="AC14" i="5"/>
  <c r="AD13" i="5"/>
  <c r="AD14" i="5"/>
  <c r="AA13" i="5"/>
  <c r="AA14" i="5"/>
  <c r="AE13" i="5"/>
  <c r="AE14" i="5"/>
  <c r="AN13" i="5"/>
  <c r="AN14" i="5"/>
  <c r="AJ13" i="5"/>
  <c r="AJ14" i="5"/>
  <c r="AH13" i="5"/>
  <c r="AH14" i="5"/>
  <c r="AO13" i="5"/>
  <c r="AO14" i="5"/>
  <c r="AM13" i="5"/>
  <c r="AM14" i="5"/>
  <c r="AG13" i="5"/>
  <c r="AG14" i="5"/>
  <c r="AF13" i="5"/>
  <c r="AF14" i="5"/>
  <c r="AL13" i="5"/>
  <c r="AL14" i="5"/>
  <c r="AK13" i="5"/>
  <c r="AK14" i="5"/>
  <c r="Z13" i="5"/>
  <c r="Z14" i="5"/>
  <c r="AI13" i="5"/>
  <c r="AI14" i="5"/>
  <c r="B99" i="6"/>
  <c r="B89" i="6"/>
  <c r="B78" i="6"/>
  <c r="B111" i="6"/>
  <c r="F47" i="5"/>
  <c r="F48" i="5"/>
  <c r="J16" i="5"/>
  <c r="J15" i="5"/>
  <c r="K48" i="5"/>
  <c r="K47" i="5"/>
  <c r="O16" i="5"/>
  <c r="O15" i="5"/>
  <c r="Q47" i="5"/>
  <c r="Q48" i="5"/>
  <c r="M15" i="5"/>
  <c r="M16" i="5"/>
  <c r="Q15" i="5"/>
  <c r="Q16" i="5"/>
  <c r="L48" i="5"/>
  <c r="L47" i="5"/>
  <c r="R47" i="5"/>
  <c r="R48" i="5"/>
  <c r="G48" i="5"/>
  <c r="G47" i="5"/>
  <c r="H16" i="5"/>
  <c r="H15" i="5"/>
  <c r="S15" i="5"/>
  <c r="S16" i="5"/>
  <c r="M47" i="5"/>
  <c r="M48" i="5"/>
  <c r="P16" i="5"/>
  <c r="P15" i="5"/>
  <c r="J48" i="5"/>
  <c r="J47" i="5"/>
  <c r="H48" i="5"/>
  <c r="H47" i="5"/>
  <c r="T47" i="5"/>
  <c r="T48" i="5"/>
  <c r="S48" i="5"/>
  <c r="S47" i="5"/>
  <c r="I16" i="5"/>
  <c r="I15" i="5"/>
  <c r="K15" i="5"/>
  <c r="K16" i="5"/>
  <c r="P47" i="5"/>
  <c r="P48" i="5"/>
  <c r="R15" i="5"/>
  <c r="R16" i="5"/>
  <c r="L15" i="5"/>
  <c r="L16" i="5"/>
  <c r="I47" i="5"/>
  <c r="I48" i="5"/>
  <c r="N47" i="5"/>
  <c r="N48" i="5"/>
  <c r="T16" i="5"/>
  <c r="T15" i="5"/>
  <c r="G15" i="5"/>
  <c r="G16" i="5"/>
  <c r="O47" i="5"/>
  <c r="O48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
1=yes, 0=no</t>
        </r>
      </text>
    </comment>
    <comment ref="R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<sst xmlns="http://schemas.openxmlformats.org/spreadsheetml/2006/main" count="3020" uniqueCount="1386">
  <si>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</si>
  <si>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</si>
  <si>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</si>
  <si>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</si>
  <si>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</si>
  <si>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</si>
  <si>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</si>
  <si>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</si>
  <si>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</si>
  <si>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</si>
  <si>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</si>
  <si>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</si>
  <si>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</si>
  <si>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</si>
  <si>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</si>
  <si>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</si>
  <si>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</si>
  <si>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</si>
  <si>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</si>
  <si>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</si>
  <si>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</si>
  <si>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</si>
  <si>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</si>
  <si>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</si>
  <si>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</si>
  <si>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</si>
  <si>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</si>
  <si>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</si>
  <si>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</si>
  <si>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</si>
  <si>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</si>
  <si>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</si>
  <si>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</si>
  <si>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</si>
  <si>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</si>
  <si>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</si>
  <si>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</si>
  <si>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</si>
  <si>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</si>
  <si>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</si>
  <si>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</si>
  <si>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</si>
  <si>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</si>
  <si>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</si>
  <si>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</si>
  <si>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</si>
  <si>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</si>
  <si>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</si>
  <si>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</si>
  <si>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</si>
  <si>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</si>
  <si>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</si>
  <si>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</si>
  <si>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</si>
  <si>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</si>
  <si>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</si>
  <si>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</si>
  <si>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</si>
  <si>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</si>
  <si>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</si>
  <si>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</si>
  <si>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</si>
  <si>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</si>
  <si>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</si>
  <si>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</si>
  <si>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</si>
  <si>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</si>
  <si>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</si>
  <si>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</si>
  <si>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</si>
  <si>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</si>
  <si>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</si>
  <si>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</si>
  <si>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</si>
  <si>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</si>
  <si>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</si>
  <si>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</si>
  <si>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</si>
  <si>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</si>
  <si>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</si>
  <si>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</si>
  <si>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</si>
  <si>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</si>
  <si>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</si>
  <si>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</si>
  <si>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</si>
  <si>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</si>
  <si>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</si>
  <si>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</si>
  <si>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</si>
  <si>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</si>
  <si>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</si>
  <si>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</si>
  <si>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</si>
  <si>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</si>
  <si>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</si>
  <si>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</si>
  <si>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</si>
  <si>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</si>
  <si>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</si>
  <si>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</si>
  <si>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</si>
  <si>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</si>
  <si>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</si>
  <si>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</si>
  <si>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</si>
  <si>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</si>
  <si>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</si>
  <si>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</si>
  <si>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</si>
  <si>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</si>
  <si>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</si>
  <si>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</si>
  <si>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</si>
  <si>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</si>
  <si>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</si>
  <si>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</si>
  <si>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</si>
  <si>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</si>
  <si>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</si>
  <si>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</si>
  <si>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</si>
  <si>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</si>
  <si>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</si>
  <si>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</si>
  <si>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</si>
  <si>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</si>
  <si>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</si>
  <si>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</si>
  <si>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</si>
  <si>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</si>
  <si>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</si>
  <si>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</si>
  <si>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</si>
  <si>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</si>
  <si>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</si>
  <si>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</si>
  <si>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</si>
  <si>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</si>
  <si>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</si>
  <si>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</si>
  <si>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</si>
  <si>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</si>
  <si>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</si>
  <si>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</si>
  <si>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</si>
  <si>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</si>
  <si>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</si>
  <si>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</si>
  <si>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</si>
  <si>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</si>
  <si>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</si>
  <si>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</si>
  <si>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</si>
  <si>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</si>
  <si>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</si>
  <si>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</si>
  <si>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</si>
  <si>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</si>
  <si>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</si>
  <si>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</si>
  <si>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</si>
  <si>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</si>
  <si>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</si>
  <si>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</si>
  <si>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</si>
  <si>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</si>
  <si>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</si>
  <si>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</si>
  <si>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</si>
  <si>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</si>
  <si>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</si>
  <si>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</si>
  <si>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</si>
  <si>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</si>
  <si>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</si>
  <si>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</si>
  <si>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</si>
  <si>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</si>
  <si>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</si>
  <si>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</si>
  <si>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</si>
  <si>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</si>
  <si>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</si>
  <si>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</si>
  <si>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</si>
  <si>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</si>
  <si>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</si>
  <si>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</si>
  <si>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</si>
  <si>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</si>
  <si>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</si>
  <si>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</si>
  <si>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</si>
  <si>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</si>
  <si>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</si>
  <si>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</si>
  <si>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</si>
  <si>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</si>
  <si>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</si>
  <si>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</si>
  <si>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</si>
  <si>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</si>
  <si>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</si>
  <si>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</si>
  <si>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</si>
  <si>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</si>
  <si>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</si>
  <si>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</si>
  <si>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</si>
  <si>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</si>
  <si>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</si>
  <si>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</si>
  <si>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</si>
  <si>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</si>
  <si>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</si>
  <si>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</si>
  <si>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</si>
  <si>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</si>
  <si>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</si>
  <si>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</si>
  <si>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</si>
  <si>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</si>
  <si>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</si>
  <si>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</si>
  <si>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</si>
  <si>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</si>
  <si>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</si>
  <si>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</si>
  <si>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</si>
  <si>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</si>
  <si>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</si>
  <si>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</si>
  <si>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</si>
  <si>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</si>
  <si>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</si>
  <si>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</si>
  <si>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</si>
  <si>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</si>
  <si>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</si>
  <si>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</si>
  <si>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</si>
  <si>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</si>
  <si>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</si>
  <si>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</si>
  <si>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</si>
  <si>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</si>
  <si>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</si>
  <si>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</si>
  <si>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</si>
  <si>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</si>
  <si>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</si>
  <si>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</si>
  <si>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</si>
  <si>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</si>
  <si>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</si>
  <si>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</si>
  <si>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</si>
  <si>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</si>
  <si>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</si>
  <si>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</si>
  <si>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</si>
  <si>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</si>
  <si>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</si>
  <si>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</si>
  <si>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</si>
  <si>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</si>
  <si>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</si>
  <si>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</si>
  <si>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</si>
  <si>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</si>
  <si>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</si>
  <si>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</si>
  <si>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</si>
  <si>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</si>
  <si>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</si>
  <si>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</si>
  <si>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</si>
  <si>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</si>
  <si>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</si>
  <si>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</si>
  <si>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</si>
  <si>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</si>
  <si>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</si>
  <si>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</si>
  <si>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</si>
  <si>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</si>
  <si>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</si>
  <si>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</si>
  <si>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</si>
  <si>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</si>
  <si>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</si>
  <si>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</si>
  <si>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</si>
  <si>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</si>
  <si>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</si>
  <si>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</si>
  <si>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</si>
  <si>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</si>
  <si>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</si>
  <si>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</si>
  <si>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</si>
  <si>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</si>
  <si>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</si>
  <si>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</si>
  <si>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</si>
  <si>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</si>
  <si>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</si>
  <si>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</si>
  <si>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</si>
  <si>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</si>
  <si>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</si>
  <si>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</si>
  <si>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</si>
  <si>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</si>
  <si>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</si>
  <si>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</si>
  <si>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</si>
  <si>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</si>
  <si>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</si>
  <si>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</si>
  <si>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</si>
  <si>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</si>
  <si>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</si>
  <si>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</si>
  <si>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</si>
  <si>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</si>
  <si>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</si>
  <si>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</si>
  <si>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</si>
  <si>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</si>
  <si>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</si>
  <si>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</si>
  <si>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</si>
  <si>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</si>
  <si>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</si>
  <si>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</si>
  <si>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</si>
  <si>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</si>
  <si>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</si>
  <si>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</si>
  <si>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</si>
  <si>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</si>
  <si>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</si>
  <si>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</si>
  <si>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</si>
  <si>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</si>
  <si>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</si>
  <si>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</si>
  <si>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</si>
  <si>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</si>
  <si>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</si>
  <si>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</si>
  <si>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</si>
  <si>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</si>
  <si>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</si>
  <si>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</si>
  <si>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</si>
  <si>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</si>
  <si>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</si>
  <si>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</si>
  <si>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</si>
  <si>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</si>
  <si>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</si>
  <si>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</si>
  <si>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</si>
  <si>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</si>
  <si>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</si>
  <si>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</si>
  <si>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</si>
  <si>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</si>
  <si>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</si>
  <si>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</si>
  <si>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</si>
  <si>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</si>
  <si>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</si>
  <si>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</si>
  <si>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</si>
  <si>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</si>
  <si>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</si>
  <si>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</si>
  <si>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</si>
  <si>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</si>
  <si>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</si>
  <si>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</si>
  <si>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</si>
  <si>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</si>
  <si>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</si>
  <si>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</si>
  <si>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</si>
  <si>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</si>
  <si>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</si>
  <si>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</si>
  <si>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</si>
  <si>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</si>
  <si>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</si>
  <si>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</si>
  <si>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</si>
  <si>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</si>
  <si>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</si>
  <si>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</si>
  <si>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</si>
  <si>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</si>
  <si>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</si>
  <si>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</si>
  <si>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</si>
  <si>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</si>
  <si>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</si>
  <si>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</si>
  <si>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</si>
  <si>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</si>
  <si>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</si>
  <si>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</si>
  <si>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</si>
  <si>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</si>
  <si>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</si>
  <si>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</si>
  <si>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</si>
  <si>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</si>
  <si>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</si>
  <si>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</si>
  <si>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</si>
  <si>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</si>
  <si>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</si>
  <si>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</si>
  <si>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</si>
  <si>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</si>
  <si>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</si>
  <si>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</si>
  <si>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</si>
  <si>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</si>
  <si>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</si>
  <si>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</si>
  <si>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</si>
  <si>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</si>
  <si>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</si>
  <si>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</si>
  <si>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</si>
  <si>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</si>
  <si>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</si>
  <si>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</si>
  <si>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</si>
  <si>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</si>
  <si>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</si>
  <si>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</si>
  <si>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</si>
  <si>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</si>
  <si>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</si>
  <si>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</si>
  <si>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</si>
  <si>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</si>
  <si>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</si>
  <si>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</si>
  <si>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</si>
  <si>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</si>
  <si>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</si>
  <si>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</si>
  <si>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</si>
  <si>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</si>
  <si>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</si>
  <si>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</si>
  <si>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</si>
  <si>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</si>
  <si>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</si>
  <si>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</si>
  <si>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</si>
  <si>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</si>
  <si>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</si>
  <si>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</si>
  <si>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</si>
  <si>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</si>
  <si>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</si>
  <si>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</si>
  <si>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</si>
  <si>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</si>
  <si>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</si>
  <si>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</si>
  <si>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</si>
  <si>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</si>
  <si>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</si>
  <si>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</si>
  <si>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</si>
  <si>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</si>
  <si>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</si>
  <si>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</si>
  <si>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</si>
  <si>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</si>
  <si>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</si>
  <si>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</si>
  <si>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</si>
  <si>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</si>
  <si>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</si>
  <si>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</si>
  <si>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</si>
  <si>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</si>
  <si>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</si>
  <si>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</si>
  <si>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</si>
  <si>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</si>
  <si>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</si>
  <si>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</si>
  <si>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</si>
  <si>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</si>
  <si>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</si>
  <si>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</si>
  <si>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</si>
  <si>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</si>
  <si>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</si>
  <si>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</si>
  <si>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</si>
  <si>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</si>
  <si>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</si>
  <si>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</si>
  <si>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</si>
  <si>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</si>
  <si>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</si>
  <si>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</si>
  <si>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</si>
  <si>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</si>
  <si>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</si>
  <si>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</si>
  <si>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</si>
  <si>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</si>
  <si>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</si>
  <si>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</si>
  <si>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</si>
  <si>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</si>
  <si>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</si>
  <si>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</si>
  <si>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</si>
  <si>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</si>
  <si>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</si>
  <si>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</si>
  <si>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</si>
  <si>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</si>
  <si>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</si>
  <si>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</si>
  <si>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</si>
  <si>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</si>
  <si>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</si>
  <si>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</si>
  <si>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</si>
  <si>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</si>
  <si>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</si>
  <si>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</si>
  <si>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</si>
  <si>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</si>
  <si>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</si>
  <si>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</si>
  <si>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</si>
  <si>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</si>
  <si>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</si>
  <si>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</si>
  <si>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</si>
  <si>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</si>
  <si>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</si>
  <si>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</si>
  <si>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</si>
  <si>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</si>
  <si>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</si>
  <si>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</si>
  <si>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</si>
  <si>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</si>
  <si>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</si>
  <si>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</si>
  <si>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</si>
  <si>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</si>
  <si>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</si>
  <si>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</si>
  <si>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</si>
  <si>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</si>
  <si>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</si>
  <si>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</si>
  <si>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</si>
  <si>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</si>
  <si>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</si>
  <si>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</si>
  <si>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</si>
  <si>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</si>
  <si>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</si>
  <si>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</si>
  <si>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</si>
  <si>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</si>
  <si>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</si>
  <si>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</si>
  <si>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</si>
  <si>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</si>
  <si>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</si>
  <si>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</si>
  <si>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</si>
  <si>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</si>
  <si>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</si>
  <si>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</si>
  <si>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</si>
  <si>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</si>
  <si>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</si>
  <si>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</si>
  <si>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</si>
  <si>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</si>
  <si>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</si>
  <si>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</si>
  <si>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</si>
  <si>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</si>
  <si>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</si>
  <si>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</si>
  <si>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</si>
  <si>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</si>
  <si>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</si>
  <si>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</si>
  <si>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</si>
  <si>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</si>
  <si>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</si>
  <si>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</si>
  <si>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</si>
  <si>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</si>
  <si>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</si>
  <si>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</si>
  <si>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</si>
  <si>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</si>
  <si>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</si>
  <si>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</si>
  <si>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</si>
  <si>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</si>
  <si>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</si>
  <si>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</si>
  <si>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</si>
  <si>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</si>
  <si>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</si>
  <si>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</si>
  <si>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</si>
  <si>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</si>
  <si>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</si>
  <si>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</si>
  <si>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</si>
  <si>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</si>
  <si>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</si>
  <si>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</si>
  <si>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</si>
  <si>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</si>
  <si>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</si>
  <si>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</si>
  <si>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</si>
  <si>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</si>
  <si>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</si>
  <si>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</si>
  <si>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</si>
  <si>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</si>
  <si>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</si>
  <si>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</si>
  <si>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</si>
  <si>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</si>
  <si>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</si>
  <si>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</si>
  <si>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</si>
  <si>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</si>
  <si>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</si>
  <si>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</si>
  <si>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</si>
  <si>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</si>
  <si>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</si>
  <si>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</si>
  <si>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</si>
  <si>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</si>
  <si>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</si>
  <si>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</si>
  <si>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</si>
  <si>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</si>
  <si>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</si>
  <si>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</si>
  <si>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</si>
  <si>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</si>
  <si>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</si>
  <si>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</si>
  <si>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</si>
  <si>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</si>
  <si>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</si>
  <si>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</si>
  <si>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</si>
  <si>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</si>
  <si>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</si>
  <si>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</si>
  <si>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</si>
  <si>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</si>
  <si>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</si>
  <si>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</si>
  <si>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</si>
  <si>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</si>
  <si>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</si>
  <si>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</si>
  <si>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</si>
  <si>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</si>
  <si>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</si>
  <si>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</si>
  <si>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</si>
  <si>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</si>
  <si>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</si>
  <si>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</si>
  <si>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</si>
  <si>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</si>
  <si>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</si>
  <si>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</si>
  <si>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</si>
  <si>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</si>
  <si>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</si>
  <si>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</si>
  <si>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</si>
  <si>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</si>
  <si>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</si>
  <si>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</si>
  <si>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</si>
  <si>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</si>
  <si>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</si>
  <si>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</si>
  <si>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</si>
  <si>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</si>
  <si>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</si>
  <si>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</si>
  <si>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</si>
  <si>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</si>
  <si>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</si>
  <si>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</si>
  <si>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</si>
  <si>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</si>
  <si>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</si>
  <si>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</si>
  <si>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</si>
  <si>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</si>
  <si>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</si>
  <si>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</si>
  <si>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</si>
  <si>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</si>
  <si>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</si>
  <si>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</si>
  <si>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</si>
  <si>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</si>
  <si>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</si>
  <si>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</si>
  <si>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</si>
  <si>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</si>
  <si>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</si>
  <si>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</si>
  <si>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</si>
  <si>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</si>
  <si>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</si>
  <si>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</si>
  <si>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</si>
  <si>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</si>
  <si>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</si>
  <si>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</si>
  <si>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</si>
  <si>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</si>
  <si>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</si>
  <si>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</si>
  <si>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</si>
  <si>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</si>
  <si>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</si>
  <si>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</si>
  <si>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</si>
  <si>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</si>
  <si>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</si>
  <si>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</si>
  <si>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</si>
  <si>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</si>
  <si>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</si>
  <si>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</si>
  <si>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</si>
  <si>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</si>
  <si>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</si>
  <si>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</si>
  <si>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</si>
  <si>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</si>
  <si>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</si>
  <si>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</si>
  <si>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</si>
  <si>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</si>
  <si>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</si>
  <si>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</si>
  <si>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</si>
  <si>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</si>
  <si>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</si>
  <si>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</si>
  <si>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</si>
  <si>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</si>
  <si>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</si>
  <si>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</si>
  <si>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</si>
  <si>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</si>
  <si>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</si>
  <si>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</si>
  <si>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</si>
  <si>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</si>
  <si>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</si>
  <si>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</si>
  <si>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</si>
  <si>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</si>
  <si>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</si>
  <si>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</si>
  <si>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</si>
  <si>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</si>
  <si>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</si>
  <si>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</si>
  <si>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</si>
  <si>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</si>
  <si>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</si>
  <si>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</si>
  <si>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</si>
  <si>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</si>
  <si>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</si>
  <si>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</si>
  <si>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</si>
  <si>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</si>
  <si>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</si>
  <si>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</si>
  <si>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</si>
  <si>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</si>
  <si>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</si>
  <si>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</si>
  <si>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</si>
  <si>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</si>
  <si>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</si>
  <si>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</si>
  <si>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</si>
  <si>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</si>
  <si>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</si>
  <si>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</si>
  <si>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</si>
  <si>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</si>
  <si>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</si>
  <si>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</si>
  <si>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</si>
  <si>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</si>
  <si>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</si>
  <si>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</si>
  <si>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</si>
  <si>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</si>
  <si>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</si>
  <si>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</si>
  <si>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</si>
  <si>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</si>
  <si>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</si>
  <si>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</si>
  <si>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</si>
  <si>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</si>
  <si>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</si>
  <si>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</si>
  <si>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</si>
  <si>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</si>
  <si>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</si>
  <si>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</si>
  <si>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</si>
  <si>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</si>
  <si>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</si>
  <si>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</si>
  <si>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</si>
  <si>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</si>
  <si>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</si>
  <si>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</si>
  <si>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</si>
  <si>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</si>
  <si>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</si>
  <si>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</si>
  <si>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</si>
  <si>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</si>
  <si>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</si>
  <si>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</si>
  <si>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</si>
  <si>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</si>
  <si>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</si>
  <si>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</si>
  <si>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</si>
  <si>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</si>
  <si>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</si>
  <si>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</si>
  <si>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</si>
  <si>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</si>
  <si>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</si>
  <si>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</si>
  <si>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</si>
  <si>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</si>
  <si>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</si>
  <si>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</si>
  <si>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</si>
  <si>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</si>
  <si>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</si>
  <si>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</si>
  <si>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</si>
  <si>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</si>
  <si>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</si>
  <si>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</si>
  <si>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</si>
  <si>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</si>
  <si>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</si>
  <si>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</si>
  <si>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</si>
  <si>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</si>
  <si>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</si>
  <si>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</si>
  <si>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</si>
  <si>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</si>
  <si>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</si>
  <si>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</si>
  <si>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</si>
  <si>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</si>
  <si>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</si>
  <si>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</si>
  <si>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</si>
  <si>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</si>
  <si>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</si>
  <si>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</si>
  <si>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</si>
  <si>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</si>
  <si>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</si>
  <si>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</si>
  <si>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</si>
  <si>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</si>
  <si>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</si>
  <si>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</si>
  <si>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</si>
  <si>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</si>
  <si>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</si>
  <si>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</si>
  <si>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</si>
  <si>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</si>
  <si>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</si>
  <si>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</si>
  <si>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</si>
  <si>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</si>
  <si>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</si>
  <si>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</si>
  <si>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</si>
  <si>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</si>
  <si>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</si>
  <si>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</si>
  <si>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</si>
  <si>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</si>
  <si>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</si>
  <si>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</si>
  <si>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</si>
  <si>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</si>
  <si>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</si>
  <si>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</si>
  <si>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</si>
  <si>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</si>
  <si>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</si>
  <si>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</si>
  <si>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</si>
  <si>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</si>
  <si>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</si>
  <si>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</si>
  <si>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</si>
  <si>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</si>
  <si>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</si>
  <si>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</si>
  <si>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</si>
  <si>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</si>
  <si>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</si>
  <si>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</si>
  <si>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</si>
  <si>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</si>
  <si>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</si>
  <si>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</si>
  <si>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</si>
  <si>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</si>
  <si>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</si>
  <si>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</si>
  <si>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</si>
  <si>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</si>
  <si>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</si>
  <si>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</si>
  <si>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</si>
  <si>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</si>
  <si>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</si>
  <si>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</si>
  <si>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</si>
  <si>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</si>
  <si>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</si>
  <si>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</si>
  <si>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</si>
  <si>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</si>
  <si>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</si>
  <si>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</si>
  <si>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</si>
  <si>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</si>
  <si>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</si>
  <si>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</si>
  <si>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</si>
  <si>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</si>
  <si>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</si>
  <si>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</si>
  <si>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</si>
  <si>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</si>
  <si>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</si>
  <si>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</si>
  <si>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</si>
  <si>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</si>
  <si>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</si>
  <si>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</si>
  <si>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</si>
  <si>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</si>
  <si>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</si>
  <si>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</si>
  <si>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</si>
  <si>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</si>
  <si>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</si>
  <si>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</si>
  <si>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</si>
  <si>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</si>
  <si>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</si>
  <si>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</si>
  <si>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</si>
  <si>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</si>
  <si>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</si>
  <si>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</si>
  <si>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</si>
  <si>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</si>
  <si>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</si>
  <si>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</si>
  <si>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</si>
  <si>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</si>
  <si>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</si>
  <si>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</si>
  <si>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</si>
  <si>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</si>
  <si>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</si>
  <si>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</si>
  <si>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</si>
  <si>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</si>
  <si>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</si>
  <si>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</si>
  <si>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</si>
  <si>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</si>
  <si>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</si>
  <si>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</si>
  <si>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</si>
  <si>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</si>
  <si>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</si>
  <si>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</si>
  <si>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</si>
  <si>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</si>
  <si>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</si>
  <si>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</si>
  <si>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</si>
  <si>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</si>
  <si>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</si>
  <si>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</si>
  <si>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</si>
  <si>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</si>
  <si>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</si>
  <si>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</si>
  <si>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</si>
  <si>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</si>
  <si>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</si>
  <si>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</si>
  <si>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</si>
  <si>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</si>
  <si>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</si>
  <si>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</si>
  <si>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</si>
  <si>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</si>
  <si>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</si>
  <si>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</si>
  <si>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</si>
  <si>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</si>
  <si>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</si>
  <si>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</si>
  <si>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</si>
  <si>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</si>
  <si>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</si>
  <si>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</si>
  <si>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</si>
  <si>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</si>
  <si>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</si>
  <si>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</si>
  <si>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</si>
  <si>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</si>
  <si>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</si>
  <si>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</si>
  <si>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</si>
  <si>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</si>
  <si>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</si>
  <si>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</si>
  <si>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</si>
  <si>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</si>
  <si>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</si>
  <si>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</si>
  <si>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</si>
  <si>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</si>
  <si>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</si>
  <si>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</si>
  <si>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</si>
  <si>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</si>
  <si>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</si>
  <si>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</si>
  <si>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</si>
  <si>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</si>
  <si>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</si>
  <si>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</si>
  <si>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</si>
  <si>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</si>
  <si>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</si>
  <si>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</si>
  <si>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</si>
  <si>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</si>
  <si>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</si>
  <si>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</si>
  <si>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</si>
  <si>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</si>
  <si>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</si>
  <si>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</si>
  <si>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</si>
  <si>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</si>
  <si>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</si>
  <si>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</si>
  <si>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</si>
  <si>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</si>
  <si>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</si>
  <si>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</si>
  <si>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</si>
  <si>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</si>
  <si>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</si>
  <si>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</si>
  <si>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</si>
  <si>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</si>
  <si>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</si>
  <si>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</si>
  <si>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</si>
  <si>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</si>
  <si>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</si>
  <si>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</si>
  <si>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</si>
  <si>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</si>
  <si>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</si>
  <si>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</si>
  <si>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</si>
  <si>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</si>
  <si>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</si>
  <si>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</si>
  <si>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</si>
  <si>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</si>
  <si>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</si>
  <si>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</si>
  <si>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</si>
  <si>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</si>
  <si>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</si>
  <si>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</si>
  <si>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</si>
  <si>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</si>
  <si>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</si>
  <si>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</si>
  <si>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</si>
  <si>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</si>
  <si>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</si>
  <si>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</si>
  <si>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</si>
  <si>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</si>
  <si>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</si>
  <si>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</si>
  <si>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</si>
  <si>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</si>
  <si>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</si>
  <si>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</si>
  <si>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</si>
  <si>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</si>
  <si>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</si>
  <si>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</si>
  <si>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</si>
  <si>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</si>
  <si>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</si>
  <si>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</si>
  <si>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</si>
  <si>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</si>
  <si>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</si>
  <si>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</si>
  <si>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</si>
  <si>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</si>
  <si>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</si>
  <si>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</si>
  <si>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</si>
  <si>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</si>
  <si>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</si>
  <si>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</si>
  <si>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</si>
  <si>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</si>
  <si>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</si>
  <si>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</si>
  <si>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</si>
  <si>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</si>
  <si>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</si>
  <si>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</si>
  <si>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</si>
  <si>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</si>
  <si>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</si>
  <si>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</si>
  <si>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</si>
  <si>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</si>
  <si>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</si>
  <si>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</si>
  <si>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</si>
  <si>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</si>
  <si>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</si>
  <si>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</si>
  <si>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</si>
  <si>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</si>
  <si>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</si>
  <si>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</si>
  <si>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</si>
  <si>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</si>
  <si>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</si>
  <si>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</si>
  <si>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</si>
  <si>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</si>
  <si>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</si>
  <si>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</si>
  <si>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</si>
  <si>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</si>
  <si>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</si>
  <si>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</si>
  <si>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</si>
  <si>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</si>
  <si>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</si>
  <si>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</si>
  <si>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</si>
  <si>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</si>
  <si>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</si>
  <si>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</si>
  <si>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</si>
  <si>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</si>
  <si>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</si>
  <si>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</si>
  <si>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</si>
  <si>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</si>
  <si>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</si>
  <si>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</si>
  <si>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</si>
  <si>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</si>
  <si>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</si>
  <si>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</si>
  <si>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</si>
  <si>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</si>
  <si>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</si>
  <si>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</si>
  <si>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</si>
  <si>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</si>
  <si>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</si>
  <si>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</si>
  <si>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</si>
  <si>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</si>
  <si>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</si>
  <si>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</si>
  <si>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</si>
  <si>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</si>
  <si>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</si>
  <si>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</si>
  <si>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</si>
  <si>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</si>
  <si>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</si>
  <si>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</si>
  <si>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</si>
  <si>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</si>
  <si>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</si>
  <si>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</si>
  <si>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</si>
  <si>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</si>
  <si>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</si>
  <si>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</si>
  <si>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</si>
  <si>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</si>
  <si>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</si>
  <si>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</si>
  <si>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</si>
  <si>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</si>
  <si>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</si>
  <si>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</si>
  <si>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</si>
  <si>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</si>
  <si>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</si>
  <si>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</si>
  <si>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</si>
  <si>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</si>
  <si>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</si>
  <si>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</si>
  <si>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</si>
  <si>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</si>
  <si>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</si>
  <si>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</si>
  <si>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</si>
  <si>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</si>
  <si>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</si>
  <si>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</si>
  <si>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</si>
  <si>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</si>
  <si>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</si>
  <si>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</si>
  <si>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</si>
  <si>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</si>
  <si>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</si>
  <si>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</si>
  <si>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</si>
  <si>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</si>
  <si>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</si>
  <si>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</si>
  <si>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</si>
  <si>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</si>
  <si>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</si>
  <si>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</si>
  <si>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</si>
  <si>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</si>
  <si>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</si>
  <si>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</si>
  <si>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</si>
  <si>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</si>
  <si>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</si>
  <si>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</si>
  <si>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</si>
  <si>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</si>
  <si>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</si>
  <si>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</si>
  <si>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</si>
  <si>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</si>
  <si>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</si>
  <si>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</si>
  <si>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</si>
  <si>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</si>
  <si>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</si>
  <si>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</si>
  <si>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</si>
  <si>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</si>
  <si>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</si>
  <si>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</si>
  <si>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</si>
  <si>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</si>
  <si>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</si>
  <si>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</si>
  <si>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</si>
  <si>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</si>
  <si>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</si>
  <si>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</si>
  <si>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</si>
  <si>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</si>
  <si>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</si>
  <si>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</si>
  <si>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</si>
  <si>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</si>
  <si>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</si>
  <si>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</si>
  <si>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</si>
  <si>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</si>
  <si>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2013 ACM, p. 7, table 2-2</t>
  </si>
  <si>
    <t>Conversion from Btu/h ft2 F to W/m2K:</t>
  </si>
  <si>
    <t>multiply by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</si>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</sst>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4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1" fontId="2" fillId="2" borderId="0" xfId="1" applyNumberFormat="1" applyAlignment="1"/>
    <xf numFmtId="2" fontId="2" fillId="2" borderId="0" xfId="1" applyNumberFormat="1"/>
    <xf numFmtId="0" fontId="28" fillId="0" borderId="0" xfId="49" applyAlignment="1" applyProtection="1"/>
    <xf numFmtId="0" fontId="5" fillId="0" borderId="0" xfId="4" applyNumberFormat="1" applyAlignment="1">
      <alignment horizontal="center"/>
    </xf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5" fillId="0" borderId="19" xfId="4" applyBorder="1" applyAlignment="1">
      <alignment horizontal="center"/>
    </xf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0" fontId="27" fillId="37" borderId="13" xfId="4" applyFont="1" applyFill="1" applyBorder="1" applyAlignment="1"/>
    <xf numFmtId="0" fontId="5" fillId="37" borderId="0" xfId="4" applyFill="1" applyAlignment="1"/>
    <xf numFmtId="1" fontId="5" fillId="37" borderId="0" xfId="4" applyNumberFormat="1" applyFill="1" applyAlignment="1">
      <alignment horizontal="right"/>
    </xf>
    <xf numFmtId="1" fontId="5" fillId="37" borderId="0" xfId="4" applyNumberFormat="1" applyFill="1" applyAlignment="1"/>
    <xf numFmtId="1" fontId="2" fillId="37" borderId="0" xfId="1" applyNumberFormat="1" applyFill="1" applyAlignment="1"/>
    <xf numFmtId="0" fontId="5" fillId="37" borderId="0" xfId="4" applyFill="1" applyAlignment="1">
      <alignment horizontal="center"/>
    </xf>
    <xf numFmtId="0" fontId="5" fillId="37" borderId="0" xfId="4" applyFill="1" applyAlignment="1">
      <alignment horizontal="right"/>
    </xf>
    <xf numFmtId="2" fontId="2" fillId="37" borderId="0" xfId="1" applyNumberFormat="1" applyFill="1" applyAlignment="1">
      <alignment horizontal="right"/>
    </xf>
    <xf numFmtId="0" fontId="27" fillId="37" borderId="13" xfId="4" applyFont="1" applyFill="1" applyBorder="1" applyAlignment="1">
      <alignment horizontal="center"/>
    </xf>
    <xf numFmtId="2" fontId="5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5" fillId="37" borderId="0" xfId="4" applyNumberFormat="1" applyFill="1" applyAlignment="1">
      <alignment horizontal="right"/>
    </xf>
    <xf numFmtId="166" fontId="5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5" fillId="37" borderId="0" xfId="4" applyNumberFormat="1" applyFill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2" fontId="2" fillId="2" borderId="0" xfId="1" applyNumberFormat="1" applyAlignment="1">
      <alignment horizontal="right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6" fillId="41" borderId="0" xfId="4" applyFont="1" applyFill="1" applyAlignment="1">
      <alignment horizontal="center"/>
    </xf>
    <xf numFmtId="0" fontId="26" fillId="41" borderId="14" xfId="4" applyFont="1" applyFill="1" applyBorder="1" applyAlignment="1">
      <alignment horizontal="center"/>
    </xf>
    <xf numFmtId="1" fontId="26" fillId="41" borderId="0" xfId="4" applyNumberFormat="1" applyFont="1" applyFill="1" applyAlignme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2" fontId="2" fillId="41" borderId="0" xfId="1" applyNumberFormat="1" applyFill="1" applyAlignment="1"/>
    <xf numFmtId="2" fontId="5" fillId="41" borderId="0" xfId="4" applyNumberFormat="1" applyFont="1" applyFill="1" applyAlignment="1">
      <alignment horizontal="right"/>
    </xf>
    <xf numFmtId="2" fontId="5" fillId="41" borderId="0" xfId="4" applyNumberFormat="1" applyFill="1" applyAlignment="1">
      <alignment horizontal="center"/>
    </xf>
    <xf numFmtId="2" fontId="5" fillId="41" borderId="0" xfId="4" applyNumberFormat="1" applyFill="1" applyAlignment="1">
      <alignment horizontal="right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2" fontId="26" fillId="41" borderId="0" xfId="4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7" fillId="0" borderId="49" xfId="4" applyFont="1" applyBorder="1"/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</cellXfs>
  <cellStyles count="336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topLeftCell="A35" workbookViewId="0">
      <selection activeCell="B47" sqref="B47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09" t="s">
        <v>1106</v>
      </c>
    </row>
    <row r="3" spans="1:2">
      <c r="A3" s="300" t="s">
        <v>1107</v>
      </c>
      <c r="B3" s="167" t="s">
        <v>1338</v>
      </c>
    </row>
    <row r="4" spans="1:2">
      <c r="A4" s="300" t="s">
        <v>1109</v>
      </c>
      <c r="B4" s="411">
        <v>42891</v>
      </c>
    </row>
    <row r="5" spans="1:2" ht="15" thickBot="1"/>
    <row r="6" spans="1:2">
      <c r="A6" s="402" t="s">
        <v>3</v>
      </c>
      <c r="B6" s="412" t="s">
        <v>0</v>
      </c>
    </row>
    <row r="7" spans="1:2">
      <c r="A7" s="391" t="s">
        <v>1177</v>
      </c>
      <c r="B7" s="393" t="s">
        <v>1178</v>
      </c>
    </row>
    <row r="8" spans="1:2" s="259" customFormat="1">
      <c r="A8" s="391" t="s">
        <v>956</v>
      </c>
      <c r="B8" s="393" t="s">
        <v>1122</v>
      </c>
    </row>
    <row r="9" spans="1:2">
      <c r="A9" s="391" t="s">
        <v>1110</v>
      </c>
      <c r="B9" s="393" t="s">
        <v>1123</v>
      </c>
    </row>
    <row r="10" spans="1:2">
      <c r="A10" s="391" t="s">
        <v>1111</v>
      </c>
      <c r="B10" s="393" t="s">
        <v>1124</v>
      </c>
    </row>
    <row r="11" spans="1:2">
      <c r="A11" s="391" t="s">
        <v>14</v>
      </c>
      <c r="B11" s="393" t="s">
        <v>1125</v>
      </c>
    </row>
    <row r="12" spans="1:2">
      <c r="A12" s="391" t="s">
        <v>7</v>
      </c>
      <c r="B12" s="393" t="s">
        <v>1126</v>
      </c>
    </row>
    <row r="13" spans="1:2">
      <c r="A13" s="391" t="s">
        <v>22</v>
      </c>
      <c r="B13" s="393" t="s">
        <v>1127</v>
      </c>
    </row>
    <row r="14" spans="1:2">
      <c r="A14" s="391" t="s">
        <v>45</v>
      </c>
      <c r="B14" s="393" t="s">
        <v>1128</v>
      </c>
    </row>
    <row r="15" spans="1:2">
      <c r="A15" s="391" t="s">
        <v>50</v>
      </c>
      <c r="B15" s="393" t="s">
        <v>1129</v>
      </c>
    </row>
    <row r="16" spans="1:2">
      <c r="A16" s="391" t="s">
        <v>327</v>
      </c>
      <c r="B16" s="393" t="s">
        <v>1130</v>
      </c>
    </row>
    <row r="17" spans="1:4">
      <c r="A17" s="391" t="s">
        <v>72</v>
      </c>
      <c r="B17" s="393" t="s">
        <v>1131</v>
      </c>
    </row>
    <row r="18" spans="1:4">
      <c r="A18" s="391" t="s">
        <v>99</v>
      </c>
      <c r="B18" s="393" t="s">
        <v>1132</v>
      </c>
    </row>
    <row r="19" spans="1:4">
      <c r="A19" s="391" t="s">
        <v>1133</v>
      </c>
      <c r="B19" s="393" t="s">
        <v>1134</v>
      </c>
    </row>
    <row r="20" spans="1:4">
      <c r="A20" s="391" t="s">
        <v>1079</v>
      </c>
      <c r="B20" s="393" t="s">
        <v>1135</v>
      </c>
    </row>
    <row r="21" spans="1:4">
      <c r="A21" s="391" t="s">
        <v>1163</v>
      </c>
      <c r="B21" s="393" t="s">
        <v>1136</v>
      </c>
    </row>
    <row r="22" spans="1:4" ht="15" thickBot="1">
      <c r="A22" s="394" t="s">
        <v>1102</v>
      </c>
      <c r="B22" s="397" t="s">
        <v>1137</v>
      </c>
    </row>
    <row r="24" spans="1:4" ht="18">
      <c r="A24" s="323" t="s">
        <v>1112</v>
      </c>
    </row>
    <row r="25" spans="1:4">
      <c r="A25">
        <v>1</v>
      </c>
      <c r="B25" t="s">
        <v>1153</v>
      </c>
    </row>
    <row r="26" spans="1:4">
      <c r="A26">
        <v>2</v>
      </c>
      <c r="B26" t="s">
        <v>1154</v>
      </c>
    </row>
    <row r="27" spans="1:4">
      <c r="A27">
        <v>3</v>
      </c>
      <c r="B27" t="s">
        <v>1155</v>
      </c>
    </row>
    <row r="28" spans="1:4">
      <c r="A28">
        <v>4</v>
      </c>
      <c r="B28" t="s">
        <v>1156</v>
      </c>
    </row>
    <row r="29" spans="1:4" ht="18">
      <c r="A29" s="323" t="s">
        <v>1113</v>
      </c>
    </row>
    <row r="30" spans="1:4">
      <c r="A30" s="413" t="s">
        <v>1107</v>
      </c>
      <c r="B30" s="413" t="s">
        <v>0</v>
      </c>
      <c r="C30" s="413" t="s">
        <v>1109</v>
      </c>
      <c r="D30" s="413" t="s">
        <v>1114</v>
      </c>
    </row>
    <row r="31" spans="1:4">
      <c r="A31" t="s">
        <v>1108</v>
      </c>
      <c r="B31" t="s">
        <v>1157</v>
      </c>
      <c r="C31" s="410">
        <v>42465</v>
      </c>
      <c r="D31" t="s">
        <v>1115</v>
      </c>
    </row>
    <row r="32" spans="1:4">
      <c r="A32" t="s">
        <v>1176</v>
      </c>
      <c r="B32" s="384" t="s">
        <v>1185</v>
      </c>
      <c r="C32" s="462">
        <v>42585</v>
      </c>
      <c r="D32" t="s">
        <v>1179</v>
      </c>
    </row>
    <row r="33" spans="1:4">
      <c r="A33" s="259" t="s">
        <v>1186</v>
      </c>
      <c r="B33" s="384" t="s">
        <v>1187</v>
      </c>
      <c r="C33" s="462">
        <v>42605</v>
      </c>
      <c r="D33" t="s">
        <v>1115</v>
      </c>
    </row>
    <row r="34" spans="1:4" ht="28">
      <c r="B34" s="384" t="s">
        <v>1188</v>
      </c>
      <c r="C34" s="462">
        <v>42710</v>
      </c>
      <c r="D34" t="s">
        <v>1179</v>
      </c>
    </row>
    <row r="35" spans="1:4" ht="28">
      <c r="B35" s="384" t="s">
        <v>1210</v>
      </c>
      <c r="C35" s="462">
        <v>42710</v>
      </c>
      <c r="D35" t="s">
        <v>1179</v>
      </c>
    </row>
    <row r="36" spans="1:4" ht="28">
      <c r="B36" s="384" t="s">
        <v>1215</v>
      </c>
      <c r="C36" s="462">
        <v>42711</v>
      </c>
      <c r="D36" t="s">
        <v>1179</v>
      </c>
    </row>
    <row r="37" spans="1:4" ht="28">
      <c r="A37" t="s">
        <v>1218</v>
      </c>
      <c r="B37" s="384" t="s">
        <v>1217</v>
      </c>
      <c r="C37" s="462">
        <v>42717</v>
      </c>
      <c r="D37" t="s">
        <v>1179</v>
      </c>
    </row>
    <row r="38" spans="1:4">
      <c r="B38" s="384" t="s">
        <v>1226</v>
      </c>
      <c r="C38" s="462">
        <v>42723</v>
      </c>
      <c r="D38" t="s">
        <v>1179</v>
      </c>
    </row>
    <row r="39" spans="1:4" ht="28">
      <c r="B39" s="384" t="s">
        <v>1227</v>
      </c>
      <c r="C39" s="462">
        <v>42723</v>
      </c>
      <c r="D39" t="s">
        <v>1179</v>
      </c>
    </row>
    <row r="40" spans="1:4" ht="28">
      <c r="B40" s="384" t="s">
        <v>1232</v>
      </c>
      <c r="C40" s="462">
        <v>42723</v>
      </c>
      <c r="D40" t="s">
        <v>1179</v>
      </c>
    </row>
    <row r="41" spans="1:4" ht="28">
      <c r="B41" s="384" t="s">
        <v>1234</v>
      </c>
      <c r="C41" s="462">
        <v>42723</v>
      </c>
      <c r="D41" s="259" t="s">
        <v>1179</v>
      </c>
    </row>
    <row r="42" spans="1:4" ht="28">
      <c r="B42" s="384" t="s">
        <v>1235</v>
      </c>
      <c r="C42" s="462">
        <v>42723</v>
      </c>
      <c r="D42" s="259" t="s">
        <v>1179</v>
      </c>
    </row>
    <row r="43" spans="1:4">
      <c r="B43" s="384" t="s">
        <v>1238</v>
      </c>
    </row>
    <row r="44" spans="1:4">
      <c r="B44" s="384" t="s">
        <v>1239</v>
      </c>
      <c r="C44" s="462">
        <v>42739</v>
      </c>
      <c r="D44" t="s">
        <v>1179</v>
      </c>
    </row>
    <row r="45" spans="1:4">
      <c r="B45" s="384" t="s">
        <v>1300</v>
      </c>
      <c r="C45" s="462">
        <v>42753</v>
      </c>
      <c r="D45" t="s">
        <v>1179</v>
      </c>
    </row>
    <row r="46" spans="1:4" ht="42">
      <c r="A46" t="s">
        <v>1338</v>
      </c>
      <c r="B46" s="384" t="s">
        <v>1355</v>
      </c>
      <c r="C46" s="462">
        <v>42891</v>
      </c>
      <c r="D46" t="s">
        <v>1115</v>
      </c>
    </row>
    <row r="47" spans="1:4">
      <c r="B47" s="384" t="s">
        <v>1356</v>
      </c>
      <c r="C47" s="462">
        <v>43122</v>
      </c>
      <c r="D47" t="s">
        <v>1179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33" sqref="H33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23" t="s">
        <v>956</v>
      </c>
      <c r="B1" s="259"/>
      <c r="C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15">
      <c r="A2" s="324" t="s">
        <v>811</v>
      </c>
      <c r="B2" s="320"/>
      <c r="C2" s="321" t="s">
        <v>817</v>
      </c>
      <c r="E2" s="324" t="s">
        <v>1219</v>
      </c>
      <c r="F2" s="320"/>
      <c r="G2" s="321">
        <v>1</v>
      </c>
      <c r="I2" s="300" t="s">
        <v>955</v>
      </c>
      <c r="J2" s="259"/>
      <c r="K2" s="329" t="s">
        <v>1354</v>
      </c>
      <c r="M2" s="259"/>
    </row>
    <row r="3" spans="1:17" ht="15" thickBot="1">
      <c r="A3" s="314" t="s">
        <v>812</v>
      </c>
      <c r="B3" s="327"/>
      <c r="C3" s="315" t="str">
        <f>IF(B3&lt;&gt;"",A3,"")</f>
        <v/>
      </c>
      <c r="E3" s="314">
        <v>0</v>
      </c>
      <c r="F3" s="327"/>
      <c r="G3" s="315" t="str">
        <f t="shared" ref="G3:G23" si="0">IF(F3&lt;&gt;"",E3,"")</f>
        <v/>
      </c>
      <c r="H3" t="s">
        <v>1221</v>
      </c>
      <c r="J3" s="259"/>
      <c r="M3" s="259"/>
    </row>
    <row r="4" spans="1:17" ht="15" thickBot="1">
      <c r="A4" s="314" t="s">
        <v>817</v>
      </c>
      <c r="B4" s="327" t="s">
        <v>957</v>
      </c>
      <c r="C4" s="315" t="str">
        <f>IF(B4&lt;&gt;"",A4,"")</f>
        <v>Med</v>
      </c>
      <c r="E4" s="314">
        <v>1</v>
      </c>
      <c r="F4" s="327" t="s">
        <v>957</v>
      </c>
      <c r="G4" s="315">
        <f t="shared" si="0"/>
        <v>1</v>
      </c>
      <c r="H4" t="s">
        <v>1222</v>
      </c>
      <c r="I4" s="331" t="s">
        <v>958</v>
      </c>
      <c r="J4" s="325"/>
      <c r="K4" s="326" t="s">
        <v>1354</v>
      </c>
      <c r="M4" s="259"/>
      <c r="N4" s="259"/>
    </row>
    <row r="5" spans="1:17" ht="15" thickBot="1">
      <c r="A5" s="316" t="s">
        <v>813</v>
      </c>
      <c r="B5" s="328"/>
      <c r="C5" s="317" t="str">
        <f>IF(B5&lt;&gt;"",A5,"")</f>
        <v/>
      </c>
      <c r="E5" s="314">
        <v>2</v>
      </c>
      <c r="F5" s="327"/>
      <c r="G5" s="315" t="str">
        <f t="shared" si="0"/>
        <v/>
      </c>
      <c r="H5" t="s">
        <v>1223</v>
      </c>
      <c r="M5" s="259"/>
      <c r="N5" s="259"/>
    </row>
    <row r="6" spans="1:17" ht="15" thickBot="1">
      <c r="E6" s="318">
        <v>3</v>
      </c>
      <c r="F6" s="327"/>
      <c r="G6" s="315" t="str">
        <f t="shared" si="0"/>
        <v/>
      </c>
      <c r="H6" t="s">
        <v>1224</v>
      </c>
      <c r="I6" s="402" t="s">
        <v>959</v>
      </c>
      <c r="J6" s="403"/>
      <c r="K6" s="403"/>
      <c r="L6" s="404" t="s">
        <v>954</v>
      </c>
      <c r="M6" s="259"/>
      <c r="N6" s="5"/>
    </row>
    <row r="7" spans="1:17" ht="15">
      <c r="A7" s="324" t="s">
        <v>816</v>
      </c>
      <c r="B7" s="320"/>
      <c r="C7" s="321" t="s">
        <v>817</v>
      </c>
      <c r="E7" s="318">
        <v>4</v>
      </c>
      <c r="F7" s="327"/>
      <c r="G7" s="315" t="str">
        <f t="shared" si="0"/>
        <v/>
      </c>
      <c r="H7" t="s">
        <v>1225</v>
      </c>
      <c r="I7" s="332">
        <f>InputFiles!C1</f>
        <v>1</v>
      </c>
      <c r="J7" s="327" t="s">
        <v>957</v>
      </c>
      <c r="K7" s="19">
        <f t="shared" ref="K7:K23" si="1">IF(J7&lt;&gt;"",I7,"")</f>
        <v>1</v>
      </c>
      <c r="L7" s="405" t="str">
        <f t="shared" ref="L7:L23" si="2">IF(J7&lt;&gt;"",BaseName &amp; IF(ISNUMBER(I7),I7,LEFT(I7,1)) &amp; "_" &amp; HumControl,"")</f>
        <v>attic1_1</v>
      </c>
      <c r="M7" s="127"/>
      <c r="N7" s="5"/>
    </row>
    <row r="8" spans="1:17">
      <c r="A8" s="314" t="s">
        <v>818</v>
      </c>
      <c r="B8" s="327"/>
      <c r="C8" s="315" t="str">
        <f>IF(B8&lt;&gt;"",A8,"")</f>
        <v/>
      </c>
      <c r="E8" s="318">
        <v>5</v>
      </c>
      <c r="F8" s="327"/>
      <c r="G8" s="315" t="str">
        <f t="shared" si="0"/>
        <v/>
      </c>
      <c r="I8" s="332">
        <f>InputFiles!D1</f>
        <v>2</v>
      </c>
      <c r="J8" s="327" t="s">
        <v>957</v>
      </c>
      <c r="K8" s="19">
        <f t="shared" si="1"/>
        <v>2</v>
      </c>
      <c r="L8" s="405" t="str">
        <f t="shared" si="2"/>
        <v>attic2_1</v>
      </c>
      <c r="M8" s="127"/>
      <c r="N8" s="5"/>
    </row>
    <row r="9" spans="1:17">
      <c r="A9" s="314" t="s">
        <v>817</v>
      </c>
      <c r="B9" s="327" t="s">
        <v>957</v>
      </c>
      <c r="C9" s="315" t="str">
        <f>IF(B9&lt;&gt;"",A9,"")</f>
        <v>Med</v>
      </c>
      <c r="E9" s="318">
        <v>6</v>
      </c>
      <c r="F9" s="327"/>
      <c r="G9" s="315" t="str">
        <f t="shared" si="0"/>
        <v/>
      </c>
      <c r="I9" s="332">
        <f>InputFiles!E1</f>
        <v>3</v>
      </c>
      <c r="J9" s="327" t="s">
        <v>957</v>
      </c>
      <c r="K9" s="19">
        <f t="shared" si="1"/>
        <v>3</v>
      </c>
      <c r="L9" s="405" t="str">
        <f t="shared" si="2"/>
        <v>attic3_1</v>
      </c>
      <c r="M9" s="127"/>
      <c r="N9" s="5"/>
    </row>
    <row r="10" spans="1:17" ht="15" thickBot="1">
      <c r="A10" s="316" t="s">
        <v>819</v>
      </c>
      <c r="B10" s="328"/>
      <c r="C10" s="317" t="str">
        <f>IF(B10&lt;&gt;"",A10,"")</f>
        <v/>
      </c>
      <c r="E10" s="318">
        <v>7</v>
      </c>
      <c r="F10" s="327"/>
      <c r="G10" s="315" t="str">
        <f t="shared" si="0"/>
        <v/>
      </c>
      <c r="I10" s="332">
        <f>InputFiles!F1</f>
        <v>4</v>
      </c>
      <c r="J10" s="327" t="s">
        <v>957</v>
      </c>
      <c r="K10" s="19">
        <f t="shared" si="1"/>
        <v>4</v>
      </c>
      <c r="L10" s="405" t="str">
        <f t="shared" si="2"/>
        <v>attic4_1</v>
      </c>
      <c r="M10" s="127"/>
      <c r="N10" s="5"/>
    </row>
    <row r="11" spans="1:17" ht="15" thickBot="1">
      <c r="E11" s="318">
        <v>8</v>
      </c>
      <c r="F11" s="327"/>
      <c r="G11" s="315" t="str">
        <f t="shared" si="0"/>
        <v/>
      </c>
      <c r="I11" s="332">
        <f>InputFiles!G1</f>
        <v>5</v>
      </c>
      <c r="J11" s="327" t="s">
        <v>957</v>
      </c>
      <c r="K11" s="19">
        <f t="shared" si="1"/>
        <v>5</v>
      </c>
      <c r="L11" s="405" t="str">
        <f t="shared" si="2"/>
        <v>attic5_1</v>
      </c>
      <c r="M11" s="127"/>
      <c r="N11" s="5"/>
    </row>
    <row r="12" spans="1:17" ht="15">
      <c r="A12" s="324" t="s">
        <v>802</v>
      </c>
      <c r="B12" s="320"/>
      <c r="C12" s="321">
        <v>1</v>
      </c>
      <c r="E12" s="318">
        <v>9</v>
      </c>
      <c r="F12" s="327"/>
      <c r="G12" s="315" t="str">
        <f t="shared" si="0"/>
        <v/>
      </c>
      <c r="I12" s="332">
        <f>InputFiles!H1</f>
        <v>6</v>
      </c>
      <c r="J12" s="327" t="s">
        <v>957</v>
      </c>
      <c r="K12" s="19">
        <f t="shared" si="1"/>
        <v>6</v>
      </c>
      <c r="L12" s="405" t="str">
        <f t="shared" si="2"/>
        <v>attic6_1</v>
      </c>
      <c r="M12" s="127"/>
      <c r="N12" s="5"/>
    </row>
    <row r="13" spans="1:17">
      <c r="A13" s="314">
        <v>1</v>
      </c>
      <c r="B13" s="327" t="s">
        <v>957</v>
      </c>
      <c r="C13" s="315">
        <f>IF(B13&lt;&gt;"",A13,"")</f>
        <v>1</v>
      </c>
      <c r="E13" s="318">
        <v>10</v>
      </c>
      <c r="F13" s="327"/>
      <c r="G13" s="315" t="str">
        <f t="shared" si="0"/>
        <v/>
      </c>
      <c r="I13" s="332">
        <f>InputFiles!I1</f>
        <v>7</v>
      </c>
      <c r="J13" s="327" t="s">
        <v>957</v>
      </c>
      <c r="K13" s="19">
        <f t="shared" si="1"/>
        <v>7</v>
      </c>
      <c r="L13" s="405" t="str">
        <f t="shared" si="2"/>
        <v>attic7_1</v>
      </c>
      <c r="M13" s="127"/>
      <c r="N13" s="5"/>
    </row>
    <row r="14" spans="1:17">
      <c r="A14" s="314">
        <v>2</v>
      </c>
      <c r="B14" s="327"/>
      <c r="C14" s="315" t="str">
        <f>IF(B14&lt;&gt;"",A14,"")</f>
        <v/>
      </c>
      <c r="E14" s="318">
        <v>11</v>
      </c>
      <c r="F14" s="327"/>
      <c r="G14" s="315" t="str">
        <f t="shared" si="0"/>
        <v/>
      </c>
      <c r="I14" s="332">
        <f>InputFiles!J1</f>
        <v>8</v>
      </c>
      <c r="J14" s="327" t="s">
        <v>957</v>
      </c>
      <c r="K14" s="19">
        <f t="shared" si="1"/>
        <v>8</v>
      </c>
      <c r="L14" s="405" t="str">
        <f t="shared" si="2"/>
        <v>attic8_1</v>
      </c>
      <c r="M14" s="127"/>
      <c r="N14" s="5"/>
    </row>
    <row r="15" spans="1:17" ht="15" thickBot="1">
      <c r="A15" s="316"/>
      <c r="B15" s="328"/>
      <c r="C15" s="317"/>
      <c r="E15" s="318">
        <v>12</v>
      </c>
      <c r="F15" s="327"/>
      <c r="G15" s="315" t="str">
        <f t="shared" si="0"/>
        <v/>
      </c>
      <c r="I15" s="332">
        <f>InputFiles!K1</f>
        <v>9</v>
      </c>
      <c r="J15" s="327" t="s">
        <v>957</v>
      </c>
      <c r="K15" s="19">
        <f t="shared" si="1"/>
        <v>9</v>
      </c>
      <c r="L15" s="405" t="str">
        <f t="shared" si="2"/>
        <v>attic9_1</v>
      </c>
      <c r="M15" s="127"/>
      <c r="N15" s="5"/>
    </row>
    <row r="16" spans="1:17" ht="15" thickBot="1">
      <c r="E16" s="318">
        <v>13</v>
      </c>
      <c r="F16" s="327"/>
      <c r="G16" s="315" t="str">
        <f t="shared" si="0"/>
        <v/>
      </c>
      <c r="I16" s="332">
        <f>InputFiles!L1</f>
        <v>10</v>
      </c>
      <c r="J16" s="327" t="s">
        <v>957</v>
      </c>
      <c r="K16" s="19">
        <f t="shared" si="1"/>
        <v>10</v>
      </c>
      <c r="L16" s="405" t="str">
        <f t="shared" si="2"/>
        <v>attic10_1</v>
      </c>
      <c r="M16" s="127"/>
      <c r="N16" s="5"/>
    </row>
    <row r="17" spans="1:17" ht="15">
      <c r="A17" s="324" t="s">
        <v>826</v>
      </c>
      <c r="B17" s="320"/>
      <c r="C17" s="321">
        <v>1</v>
      </c>
      <c r="E17" s="318">
        <v>14</v>
      </c>
      <c r="F17" s="327"/>
      <c r="G17" s="315" t="str">
        <f t="shared" si="0"/>
        <v/>
      </c>
      <c r="I17" s="332">
        <f>InputFiles!M1</f>
        <v>11</v>
      </c>
      <c r="J17" s="327" t="s">
        <v>957</v>
      </c>
      <c r="K17" s="19">
        <f t="shared" si="1"/>
        <v>11</v>
      </c>
      <c r="L17" s="405" t="str">
        <f t="shared" si="2"/>
        <v>attic11_1</v>
      </c>
      <c r="M17" s="127"/>
      <c r="N17" s="5"/>
    </row>
    <row r="18" spans="1:17">
      <c r="A18" s="314">
        <v>0</v>
      </c>
      <c r="B18" s="327"/>
      <c r="C18" s="315" t="str">
        <f>IF(B18&lt;&gt;"",A18,"")</f>
        <v/>
      </c>
      <c r="E18" s="318">
        <v>15</v>
      </c>
      <c r="F18" s="327"/>
      <c r="G18" s="315" t="str">
        <f t="shared" si="0"/>
        <v/>
      </c>
      <c r="I18" s="332">
        <f>InputFiles!N1</f>
        <v>12</v>
      </c>
      <c r="J18" s="327" t="s">
        <v>957</v>
      </c>
      <c r="K18" s="19">
        <f t="shared" si="1"/>
        <v>12</v>
      </c>
      <c r="L18" s="405" t="str">
        <f t="shared" si="2"/>
        <v>attic12_1</v>
      </c>
      <c r="M18" s="127"/>
      <c r="N18" s="5"/>
    </row>
    <row r="19" spans="1:17">
      <c r="A19" s="314">
        <v>0.5</v>
      </c>
      <c r="B19" s="327"/>
      <c r="C19" s="315" t="str">
        <f>IF(B19&lt;&gt;"",A19,"")</f>
        <v/>
      </c>
      <c r="E19" s="318">
        <v>16</v>
      </c>
      <c r="F19" s="327"/>
      <c r="G19" s="315" t="str">
        <f t="shared" si="0"/>
        <v/>
      </c>
      <c r="I19" s="332">
        <f>InputFiles!O1</f>
        <v>13</v>
      </c>
      <c r="J19" s="327" t="s">
        <v>957</v>
      </c>
      <c r="K19" s="19">
        <f t="shared" si="1"/>
        <v>13</v>
      </c>
      <c r="L19" s="405" t="str">
        <f t="shared" si="2"/>
        <v>attic13_1</v>
      </c>
      <c r="M19" s="127"/>
      <c r="N19" s="5"/>
    </row>
    <row r="20" spans="1:17" ht="15" thickBot="1">
      <c r="A20" s="316">
        <v>1</v>
      </c>
      <c r="B20" s="328" t="s">
        <v>957</v>
      </c>
      <c r="C20" s="322">
        <f>IF(B20&lt;&gt;"",A20,"")</f>
        <v>1</v>
      </c>
      <c r="E20" s="318">
        <v>17</v>
      </c>
      <c r="F20" s="327"/>
      <c r="G20" s="315" t="str">
        <f t="shared" si="0"/>
        <v/>
      </c>
      <c r="I20" s="332">
        <f>InputFiles!P1</f>
        <v>14</v>
      </c>
      <c r="J20" s="327" t="s">
        <v>957</v>
      </c>
      <c r="K20" s="19">
        <f t="shared" si="1"/>
        <v>14</v>
      </c>
      <c r="L20" s="405" t="str">
        <f t="shared" si="2"/>
        <v>attic14_1</v>
      </c>
      <c r="M20" s="127"/>
      <c r="N20" s="5"/>
    </row>
    <row r="21" spans="1:17" ht="15" thickBot="1">
      <c r="E21" s="318">
        <v>18</v>
      </c>
      <c r="F21" s="327"/>
      <c r="G21" s="315" t="str">
        <f t="shared" si="0"/>
        <v/>
      </c>
      <c r="I21" s="332">
        <f>InputFiles!Q1</f>
        <v>15</v>
      </c>
      <c r="J21" s="327" t="s">
        <v>957</v>
      </c>
      <c r="K21" s="19">
        <f t="shared" si="1"/>
        <v>15</v>
      </c>
      <c r="L21" s="405" t="str">
        <f t="shared" si="2"/>
        <v>attic15_1</v>
      </c>
      <c r="M21" s="127"/>
      <c r="N21" s="5"/>
    </row>
    <row r="22" spans="1:17" ht="15">
      <c r="A22" s="324" t="s">
        <v>939</v>
      </c>
      <c r="B22" s="320"/>
      <c r="C22" s="321" t="s">
        <v>1103</v>
      </c>
      <c r="E22" s="318">
        <v>19</v>
      </c>
      <c r="F22" s="327"/>
      <c r="G22" s="315" t="str">
        <f t="shared" si="0"/>
        <v/>
      </c>
      <c r="I22" s="332" t="str">
        <f>InputFiles!R1</f>
        <v>Orlando</v>
      </c>
      <c r="J22" s="327"/>
      <c r="K22" s="19" t="str">
        <f t="shared" si="1"/>
        <v/>
      </c>
      <c r="L22" s="405" t="str">
        <f t="shared" si="2"/>
        <v/>
      </c>
      <c r="M22" s="127"/>
      <c r="N22" s="5"/>
    </row>
    <row r="23" spans="1:17" ht="15" thickBot="1">
      <c r="A23" s="314" t="s">
        <v>807</v>
      </c>
      <c r="B23" s="327" t="s">
        <v>957</v>
      </c>
      <c r="C23" s="315" t="str">
        <f>IF(B23&lt;&gt;"",A23,"")</f>
        <v>new</v>
      </c>
      <c r="E23" s="319">
        <v>20</v>
      </c>
      <c r="F23" s="328"/>
      <c r="G23" s="317" t="str">
        <f t="shared" si="0"/>
        <v/>
      </c>
      <c r="I23" s="333" t="str">
        <f>InputFiles!S1</f>
        <v>Charleston</v>
      </c>
      <c r="J23" s="328"/>
      <c r="K23" s="406" t="str">
        <f t="shared" si="1"/>
        <v/>
      </c>
      <c r="L23" s="405" t="str">
        <f t="shared" si="2"/>
        <v/>
      </c>
      <c r="M23" s="127"/>
      <c r="N23" s="5"/>
    </row>
    <row r="24" spans="1:17" ht="15" thickBot="1">
      <c r="A24" s="314" t="s">
        <v>808</v>
      </c>
      <c r="B24" s="327"/>
      <c r="C24" s="315" t="str">
        <f>IF(B24&lt;&gt;"",A24,"")</f>
        <v/>
      </c>
      <c r="F24" s="127"/>
      <c r="G24" s="5"/>
      <c r="H24" s="12"/>
      <c r="J24" s="127"/>
      <c r="K24" s="2"/>
      <c r="M24" s="127"/>
      <c r="N24" s="5"/>
      <c r="P24" s="127"/>
      <c r="Q24" s="5"/>
    </row>
    <row r="25" spans="1:17" ht="15" thickBot="1">
      <c r="A25" s="316"/>
      <c r="B25" s="328"/>
      <c r="C25" s="322" t="str">
        <f>IF(B25&lt;&gt;"",A25,"")</f>
        <v/>
      </c>
      <c r="F25" s="259"/>
      <c r="I25" s="331" t="s">
        <v>1080</v>
      </c>
      <c r="J25" s="407"/>
      <c r="K25" s="408">
        <f>COUNTA(B3:B5)*COUNTA(B8:B10)*COUNTA(B13:B14)*COUNTA(B18:B20) * COUNTA(B28:B33)*COUNTA(B36:B38)*COUNTA(F3:F23)*COUNTA(J7:J23)*COUNTA(B46:B49)*COUNTA(B52:B54)</f>
        <v>15</v>
      </c>
      <c r="M25" s="259"/>
      <c r="P25" s="259"/>
    </row>
    <row r="26" spans="1:17" ht="15" thickBot="1">
      <c r="F26" s="259"/>
      <c r="J26" s="259"/>
      <c r="M26" s="259"/>
      <c r="P26" s="259"/>
    </row>
    <row r="27" spans="1:17" ht="15">
      <c r="A27" s="324" t="s">
        <v>960</v>
      </c>
      <c r="B27" s="320"/>
      <c r="C27" s="321">
        <v>3</v>
      </c>
      <c r="F27" s="259"/>
      <c r="M27" s="259"/>
      <c r="P27" s="259"/>
    </row>
    <row r="28" spans="1:17">
      <c r="A28" s="314">
        <v>10</v>
      </c>
      <c r="B28" s="334"/>
      <c r="C28" s="315" t="str">
        <f t="shared" ref="C28:C33" si="3">IF(B28&lt;&gt;"",A28,"")</f>
        <v/>
      </c>
      <c r="F28" s="259"/>
      <c r="J28" s="259"/>
      <c r="M28" s="259"/>
      <c r="P28" s="259"/>
    </row>
    <row r="29" spans="1:17">
      <c r="A29" s="314">
        <v>7</v>
      </c>
      <c r="B29" s="335"/>
      <c r="C29" s="315" t="str">
        <f t="shared" si="3"/>
        <v/>
      </c>
      <c r="F29" s="259"/>
      <c r="J29" s="259"/>
      <c r="M29" s="259"/>
      <c r="P29" s="259"/>
    </row>
    <row r="30" spans="1:17">
      <c r="A30" s="314">
        <v>5</v>
      </c>
      <c r="B30" s="335"/>
      <c r="C30" s="315" t="str">
        <f t="shared" si="3"/>
        <v/>
      </c>
      <c r="F30" s="259"/>
      <c r="J30" s="259"/>
      <c r="M30" s="259"/>
      <c r="P30" s="259"/>
    </row>
    <row r="31" spans="1:17">
      <c r="A31" s="314">
        <v>3</v>
      </c>
      <c r="B31" s="335" t="s">
        <v>957</v>
      </c>
      <c r="C31" s="315">
        <f t="shared" si="3"/>
        <v>3</v>
      </c>
      <c r="F31" s="259"/>
      <c r="J31" s="259"/>
      <c r="M31" s="259"/>
      <c r="P31" s="259"/>
    </row>
    <row r="32" spans="1:17">
      <c r="A32" s="314">
        <v>1.5</v>
      </c>
      <c r="B32" s="335"/>
      <c r="C32" s="315" t="str">
        <f t="shared" si="3"/>
        <v/>
      </c>
      <c r="F32" s="259"/>
      <c r="J32" s="259"/>
      <c r="M32" s="259"/>
      <c r="P32" s="259"/>
    </row>
    <row r="33" spans="1:16" ht="15" thickBot="1">
      <c r="A33" s="316">
        <v>0.6</v>
      </c>
      <c r="B33" s="336"/>
      <c r="C33" s="317" t="str">
        <f t="shared" si="3"/>
        <v/>
      </c>
      <c r="F33" s="259"/>
      <c r="J33" s="259"/>
      <c r="M33" s="259"/>
      <c r="P33" s="259"/>
    </row>
    <row r="34" spans="1:16" ht="15" thickBot="1"/>
    <row r="35" spans="1:16" ht="15">
      <c r="A35" s="324" t="s">
        <v>835</v>
      </c>
      <c r="B35" s="320"/>
      <c r="C35" s="321" t="s">
        <v>1233</v>
      </c>
    </row>
    <row r="36" spans="1:16">
      <c r="A36" s="314" t="s">
        <v>833</v>
      </c>
      <c r="B36" s="327"/>
      <c r="C36" s="315" t="str">
        <f>IF(B36&lt;&gt;"",A36,"")</f>
        <v/>
      </c>
    </row>
    <row r="37" spans="1:16">
      <c r="A37" s="314" t="s">
        <v>834</v>
      </c>
      <c r="B37" s="327"/>
      <c r="C37" s="315" t="str">
        <f>IF(B37&lt;&gt;"",A37,"")</f>
        <v/>
      </c>
    </row>
    <row r="38" spans="1:16" ht="15" thickBot="1">
      <c r="A38" s="316" t="s">
        <v>1233</v>
      </c>
      <c r="B38" s="328" t="s">
        <v>957</v>
      </c>
      <c r="C38" s="317" t="str">
        <f>IF(B38&lt;&gt;"",A38,"")</f>
        <v>Simple Exhaust</v>
      </c>
    </row>
    <row r="39" spans="1:16" ht="15" thickBot="1"/>
    <row r="40" spans="1:16" ht="15">
      <c r="A40" s="324" t="s">
        <v>1102</v>
      </c>
      <c r="B40" s="320"/>
      <c r="C40" s="321" t="s">
        <v>1175</v>
      </c>
    </row>
    <row r="41" spans="1:16">
      <c r="A41" s="314" t="s">
        <v>1083</v>
      </c>
      <c r="B41" s="327"/>
      <c r="C41" s="315" t="str">
        <f>IF(B41&lt;&gt;"",A41,"")</f>
        <v/>
      </c>
    </row>
    <row r="42" spans="1:16">
      <c r="A42" s="314" t="s">
        <v>1175</v>
      </c>
      <c r="B42" s="327" t="s">
        <v>957</v>
      </c>
      <c r="C42" s="315" t="str">
        <f>IF(B42&lt;&gt;"",A42,"")</f>
        <v>No</v>
      </c>
    </row>
    <row r="43" spans="1:16" ht="15" thickBot="1">
      <c r="A43" s="316"/>
      <c r="B43" s="328"/>
      <c r="C43" s="317" t="str">
        <f>IF(B43&lt;&gt;"",A43,"")</f>
        <v/>
      </c>
    </row>
    <row r="44" spans="1:16" ht="15" thickBot="1"/>
    <row r="45" spans="1:16" ht="15">
      <c r="A45" s="324" t="s">
        <v>1228</v>
      </c>
      <c r="B45" s="320"/>
      <c r="C45" s="321" t="s">
        <v>895</v>
      </c>
      <c r="D45" t="str">
        <f>IF(occSchedule="occ_full.txt","Full",IF(occSchedule="occ_1stShift.txt","1st",IF(occSchedule="occ_3rdShift.txt","3rd","1stExt")))</f>
        <v>Full</v>
      </c>
    </row>
    <row r="46" spans="1:16">
      <c r="A46" s="314" t="s">
        <v>895</v>
      </c>
      <c r="B46" s="334" t="s">
        <v>957</v>
      </c>
      <c r="C46" s="315" t="str">
        <f>IF(B46&lt;&gt;"",A46,"")</f>
        <v>occ_full.txt</v>
      </c>
    </row>
    <row r="47" spans="1:16">
      <c r="A47" s="314" t="s">
        <v>1229</v>
      </c>
      <c r="B47" s="335"/>
      <c r="C47" s="315" t="str">
        <f t="shared" ref="C47:C48" si="4">IF(B47&lt;&gt;"",A47,"")</f>
        <v/>
      </c>
    </row>
    <row r="48" spans="1:16">
      <c r="A48" s="314" t="s">
        <v>1230</v>
      </c>
      <c r="B48" s="335"/>
      <c r="C48" s="315" t="str">
        <f t="shared" si="4"/>
        <v/>
      </c>
    </row>
    <row r="49" spans="1:4" s="259" customFormat="1" ht="15" thickBot="1">
      <c r="A49" s="316" t="s">
        <v>1241</v>
      </c>
      <c r="B49" s="336"/>
      <c r="C49" s="317" t="str">
        <f t="shared" ref="C49" si="5">IF(B49&lt;&gt;"",A49,"")</f>
        <v/>
      </c>
    </row>
    <row r="50" spans="1:4" ht="15" thickBot="1">
      <c r="A50" s="19"/>
      <c r="B50" s="480"/>
      <c r="C50" s="19"/>
    </row>
    <row r="51" spans="1:4" ht="15">
      <c r="A51" s="324" t="s">
        <v>1231</v>
      </c>
      <c r="B51" s="320"/>
      <c r="C51" s="321" t="s">
        <v>1353</v>
      </c>
      <c r="D51" t="str">
        <f>IF(fanSchedule="REGCAP_FanSchedule_1stShift.txt", "1st",IF(fanSchedule="REGCAP_FanSchedule_3rdShift.txt","3rd", "1stExt"))</f>
        <v>1stExt</v>
      </c>
    </row>
    <row r="52" spans="1:4">
      <c r="A52" s="314" t="s">
        <v>1353</v>
      </c>
      <c r="B52" s="334" t="s">
        <v>957</v>
      </c>
      <c r="C52" s="315" t="str">
        <f>IF(B52&lt;&gt;"",A52,"")</f>
        <v>sched2.txt</v>
      </c>
    </row>
    <row r="53" spans="1:4">
      <c r="A53" s="314" t="s">
        <v>1240</v>
      </c>
      <c r="B53" s="335"/>
      <c r="C53" s="315" t="str">
        <f>IF(B53&lt;&gt;"",A53,"")</f>
        <v/>
      </c>
    </row>
    <row r="54" spans="1:4" ht="15" thickBot="1">
      <c r="A54" s="316" t="s">
        <v>1242</v>
      </c>
      <c r="B54" s="336"/>
      <c r="C54" s="317" t="str">
        <f>IF(B54&lt;&gt;"",A54,"")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A160" sqref="A160"/>
    </sheetView>
  </sheetViews>
  <sheetFormatPr baseColWidth="10" defaultRowHeight="14" x14ac:dyDescent="0"/>
  <cols>
    <col min="1" max="1" width="16.33203125" style="259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59" bestFit="1" customWidth="1"/>
    <col min="13" max="13" width="3.6640625" customWidth="1"/>
    <col min="14" max="14" width="13.1640625" bestFit="1" customWidth="1"/>
    <col min="15" max="15" width="2" style="259" bestFit="1" customWidth="1"/>
    <col min="16" max="16" width="5" customWidth="1"/>
    <col min="18" max="18" width="2" style="259" bestFit="1" customWidth="1"/>
    <col min="20" max="20" width="16.1640625" bestFit="1" customWidth="1"/>
    <col min="21" max="21" width="2" style="259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59" bestFit="1" customWidth="1"/>
  </cols>
  <sheetData>
    <row r="1" spans="1:23" s="259" customFormat="1" ht="25" customHeight="1">
      <c r="A1" s="323" t="s">
        <v>965</v>
      </c>
      <c r="B1" s="259" t="s">
        <v>977</v>
      </c>
      <c r="C1" s="259" t="s">
        <v>490</v>
      </c>
      <c r="D1" s="259" t="s">
        <v>0</v>
      </c>
      <c r="E1" s="259" t="s">
        <v>1</v>
      </c>
      <c r="F1" s="259" t="s">
        <v>2</v>
      </c>
      <c r="G1" s="259" t="s">
        <v>3</v>
      </c>
    </row>
    <row r="2" spans="1:23">
      <c r="A2" s="259" t="s">
        <v>898</v>
      </c>
      <c r="B2" t="s">
        <v>966</v>
      </c>
      <c r="C2" s="361" t="str">
        <f>Weather!B26</f>
        <v>722020TYA.CSV</v>
      </c>
      <c r="D2" t="s">
        <v>889</v>
      </c>
      <c r="G2" t="s">
        <v>1079</v>
      </c>
      <c r="I2" s="300" t="s">
        <v>1117</v>
      </c>
    </row>
    <row r="3" spans="1:23">
      <c r="B3" s="259" t="s">
        <v>885</v>
      </c>
      <c r="C3" s="360" t="str">
        <f>fanSchedule</f>
        <v>sched2.txt</v>
      </c>
      <c r="D3" t="s">
        <v>890</v>
      </c>
      <c r="G3" t="s">
        <v>327</v>
      </c>
      <c r="I3" s="330" t="s">
        <v>1118</v>
      </c>
    </row>
    <row r="4" spans="1:23">
      <c r="B4" s="259" t="s">
        <v>886</v>
      </c>
      <c r="C4" s="330" t="s">
        <v>896</v>
      </c>
      <c r="D4" t="s">
        <v>891</v>
      </c>
      <c r="G4" t="s">
        <v>11</v>
      </c>
      <c r="I4" s="360" t="s">
        <v>1141</v>
      </c>
    </row>
    <row r="5" spans="1:23">
      <c r="B5" s="259" t="s">
        <v>887</v>
      </c>
      <c r="C5" s="330" t="str">
        <f>occSchedule</f>
        <v>occ_full.txt</v>
      </c>
      <c r="D5" t="s">
        <v>892</v>
      </c>
      <c r="G5" t="s">
        <v>11</v>
      </c>
      <c r="I5" s="361" t="s">
        <v>1119</v>
      </c>
    </row>
    <row r="6" spans="1:23">
      <c r="A6" s="356"/>
      <c r="B6" s="356" t="s">
        <v>888</v>
      </c>
      <c r="C6" s="330" t="s">
        <v>894</v>
      </c>
      <c r="D6" s="356" t="s">
        <v>893</v>
      </c>
      <c r="E6" s="356"/>
      <c r="F6" s="356"/>
      <c r="G6" s="356" t="s">
        <v>11</v>
      </c>
      <c r="W6" s="5"/>
    </row>
    <row r="7" spans="1:23">
      <c r="A7" s="1" t="s">
        <v>897</v>
      </c>
      <c r="B7" t="s">
        <v>1203</v>
      </c>
      <c r="C7" s="362">
        <f>Leakage!H32</f>
        <v>3.3449243516156163E-2</v>
      </c>
      <c r="D7" t="s">
        <v>984</v>
      </c>
      <c r="E7" t="s">
        <v>5</v>
      </c>
      <c r="F7" t="s">
        <v>6</v>
      </c>
      <c r="G7" t="s">
        <v>7</v>
      </c>
      <c r="W7" s="5"/>
    </row>
    <row r="8" spans="1:23">
      <c r="B8" t="s">
        <v>953</v>
      </c>
      <c r="C8" s="363">
        <f>n</f>
        <v>0.65</v>
      </c>
      <c r="D8" t="s">
        <v>9</v>
      </c>
      <c r="E8" t="s">
        <v>10</v>
      </c>
      <c r="G8" t="s">
        <v>7</v>
      </c>
      <c r="W8" s="5"/>
    </row>
    <row r="9" spans="1:23" s="259" customFormat="1">
      <c r="B9" s="259" t="s">
        <v>1198</v>
      </c>
      <c r="C9" s="363">
        <f>VLOOKUP(Stories, InfiltrationModelCoefficients!A3:B5, 2, FALSE)</f>
        <v>0.48</v>
      </c>
      <c r="D9" s="259" t="s">
        <v>1205</v>
      </c>
      <c r="W9" s="269"/>
    </row>
    <row r="10" spans="1:23" s="259" customFormat="1">
      <c r="B10" s="237" t="s">
        <v>1191</v>
      </c>
      <c r="C10" s="363">
        <f>IF(Nflue=0,InfiltrationModelCoefficients!C10,VLOOKUP(Stories,InfiltrationModelCoefficients!A11:C13,3,FALSE))</f>
        <v>0.5</v>
      </c>
      <c r="D10" s="237" t="s">
        <v>1206</v>
      </c>
      <c r="W10" s="269"/>
    </row>
    <row r="11" spans="1:23" s="259" customFormat="1">
      <c r="B11" s="237" t="s">
        <v>1200</v>
      </c>
      <c r="C11" s="363">
        <f>IF(Nflue=0,VLOOKUP(Stories, InfiltrationModelCoefficients!A28:C30,3,FALSE),VLOOKUP(Stories,InfiltrationModelCoefficients!A31:C33,3,FALSE))</f>
        <v>5.3999999999999999E-2</v>
      </c>
      <c r="D11" s="237" t="s">
        <v>1207</v>
      </c>
      <c r="W11" s="269"/>
    </row>
    <row r="12" spans="1:23" s="259" customFormat="1">
      <c r="B12" s="237" t="s">
        <v>1204</v>
      </c>
      <c r="C12" s="363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237" t="s">
        <v>1208</v>
      </c>
      <c r="W12" s="269"/>
    </row>
    <row r="13" spans="1:23">
      <c r="B13" t="s">
        <v>952</v>
      </c>
      <c r="C13" s="363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63">
        <f>Leakage!H10</f>
        <v>0.5</v>
      </c>
      <c r="D14" t="s">
        <v>446</v>
      </c>
      <c r="E14" t="s">
        <v>17</v>
      </c>
      <c r="F14" t="s">
        <v>16</v>
      </c>
      <c r="G14" t="s">
        <v>7</v>
      </c>
      <c r="W14" s="5"/>
    </row>
    <row r="15" spans="1:23">
      <c r="A15" s="356"/>
      <c r="B15" s="356" t="s">
        <v>18</v>
      </c>
      <c r="C15" s="364">
        <f>Leakage!H11</f>
        <v>0</v>
      </c>
      <c r="D15" s="356" t="s">
        <v>447</v>
      </c>
      <c r="E15" s="356"/>
      <c r="F15" s="356" t="s">
        <v>16</v>
      </c>
      <c r="G15" s="356" t="s">
        <v>7</v>
      </c>
      <c r="W15" s="5"/>
    </row>
    <row r="16" spans="1:23">
      <c r="A16" s="259" t="s">
        <v>19</v>
      </c>
      <c r="B16" t="s">
        <v>967</v>
      </c>
      <c r="C16" s="452">
        <f>Nflue</f>
        <v>0</v>
      </c>
      <c r="D16" t="s">
        <v>20</v>
      </c>
      <c r="G16" t="s">
        <v>22</v>
      </c>
      <c r="W16" s="5"/>
    </row>
    <row r="17" spans="1:25">
      <c r="B17" t="s">
        <v>1142</v>
      </c>
      <c r="C17" s="453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979</v>
      </c>
      <c r="C18" s="365">
        <f>H_flueSI</f>
        <v>6.5277997911104073</v>
      </c>
      <c r="D18" t="s">
        <v>23</v>
      </c>
      <c r="G18" t="s">
        <v>24</v>
      </c>
      <c r="W18" s="5"/>
    </row>
    <row r="19" spans="1:25">
      <c r="B19" t="s">
        <v>980</v>
      </c>
      <c r="C19" s="372">
        <f>Flue!C11</f>
        <v>-99</v>
      </c>
      <c r="D19" t="s">
        <v>413</v>
      </c>
      <c r="E19" t="s">
        <v>26</v>
      </c>
      <c r="G19" s="259" t="s">
        <v>22</v>
      </c>
      <c r="W19" s="5"/>
    </row>
    <row r="20" spans="1:25">
      <c r="B20" s="259" t="s">
        <v>1143</v>
      </c>
      <c r="C20" s="453">
        <f>Flue!D10</f>
        <v>1.9281086206186945E-2</v>
      </c>
      <c r="E20" t="s">
        <v>495</v>
      </c>
      <c r="G20" t="s">
        <v>22</v>
      </c>
      <c r="W20" s="5"/>
    </row>
    <row r="21" spans="1:25">
      <c r="B21" s="259" t="s">
        <v>982</v>
      </c>
      <c r="C21" s="365">
        <f>H_flueSI</f>
        <v>6.5277997911104073</v>
      </c>
      <c r="D21" t="s">
        <v>23</v>
      </c>
      <c r="G21" t="s">
        <v>24</v>
      </c>
      <c r="W21" s="5"/>
    </row>
    <row r="22" spans="1:25">
      <c r="A22" s="356"/>
      <c r="B22" s="356" t="s">
        <v>983</v>
      </c>
      <c r="C22" s="364">
        <f>Flue!D11</f>
        <v>-99</v>
      </c>
      <c r="D22" s="356" t="s">
        <v>25</v>
      </c>
      <c r="E22" s="356"/>
      <c r="F22" s="356"/>
      <c r="G22" s="356" t="s">
        <v>22</v>
      </c>
      <c r="W22" s="5"/>
    </row>
    <row r="23" spans="1:25">
      <c r="A23" s="259" t="s">
        <v>27</v>
      </c>
      <c r="B23" t="s">
        <v>968</v>
      </c>
      <c r="C23" s="365">
        <f>Leakage!M5</f>
        <v>0.26041666666666663</v>
      </c>
      <c r="D23" t="s">
        <v>385</v>
      </c>
      <c r="E23" t="s">
        <v>29</v>
      </c>
      <c r="G23" t="s">
        <v>7</v>
      </c>
      <c r="W23" s="5"/>
    </row>
    <row r="24" spans="1:25">
      <c r="B24" t="s">
        <v>969</v>
      </c>
      <c r="C24" s="365">
        <f>C23</f>
        <v>0.26041666666666663</v>
      </c>
      <c r="D24" t="s">
        <v>386</v>
      </c>
      <c r="G24" t="s">
        <v>7</v>
      </c>
      <c r="W24" s="5"/>
    </row>
    <row r="25" spans="1:25">
      <c r="B25" t="s">
        <v>970</v>
      </c>
      <c r="C25" s="365">
        <f>Leakage!M6</f>
        <v>0.23958333333333331</v>
      </c>
      <c r="D25" t="s">
        <v>387</v>
      </c>
      <c r="G25" t="s">
        <v>7</v>
      </c>
      <c r="W25" s="5"/>
    </row>
    <row r="26" spans="1:25">
      <c r="B26" s="356" t="s">
        <v>971</v>
      </c>
      <c r="C26" s="366">
        <f>C25</f>
        <v>0.23958333333333331</v>
      </c>
      <c r="D26" s="356" t="s">
        <v>388</v>
      </c>
      <c r="E26" s="356"/>
      <c r="F26" s="356"/>
      <c r="G26" s="356" t="s">
        <v>7</v>
      </c>
      <c r="W26" s="5"/>
    </row>
    <row r="27" spans="1:25">
      <c r="B27" t="s">
        <v>972</v>
      </c>
      <c r="C27" s="365">
        <f>C23</f>
        <v>0.26041666666666663</v>
      </c>
      <c r="D27" t="s">
        <v>33</v>
      </c>
      <c r="E27" t="s">
        <v>34</v>
      </c>
      <c r="G27" t="s">
        <v>7</v>
      </c>
      <c r="W27" s="5"/>
    </row>
    <row r="28" spans="1:25">
      <c r="B28" t="s">
        <v>973</v>
      </c>
      <c r="C28" s="365">
        <f>C24</f>
        <v>0.26041666666666663</v>
      </c>
      <c r="D28" t="s">
        <v>35</v>
      </c>
      <c r="G28" t="s">
        <v>7</v>
      </c>
      <c r="W28" s="5"/>
      <c r="Y28" s="127"/>
    </row>
    <row r="29" spans="1:25">
      <c r="B29" t="s">
        <v>974</v>
      </c>
      <c r="C29" s="365">
        <f>C25</f>
        <v>0.23958333333333331</v>
      </c>
      <c r="D29" t="s">
        <v>36</v>
      </c>
      <c r="G29" t="s">
        <v>7</v>
      </c>
    </row>
    <row r="30" spans="1:25">
      <c r="B30" s="356" t="s">
        <v>975</v>
      </c>
      <c r="C30" s="366">
        <f>C26</f>
        <v>0.23958333333333331</v>
      </c>
      <c r="D30" s="356" t="s">
        <v>990</v>
      </c>
      <c r="E30" s="356"/>
      <c r="F30" s="356"/>
      <c r="G30" s="356" t="s">
        <v>7</v>
      </c>
    </row>
    <row r="31" spans="1:25">
      <c r="B31" t="s">
        <v>976</v>
      </c>
      <c r="C31" s="357">
        <v>1</v>
      </c>
      <c r="D31" t="s">
        <v>37</v>
      </c>
      <c r="G31" t="s">
        <v>11</v>
      </c>
    </row>
    <row r="32" spans="1:25">
      <c r="A32" s="356"/>
      <c r="B32" s="356" t="s">
        <v>985</v>
      </c>
      <c r="C32" s="352">
        <v>0</v>
      </c>
      <c r="D32" s="356" t="s">
        <v>38</v>
      </c>
      <c r="E32" s="356" t="s">
        <v>39</v>
      </c>
      <c r="F32" s="356"/>
      <c r="G32" s="356" t="s">
        <v>11</v>
      </c>
    </row>
    <row r="33" spans="1:7">
      <c r="A33" s="259" t="s">
        <v>1073</v>
      </c>
      <c r="B33" t="s">
        <v>396</v>
      </c>
      <c r="C33" s="363">
        <f>Geometry!D12</f>
        <v>0</v>
      </c>
      <c r="D33" t="s">
        <v>40</v>
      </c>
      <c r="G33" t="s">
        <v>14</v>
      </c>
    </row>
    <row r="34" spans="1:7">
      <c r="B34" t="s">
        <v>986</v>
      </c>
      <c r="C34" s="352" t="s">
        <v>803</v>
      </c>
      <c r="D34" t="s">
        <v>1116</v>
      </c>
      <c r="G34" t="s">
        <v>11</v>
      </c>
    </row>
    <row r="35" spans="1:7">
      <c r="B35" t="s">
        <v>987</v>
      </c>
      <c r="C35" s="367">
        <f>V_houseSI</f>
        <v>535.18789625849854</v>
      </c>
      <c r="D35" t="s">
        <v>41</v>
      </c>
      <c r="G35" t="s">
        <v>14</v>
      </c>
    </row>
    <row r="36" spans="1:7">
      <c r="B36" t="s">
        <v>988</v>
      </c>
      <c r="C36" s="367">
        <f>A_houseSI</f>
        <v>195.09</v>
      </c>
      <c r="D36" t="s">
        <v>42</v>
      </c>
      <c r="E36" t="s">
        <v>991</v>
      </c>
      <c r="F36" t="s">
        <v>43</v>
      </c>
      <c r="G36" t="s">
        <v>14</v>
      </c>
    </row>
    <row r="37" spans="1:7">
      <c r="B37" t="s">
        <v>989</v>
      </c>
      <c r="C37" s="367">
        <f>planareaSI</f>
        <v>195.09</v>
      </c>
      <c r="D37" t="s">
        <v>395</v>
      </c>
      <c r="G37" t="s">
        <v>14</v>
      </c>
    </row>
    <row r="38" spans="1:7">
      <c r="B38" t="s">
        <v>899</v>
      </c>
      <c r="C38" s="367">
        <f>Geometry!D13</f>
        <v>0.30479999024640031</v>
      </c>
      <c r="D38" t="s">
        <v>900</v>
      </c>
      <c r="G38" s="259" t="s">
        <v>14</v>
      </c>
    </row>
    <row r="39" spans="1:7">
      <c r="B39" t="s">
        <v>992</v>
      </c>
      <c r="C39" s="368">
        <f>UA!F11</f>
        <v>57.296143603076928</v>
      </c>
      <c r="D39" t="s">
        <v>936</v>
      </c>
      <c r="E39" t="s">
        <v>997</v>
      </c>
      <c r="F39" t="s">
        <v>44</v>
      </c>
      <c r="G39" t="s">
        <v>45</v>
      </c>
    </row>
    <row r="40" spans="1:7">
      <c r="B40" t="s">
        <v>993</v>
      </c>
      <c r="C40" s="368">
        <f>UA!F13</f>
        <v>85.21381130769231</v>
      </c>
      <c r="D40" t="s">
        <v>937</v>
      </c>
      <c r="E40" t="s">
        <v>998</v>
      </c>
      <c r="F40" t="s">
        <v>44</v>
      </c>
      <c r="G40" t="s">
        <v>45</v>
      </c>
    </row>
    <row r="41" spans="1:7">
      <c r="A41" s="356"/>
      <c r="B41" s="356" t="s">
        <v>994</v>
      </c>
      <c r="C41" s="369">
        <f>UA!F12</f>
        <v>88.622363760000013</v>
      </c>
      <c r="D41" s="356" t="s">
        <v>938</v>
      </c>
      <c r="E41" s="356" t="s">
        <v>999</v>
      </c>
      <c r="F41" s="356"/>
      <c r="G41" s="356" t="s">
        <v>45</v>
      </c>
    </row>
    <row r="42" spans="1:7">
      <c r="A42" s="259" t="s">
        <v>46</v>
      </c>
      <c r="B42" t="s">
        <v>995</v>
      </c>
      <c r="C42" s="357">
        <v>0</v>
      </c>
      <c r="D42" t="s">
        <v>47</v>
      </c>
      <c r="G42" t="s">
        <v>11</v>
      </c>
    </row>
    <row r="43" spans="1:7">
      <c r="B43" t="s">
        <v>901</v>
      </c>
      <c r="C43" s="352">
        <v>0</v>
      </c>
    </row>
    <row r="44" spans="1:7">
      <c r="B44" t="s">
        <v>902</v>
      </c>
      <c r="C44" s="352">
        <v>0</v>
      </c>
    </row>
    <row r="45" spans="1:7">
      <c r="B45" t="s">
        <v>903</v>
      </c>
      <c r="C45" s="352">
        <v>0</v>
      </c>
    </row>
    <row r="46" spans="1:7">
      <c r="B46" t="s">
        <v>904</v>
      </c>
      <c r="C46" s="352">
        <v>0</v>
      </c>
    </row>
    <row r="47" spans="1:7">
      <c r="A47" s="356"/>
      <c r="B47" s="356" t="s">
        <v>905</v>
      </c>
      <c r="C47" s="352">
        <v>0</v>
      </c>
      <c r="D47" s="356"/>
      <c r="E47" s="356"/>
      <c r="F47" s="356"/>
      <c r="G47" s="356"/>
    </row>
    <row r="48" spans="1:7">
      <c r="A48" s="259" t="s">
        <v>48</v>
      </c>
      <c r="B48" t="s">
        <v>996</v>
      </c>
      <c r="C48" s="357">
        <v>6</v>
      </c>
      <c r="D48" t="s">
        <v>49</v>
      </c>
      <c r="G48" t="s">
        <v>11</v>
      </c>
    </row>
    <row r="49" spans="2:7">
      <c r="B49" t="s">
        <v>1002</v>
      </c>
      <c r="C49" s="370">
        <f>Fans!B12</f>
        <v>23.125992176059796</v>
      </c>
      <c r="D49" t="s">
        <v>636</v>
      </c>
      <c r="G49" t="s">
        <v>50</v>
      </c>
    </row>
    <row r="50" spans="2:7">
      <c r="B50" t="s">
        <v>1000</v>
      </c>
      <c r="C50" s="375">
        <f>Fans!B13</f>
        <v>-4.0858643420600353E-2</v>
      </c>
      <c r="D50" t="s">
        <v>51</v>
      </c>
      <c r="G50" t="s">
        <v>50</v>
      </c>
    </row>
    <row r="51" spans="2:7">
      <c r="B51" s="356" t="s">
        <v>1001</v>
      </c>
      <c r="C51" s="456">
        <f>Fans!B14</f>
        <v>1</v>
      </c>
      <c r="D51" s="356" t="s">
        <v>637</v>
      </c>
      <c r="E51" s="356"/>
      <c r="F51" s="356" t="s">
        <v>52</v>
      </c>
      <c r="G51" s="356" t="s">
        <v>50</v>
      </c>
    </row>
    <row r="52" spans="2:7">
      <c r="B52" s="259" t="s">
        <v>1003</v>
      </c>
      <c r="C52" s="363">
        <f>Fans!I20</f>
        <v>0</v>
      </c>
      <c r="D52" t="s">
        <v>638</v>
      </c>
      <c r="G52" t="s">
        <v>50</v>
      </c>
    </row>
    <row r="53" spans="2:7">
      <c r="B53" s="259" t="s">
        <v>1004</v>
      </c>
      <c r="C53" s="371">
        <f>Fans!C20</f>
        <v>-7.0788107597923547E-2</v>
      </c>
      <c r="D53" t="s">
        <v>53</v>
      </c>
      <c r="G53" t="s">
        <v>50</v>
      </c>
    </row>
    <row r="54" spans="2:7">
      <c r="B54" s="356" t="s">
        <v>1005</v>
      </c>
      <c r="C54" s="352">
        <v>23</v>
      </c>
      <c r="D54" s="356" t="s">
        <v>639</v>
      </c>
      <c r="E54" s="356"/>
      <c r="F54" s="356"/>
      <c r="G54" s="356"/>
    </row>
    <row r="55" spans="2:7">
      <c r="B55" s="259" t="s">
        <v>1006</v>
      </c>
      <c r="C55" s="372">
        <f>Fans!I18</f>
        <v>37.200000000000003</v>
      </c>
      <c r="D55" t="s">
        <v>640</v>
      </c>
      <c r="G55" t="s">
        <v>50</v>
      </c>
    </row>
    <row r="56" spans="2:7">
      <c r="B56" s="259" t="s">
        <v>1007</v>
      </c>
      <c r="C56" s="371">
        <f>Fans!C18</f>
        <v>-4.7192071731949031E-2</v>
      </c>
      <c r="D56" t="s">
        <v>54</v>
      </c>
      <c r="G56" t="s">
        <v>50</v>
      </c>
    </row>
    <row r="57" spans="2:7">
      <c r="B57" s="356" t="s">
        <v>1008</v>
      </c>
      <c r="C57" s="352">
        <v>24</v>
      </c>
      <c r="D57" s="356" t="s">
        <v>641</v>
      </c>
      <c r="E57" s="356"/>
      <c r="F57" s="356"/>
      <c r="G57" s="356"/>
    </row>
    <row r="58" spans="2:7">
      <c r="B58" s="259" t="s">
        <v>1009</v>
      </c>
      <c r="C58" s="363">
        <f>IF(Fans!B6&gt;0,Fans!I17,0)</f>
        <v>10.199999999999999</v>
      </c>
      <c r="D58" t="s">
        <v>642</v>
      </c>
      <c r="G58" t="s">
        <v>50</v>
      </c>
    </row>
    <row r="59" spans="2:7">
      <c r="B59" s="259" t="s">
        <v>1010</v>
      </c>
      <c r="C59" s="371">
        <f>IF(Fans!B6&gt;0,Fans!C17,0)</f>
        <v>-2.3596035865974516E-2</v>
      </c>
      <c r="D59" t="s">
        <v>56</v>
      </c>
      <c r="G59" t="s">
        <v>50</v>
      </c>
    </row>
    <row r="60" spans="2:7">
      <c r="B60" s="356" t="s">
        <v>1011</v>
      </c>
      <c r="C60" s="352">
        <v>25</v>
      </c>
      <c r="D60" s="356" t="s">
        <v>643</v>
      </c>
      <c r="E60" s="356"/>
      <c r="F60" s="356"/>
      <c r="G60" s="356"/>
    </row>
    <row r="61" spans="2:7">
      <c r="B61" s="259" t="s">
        <v>1012</v>
      </c>
      <c r="C61" s="363">
        <f>IF(Fans!B6&gt;1,Fans!I17,0)</f>
        <v>10.199999999999999</v>
      </c>
      <c r="D61" t="s">
        <v>516</v>
      </c>
      <c r="G61" s="259" t="s">
        <v>50</v>
      </c>
    </row>
    <row r="62" spans="2:7">
      <c r="B62" s="259" t="s">
        <v>1013</v>
      </c>
      <c r="C62" s="371">
        <f>IF(Fans!B6&gt;1,Fans!C17,0)</f>
        <v>-2.3596035865974516E-2</v>
      </c>
      <c r="D62" t="s">
        <v>514</v>
      </c>
      <c r="G62" s="259" t="s">
        <v>50</v>
      </c>
    </row>
    <row r="63" spans="2:7">
      <c r="B63" s="356" t="s">
        <v>1014</v>
      </c>
      <c r="C63" s="352">
        <v>26</v>
      </c>
      <c r="D63" s="356" t="s">
        <v>644</v>
      </c>
      <c r="E63" s="356"/>
      <c r="F63" s="356"/>
      <c r="G63" s="356"/>
    </row>
    <row r="64" spans="2:7">
      <c r="B64" s="259" t="s">
        <v>1015</v>
      </c>
      <c r="C64" s="363">
        <f>IF(Fans!B6&gt;2,Fans!I17,0)</f>
        <v>0</v>
      </c>
      <c r="D64" t="s">
        <v>645</v>
      </c>
      <c r="G64" s="259" t="s">
        <v>50</v>
      </c>
    </row>
    <row r="65" spans="1:7">
      <c r="B65" s="259" t="s">
        <v>1016</v>
      </c>
      <c r="C65" s="371">
        <f>IF(Fans!B6&gt;2,Fans!C17,0)</f>
        <v>0</v>
      </c>
      <c r="D65" t="s">
        <v>515</v>
      </c>
      <c r="G65" s="259" t="s">
        <v>50</v>
      </c>
    </row>
    <row r="66" spans="1:7">
      <c r="B66" s="356" t="s">
        <v>1017</v>
      </c>
      <c r="C66" s="352">
        <v>27</v>
      </c>
      <c r="D66" s="356" t="s">
        <v>646</v>
      </c>
      <c r="E66" s="356"/>
      <c r="F66" s="356"/>
      <c r="G66" s="356"/>
    </row>
    <row r="67" spans="1:7">
      <c r="B67" s="259" t="s">
        <v>1018</v>
      </c>
      <c r="C67" s="359">
        <v>0</v>
      </c>
      <c r="D67" t="s">
        <v>1078</v>
      </c>
      <c r="G67" s="259"/>
    </row>
    <row r="68" spans="1:7">
      <c r="B68" s="259" t="s">
        <v>1019</v>
      </c>
      <c r="C68" s="353">
        <f>-1*C50</f>
        <v>4.0858643420600353E-2</v>
      </c>
      <c r="D68" t="s">
        <v>515</v>
      </c>
      <c r="G68" s="259"/>
    </row>
    <row r="69" spans="1:7">
      <c r="B69" s="356" t="s">
        <v>1020</v>
      </c>
      <c r="C69" s="352">
        <v>1</v>
      </c>
      <c r="D69" s="356" t="s">
        <v>517</v>
      </c>
      <c r="E69" s="356"/>
      <c r="F69" s="356"/>
      <c r="G69" s="356"/>
    </row>
    <row r="70" spans="1:7">
      <c r="B70" s="259" t="s">
        <v>1021</v>
      </c>
      <c r="C70" s="359">
        <v>0</v>
      </c>
      <c r="D70" t="s">
        <v>1077</v>
      </c>
      <c r="G70" s="259"/>
    </row>
    <row r="71" spans="1:7">
      <c r="B71" s="259" t="s">
        <v>1022</v>
      </c>
      <c r="C71" s="353">
        <v>0</v>
      </c>
      <c r="D71" t="s">
        <v>515</v>
      </c>
      <c r="G71" s="259"/>
    </row>
    <row r="72" spans="1:7">
      <c r="A72" s="356"/>
      <c r="B72" s="356" t="s">
        <v>1023</v>
      </c>
      <c r="C72" s="352">
        <v>0</v>
      </c>
      <c r="D72" s="356" t="s">
        <v>517</v>
      </c>
      <c r="E72" s="356"/>
      <c r="F72" s="356"/>
      <c r="G72" s="356"/>
    </row>
    <row r="73" spans="1:7">
      <c r="A73" s="259" t="s">
        <v>57</v>
      </c>
      <c r="B73" t="s">
        <v>397</v>
      </c>
      <c r="C73" s="365">
        <f>A_windowSI/4*2</f>
        <v>19.509</v>
      </c>
      <c r="D73" t="s">
        <v>58</v>
      </c>
      <c r="E73" t="s">
        <v>59</v>
      </c>
      <c r="G73" t="s">
        <v>14</v>
      </c>
    </row>
    <row r="74" spans="1:7">
      <c r="B74" t="s">
        <v>398</v>
      </c>
      <c r="C74" s="365">
        <f>A_windowSI/4</f>
        <v>9.7545000000000002</v>
      </c>
      <c r="D74" t="s">
        <v>60</v>
      </c>
      <c r="E74" t="s">
        <v>61</v>
      </c>
      <c r="G74" t="s">
        <v>14</v>
      </c>
    </row>
    <row r="75" spans="1:7">
      <c r="B75" t="s">
        <v>399</v>
      </c>
      <c r="C75" s="365">
        <f>A_windowSI/4</f>
        <v>9.7545000000000002</v>
      </c>
      <c r="D75" t="s">
        <v>491</v>
      </c>
      <c r="E75" t="s">
        <v>62</v>
      </c>
      <c r="G75" t="s">
        <v>14</v>
      </c>
    </row>
    <row r="76" spans="1:7">
      <c r="B76" t="s">
        <v>1024</v>
      </c>
      <c r="C76" s="375">
        <f>UA!F27</f>
        <v>0.25</v>
      </c>
      <c r="D76" t="s">
        <v>63</v>
      </c>
      <c r="F76" t="s">
        <v>64</v>
      </c>
      <c r="G76" t="s">
        <v>45</v>
      </c>
    </row>
    <row r="77" spans="1:7">
      <c r="B77" t="s">
        <v>1339</v>
      </c>
      <c r="C77" s="376">
        <f>UA!F21</f>
        <v>5.2832714016519029</v>
      </c>
      <c r="D77" t="s">
        <v>1346</v>
      </c>
      <c r="F77" t="s">
        <v>64</v>
      </c>
      <c r="G77" t="s">
        <v>45</v>
      </c>
    </row>
    <row r="78" spans="1:7">
      <c r="B78" t="s">
        <v>1025</v>
      </c>
      <c r="C78" s="373">
        <f>'Internal gains'!D12</f>
        <v>7.5231481481481474E-5</v>
      </c>
      <c r="D78" t="s">
        <v>65</v>
      </c>
      <c r="G78" t="s">
        <v>66</v>
      </c>
    </row>
    <row r="79" spans="1:7">
      <c r="A79" s="356"/>
      <c r="B79" s="356" t="s">
        <v>1026</v>
      </c>
      <c r="C79" s="374">
        <f>'Internal gains'!D6</f>
        <v>774.72889800703399</v>
      </c>
      <c r="D79" s="356" t="s">
        <v>67</v>
      </c>
      <c r="E79" s="356"/>
      <c r="F79" s="356"/>
      <c r="G79" s="356" t="s">
        <v>66</v>
      </c>
    </row>
    <row r="80" spans="1:7">
      <c r="A80" s="259" t="s">
        <v>68</v>
      </c>
      <c r="B80" t="s">
        <v>1027</v>
      </c>
      <c r="C80" s="367">
        <f>Geometry!D25</f>
        <v>38.460599999999999</v>
      </c>
      <c r="D80" t="s">
        <v>492</v>
      </c>
      <c r="G80" s="259" t="s">
        <v>14</v>
      </c>
    </row>
    <row r="81" spans="1:7">
      <c r="B81" t="s">
        <v>1028</v>
      </c>
      <c r="C81" s="365">
        <f>Attic!D15</f>
        <v>0.36823315582877392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56" t="s">
        <v>1029</v>
      </c>
      <c r="C82" s="366">
        <f>Attic!D14</f>
        <v>0.65</v>
      </c>
      <c r="D82" s="356" t="s">
        <v>73</v>
      </c>
      <c r="E82" s="356" t="s">
        <v>74</v>
      </c>
      <c r="F82" s="356" t="s">
        <v>71</v>
      </c>
      <c r="G82" s="356" t="s">
        <v>72</v>
      </c>
    </row>
    <row r="83" spans="1:7">
      <c r="B83" t="s">
        <v>1030</v>
      </c>
      <c r="C83" s="363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1031</v>
      </c>
      <c r="C84" s="363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1032</v>
      </c>
      <c r="C85" s="363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1033</v>
      </c>
      <c r="C86" s="363">
        <f>Attic!D22</f>
        <v>0.1</v>
      </c>
      <c r="D86" t="s">
        <v>79</v>
      </c>
      <c r="E86" t="s">
        <v>32</v>
      </c>
      <c r="G86" t="s">
        <v>72</v>
      </c>
    </row>
    <row r="87" spans="1:7">
      <c r="B87" s="356" t="s">
        <v>1034</v>
      </c>
      <c r="C87" s="364">
        <f>Attic!D23</f>
        <v>0.1</v>
      </c>
      <c r="D87" s="356" t="s">
        <v>80</v>
      </c>
      <c r="E87" s="356"/>
      <c r="F87" s="356"/>
      <c r="G87" s="356" t="s">
        <v>72</v>
      </c>
    </row>
    <row r="88" spans="1:7">
      <c r="B88" t="s">
        <v>1035</v>
      </c>
      <c r="C88" s="363">
        <f>H_soffitSI</f>
        <v>3.3527998927104035</v>
      </c>
      <c r="D88" t="s">
        <v>81</v>
      </c>
      <c r="G88" t="s">
        <v>14</v>
      </c>
    </row>
    <row r="89" spans="1:7">
      <c r="B89" t="s">
        <v>1036</v>
      </c>
      <c r="C89" s="363">
        <f>H_soffitSI</f>
        <v>3.3527998927104035</v>
      </c>
      <c r="D89" t="s">
        <v>82</v>
      </c>
      <c r="G89" t="s">
        <v>14</v>
      </c>
    </row>
    <row r="90" spans="1:7">
      <c r="B90" t="s">
        <v>1037</v>
      </c>
      <c r="C90" s="363">
        <f>H_soffitSI</f>
        <v>3.3527998927104035</v>
      </c>
      <c r="D90" t="s">
        <v>83</v>
      </c>
      <c r="G90" t="s">
        <v>14</v>
      </c>
    </row>
    <row r="91" spans="1:7">
      <c r="A91" s="356"/>
      <c r="B91" s="356" t="s">
        <v>1038</v>
      </c>
      <c r="C91" s="364">
        <f>H_soffitSI</f>
        <v>3.3527998927104035</v>
      </c>
      <c r="D91" s="356" t="s">
        <v>84</v>
      </c>
      <c r="E91" s="356"/>
      <c r="F91" s="356"/>
      <c r="G91" s="356" t="s">
        <v>14</v>
      </c>
    </row>
    <row r="92" spans="1:7">
      <c r="A92" s="259" t="s">
        <v>85</v>
      </c>
      <c r="B92" t="s">
        <v>1039</v>
      </c>
      <c r="C92" s="357">
        <v>2</v>
      </c>
      <c r="D92" t="s">
        <v>86</v>
      </c>
      <c r="G92" t="s">
        <v>11</v>
      </c>
    </row>
    <row r="93" spans="1:7">
      <c r="B93" t="s">
        <v>1145</v>
      </c>
      <c r="C93" s="352">
        <v>1</v>
      </c>
      <c r="D93" t="s">
        <v>87</v>
      </c>
      <c r="G93" t="s">
        <v>72</v>
      </c>
    </row>
    <row r="94" spans="1:7">
      <c r="B94" t="s">
        <v>1146</v>
      </c>
      <c r="C94" s="365">
        <f>H_attic.ventSI</f>
        <v>4.9402998419104049</v>
      </c>
      <c r="D94" t="s">
        <v>88</v>
      </c>
      <c r="G94" s="259" t="s">
        <v>14</v>
      </c>
    </row>
    <row r="95" spans="1:7">
      <c r="B95" t="s">
        <v>1147</v>
      </c>
      <c r="C95" s="365">
        <f>Attic!D12*Attic!D19*2</f>
        <v>0.18208399999999997</v>
      </c>
      <c r="D95" t="s">
        <v>89</v>
      </c>
      <c r="G95" t="s">
        <v>72</v>
      </c>
    </row>
    <row r="96" spans="1:7">
      <c r="B96" s="356" t="s">
        <v>1148</v>
      </c>
      <c r="C96" s="352">
        <v>0.5</v>
      </c>
      <c r="D96" s="356" t="s">
        <v>90</v>
      </c>
      <c r="E96" s="356"/>
      <c r="F96" s="356"/>
      <c r="G96" s="356" t="s">
        <v>11</v>
      </c>
    </row>
    <row r="97" spans="1:7">
      <c r="B97" s="259" t="s">
        <v>1149</v>
      </c>
      <c r="C97" s="357">
        <v>3</v>
      </c>
      <c r="D97" t="s">
        <v>87</v>
      </c>
      <c r="G97" t="s">
        <v>11</v>
      </c>
    </row>
    <row r="98" spans="1:7">
      <c r="B98" s="259" t="s">
        <v>1150</v>
      </c>
      <c r="C98" s="365">
        <f>H_attic.ventSI</f>
        <v>4.9402998419104049</v>
      </c>
      <c r="D98" t="s">
        <v>88</v>
      </c>
      <c r="G98" s="259" t="s">
        <v>14</v>
      </c>
    </row>
    <row r="99" spans="1:7">
      <c r="B99" s="259" t="s">
        <v>1151</v>
      </c>
      <c r="C99" s="365">
        <f>Attic!D12*Attic!D21*2</f>
        <v>5.2023999999999994E-2</v>
      </c>
      <c r="D99" t="s">
        <v>89</v>
      </c>
      <c r="G99" t="s">
        <v>72</v>
      </c>
    </row>
    <row r="100" spans="1:7">
      <c r="A100" s="356"/>
      <c r="B100" s="356" t="s">
        <v>1152</v>
      </c>
      <c r="C100" s="352">
        <v>0.5</v>
      </c>
      <c r="D100" s="356" t="s">
        <v>90</v>
      </c>
      <c r="E100" s="356"/>
      <c r="F100" s="356"/>
      <c r="G100" s="356" t="s">
        <v>11</v>
      </c>
    </row>
    <row r="101" spans="1:7">
      <c r="A101" s="259" t="s">
        <v>148</v>
      </c>
      <c r="B101" t="s">
        <v>1040</v>
      </c>
      <c r="C101" s="365">
        <f>Geometry!D23</f>
        <v>8.3609999999999989</v>
      </c>
      <c r="D101" s="84" t="s">
        <v>91</v>
      </c>
      <c r="E101" s="260" t="s">
        <v>92</v>
      </c>
      <c r="F101" s="269"/>
      <c r="G101" s="3" t="s">
        <v>14</v>
      </c>
    </row>
    <row r="102" spans="1:7">
      <c r="B102" t="s">
        <v>1041</v>
      </c>
      <c r="C102" s="352" t="s">
        <v>93</v>
      </c>
      <c r="D102" s="269" t="s">
        <v>94</v>
      </c>
      <c r="E102" s="269"/>
      <c r="F102" s="269"/>
      <c r="G102" s="3" t="s">
        <v>11</v>
      </c>
    </row>
    <row r="103" spans="1:7">
      <c r="B103" t="s">
        <v>1042</v>
      </c>
      <c r="C103" s="367">
        <f>H_peak</f>
        <v>6.5277997911104073</v>
      </c>
      <c r="D103" s="269" t="s">
        <v>406</v>
      </c>
      <c r="E103" s="269"/>
      <c r="F103" s="269"/>
      <c r="G103" s="3" t="s">
        <v>14</v>
      </c>
    </row>
    <row r="104" spans="1:7">
      <c r="B104" t="s">
        <v>1043</v>
      </c>
      <c r="C104" s="352">
        <v>0</v>
      </c>
      <c r="D104" s="269" t="s">
        <v>95</v>
      </c>
      <c r="E104" s="269"/>
      <c r="F104" s="269"/>
      <c r="G104" s="3" t="s">
        <v>11</v>
      </c>
    </row>
    <row r="105" spans="1:7">
      <c r="B105" t="s">
        <v>1044</v>
      </c>
    </row>
    <row r="106" spans="1:7">
      <c r="B106" t="s">
        <v>1045</v>
      </c>
    </row>
    <row r="107" spans="1:7">
      <c r="B107" t="s">
        <v>1046</v>
      </c>
    </row>
    <row r="108" spans="1:7">
      <c r="B108" t="s">
        <v>1341</v>
      </c>
      <c r="C108" s="352">
        <v>0</v>
      </c>
      <c r="D108" s="269" t="s">
        <v>1352</v>
      </c>
      <c r="E108" s="269"/>
      <c r="F108" s="269"/>
      <c r="G108" s="3" t="s">
        <v>11</v>
      </c>
    </row>
    <row r="109" spans="1:7" s="259" customFormat="1">
      <c r="B109" s="259" t="s">
        <v>1350</v>
      </c>
      <c r="C109" s="352">
        <v>0</v>
      </c>
      <c r="D109" s="259" t="s">
        <v>1351</v>
      </c>
      <c r="E109" s="269"/>
      <c r="F109" s="269"/>
      <c r="G109" s="3"/>
    </row>
    <row r="110" spans="1:7" s="259" customFormat="1">
      <c r="B110" s="259" t="s">
        <v>1340</v>
      </c>
      <c r="C110" s="352">
        <v>0</v>
      </c>
      <c r="D110" s="269" t="s">
        <v>1345</v>
      </c>
      <c r="E110" s="269"/>
      <c r="F110" s="269"/>
      <c r="G110" s="3"/>
    </row>
    <row r="111" spans="1:7" s="259" customFormat="1">
      <c r="B111" s="237" t="s">
        <v>1342</v>
      </c>
      <c r="C111" s="352">
        <v>2.2999999999999998</v>
      </c>
      <c r="D111" s="269" t="s">
        <v>1343</v>
      </c>
      <c r="E111" s="269" t="s">
        <v>1344</v>
      </c>
      <c r="F111" s="269"/>
      <c r="G111" s="3"/>
    </row>
    <row r="112" spans="1:7">
      <c r="A112" s="356"/>
      <c r="B112" s="356" t="s">
        <v>1047</v>
      </c>
      <c r="C112" s="352">
        <v>1</v>
      </c>
      <c r="D112" s="101" t="s">
        <v>97</v>
      </c>
      <c r="E112" s="101"/>
      <c r="F112" s="101"/>
      <c r="G112" s="358" t="s">
        <v>11</v>
      </c>
    </row>
    <row r="113" spans="1:7">
      <c r="A113" s="259" t="s">
        <v>96</v>
      </c>
      <c r="B113" t="s">
        <v>1048</v>
      </c>
      <c r="C113" s="357">
        <v>1</v>
      </c>
      <c r="D113" s="269" t="s">
        <v>520</v>
      </c>
      <c r="E113" s="269"/>
      <c r="F113" s="269"/>
      <c r="G113" s="3" t="s">
        <v>11</v>
      </c>
    </row>
    <row r="114" spans="1:7">
      <c r="B114" t="s">
        <v>1049</v>
      </c>
      <c r="C114" s="375">
        <f>Ducts!I14</f>
        <v>0.05</v>
      </c>
      <c r="D114" s="269" t="s">
        <v>98</v>
      </c>
      <c r="E114" s="269"/>
      <c r="F114" s="269"/>
      <c r="G114" s="3" t="s">
        <v>99</v>
      </c>
    </row>
    <row r="115" spans="1:7">
      <c r="B115" t="s">
        <v>1050</v>
      </c>
      <c r="C115" s="375">
        <f>Ducts!I14</f>
        <v>0.05</v>
      </c>
      <c r="D115" s="269" t="s">
        <v>100</v>
      </c>
      <c r="E115" s="269"/>
      <c r="F115" s="269"/>
      <c r="G115" s="3" t="s">
        <v>99</v>
      </c>
    </row>
    <row r="116" spans="1:7">
      <c r="B116" t="s">
        <v>101</v>
      </c>
      <c r="C116" s="375">
        <f>Ducts!I16</f>
        <v>1.5322296583303978</v>
      </c>
      <c r="D116" s="269" t="s">
        <v>102</v>
      </c>
      <c r="E116" s="269"/>
      <c r="F116" s="269"/>
      <c r="G116" s="3" t="s">
        <v>99</v>
      </c>
    </row>
    <row r="117" spans="1:7">
      <c r="B117" t="s">
        <v>103</v>
      </c>
      <c r="C117" s="375">
        <f>Ducts!I16</f>
        <v>1.5322296583303978</v>
      </c>
      <c r="D117" s="269" t="s">
        <v>104</v>
      </c>
      <c r="E117" s="269"/>
      <c r="F117" s="269"/>
      <c r="G117" s="3" t="s">
        <v>99</v>
      </c>
    </row>
    <row r="118" spans="1:7">
      <c r="B118" t="s">
        <v>1180</v>
      </c>
      <c r="C118" s="372">
        <f>Ducts!D18</f>
        <v>0</v>
      </c>
      <c r="D118" s="272" t="s">
        <v>1182</v>
      </c>
      <c r="E118" s="269"/>
      <c r="F118" s="269"/>
      <c r="G118" s="3" t="s">
        <v>99</v>
      </c>
    </row>
    <row r="119" spans="1:7">
      <c r="B119" t="s">
        <v>1181</v>
      </c>
      <c r="C119" s="372">
        <f>Ducts!D19</f>
        <v>0</v>
      </c>
      <c r="D119" s="272" t="s">
        <v>1183</v>
      </c>
      <c r="E119" s="269"/>
      <c r="F119" s="269"/>
      <c r="G119" s="3" t="s">
        <v>99</v>
      </c>
    </row>
    <row r="120" spans="1:7">
      <c r="B120" t="s">
        <v>1051</v>
      </c>
      <c r="C120" s="367">
        <f>Ducts!D16</f>
        <v>67.069196408781849</v>
      </c>
      <c r="D120" s="269" t="s">
        <v>105</v>
      </c>
      <c r="E120" s="269"/>
      <c r="F120" s="269"/>
      <c r="G120" s="3" t="s">
        <v>99</v>
      </c>
    </row>
    <row r="121" spans="1:7">
      <c r="B121" t="s">
        <v>1052</v>
      </c>
      <c r="C121" s="367">
        <f>Ducts!D17</f>
        <v>6.9001230873232355</v>
      </c>
      <c r="D121" s="269" t="s">
        <v>106</v>
      </c>
      <c r="E121" s="269"/>
      <c r="F121" s="269"/>
      <c r="G121" s="3" t="s">
        <v>99</v>
      </c>
    </row>
    <row r="122" spans="1:7">
      <c r="B122" t="s">
        <v>1053</v>
      </c>
      <c r="C122" s="363">
        <f>Ducts!D12</f>
        <v>0.25</v>
      </c>
      <c r="D122" s="269" t="s">
        <v>107</v>
      </c>
      <c r="E122" s="269"/>
      <c r="F122" s="269"/>
      <c r="G122" s="3" t="s">
        <v>99</v>
      </c>
    </row>
    <row r="123" spans="1:7">
      <c r="B123" t="s">
        <v>1054</v>
      </c>
      <c r="C123" s="363">
        <f>Ducts!D13</f>
        <v>0.45</v>
      </c>
      <c r="D123" s="269" t="s">
        <v>493</v>
      </c>
      <c r="E123" s="269"/>
      <c r="F123" s="269"/>
      <c r="G123" s="3" t="s">
        <v>99</v>
      </c>
    </row>
    <row r="124" spans="1:7">
      <c r="B124" t="s">
        <v>1055</v>
      </c>
      <c r="C124" s="375">
        <f>HVAC!B135</f>
        <v>0.47199999999999998</v>
      </c>
      <c r="D124" s="269" t="s">
        <v>651</v>
      </c>
      <c r="E124" s="269" t="str">
        <f>"q=" &amp;TEXT(Inputs!C124/0.3048^3*60,"0")&amp; " CFM"</f>
        <v>q=1000 CFM</v>
      </c>
      <c r="F124" s="269"/>
      <c r="G124" s="3" t="s">
        <v>108</v>
      </c>
    </row>
    <row r="125" spans="1:7">
      <c r="B125" t="s">
        <v>1056</v>
      </c>
      <c r="C125" s="375">
        <f>HVAC!B139</f>
        <v>0.23788799999999999</v>
      </c>
      <c r="D125" s="269" t="s">
        <v>109</v>
      </c>
      <c r="E125" s="269" t="str">
        <f>"q=" &amp;TEXT(Inputs!C125/0.3048^3*60,"0")&amp; " CFM"</f>
        <v>q=504 CFM</v>
      </c>
      <c r="F125" s="269"/>
      <c r="G125" s="3" t="s">
        <v>108</v>
      </c>
    </row>
    <row r="126" spans="1:7">
      <c r="B126" t="s">
        <v>110</v>
      </c>
      <c r="C126" s="363">
        <f>Ducts!D20</f>
        <v>0.6</v>
      </c>
      <c r="D126" s="269" t="s">
        <v>111</v>
      </c>
      <c r="E126" s="269"/>
      <c r="F126" s="269"/>
      <c r="G126" s="3" t="s">
        <v>99</v>
      </c>
    </row>
    <row r="127" spans="1:7">
      <c r="B127" t="s">
        <v>112</v>
      </c>
      <c r="C127" s="363">
        <f>Ducts!D21</f>
        <v>0.6</v>
      </c>
      <c r="D127" s="269" t="s">
        <v>113</v>
      </c>
      <c r="E127" s="269"/>
      <c r="F127" s="269"/>
      <c r="G127" s="3" t="s">
        <v>99</v>
      </c>
    </row>
    <row r="128" spans="1:7">
      <c r="B128" t="s">
        <v>114</v>
      </c>
      <c r="C128" s="377">
        <f>HVAC!B141</f>
        <v>0</v>
      </c>
      <c r="D128" s="269" t="s">
        <v>115</v>
      </c>
      <c r="E128" s="269"/>
      <c r="F128" s="269"/>
      <c r="G128" s="3" t="s">
        <v>108</v>
      </c>
    </row>
    <row r="129" spans="1:7">
      <c r="A129" s="356"/>
      <c r="B129" s="356" t="s">
        <v>116</v>
      </c>
      <c r="C129" s="377">
        <f>HVAC!B142</f>
        <v>0</v>
      </c>
      <c r="D129" s="101" t="s">
        <v>117</v>
      </c>
      <c r="E129" s="101"/>
      <c r="F129" s="101"/>
      <c r="G129" s="358" t="s">
        <v>108</v>
      </c>
    </row>
    <row r="130" spans="1:7">
      <c r="A130" s="259" t="s">
        <v>494</v>
      </c>
      <c r="B130" t="s">
        <v>401</v>
      </c>
      <c r="C130" s="375">
        <f>HVAC!B133</f>
        <v>2.5</v>
      </c>
      <c r="D130" s="269" t="s">
        <v>118</v>
      </c>
      <c r="E130" s="269" t="str">
        <f>"= "&amp;TEXT(Inputs!C130*12*1055/1000,"0.0")&amp;"kJ"</f>
        <v>= 31.7kJ</v>
      </c>
      <c r="F130" s="269"/>
      <c r="G130" s="3" t="s">
        <v>108</v>
      </c>
    </row>
    <row r="131" spans="1:7">
      <c r="B131" t="s">
        <v>402</v>
      </c>
      <c r="C131" s="378">
        <f>12*C130</f>
        <v>30</v>
      </c>
      <c r="D131" s="269" t="s">
        <v>119</v>
      </c>
      <c r="E131" s="269" t="str">
        <f>"= "&amp;TEXT(Inputs!C131*1055*1000/(3600)/1000,"0.0")&amp;"kW"</f>
        <v>= 8.8kW</v>
      </c>
      <c r="F131" s="269"/>
      <c r="G131" s="3" t="s">
        <v>108</v>
      </c>
    </row>
    <row r="132" spans="1:7">
      <c r="B132" t="s">
        <v>400</v>
      </c>
      <c r="C132" s="376">
        <f>HVAC!C10</f>
        <v>15.2</v>
      </c>
      <c r="D132" s="269" t="s">
        <v>120</v>
      </c>
      <c r="E132" s="269" t="s">
        <v>121</v>
      </c>
      <c r="F132" s="269"/>
      <c r="G132" s="3" t="s">
        <v>108</v>
      </c>
    </row>
    <row r="133" spans="1:7">
      <c r="B133" t="s">
        <v>1057</v>
      </c>
      <c r="C133" s="376">
        <f>12000/1000*HVAC!B137</f>
        <v>30</v>
      </c>
      <c r="D133" s="269" t="s">
        <v>122</v>
      </c>
      <c r="E133" s="269" t="str">
        <f>"= "&amp;TEXT(Inputs!C133*1055*1000/(3600)/1000,"0.0")&amp;"kW"</f>
        <v>= 8.8kW</v>
      </c>
      <c r="F133" s="269"/>
      <c r="G133" s="3" t="s">
        <v>108</v>
      </c>
    </row>
    <row r="134" spans="1:7">
      <c r="B134" t="s">
        <v>1058</v>
      </c>
      <c r="C134" s="376">
        <f>HVAC!B140</f>
        <v>201.6</v>
      </c>
      <c r="D134" s="269" t="s">
        <v>443</v>
      </c>
      <c r="E134" s="269"/>
      <c r="F134" s="269"/>
      <c r="G134" s="3" t="s">
        <v>108</v>
      </c>
    </row>
    <row r="135" spans="1:7">
      <c r="B135" t="s">
        <v>1059</v>
      </c>
      <c r="C135" s="376">
        <f>HVAC!B136</f>
        <v>400</v>
      </c>
      <c r="D135" s="269" t="s">
        <v>444</v>
      </c>
      <c r="E135" s="269"/>
      <c r="F135" s="269"/>
      <c r="G135" s="3" t="s">
        <v>108</v>
      </c>
    </row>
    <row r="136" spans="1:7">
      <c r="B136" t="s">
        <v>403</v>
      </c>
      <c r="C136" s="352">
        <v>1</v>
      </c>
      <c r="D136" s="84" t="s">
        <v>445</v>
      </c>
      <c r="E136" s="269"/>
      <c r="F136" s="269"/>
      <c r="G136" s="3" t="s">
        <v>11</v>
      </c>
    </row>
    <row r="137" spans="1:7">
      <c r="A137" s="356"/>
      <c r="B137" s="356" t="s">
        <v>383</v>
      </c>
      <c r="C137" s="379">
        <f>HVAC!C14</f>
        <v>0.8</v>
      </c>
      <c r="D137" s="123" t="s">
        <v>442</v>
      </c>
      <c r="E137" s="101"/>
      <c r="F137" s="101"/>
      <c r="G137" s="358" t="s">
        <v>108</v>
      </c>
    </row>
    <row r="138" spans="1:7">
      <c r="A138" s="259" t="s">
        <v>1074</v>
      </c>
      <c r="B138" t="s">
        <v>1060</v>
      </c>
      <c r="C138" s="381">
        <f>Nbedrooms</f>
        <v>3</v>
      </c>
      <c r="D138" t="s">
        <v>614</v>
      </c>
      <c r="G138" s="355" t="s">
        <v>327</v>
      </c>
    </row>
    <row r="139" spans="1:7">
      <c r="B139" t="s">
        <v>1061</v>
      </c>
      <c r="C139" s="382">
        <f>Stories</f>
        <v>1</v>
      </c>
      <c r="D139" t="s">
        <v>658</v>
      </c>
      <c r="G139" s="355" t="s">
        <v>1064</v>
      </c>
    </row>
    <row r="140" spans="1:7">
      <c r="B140" t="s">
        <v>615</v>
      </c>
      <c r="C140" s="380">
        <f>Weather!B25</f>
        <v>0.41</v>
      </c>
      <c r="D140" t="s">
        <v>616</v>
      </c>
      <c r="G140" s="355" t="s">
        <v>1079</v>
      </c>
    </row>
    <row r="141" spans="1:7">
      <c r="B141" t="s">
        <v>906</v>
      </c>
      <c r="C141" s="352">
        <v>2</v>
      </c>
      <c r="D141" t="s">
        <v>915</v>
      </c>
      <c r="E141" t="s">
        <v>924</v>
      </c>
    </row>
    <row r="142" spans="1:7">
      <c r="B142" t="s">
        <v>1211</v>
      </c>
      <c r="C142" s="352">
        <f>Qtot/1000*3600/V_houseSI</f>
        <v>0.2910166711333334</v>
      </c>
      <c r="D142" t="s">
        <v>1212</v>
      </c>
    </row>
    <row r="143" spans="1:7" s="259" customFormat="1">
      <c r="B143" s="259" t="s">
        <v>1213</v>
      </c>
      <c r="C143" s="352">
        <v>0</v>
      </c>
      <c r="D143" s="259" t="s">
        <v>1216</v>
      </c>
      <c r="E143" s="259" t="s">
        <v>1214</v>
      </c>
    </row>
    <row r="144" spans="1:7">
      <c r="A144" s="356"/>
      <c r="B144" s="356" t="s">
        <v>907</v>
      </c>
      <c r="C144" s="352">
        <v>1</v>
      </c>
      <c r="D144" s="356" t="s">
        <v>916</v>
      </c>
      <c r="E144" s="356" t="s">
        <v>925</v>
      </c>
      <c r="F144" s="356"/>
      <c r="G144" s="356"/>
    </row>
    <row r="145" spans="1:7">
      <c r="A145" s="259" t="s">
        <v>1075</v>
      </c>
      <c r="B145" t="s">
        <v>908</v>
      </c>
      <c r="C145" s="357">
        <v>0.82</v>
      </c>
      <c r="D145" t="s">
        <v>917</v>
      </c>
    </row>
    <row r="146" spans="1:7">
      <c r="B146" t="s">
        <v>909</v>
      </c>
      <c r="C146" s="352">
        <v>0.63</v>
      </c>
      <c r="D146" t="s">
        <v>918</v>
      </c>
      <c r="E146" t="s">
        <v>926</v>
      </c>
    </row>
    <row r="147" spans="1:7">
      <c r="B147" t="s">
        <v>910</v>
      </c>
      <c r="C147" s="352">
        <v>0.51</v>
      </c>
      <c r="D147" t="s">
        <v>919</v>
      </c>
      <c r="E147" t="s">
        <v>926</v>
      </c>
    </row>
    <row r="148" spans="1:7">
      <c r="B148" t="s">
        <v>911</v>
      </c>
      <c r="C148" s="352">
        <v>0</v>
      </c>
      <c r="D148" t="s">
        <v>920</v>
      </c>
      <c r="E148" t="s">
        <v>927</v>
      </c>
    </row>
    <row r="149" spans="1:7">
      <c r="B149" t="s">
        <v>912</v>
      </c>
      <c r="C149" s="352">
        <v>8</v>
      </c>
      <c r="D149" t="s">
        <v>921</v>
      </c>
      <c r="E149" t="s">
        <v>928</v>
      </c>
    </row>
    <row r="150" spans="1:7">
      <c r="B150" t="s">
        <v>913</v>
      </c>
      <c r="C150" s="352">
        <v>0</v>
      </c>
      <c r="D150" t="s">
        <v>922</v>
      </c>
      <c r="E150" t="s">
        <v>929</v>
      </c>
    </row>
    <row r="151" spans="1:7">
      <c r="A151" s="356"/>
      <c r="B151" s="356" t="s">
        <v>914</v>
      </c>
      <c r="C151" s="352">
        <v>1</v>
      </c>
      <c r="D151" s="356" t="s">
        <v>923</v>
      </c>
      <c r="E151" s="356" t="s">
        <v>930</v>
      </c>
      <c r="F151" s="356"/>
      <c r="G151" s="356"/>
    </row>
    <row r="152" spans="1:7">
      <c r="A152" s="259" t="s">
        <v>798</v>
      </c>
      <c r="B152" t="s">
        <v>840</v>
      </c>
      <c r="C152" s="383">
        <f>IF(HumControl=0,0,1)</f>
        <v>1</v>
      </c>
      <c r="D152" t="s">
        <v>843</v>
      </c>
      <c r="E152" t="s">
        <v>801</v>
      </c>
    </row>
    <row r="153" spans="1:7">
      <c r="B153" t="s">
        <v>1219</v>
      </c>
      <c r="C153" s="383">
        <f>HumControl</f>
        <v>1</v>
      </c>
      <c r="D153" t="s">
        <v>1220</v>
      </c>
      <c r="G153" t="s">
        <v>1072</v>
      </c>
    </row>
    <row r="154" spans="1:7" s="259" customFormat="1">
      <c r="B154" s="259" t="s">
        <v>1236</v>
      </c>
      <c r="C154" s="383">
        <f>IF(OR(HumControl=2, HumControl=4),1,0)</f>
        <v>0</v>
      </c>
      <c r="D154" s="259" t="s">
        <v>1237</v>
      </c>
    </row>
    <row r="155" spans="1:7">
      <c r="A155" s="259" t="s">
        <v>1076</v>
      </c>
      <c r="B155" t="s">
        <v>1065</v>
      </c>
      <c r="C155" s="401">
        <f>Dehumidifier!B8</f>
        <v>0</v>
      </c>
      <c r="D155" t="s">
        <v>1069</v>
      </c>
      <c r="E155" t="s">
        <v>1066</v>
      </c>
      <c r="G155" t="s">
        <v>1102</v>
      </c>
    </row>
    <row r="156" spans="1:7">
      <c r="B156" t="s">
        <v>1067</v>
      </c>
      <c r="C156" s="400">
        <f>Dehumidifier!B9</f>
        <v>1.85</v>
      </c>
      <c r="D156" t="s">
        <v>1070</v>
      </c>
      <c r="G156" t="s">
        <v>1102</v>
      </c>
    </row>
    <row r="157" spans="1:7">
      <c r="B157" t="s">
        <v>1068</v>
      </c>
      <c r="C157" s="399">
        <f>Dehumidifier!B10</f>
        <v>55</v>
      </c>
      <c r="D157" t="s">
        <v>1071</v>
      </c>
      <c r="G157" s="259" t="s">
        <v>1102</v>
      </c>
    </row>
    <row r="158" spans="1:7">
      <c r="A158" s="269" t="s">
        <v>1104</v>
      </c>
      <c r="B158" t="s">
        <v>1121</v>
      </c>
      <c r="C158" s="352" t="s">
        <v>1105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29" activePane="bottomRight" state="frozen"/>
      <selection pane="topRight" activeCell="C1" sqref="C1"/>
      <selection pane="bottomLeft" activeCell="A2" sqref="A2"/>
      <selection pane="bottomRight" activeCell="A158" sqref="A158:XFD158"/>
    </sheetView>
  </sheetViews>
  <sheetFormatPr baseColWidth="10" defaultColWidth="8.6640625" defaultRowHeight="15" customHeight="1" outlineLevelCol="1" x14ac:dyDescent="0"/>
  <cols>
    <col min="1" max="1" width="16.5" style="269" bestFit="1" customWidth="1"/>
    <col min="2" max="2" width="17.83203125" style="269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4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6" t="s">
        <v>829</v>
      </c>
      <c r="S1" s="216" t="s">
        <v>828</v>
      </c>
      <c r="V1" s="5"/>
    </row>
    <row r="2" spans="1:26" s="127" customFormat="1" ht="14">
      <c r="A2" s="127" t="s">
        <v>898</v>
      </c>
      <c r="B2" s="127" t="s">
        <v>966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7" customFormat="1" ht="14">
      <c r="B3" s="127" t="s">
        <v>885</v>
      </c>
      <c r="C3" s="56" t="str">
        <f>Inputs!$C$3</f>
        <v>sched2.txt</v>
      </c>
      <c r="D3" s="56" t="str">
        <f>Inputs!$C$3</f>
        <v>sched2.txt</v>
      </c>
      <c r="E3" s="56" t="str">
        <f>Inputs!$C$3</f>
        <v>sched2.txt</v>
      </c>
      <c r="F3" s="56" t="str">
        <f>Inputs!$C$3</f>
        <v>sched2.txt</v>
      </c>
      <c r="G3" s="56" t="str">
        <f>Inputs!$C$3</f>
        <v>sched2.txt</v>
      </c>
      <c r="H3" s="56" t="str">
        <f>Inputs!$C$3</f>
        <v>sched2.txt</v>
      </c>
      <c r="I3" s="56" t="str">
        <f>Inputs!$C$3</f>
        <v>sched2.txt</v>
      </c>
      <c r="J3" s="56" t="str">
        <f>Inputs!$C$3</f>
        <v>sched2.txt</v>
      </c>
      <c r="K3" s="56" t="str">
        <f>Inputs!$C$3</f>
        <v>sched2.txt</v>
      </c>
      <c r="L3" s="56" t="str">
        <f>Inputs!$C$3</f>
        <v>sched2.txt</v>
      </c>
      <c r="M3" s="56" t="str">
        <f>Inputs!$C$3</f>
        <v>sched2.txt</v>
      </c>
      <c r="N3" s="56" t="str">
        <f>Inputs!$C$3</f>
        <v>sched2.txt</v>
      </c>
      <c r="O3" s="56" t="str">
        <f>Inputs!$C$3</f>
        <v>sched2.txt</v>
      </c>
      <c r="P3" s="56" t="str">
        <f>Inputs!$C$3</f>
        <v>sched2.txt</v>
      </c>
      <c r="Q3" s="56" t="str">
        <f>Inputs!$C$3</f>
        <v>sched2.txt</v>
      </c>
      <c r="R3" s="56" t="str">
        <f>Inputs!$C$3</f>
        <v>sched2.txt</v>
      </c>
      <c r="S3" s="56" t="str">
        <f>Inputs!$C$3</f>
        <v>sched2.txt</v>
      </c>
      <c r="Z3" s="1"/>
    </row>
    <row r="4" spans="1:26" s="127" customFormat="1" ht="14">
      <c r="B4" s="127" t="s">
        <v>886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7" customFormat="1" ht="14">
      <c r="B5" s="127" t="s">
        <v>887</v>
      </c>
      <c r="C5" s="56" t="str">
        <f>Inputs!$C$5</f>
        <v>occ_full.txt</v>
      </c>
      <c r="D5" s="56" t="str">
        <f>Inputs!$C$5</f>
        <v>occ_full.txt</v>
      </c>
      <c r="E5" s="56" t="str">
        <f>Inputs!$C$5</f>
        <v>occ_full.txt</v>
      </c>
      <c r="F5" s="56" t="str">
        <f>Inputs!$C$5</f>
        <v>occ_full.txt</v>
      </c>
      <c r="G5" s="56" t="str">
        <f>Inputs!$C$5</f>
        <v>occ_full.txt</v>
      </c>
      <c r="H5" s="56" t="str">
        <f>Inputs!$C$5</f>
        <v>occ_full.txt</v>
      </c>
      <c r="I5" s="56" t="str">
        <f>Inputs!$C$5</f>
        <v>occ_full.txt</v>
      </c>
      <c r="J5" s="56" t="str">
        <f>Inputs!$C$5</f>
        <v>occ_full.txt</v>
      </c>
      <c r="K5" s="56" t="str">
        <f>Inputs!$C$5</f>
        <v>occ_full.txt</v>
      </c>
      <c r="L5" s="56" t="str">
        <f>Inputs!$C$5</f>
        <v>occ_full.txt</v>
      </c>
      <c r="M5" s="56" t="str">
        <f>Inputs!$C$5</f>
        <v>occ_full.txt</v>
      </c>
      <c r="N5" s="56" t="str">
        <f>Inputs!$C$5</f>
        <v>occ_full.txt</v>
      </c>
      <c r="O5" s="56" t="str">
        <f>Inputs!$C$5</f>
        <v>occ_full.txt</v>
      </c>
      <c r="P5" s="56" t="str">
        <f>Inputs!$C$5</f>
        <v>occ_full.txt</v>
      </c>
      <c r="Q5" s="56" t="str">
        <f>Inputs!$C$5</f>
        <v>occ_full.txt</v>
      </c>
      <c r="R5" s="56" t="str">
        <f>Inputs!$C$5</f>
        <v>occ_full.txt</v>
      </c>
      <c r="S5" s="56" t="str">
        <f>Inputs!$C$5</f>
        <v>occ_full.txt</v>
      </c>
      <c r="Z5" s="1"/>
    </row>
    <row r="6" spans="1:26" s="127" customFormat="1" ht="14">
      <c r="B6" s="127" t="s">
        <v>888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69" t="s">
        <v>897</v>
      </c>
      <c r="B7" s="269" t="s">
        <v>1203</v>
      </c>
      <c r="C7" s="6">
        <f>Leakage!H32</f>
        <v>3.3449243516156163E-2</v>
      </c>
      <c r="D7" s="6">
        <f>Leakage!I32</f>
        <v>3.3449243516156163E-2</v>
      </c>
      <c r="E7" s="6">
        <f>Leakage!J32</f>
        <v>3.3449243516156163E-2</v>
      </c>
      <c r="F7" s="6">
        <f>Leakage!K32</f>
        <v>2.7874369596796802E-2</v>
      </c>
      <c r="G7" s="6">
        <f>Leakage!L32</f>
        <v>2.7874369596796802E-2</v>
      </c>
      <c r="H7" s="6">
        <f>Leakage!M32</f>
        <v>2.7874369596796802E-2</v>
      </c>
      <c r="I7" s="6">
        <f>Leakage!N32</f>
        <v>2.7874369596796802E-2</v>
      </c>
      <c r="J7" s="6">
        <f>Leakage!O32</f>
        <v>2.7874369596796802E-2</v>
      </c>
      <c r="K7" s="6">
        <f>Leakage!P32</f>
        <v>2.7874369596796802E-2</v>
      </c>
      <c r="L7" s="6">
        <f>Leakage!Q32</f>
        <v>2.2299495677437439E-2</v>
      </c>
      <c r="M7" s="6">
        <f>Leakage!R32</f>
        <v>2.2299495677437439E-2</v>
      </c>
      <c r="N7" s="6">
        <f>Leakage!S32</f>
        <v>2.2299495677437439E-2</v>
      </c>
      <c r="O7" s="6">
        <f>Leakage!T32</f>
        <v>2.2299495677437439E-2</v>
      </c>
      <c r="P7" s="6">
        <f>Leakage!U32</f>
        <v>2.2299495677437439E-2</v>
      </c>
      <c r="Q7" s="6">
        <f>Leakage!V32</f>
        <v>1.6724621758078081E-2</v>
      </c>
      <c r="R7" s="6">
        <f>Leakage!W32</f>
        <v>3.3449243516156163E-2</v>
      </c>
      <c r="S7" s="6">
        <f>Leakage!X32</f>
        <v>2.7874369596796802E-2</v>
      </c>
      <c r="T7" s="64"/>
    </row>
    <row r="8" spans="1:26" ht="15" customHeight="1">
      <c r="B8" s="269" t="s">
        <v>953</v>
      </c>
      <c r="C8" s="155">
        <f>Leakage!H33</f>
        <v>0.65</v>
      </c>
      <c r="D8" s="155">
        <f>Leakage!I33</f>
        <v>0.65</v>
      </c>
      <c r="E8" s="155">
        <f>Leakage!J33</f>
        <v>0.65</v>
      </c>
      <c r="F8" s="155">
        <f>Leakage!K33</f>
        <v>0.65</v>
      </c>
      <c r="G8" s="155">
        <f>Leakage!L33</f>
        <v>0.65</v>
      </c>
      <c r="H8" s="155">
        <f>Leakage!M33</f>
        <v>0.65</v>
      </c>
      <c r="I8" s="155">
        <f>Leakage!N33</f>
        <v>0.65</v>
      </c>
      <c r="J8" s="155">
        <f>Leakage!O33</f>
        <v>0.65</v>
      </c>
      <c r="K8" s="155">
        <f>Leakage!P33</f>
        <v>0.65</v>
      </c>
      <c r="L8" s="155">
        <f>Leakage!Q33</f>
        <v>0.65</v>
      </c>
      <c r="M8" s="155">
        <f>Leakage!R33</f>
        <v>0.65</v>
      </c>
      <c r="N8" s="155">
        <f>Leakage!S33</f>
        <v>0.65</v>
      </c>
      <c r="O8" s="155">
        <f>Leakage!T33</f>
        <v>0.65</v>
      </c>
      <c r="P8" s="155">
        <f>Leakage!U33</f>
        <v>0.65</v>
      </c>
      <c r="Q8" s="155">
        <f>Leakage!V33</f>
        <v>0.65</v>
      </c>
      <c r="R8" s="155">
        <f>Leakage!W33</f>
        <v>0.65</v>
      </c>
      <c r="S8" s="155">
        <f>Leakage!X33</f>
        <v>0.65</v>
      </c>
      <c r="T8" s="64"/>
    </row>
    <row r="9" spans="1:26" s="269" customFormat="1" ht="15" customHeight="1">
      <c r="B9" s="269" t="s">
        <v>1198</v>
      </c>
      <c r="C9" s="155">
        <f>Inputs!C9</f>
        <v>0.48</v>
      </c>
      <c r="D9" s="155">
        <f>C9</f>
        <v>0.48</v>
      </c>
      <c r="E9" s="155">
        <f t="shared" ref="E9:S9" si="0">D9</f>
        <v>0.48</v>
      </c>
      <c r="F9" s="155">
        <f t="shared" si="0"/>
        <v>0.48</v>
      </c>
      <c r="G9" s="155">
        <f t="shared" si="0"/>
        <v>0.48</v>
      </c>
      <c r="H9" s="155">
        <f t="shared" si="0"/>
        <v>0.48</v>
      </c>
      <c r="I9" s="155">
        <f t="shared" si="0"/>
        <v>0.48</v>
      </c>
      <c r="J9" s="155">
        <f t="shared" si="0"/>
        <v>0.48</v>
      </c>
      <c r="K9" s="155">
        <f t="shared" si="0"/>
        <v>0.48</v>
      </c>
      <c r="L9" s="155">
        <f t="shared" si="0"/>
        <v>0.48</v>
      </c>
      <c r="M9" s="155">
        <f t="shared" si="0"/>
        <v>0.48</v>
      </c>
      <c r="N9" s="155">
        <f t="shared" si="0"/>
        <v>0.48</v>
      </c>
      <c r="O9" s="155">
        <f t="shared" si="0"/>
        <v>0.48</v>
      </c>
      <c r="P9" s="155">
        <f t="shared" si="0"/>
        <v>0.48</v>
      </c>
      <c r="Q9" s="155">
        <f t="shared" si="0"/>
        <v>0.48</v>
      </c>
      <c r="R9" s="155">
        <f t="shared" si="0"/>
        <v>0.48</v>
      </c>
      <c r="S9" s="155">
        <f t="shared" si="0"/>
        <v>0.48</v>
      </c>
      <c r="T9" s="64"/>
    </row>
    <row r="10" spans="1:26" s="269" customFormat="1" ht="15" customHeight="1">
      <c r="B10" s="269" t="s">
        <v>1191</v>
      </c>
      <c r="C10" s="155">
        <f>Inputs!C10</f>
        <v>0.5</v>
      </c>
      <c r="D10" s="155">
        <f t="shared" ref="D10:S12" si="1">C10</f>
        <v>0.5</v>
      </c>
      <c r="E10" s="155">
        <f t="shared" si="1"/>
        <v>0.5</v>
      </c>
      <c r="F10" s="155">
        <f t="shared" si="1"/>
        <v>0.5</v>
      </c>
      <c r="G10" s="155">
        <f t="shared" si="1"/>
        <v>0.5</v>
      </c>
      <c r="H10" s="155">
        <f t="shared" si="1"/>
        <v>0.5</v>
      </c>
      <c r="I10" s="155">
        <f t="shared" si="1"/>
        <v>0.5</v>
      </c>
      <c r="J10" s="155">
        <f t="shared" si="1"/>
        <v>0.5</v>
      </c>
      <c r="K10" s="155">
        <f t="shared" si="1"/>
        <v>0.5</v>
      </c>
      <c r="L10" s="155">
        <f t="shared" si="1"/>
        <v>0.5</v>
      </c>
      <c r="M10" s="155">
        <f t="shared" si="1"/>
        <v>0.5</v>
      </c>
      <c r="N10" s="155">
        <f t="shared" si="1"/>
        <v>0.5</v>
      </c>
      <c r="O10" s="155">
        <f t="shared" si="1"/>
        <v>0.5</v>
      </c>
      <c r="P10" s="155">
        <f t="shared" si="1"/>
        <v>0.5</v>
      </c>
      <c r="Q10" s="155">
        <f t="shared" si="1"/>
        <v>0.5</v>
      </c>
      <c r="R10" s="155">
        <f t="shared" si="1"/>
        <v>0.5</v>
      </c>
      <c r="S10" s="155">
        <f t="shared" si="1"/>
        <v>0.5</v>
      </c>
      <c r="T10" s="64"/>
    </row>
    <row r="11" spans="1:26" s="269" customFormat="1" ht="15" customHeight="1">
      <c r="B11" s="269" t="s">
        <v>1200</v>
      </c>
      <c r="C11" s="155">
        <f>Inputs!C11</f>
        <v>5.3999999999999999E-2</v>
      </c>
      <c r="D11" s="155">
        <f t="shared" si="1"/>
        <v>5.3999999999999999E-2</v>
      </c>
      <c r="E11" s="155">
        <f t="shared" si="1"/>
        <v>5.3999999999999999E-2</v>
      </c>
      <c r="F11" s="155">
        <f t="shared" si="1"/>
        <v>5.3999999999999999E-2</v>
      </c>
      <c r="G11" s="155">
        <f t="shared" si="1"/>
        <v>5.3999999999999999E-2</v>
      </c>
      <c r="H11" s="155">
        <f t="shared" si="1"/>
        <v>5.3999999999999999E-2</v>
      </c>
      <c r="I11" s="155">
        <f t="shared" si="1"/>
        <v>5.3999999999999999E-2</v>
      </c>
      <c r="J11" s="155">
        <f t="shared" si="1"/>
        <v>5.3999999999999999E-2</v>
      </c>
      <c r="K11" s="155">
        <f t="shared" si="1"/>
        <v>5.3999999999999999E-2</v>
      </c>
      <c r="L11" s="155">
        <f t="shared" si="1"/>
        <v>5.3999999999999999E-2</v>
      </c>
      <c r="M11" s="155">
        <f t="shared" si="1"/>
        <v>5.3999999999999999E-2</v>
      </c>
      <c r="N11" s="155">
        <f t="shared" si="1"/>
        <v>5.3999999999999999E-2</v>
      </c>
      <c r="O11" s="155">
        <f t="shared" si="1"/>
        <v>5.3999999999999999E-2</v>
      </c>
      <c r="P11" s="155">
        <f t="shared" si="1"/>
        <v>5.3999999999999999E-2</v>
      </c>
      <c r="Q11" s="155">
        <f t="shared" si="1"/>
        <v>5.3999999999999999E-2</v>
      </c>
      <c r="R11" s="155">
        <f t="shared" si="1"/>
        <v>5.3999999999999999E-2</v>
      </c>
      <c r="S11" s="155">
        <f t="shared" si="1"/>
        <v>5.3999999999999999E-2</v>
      </c>
      <c r="T11" s="64"/>
    </row>
    <row r="12" spans="1:26" s="269" customFormat="1" ht="15" customHeight="1">
      <c r="B12" s="269" t="s">
        <v>1204</v>
      </c>
      <c r="C12" s="155">
        <f>Inputs!C12</f>
        <v>0.128</v>
      </c>
      <c r="D12" s="155">
        <f t="shared" si="1"/>
        <v>0.128</v>
      </c>
      <c r="E12" s="155">
        <f t="shared" si="1"/>
        <v>0.128</v>
      </c>
      <c r="F12" s="155">
        <f t="shared" si="1"/>
        <v>0.128</v>
      </c>
      <c r="G12" s="155">
        <f t="shared" si="1"/>
        <v>0.128</v>
      </c>
      <c r="H12" s="155">
        <f t="shared" si="1"/>
        <v>0.128</v>
      </c>
      <c r="I12" s="155">
        <f t="shared" si="1"/>
        <v>0.128</v>
      </c>
      <c r="J12" s="155">
        <f t="shared" si="1"/>
        <v>0.128</v>
      </c>
      <c r="K12" s="155">
        <f t="shared" si="1"/>
        <v>0.128</v>
      </c>
      <c r="L12" s="155">
        <f t="shared" si="1"/>
        <v>0.128</v>
      </c>
      <c r="M12" s="155">
        <f t="shared" si="1"/>
        <v>0.128</v>
      </c>
      <c r="N12" s="155">
        <f t="shared" si="1"/>
        <v>0.128</v>
      </c>
      <c r="O12" s="155">
        <f t="shared" si="1"/>
        <v>0.128</v>
      </c>
      <c r="P12" s="155">
        <f t="shared" si="1"/>
        <v>0.128</v>
      </c>
      <c r="Q12" s="155">
        <f t="shared" si="1"/>
        <v>0.128</v>
      </c>
      <c r="R12" s="155">
        <f t="shared" si="1"/>
        <v>0.128</v>
      </c>
      <c r="S12" s="155">
        <f t="shared" si="1"/>
        <v>0.128</v>
      </c>
      <c r="T12" s="64"/>
    </row>
    <row r="13" spans="1:26" ht="15" customHeight="1">
      <c r="B13" s="269" t="s">
        <v>952</v>
      </c>
      <c r="C13" s="155">
        <f>Inputs!C13</f>
        <v>3.3527998927104035</v>
      </c>
      <c r="D13" s="155">
        <f t="shared" ref="D13:S26" si="2">C13</f>
        <v>3.3527998927104035</v>
      </c>
      <c r="E13" s="155">
        <f t="shared" si="2"/>
        <v>3.3527998927104035</v>
      </c>
      <c r="F13" s="155">
        <f t="shared" si="2"/>
        <v>3.3527998927104035</v>
      </c>
      <c r="G13" s="155">
        <f t="shared" si="2"/>
        <v>3.3527998927104035</v>
      </c>
      <c r="H13" s="155">
        <f t="shared" si="2"/>
        <v>3.3527998927104035</v>
      </c>
      <c r="I13" s="155">
        <f t="shared" si="2"/>
        <v>3.3527998927104035</v>
      </c>
      <c r="J13" s="155">
        <f t="shared" si="2"/>
        <v>3.3527998927104035</v>
      </c>
      <c r="K13" s="155">
        <f t="shared" si="2"/>
        <v>3.3527998927104035</v>
      </c>
      <c r="L13" s="155">
        <f t="shared" si="2"/>
        <v>3.3527998927104035</v>
      </c>
      <c r="M13" s="155">
        <f t="shared" si="2"/>
        <v>3.3527998927104035</v>
      </c>
      <c r="N13" s="155">
        <f t="shared" si="2"/>
        <v>3.3527998927104035</v>
      </c>
      <c r="O13" s="155">
        <f t="shared" si="2"/>
        <v>3.3527998927104035</v>
      </c>
      <c r="P13" s="155">
        <f t="shared" si="2"/>
        <v>3.3527998927104035</v>
      </c>
      <c r="Q13" s="155">
        <f t="shared" si="2"/>
        <v>3.3527998927104035</v>
      </c>
      <c r="R13" s="155">
        <f t="shared" si="2"/>
        <v>3.3527998927104035</v>
      </c>
      <c r="S13" s="155">
        <f t="shared" si="2"/>
        <v>3.3527998927104035</v>
      </c>
      <c r="T13" s="64"/>
    </row>
    <row r="14" spans="1:26" ht="15" customHeight="1">
      <c r="B14" s="269" t="s">
        <v>15</v>
      </c>
      <c r="C14" s="155">
        <f>Inputs!C14</f>
        <v>0.5</v>
      </c>
      <c r="D14" s="155">
        <f t="shared" si="2"/>
        <v>0.5</v>
      </c>
      <c r="E14" s="155">
        <f t="shared" si="2"/>
        <v>0.5</v>
      </c>
      <c r="F14" s="155">
        <f t="shared" si="2"/>
        <v>0.5</v>
      </c>
      <c r="G14" s="155">
        <f t="shared" si="2"/>
        <v>0.5</v>
      </c>
      <c r="H14" s="155">
        <f t="shared" si="2"/>
        <v>0.5</v>
      </c>
      <c r="I14" s="155">
        <f t="shared" si="2"/>
        <v>0.5</v>
      </c>
      <c r="J14" s="155">
        <f t="shared" si="2"/>
        <v>0.5</v>
      </c>
      <c r="K14" s="155">
        <f t="shared" si="2"/>
        <v>0.5</v>
      </c>
      <c r="L14" s="155">
        <f t="shared" si="2"/>
        <v>0.5</v>
      </c>
      <c r="M14" s="155">
        <f t="shared" si="2"/>
        <v>0.5</v>
      </c>
      <c r="N14" s="155">
        <f t="shared" si="2"/>
        <v>0.5</v>
      </c>
      <c r="O14" s="155">
        <f t="shared" si="2"/>
        <v>0.5</v>
      </c>
      <c r="P14" s="155">
        <f t="shared" si="2"/>
        <v>0.5</v>
      </c>
      <c r="Q14" s="155">
        <f t="shared" si="2"/>
        <v>0.5</v>
      </c>
      <c r="R14" s="155">
        <f t="shared" si="2"/>
        <v>0.5</v>
      </c>
      <c r="S14" s="155">
        <f t="shared" si="2"/>
        <v>0.5</v>
      </c>
      <c r="T14" s="64"/>
    </row>
    <row r="15" spans="1:26" ht="15" customHeight="1">
      <c r="B15" s="269" t="s">
        <v>18</v>
      </c>
      <c r="C15" s="155">
        <f>Inputs!C15</f>
        <v>0</v>
      </c>
      <c r="D15" s="155">
        <f t="shared" si="2"/>
        <v>0</v>
      </c>
      <c r="E15" s="155">
        <f t="shared" si="2"/>
        <v>0</v>
      </c>
      <c r="F15" s="155">
        <f t="shared" si="2"/>
        <v>0</v>
      </c>
      <c r="G15" s="155">
        <f t="shared" si="2"/>
        <v>0</v>
      </c>
      <c r="H15" s="155">
        <f t="shared" si="2"/>
        <v>0</v>
      </c>
      <c r="I15" s="155">
        <f t="shared" si="2"/>
        <v>0</v>
      </c>
      <c r="J15" s="155">
        <f t="shared" si="2"/>
        <v>0</v>
      </c>
      <c r="K15" s="155">
        <f t="shared" si="2"/>
        <v>0</v>
      </c>
      <c r="L15" s="155">
        <f t="shared" si="2"/>
        <v>0</v>
      </c>
      <c r="M15" s="155">
        <f t="shared" si="2"/>
        <v>0</v>
      </c>
      <c r="N15" s="155">
        <f t="shared" si="2"/>
        <v>0</v>
      </c>
      <c r="O15" s="155">
        <f t="shared" si="2"/>
        <v>0</v>
      </c>
      <c r="P15" s="155">
        <f t="shared" si="2"/>
        <v>0</v>
      </c>
      <c r="Q15" s="155">
        <f t="shared" si="2"/>
        <v>0</v>
      </c>
      <c r="R15" s="155">
        <f t="shared" si="2"/>
        <v>0</v>
      </c>
      <c r="S15" s="155">
        <f t="shared" si="2"/>
        <v>0</v>
      </c>
      <c r="T15" s="64"/>
    </row>
    <row r="16" spans="1:26" ht="15" customHeight="1">
      <c r="A16" s="269" t="s">
        <v>19</v>
      </c>
      <c r="B16" s="269" t="s">
        <v>967</v>
      </c>
      <c r="C16" s="130">
        <f>Inputs!C16</f>
        <v>0</v>
      </c>
      <c r="D16" s="130">
        <f t="shared" si="2"/>
        <v>0</v>
      </c>
      <c r="E16" s="130">
        <f t="shared" si="2"/>
        <v>0</v>
      </c>
      <c r="F16" s="130">
        <f t="shared" si="2"/>
        <v>0</v>
      </c>
      <c r="G16" s="130">
        <f t="shared" si="2"/>
        <v>0</v>
      </c>
      <c r="H16" s="130">
        <f t="shared" si="2"/>
        <v>0</v>
      </c>
      <c r="I16" s="130">
        <f t="shared" si="2"/>
        <v>0</v>
      </c>
      <c r="J16" s="130">
        <f t="shared" si="2"/>
        <v>0</v>
      </c>
      <c r="K16" s="130">
        <f t="shared" si="2"/>
        <v>0</v>
      </c>
      <c r="L16" s="130">
        <f t="shared" si="2"/>
        <v>0</v>
      </c>
      <c r="M16" s="130">
        <f t="shared" si="2"/>
        <v>0</v>
      </c>
      <c r="N16" s="130">
        <f t="shared" si="2"/>
        <v>0</v>
      </c>
      <c r="O16" s="130">
        <f t="shared" si="2"/>
        <v>0</v>
      </c>
      <c r="P16" s="130">
        <f t="shared" si="2"/>
        <v>0</v>
      </c>
      <c r="Q16" s="130">
        <f t="shared" si="2"/>
        <v>0</v>
      </c>
      <c r="R16" s="130">
        <f t="shared" si="2"/>
        <v>0</v>
      </c>
      <c r="S16" s="130">
        <f t="shared" si="2"/>
        <v>0</v>
      </c>
      <c r="T16" s="64"/>
    </row>
    <row r="17" spans="1:21" ht="15" customHeight="1">
      <c r="B17" s="269" t="s">
        <v>978</v>
      </c>
      <c r="C17" s="198">
        <f>Inputs!C17</f>
        <v>1.9281086206186945E-2</v>
      </c>
      <c r="D17" s="198">
        <f t="shared" si="2"/>
        <v>1.9281086206186945E-2</v>
      </c>
      <c r="E17" s="198">
        <f t="shared" si="2"/>
        <v>1.9281086206186945E-2</v>
      </c>
      <c r="F17" s="198">
        <f t="shared" si="2"/>
        <v>1.9281086206186945E-2</v>
      </c>
      <c r="G17" s="198">
        <f t="shared" si="2"/>
        <v>1.9281086206186945E-2</v>
      </c>
      <c r="H17" s="198">
        <f t="shared" si="2"/>
        <v>1.9281086206186945E-2</v>
      </c>
      <c r="I17" s="198">
        <f t="shared" si="2"/>
        <v>1.9281086206186945E-2</v>
      </c>
      <c r="J17" s="198">
        <f t="shared" si="2"/>
        <v>1.9281086206186945E-2</v>
      </c>
      <c r="K17" s="198">
        <f t="shared" si="2"/>
        <v>1.9281086206186945E-2</v>
      </c>
      <c r="L17" s="198">
        <f t="shared" si="2"/>
        <v>1.9281086206186945E-2</v>
      </c>
      <c r="M17" s="198">
        <f t="shared" si="2"/>
        <v>1.9281086206186945E-2</v>
      </c>
      <c r="N17" s="198">
        <f t="shared" si="2"/>
        <v>1.9281086206186945E-2</v>
      </c>
      <c r="O17" s="198">
        <f t="shared" si="2"/>
        <v>1.9281086206186945E-2</v>
      </c>
      <c r="P17" s="198">
        <f t="shared" si="2"/>
        <v>1.9281086206186945E-2</v>
      </c>
      <c r="Q17" s="198">
        <f t="shared" si="2"/>
        <v>1.9281086206186945E-2</v>
      </c>
      <c r="R17" s="198">
        <f t="shared" si="2"/>
        <v>1.9281086206186945E-2</v>
      </c>
      <c r="S17" s="198">
        <f t="shared" si="2"/>
        <v>1.9281086206186945E-2</v>
      </c>
      <c r="T17" s="64"/>
    </row>
    <row r="18" spans="1:21" ht="15" customHeight="1">
      <c r="B18" s="269" t="s">
        <v>979</v>
      </c>
      <c r="C18" s="155">
        <f>Inputs!C18</f>
        <v>6.5277997911104073</v>
      </c>
      <c r="D18" s="155">
        <f t="shared" si="2"/>
        <v>6.5277997911104073</v>
      </c>
      <c r="E18" s="155">
        <f t="shared" si="2"/>
        <v>6.5277997911104073</v>
      </c>
      <c r="F18" s="155">
        <f t="shared" si="2"/>
        <v>6.5277997911104073</v>
      </c>
      <c r="G18" s="155">
        <f t="shared" si="2"/>
        <v>6.5277997911104073</v>
      </c>
      <c r="H18" s="155">
        <f t="shared" si="2"/>
        <v>6.5277997911104073</v>
      </c>
      <c r="I18" s="155">
        <f t="shared" si="2"/>
        <v>6.5277997911104073</v>
      </c>
      <c r="J18" s="155">
        <f t="shared" si="2"/>
        <v>6.5277997911104073</v>
      </c>
      <c r="K18" s="155">
        <f t="shared" si="2"/>
        <v>6.5277997911104073</v>
      </c>
      <c r="L18" s="155">
        <f t="shared" si="2"/>
        <v>6.5277997911104073</v>
      </c>
      <c r="M18" s="155">
        <f t="shared" si="2"/>
        <v>6.5277997911104073</v>
      </c>
      <c r="N18" s="155">
        <f t="shared" si="2"/>
        <v>6.5277997911104073</v>
      </c>
      <c r="O18" s="155">
        <f t="shared" si="2"/>
        <v>6.5277997911104073</v>
      </c>
      <c r="P18" s="155">
        <f t="shared" si="2"/>
        <v>6.5277997911104073</v>
      </c>
      <c r="Q18" s="155">
        <f t="shared" si="2"/>
        <v>6.5277997911104073</v>
      </c>
      <c r="R18" s="155">
        <f t="shared" si="2"/>
        <v>6.5277997911104073</v>
      </c>
      <c r="S18" s="155">
        <f t="shared" si="2"/>
        <v>6.5277997911104073</v>
      </c>
      <c r="T18" s="64"/>
      <c r="U18" s="269"/>
    </row>
    <row r="19" spans="1:21" ht="15" customHeight="1">
      <c r="B19" s="269" t="s">
        <v>980</v>
      </c>
      <c r="C19" s="130">
        <f>Inputs!C19</f>
        <v>-99</v>
      </c>
      <c r="D19" s="130">
        <f t="shared" si="2"/>
        <v>-99</v>
      </c>
      <c r="E19" s="130">
        <f t="shared" si="2"/>
        <v>-99</v>
      </c>
      <c r="F19" s="130">
        <f t="shared" si="2"/>
        <v>-99</v>
      </c>
      <c r="G19" s="130">
        <f t="shared" si="2"/>
        <v>-99</v>
      </c>
      <c r="H19" s="130">
        <f t="shared" si="2"/>
        <v>-99</v>
      </c>
      <c r="I19" s="130">
        <f t="shared" si="2"/>
        <v>-99</v>
      </c>
      <c r="J19" s="130">
        <f t="shared" si="2"/>
        <v>-99</v>
      </c>
      <c r="K19" s="130">
        <f t="shared" si="2"/>
        <v>-99</v>
      </c>
      <c r="L19" s="130">
        <f t="shared" si="2"/>
        <v>-99</v>
      </c>
      <c r="M19" s="130">
        <f t="shared" si="2"/>
        <v>-99</v>
      </c>
      <c r="N19" s="130">
        <f t="shared" si="2"/>
        <v>-99</v>
      </c>
      <c r="O19" s="130">
        <f t="shared" si="2"/>
        <v>-99</v>
      </c>
      <c r="P19" s="130">
        <f t="shared" si="2"/>
        <v>-99</v>
      </c>
      <c r="Q19" s="130">
        <f t="shared" si="2"/>
        <v>-99</v>
      </c>
      <c r="R19" s="130">
        <f t="shared" si="2"/>
        <v>-99</v>
      </c>
      <c r="S19" s="130">
        <f t="shared" si="2"/>
        <v>-99</v>
      </c>
      <c r="T19" s="64"/>
      <c r="U19" s="269"/>
    </row>
    <row r="20" spans="1:21" ht="15" customHeight="1">
      <c r="B20" s="269" t="s">
        <v>981</v>
      </c>
      <c r="C20" s="6">
        <f>Inputs!C20</f>
        <v>1.9281086206186945E-2</v>
      </c>
      <c r="D20" s="155">
        <f t="shared" si="2"/>
        <v>1.9281086206186945E-2</v>
      </c>
      <c r="E20" s="155">
        <f t="shared" si="2"/>
        <v>1.9281086206186945E-2</v>
      </c>
      <c r="F20" s="155">
        <f t="shared" si="2"/>
        <v>1.9281086206186945E-2</v>
      </c>
      <c r="G20" s="155">
        <f t="shared" si="2"/>
        <v>1.9281086206186945E-2</v>
      </c>
      <c r="H20" s="155">
        <f t="shared" si="2"/>
        <v>1.9281086206186945E-2</v>
      </c>
      <c r="I20" s="155">
        <f t="shared" si="2"/>
        <v>1.9281086206186945E-2</v>
      </c>
      <c r="J20" s="155">
        <f t="shared" si="2"/>
        <v>1.9281086206186945E-2</v>
      </c>
      <c r="K20" s="155">
        <f t="shared" si="2"/>
        <v>1.9281086206186945E-2</v>
      </c>
      <c r="L20" s="155">
        <f t="shared" si="2"/>
        <v>1.9281086206186945E-2</v>
      </c>
      <c r="M20" s="155">
        <f t="shared" si="2"/>
        <v>1.9281086206186945E-2</v>
      </c>
      <c r="N20" s="155">
        <f t="shared" si="2"/>
        <v>1.9281086206186945E-2</v>
      </c>
      <c r="O20" s="155">
        <f t="shared" si="2"/>
        <v>1.9281086206186945E-2</v>
      </c>
      <c r="P20" s="155">
        <f t="shared" si="2"/>
        <v>1.9281086206186945E-2</v>
      </c>
      <c r="Q20" s="155">
        <f t="shared" si="2"/>
        <v>1.9281086206186945E-2</v>
      </c>
      <c r="R20" s="155">
        <f t="shared" si="2"/>
        <v>1.9281086206186945E-2</v>
      </c>
      <c r="S20" s="155">
        <f t="shared" si="2"/>
        <v>1.9281086206186945E-2</v>
      </c>
      <c r="T20" s="64"/>
    </row>
    <row r="21" spans="1:21" ht="15" customHeight="1">
      <c r="B21" s="269" t="s">
        <v>982</v>
      </c>
      <c r="C21" s="155">
        <f>Inputs!C21</f>
        <v>6.5277997911104073</v>
      </c>
      <c r="D21" s="155">
        <f t="shared" si="2"/>
        <v>6.5277997911104073</v>
      </c>
      <c r="E21" s="155">
        <f t="shared" si="2"/>
        <v>6.5277997911104073</v>
      </c>
      <c r="F21" s="155">
        <f t="shared" si="2"/>
        <v>6.5277997911104073</v>
      </c>
      <c r="G21" s="155">
        <f t="shared" si="2"/>
        <v>6.5277997911104073</v>
      </c>
      <c r="H21" s="155">
        <f t="shared" si="2"/>
        <v>6.5277997911104073</v>
      </c>
      <c r="I21" s="155">
        <f t="shared" si="2"/>
        <v>6.5277997911104073</v>
      </c>
      <c r="J21" s="155">
        <f t="shared" si="2"/>
        <v>6.5277997911104073</v>
      </c>
      <c r="K21" s="155">
        <f t="shared" si="2"/>
        <v>6.5277997911104073</v>
      </c>
      <c r="L21" s="155">
        <f t="shared" si="2"/>
        <v>6.5277997911104073</v>
      </c>
      <c r="M21" s="155">
        <f t="shared" si="2"/>
        <v>6.5277997911104073</v>
      </c>
      <c r="N21" s="155">
        <f t="shared" si="2"/>
        <v>6.5277997911104073</v>
      </c>
      <c r="O21" s="155">
        <f t="shared" si="2"/>
        <v>6.5277997911104073</v>
      </c>
      <c r="P21" s="155">
        <f t="shared" si="2"/>
        <v>6.5277997911104073</v>
      </c>
      <c r="Q21" s="155">
        <f t="shared" si="2"/>
        <v>6.5277997911104073</v>
      </c>
      <c r="R21" s="155">
        <f t="shared" si="2"/>
        <v>6.5277997911104073</v>
      </c>
      <c r="S21" s="155">
        <f t="shared" si="2"/>
        <v>6.5277997911104073</v>
      </c>
    </row>
    <row r="22" spans="1:21" ht="15" customHeight="1">
      <c r="B22" s="269" t="s">
        <v>983</v>
      </c>
      <c r="C22" s="130">
        <f>Inputs!C22</f>
        <v>-99</v>
      </c>
      <c r="D22" s="130">
        <f t="shared" si="2"/>
        <v>-99</v>
      </c>
      <c r="E22" s="130">
        <f t="shared" si="2"/>
        <v>-99</v>
      </c>
      <c r="F22" s="130">
        <f t="shared" si="2"/>
        <v>-99</v>
      </c>
      <c r="G22" s="130">
        <f t="shared" si="2"/>
        <v>-99</v>
      </c>
      <c r="H22" s="130">
        <f t="shared" si="2"/>
        <v>-99</v>
      </c>
      <c r="I22" s="130">
        <f t="shared" si="2"/>
        <v>-99</v>
      </c>
      <c r="J22" s="130">
        <f t="shared" si="2"/>
        <v>-99</v>
      </c>
      <c r="K22" s="130">
        <f t="shared" si="2"/>
        <v>-99</v>
      </c>
      <c r="L22" s="130">
        <f t="shared" si="2"/>
        <v>-99</v>
      </c>
      <c r="M22" s="130">
        <f t="shared" si="2"/>
        <v>-99</v>
      </c>
      <c r="N22" s="130">
        <f t="shared" si="2"/>
        <v>-99</v>
      </c>
      <c r="O22" s="130">
        <f t="shared" si="2"/>
        <v>-99</v>
      </c>
      <c r="P22" s="130">
        <f t="shared" si="2"/>
        <v>-99</v>
      </c>
      <c r="Q22" s="130">
        <f t="shared" si="2"/>
        <v>-99</v>
      </c>
      <c r="R22" s="130">
        <f t="shared" si="2"/>
        <v>-99</v>
      </c>
      <c r="S22" s="130">
        <f t="shared" si="2"/>
        <v>-99</v>
      </c>
      <c r="T22" s="64"/>
      <c r="U22" s="269"/>
    </row>
    <row r="23" spans="1:21" ht="15" customHeight="1">
      <c r="A23" s="269" t="s">
        <v>27</v>
      </c>
      <c r="B23" s="269" t="s">
        <v>968</v>
      </c>
      <c r="C23" s="155">
        <f>Inputs!C23</f>
        <v>0.26041666666666663</v>
      </c>
      <c r="D23" s="155">
        <f t="shared" si="2"/>
        <v>0.26041666666666663</v>
      </c>
      <c r="E23" s="155">
        <f t="shared" si="2"/>
        <v>0.26041666666666663</v>
      </c>
      <c r="F23" s="155">
        <f t="shared" si="2"/>
        <v>0.26041666666666663</v>
      </c>
      <c r="G23" s="155">
        <f t="shared" si="2"/>
        <v>0.26041666666666663</v>
      </c>
      <c r="H23" s="155">
        <f t="shared" si="2"/>
        <v>0.26041666666666663</v>
      </c>
      <c r="I23" s="155">
        <f t="shared" si="2"/>
        <v>0.26041666666666663</v>
      </c>
      <c r="J23" s="155">
        <f t="shared" si="2"/>
        <v>0.26041666666666663</v>
      </c>
      <c r="K23" s="155">
        <f t="shared" si="2"/>
        <v>0.26041666666666663</v>
      </c>
      <c r="L23" s="155">
        <f t="shared" si="2"/>
        <v>0.26041666666666663</v>
      </c>
      <c r="M23" s="155">
        <f t="shared" si="2"/>
        <v>0.26041666666666663</v>
      </c>
      <c r="N23" s="155">
        <f t="shared" si="2"/>
        <v>0.26041666666666663</v>
      </c>
      <c r="O23" s="155">
        <f t="shared" si="2"/>
        <v>0.26041666666666663</v>
      </c>
      <c r="P23" s="155">
        <f t="shared" si="2"/>
        <v>0.26041666666666663</v>
      </c>
      <c r="Q23" s="155">
        <f t="shared" si="2"/>
        <v>0.26041666666666663</v>
      </c>
      <c r="R23" s="155">
        <f t="shared" si="2"/>
        <v>0.26041666666666663</v>
      </c>
      <c r="S23" s="155">
        <f t="shared" si="2"/>
        <v>0.26041666666666663</v>
      </c>
      <c r="T23" s="64"/>
      <c r="U23" s="269"/>
    </row>
    <row r="24" spans="1:21" ht="15" customHeight="1">
      <c r="B24" s="269" t="s">
        <v>969</v>
      </c>
      <c r="C24" s="155">
        <f>Inputs!C24</f>
        <v>0.26041666666666663</v>
      </c>
      <c r="D24" s="155">
        <f t="shared" si="2"/>
        <v>0.26041666666666663</v>
      </c>
      <c r="E24" s="155">
        <f t="shared" si="2"/>
        <v>0.26041666666666663</v>
      </c>
      <c r="F24" s="155">
        <f t="shared" si="2"/>
        <v>0.26041666666666663</v>
      </c>
      <c r="G24" s="155">
        <f t="shared" si="2"/>
        <v>0.26041666666666663</v>
      </c>
      <c r="H24" s="155">
        <f t="shared" si="2"/>
        <v>0.26041666666666663</v>
      </c>
      <c r="I24" s="155">
        <f t="shared" si="2"/>
        <v>0.26041666666666663</v>
      </c>
      <c r="J24" s="155">
        <f t="shared" si="2"/>
        <v>0.26041666666666663</v>
      </c>
      <c r="K24" s="155">
        <f t="shared" si="2"/>
        <v>0.26041666666666663</v>
      </c>
      <c r="L24" s="155">
        <f t="shared" si="2"/>
        <v>0.26041666666666663</v>
      </c>
      <c r="M24" s="155">
        <f t="shared" si="2"/>
        <v>0.26041666666666663</v>
      </c>
      <c r="N24" s="155">
        <f t="shared" si="2"/>
        <v>0.26041666666666663</v>
      </c>
      <c r="O24" s="155">
        <f t="shared" si="2"/>
        <v>0.26041666666666663</v>
      </c>
      <c r="P24" s="155">
        <f t="shared" si="2"/>
        <v>0.26041666666666663</v>
      </c>
      <c r="Q24" s="155">
        <f t="shared" si="2"/>
        <v>0.26041666666666663</v>
      </c>
      <c r="R24" s="155">
        <f t="shared" si="2"/>
        <v>0.26041666666666663</v>
      </c>
      <c r="S24" s="155">
        <f t="shared" si="2"/>
        <v>0.26041666666666663</v>
      </c>
      <c r="T24" s="64"/>
    </row>
    <row r="25" spans="1:21" ht="15" customHeight="1">
      <c r="B25" s="269" t="s">
        <v>970</v>
      </c>
      <c r="C25" s="155">
        <f>Inputs!C25</f>
        <v>0.23958333333333331</v>
      </c>
      <c r="D25" s="155">
        <f t="shared" si="2"/>
        <v>0.23958333333333331</v>
      </c>
      <c r="E25" s="155">
        <f t="shared" si="2"/>
        <v>0.23958333333333331</v>
      </c>
      <c r="F25" s="155">
        <f t="shared" si="2"/>
        <v>0.23958333333333331</v>
      </c>
      <c r="G25" s="155">
        <f t="shared" si="2"/>
        <v>0.23958333333333331</v>
      </c>
      <c r="H25" s="155">
        <f t="shared" si="2"/>
        <v>0.23958333333333331</v>
      </c>
      <c r="I25" s="155">
        <f t="shared" si="2"/>
        <v>0.23958333333333331</v>
      </c>
      <c r="J25" s="155">
        <f t="shared" si="2"/>
        <v>0.23958333333333331</v>
      </c>
      <c r="K25" s="155">
        <f t="shared" si="2"/>
        <v>0.23958333333333331</v>
      </c>
      <c r="L25" s="155">
        <f t="shared" si="2"/>
        <v>0.23958333333333331</v>
      </c>
      <c r="M25" s="155">
        <f t="shared" si="2"/>
        <v>0.23958333333333331</v>
      </c>
      <c r="N25" s="155">
        <f t="shared" si="2"/>
        <v>0.23958333333333331</v>
      </c>
      <c r="O25" s="155">
        <f t="shared" si="2"/>
        <v>0.23958333333333331</v>
      </c>
      <c r="P25" s="155">
        <f t="shared" si="2"/>
        <v>0.23958333333333331</v>
      </c>
      <c r="Q25" s="155">
        <f t="shared" si="2"/>
        <v>0.23958333333333331</v>
      </c>
      <c r="R25" s="155">
        <f t="shared" si="2"/>
        <v>0.23958333333333331</v>
      </c>
      <c r="S25" s="155">
        <f t="shared" si="2"/>
        <v>0.23958333333333331</v>
      </c>
      <c r="T25" s="64"/>
      <c r="U25" s="269"/>
    </row>
    <row r="26" spans="1:21" ht="15" customHeight="1">
      <c r="B26" s="269" t="s">
        <v>971</v>
      </c>
      <c r="C26" s="155">
        <f>Inputs!C26</f>
        <v>0.23958333333333331</v>
      </c>
      <c r="D26" s="155">
        <f t="shared" si="2"/>
        <v>0.23958333333333331</v>
      </c>
      <c r="E26" s="155">
        <f t="shared" si="2"/>
        <v>0.23958333333333331</v>
      </c>
      <c r="F26" s="155">
        <f t="shared" si="2"/>
        <v>0.23958333333333331</v>
      </c>
      <c r="G26" s="155">
        <f t="shared" si="2"/>
        <v>0.23958333333333331</v>
      </c>
      <c r="H26" s="155">
        <f t="shared" si="2"/>
        <v>0.23958333333333331</v>
      </c>
      <c r="I26" s="155">
        <f t="shared" si="2"/>
        <v>0.23958333333333331</v>
      </c>
      <c r="J26" s="155">
        <f t="shared" si="2"/>
        <v>0.23958333333333331</v>
      </c>
      <c r="K26" s="155">
        <f t="shared" si="2"/>
        <v>0.23958333333333331</v>
      </c>
      <c r="L26" s="155">
        <f t="shared" si="2"/>
        <v>0.23958333333333331</v>
      </c>
      <c r="M26" s="155">
        <f t="shared" si="2"/>
        <v>0.23958333333333331</v>
      </c>
      <c r="N26" s="155">
        <f t="shared" si="2"/>
        <v>0.23958333333333331</v>
      </c>
      <c r="O26" s="155">
        <f t="shared" si="2"/>
        <v>0.23958333333333331</v>
      </c>
      <c r="P26" s="155">
        <f t="shared" si="2"/>
        <v>0.23958333333333331</v>
      </c>
      <c r="Q26" s="155">
        <f t="shared" si="2"/>
        <v>0.23958333333333331</v>
      </c>
      <c r="R26" s="155">
        <f t="shared" si="2"/>
        <v>0.23958333333333331</v>
      </c>
      <c r="S26" s="155">
        <f t="shared" si="2"/>
        <v>0.23958333333333331</v>
      </c>
      <c r="T26" s="64"/>
      <c r="U26" s="269"/>
    </row>
    <row r="27" spans="1:21" ht="15" customHeight="1">
      <c r="B27" s="269" t="s">
        <v>972</v>
      </c>
      <c r="C27" s="155">
        <f>Inputs!C27</f>
        <v>0.26041666666666663</v>
      </c>
      <c r="D27" s="155">
        <f t="shared" ref="D27:S38" si="3">C27</f>
        <v>0.26041666666666663</v>
      </c>
      <c r="E27" s="155">
        <f t="shared" si="3"/>
        <v>0.26041666666666663</v>
      </c>
      <c r="F27" s="155">
        <f t="shared" si="3"/>
        <v>0.26041666666666663</v>
      </c>
      <c r="G27" s="155">
        <f t="shared" si="3"/>
        <v>0.26041666666666663</v>
      </c>
      <c r="H27" s="155">
        <f t="shared" si="3"/>
        <v>0.26041666666666663</v>
      </c>
      <c r="I27" s="155">
        <f t="shared" si="3"/>
        <v>0.26041666666666663</v>
      </c>
      <c r="J27" s="155">
        <f t="shared" si="3"/>
        <v>0.26041666666666663</v>
      </c>
      <c r="K27" s="155">
        <f t="shared" si="3"/>
        <v>0.26041666666666663</v>
      </c>
      <c r="L27" s="155">
        <f t="shared" si="3"/>
        <v>0.26041666666666663</v>
      </c>
      <c r="M27" s="155">
        <f t="shared" si="3"/>
        <v>0.26041666666666663</v>
      </c>
      <c r="N27" s="155">
        <f t="shared" si="3"/>
        <v>0.26041666666666663</v>
      </c>
      <c r="O27" s="155">
        <f t="shared" si="3"/>
        <v>0.26041666666666663</v>
      </c>
      <c r="P27" s="155">
        <f t="shared" si="3"/>
        <v>0.26041666666666663</v>
      </c>
      <c r="Q27" s="155">
        <f t="shared" si="3"/>
        <v>0.26041666666666663</v>
      </c>
      <c r="R27" s="155">
        <f t="shared" si="3"/>
        <v>0.26041666666666663</v>
      </c>
      <c r="S27" s="155">
        <f t="shared" si="3"/>
        <v>0.26041666666666663</v>
      </c>
      <c r="T27" s="64"/>
    </row>
    <row r="28" spans="1:21" ht="15" customHeight="1">
      <c r="B28" s="269" t="s">
        <v>973</v>
      </c>
      <c r="C28" s="155">
        <f>Inputs!C28</f>
        <v>0.26041666666666663</v>
      </c>
      <c r="D28" s="155">
        <f t="shared" si="3"/>
        <v>0.26041666666666663</v>
      </c>
      <c r="E28" s="155">
        <f t="shared" si="3"/>
        <v>0.26041666666666663</v>
      </c>
      <c r="F28" s="155">
        <f t="shared" si="3"/>
        <v>0.26041666666666663</v>
      </c>
      <c r="G28" s="155">
        <f t="shared" si="3"/>
        <v>0.26041666666666663</v>
      </c>
      <c r="H28" s="155">
        <f t="shared" si="3"/>
        <v>0.26041666666666663</v>
      </c>
      <c r="I28" s="155">
        <f t="shared" si="3"/>
        <v>0.26041666666666663</v>
      </c>
      <c r="J28" s="155">
        <f t="shared" si="3"/>
        <v>0.26041666666666663</v>
      </c>
      <c r="K28" s="155">
        <f t="shared" si="3"/>
        <v>0.26041666666666663</v>
      </c>
      <c r="L28" s="155">
        <f t="shared" si="3"/>
        <v>0.26041666666666663</v>
      </c>
      <c r="M28" s="155">
        <f t="shared" si="3"/>
        <v>0.26041666666666663</v>
      </c>
      <c r="N28" s="155">
        <f t="shared" si="3"/>
        <v>0.26041666666666663</v>
      </c>
      <c r="O28" s="155">
        <f t="shared" si="3"/>
        <v>0.26041666666666663</v>
      </c>
      <c r="P28" s="155">
        <f t="shared" si="3"/>
        <v>0.26041666666666663</v>
      </c>
      <c r="Q28" s="155">
        <f t="shared" si="3"/>
        <v>0.26041666666666663</v>
      </c>
      <c r="R28" s="155">
        <f t="shared" si="3"/>
        <v>0.26041666666666663</v>
      </c>
      <c r="S28" s="155">
        <f t="shared" si="3"/>
        <v>0.26041666666666663</v>
      </c>
      <c r="T28" s="64"/>
      <c r="U28" s="269"/>
    </row>
    <row r="29" spans="1:21" ht="15" customHeight="1">
      <c r="B29" s="269" t="s">
        <v>974</v>
      </c>
      <c r="C29" s="155">
        <f>Inputs!C29</f>
        <v>0.23958333333333331</v>
      </c>
      <c r="D29" s="155">
        <f t="shared" si="3"/>
        <v>0.23958333333333331</v>
      </c>
      <c r="E29" s="155">
        <f t="shared" si="3"/>
        <v>0.23958333333333331</v>
      </c>
      <c r="F29" s="155">
        <f t="shared" si="3"/>
        <v>0.23958333333333331</v>
      </c>
      <c r="G29" s="155">
        <f t="shared" si="3"/>
        <v>0.23958333333333331</v>
      </c>
      <c r="H29" s="155">
        <f t="shared" si="3"/>
        <v>0.23958333333333331</v>
      </c>
      <c r="I29" s="155">
        <f t="shared" si="3"/>
        <v>0.23958333333333331</v>
      </c>
      <c r="J29" s="155">
        <f t="shared" si="3"/>
        <v>0.23958333333333331</v>
      </c>
      <c r="K29" s="155">
        <f t="shared" si="3"/>
        <v>0.23958333333333331</v>
      </c>
      <c r="L29" s="155">
        <f t="shared" si="3"/>
        <v>0.23958333333333331</v>
      </c>
      <c r="M29" s="155">
        <f t="shared" si="3"/>
        <v>0.23958333333333331</v>
      </c>
      <c r="N29" s="155">
        <f t="shared" si="3"/>
        <v>0.23958333333333331</v>
      </c>
      <c r="O29" s="155">
        <f t="shared" si="3"/>
        <v>0.23958333333333331</v>
      </c>
      <c r="P29" s="155">
        <f t="shared" si="3"/>
        <v>0.23958333333333331</v>
      </c>
      <c r="Q29" s="155">
        <f t="shared" si="3"/>
        <v>0.23958333333333331</v>
      </c>
      <c r="R29" s="155">
        <f t="shared" si="3"/>
        <v>0.23958333333333331</v>
      </c>
      <c r="S29" s="155">
        <f t="shared" si="3"/>
        <v>0.23958333333333331</v>
      </c>
      <c r="T29" s="64"/>
      <c r="U29" s="269"/>
    </row>
    <row r="30" spans="1:21" ht="15" customHeight="1">
      <c r="B30" s="269" t="s">
        <v>975</v>
      </c>
      <c r="C30" s="155">
        <f>Inputs!C30</f>
        <v>0.23958333333333331</v>
      </c>
      <c r="D30" s="155">
        <f t="shared" si="3"/>
        <v>0.23958333333333331</v>
      </c>
      <c r="E30" s="155">
        <f t="shared" si="3"/>
        <v>0.23958333333333331</v>
      </c>
      <c r="F30" s="155">
        <f t="shared" si="3"/>
        <v>0.23958333333333331</v>
      </c>
      <c r="G30" s="155">
        <f t="shared" si="3"/>
        <v>0.23958333333333331</v>
      </c>
      <c r="H30" s="155">
        <f t="shared" si="3"/>
        <v>0.23958333333333331</v>
      </c>
      <c r="I30" s="155">
        <f t="shared" si="3"/>
        <v>0.23958333333333331</v>
      </c>
      <c r="J30" s="155">
        <f t="shared" si="3"/>
        <v>0.23958333333333331</v>
      </c>
      <c r="K30" s="155">
        <f t="shared" si="3"/>
        <v>0.23958333333333331</v>
      </c>
      <c r="L30" s="155">
        <f t="shared" si="3"/>
        <v>0.23958333333333331</v>
      </c>
      <c r="M30" s="155">
        <f t="shared" si="3"/>
        <v>0.23958333333333331</v>
      </c>
      <c r="N30" s="155">
        <f t="shared" si="3"/>
        <v>0.23958333333333331</v>
      </c>
      <c r="O30" s="155">
        <f t="shared" si="3"/>
        <v>0.23958333333333331</v>
      </c>
      <c r="P30" s="155">
        <f t="shared" si="3"/>
        <v>0.23958333333333331</v>
      </c>
      <c r="Q30" s="155">
        <f t="shared" si="3"/>
        <v>0.23958333333333331</v>
      </c>
      <c r="R30" s="155">
        <f t="shared" si="3"/>
        <v>0.23958333333333331</v>
      </c>
      <c r="S30" s="155">
        <f t="shared" si="3"/>
        <v>0.23958333333333331</v>
      </c>
      <c r="T30" s="64"/>
    </row>
    <row r="31" spans="1:21" ht="15" customHeight="1">
      <c r="B31" s="269" t="s">
        <v>976</v>
      </c>
      <c r="C31" s="130">
        <f>Inputs!C31</f>
        <v>1</v>
      </c>
      <c r="D31" s="130">
        <f t="shared" si="3"/>
        <v>1</v>
      </c>
      <c r="E31" s="130">
        <f t="shared" si="3"/>
        <v>1</v>
      </c>
      <c r="F31" s="130">
        <f t="shared" si="3"/>
        <v>1</v>
      </c>
      <c r="G31" s="130">
        <f t="shared" si="3"/>
        <v>1</v>
      </c>
      <c r="H31" s="130">
        <f t="shared" si="3"/>
        <v>1</v>
      </c>
      <c r="I31" s="130">
        <f t="shared" si="3"/>
        <v>1</v>
      </c>
      <c r="J31" s="130">
        <f t="shared" si="3"/>
        <v>1</v>
      </c>
      <c r="K31" s="130">
        <f t="shared" si="3"/>
        <v>1</v>
      </c>
      <c r="L31" s="130">
        <f t="shared" si="3"/>
        <v>1</v>
      </c>
      <c r="M31" s="130">
        <f t="shared" si="3"/>
        <v>1</v>
      </c>
      <c r="N31" s="130">
        <f t="shared" si="3"/>
        <v>1</v>
      </c>
      <c r="O31" s="130">
        <f t="shared" si="3"/>
        <v>1</v>
      </c>
      <c r="P31" s="130">
        <f t="shared" si="3"/>
        <v>1</v>
      </c>
      <c r="Q31" s="130">
        <f t="shared" si="3"/>
        <v>1</v>
      </c>
      <c r="R31" s="130">
        <f t="shared" si="3"/>
        <v>1</v>
      </c>
      <c r="S31" s="130">
        <f t="shared" si="3"/>
        <v>1</v>
      </c>
      <c r="T31" s="64"/>
      <c r="U31" s="269"/>
    </row>
    <row r="32" spans="1:21" ht="15" customHeight="1">
      <c r="B32" s="269" t="s">
        <v>985</v>
      </c>
      <c r="C32" s="130">
        <f>Inputs!C32</f>
        <v>0</v>
      </c>
      <c r="D32" s="130">
        <f t="shared" si="3"/>
        <v>0</v>
      </c>
      <c r="E32" s="130">
        <f t="shared" si="3"/>
        <v>0</v>
      </c>
      <c r="F32" s="130">
        <f t="shared" si="3"/>
        <v>0</v>
      </c>
      <c r="G32" s="130">
        <f t="shared" si="3"/>
        <v>0</v>
      </c>
      <c r="H32" s="130">
        <f t="shared" si="3"/>
        <v>0</v>
      </c>
      <c r="I32" s="130">
        <f t="shared" si="3"/>
        <v>0</v>
      </c>
      <c r="J32" s="130">
        <f t="shared" si="3"/>
        <v>0</v>
      </c>
      <c r="K32" s="130">
        <f t="shared" si="3"/>
        <v>0</v>
      </c>
      <c r="L32" s="130">
        <f t="shared" si="3"/>
        <v>0</v>
      </c>
      <c r="M32" s="130">
        <f t="shared" si="3"/>
        <v>0</v>
      </c>
      <c r="N32" s="130">
        <f t="shared" si="3"/>
        <v>0</v>
      </c>
      <c r="O32" s="130">
        <f t="shared" si="3"/>
        <v>0</v>
      </c>
      <c r="P32" s="130">
        <f t="shared" si="3"/>
        <v>0</v>
      </c>
      <c r="Q32" s="130">
        <f t="shared" si="3"/>
        <v>0</v>
      </c>
      <c r="R32" s="130">
        <f t="shared" si="3"/>
        <v>0</v>
      </c>
      <c r="S32" s="130">
        <f t="shared" si="3"/>
        <v>0</v>
      </c>
      <c r="T32" s="64"/>
      <c r="U32" s="269"/>
    </row>
    <row r="33" spans="1:22" ht="15" customHeight="1">
      <c r="A33" s="269" t="s">
        <v>1073</v>
      </c>
      <c r="B33" s="269" t="s">
        <v>396</v>
      </c>
      <c r="C33" s="8">
        <f>Inputs!C33</f>
        <v>0</v>
      </c>
      <c r="D33" s="8">
        <f t="shared" si="3"/>
        <v>0</v>
      </c>
      <c r="E33" s="8">
        <f t="shared" si="3"/>
        <v>0</v>
      </c>
      <c r="F33" s="8">
        <f t="shared" si="3"/>
        <v>0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8">
        <f t="shared" si="3"/>
        <v>0</v>
      </c>
      <c r="O33" s="8">
        <f t="shared" si="3"/>
        <v>0</v>
      </c>
      <c r="P33" s="8">
        <f t="shared" si="3"/>
        <v>0</v>
      </c>
      <c r="Q33" s="8">
        <f t="shared" si="3"/>
        <v>0</v>
      </c>
      <c r="R33" s="8">
        <f t="shared" si="3"/>
        <v>0</v>
      </c>
      <c r="S33" s="249">
        <f t="shared" si="3"/>
        <v>0</v>
      </c>
      <c r="T33" s="293"/>
    </row>
    <row r="34" spans="1:22" ht="15" customHeight="1">
      <c r="B34" s="269" t="s">
        <v>986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293"/>
    </row>
    <row r="35" spans="1:22" ht="15" customHeight="1">
      <c r="B35" s="269" t="s">
        <v>987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49">
        <f t="shared" si="3"/>
        <v>535.18789625849854</v>
      </c>
      <c r="T35" s="293"/>
    </row>
    <row r="36" spans="1:22" ht="15" customHeight="1">
      <c r="B36" s="269" t="s">
        <v>988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49">
        <f t="shared" si="3"/>
        <v>195.09</v>
      </c>
      <c r="T36" s="293"/>
    </row>
    <row r="37" spans="1:22" ht="15" customHeight="1">
      <c r="B37" s="269" t="s">
        <v>989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49">
        <f t="shared" si="3"/>
        <v>195.09</v>
      </c>
      <c r="T37" s="293"/>
    </row>
    <row r="38" spans="1:22" s="269" customFormat="1" ht="15" customHeight="1">
      <c r="B38" s="269" t="s">
        <v>899</v>
      </c>
      <c r="C38" s="249">
        <f>Inputs!C38</f>
        <v>0.30479999024640031</v>
      </c>
      <c r="D38" s="249">
        <f>C38</f>
        <v>0.30479999024640031</v>
      </c>
      <c r="E38" s="249">
        <f t="shared" si="3"/>
        <v>0.30479999024640031</v>
      </c>
      <c r="F38" s="249">
        <f t="shared" si="3"/>
        <v>0.30479999024640031</v>
      </c>
      <c r="G38" s="249">
        <f t="shared" si="3"/>
        <v>0.30479999024640031</v>
      </c>
      <c r="H38" s="249">
        <f t="shared" si="3"/>
        <v>0.30479999024640031</v>
      </c>
      <c r="I38" s="249">
        <f t="shared" si="3"/>
        <v>0.30479999024640031</v>
      </c>
      <c r="J38" s="249">
        <f t="shared" si="3"/>
        <v>0.30479999024640031</v>
      </c>
      <c r="K38" s="249">
        <f t="shared" si="3"/>
        <v>0.30479999024640031</v>
      </c>
      <c r="L38" s="249">
        <f t="shared" si="3"/>
        <v>0.30479999024640031</v>
      </c>
      <c r="M38" s="249">
        <f t="shared" si="3"/>
        <v>0.30479999024640031</v>
      </c>
      <c r="N38" s="249">
        <f t="shared" si="3"/>
        <v>0.30479999024640031</v>
      </c>
      <c r="O38" s="249">
        <f t="shared" si="3"/>
        <v>0.30479999024640031</v>
      </c>
      <c r="P38" s="249">
        <f t="shared" si="3"/>
        <v>0.30479999024640031</v>
      </c>
      <c r="Q38" s="249">
        <f t="shared" si="3"/>
        <v>0.30479999024640031</v>
      </c>
      <c r="R38" s="249">
        <f t="shared" si="3"/>
        <v>0.30479999024640031</v>
      </c>
      <c r="S38" s="249">
        <f t="shared" si="3"/>
        <v>0.30479999024640031</v>
      </c>
      <c r="T38" s="293"/>
    </row>
    <row r="39" spans="1:22" ht="15" customHeight="1">
      <c r="B39" s="269" t="s">
        <v>992</v>
      </c>
      <c r="C39" s="9">
        <f>UA!F11</f>
        <v>57.296143603076928</v>
      </c>
      <c r="D39" s="9">
        <f>UA!G11</f>
        <v>57.296143603076928</v>
      </c>
      <c r="E39" s="9">
        <f>UA!H11</f>
        <v>57.296143603076928</v>
      </c>
      <c r="F39" s="9">
        <f>UA!I11</f>
        <v>38.719532737999998</v>
      </c>
      <c r="G39" s="9">
        <f>UA!J11</f>
        <v>38.719532737999998</v>
      </c>
      <c r="H39" s="9">
        <f>UA!K11</f>
        <v>38.719532737999998</v>
      </c>
      <c r="I39" s="9">
        <f>UA!L11</f>
        <v>38.719532737999998</v>
      </c>
      <c r="J39" s="9">
        <f>UA!M11</f>
        <v>38.719532737999998</v>
      </c>
      <c r="K39" s="9">
        <f>UA!N11</f>
        <v>38.719532737999998</v>
      </c>
      <c r="L39" s="9">
        <f>UA!O11</f>
        <v>38.719532737999998</v>
      </c>
      <c r="M39" s="9">
        <f>UA!P11</f>
        <v>38.719532737999998</v>
      </c>
      <c r="N39" s="9">
        <f>UA!Q11</f>
        <v>31.819648702399999</v>
      </c>
      <c r="O39" s="9">
        <f>UA!R11</f>
        <v>31.819648702399999</v>
      </c>
      <c r="P39" s="9">
        <f>UA!S11</f>
        <v>31.819648702399999</v>
      </c>
      <c r="Q39" s="9">
        <f>UA!T11</f>
        <v>31.819648702399999</v>
      </c>
      <c r="R39" s="9">
        <f>UA!U11</f>
        <v>57.296143603076928</v>
      </c>
      <c r="S39" s="9">
        <f>UA!V11</f>
        <v>38.719532737999998</v>
      </c>
      <c r="T39" s="293"/>
      <c r="V39" s="269"/>
    </row>
    <row r="40" spans="1:22" ht="15" customHeight="1">
      <c r="B40" s="269" t="s">
        <v>993</v>
      </c>
      <c r="C40" s="9">
        <f>UA!F13</f>
        <v>85.21381130769231</v>
      </c>
      <c r="D40" s="9">
        <f>UA!G13</f>
        <v>85.21381130769231</v>
      </c>
      <c r="E40" s="9">
        <f>UA!H13</f>
        <v>85.21381130769231</v>
      </c>
      <c r="F40" s="9">
        <f>UA!I13</f>
        <v>58.304186684210528</v>
      </c>
      <c r="G40" s="9">
        <f>UA!J13</f>
        <v>58.304186684210528</v>
      </c>
      <c r="H40" s="9">
        <f>UA!K13</f>
        <v>58.304186684210528</v>
      </c>
      <c r="I40" s="9">
        <f>UA!L13</f>
        <v>58.304186684210528</v>
      </c>
      <c r="J40" s="9">
        <f>UA!M13</f>
        <v>58.304186684210528</v>
      </c>
      <c r="K40" s="9">
        <f>UA!N13</f>
        <v>36.925984900000003</v>
      </c>
      <c r="L40" s="9">
        <f>UA!O13</f>
        <v>36.925984900000003</v>
      </c>
      <c r="M40" s="9">
        <f>UA!P13</f>
        <v>36.925984900000003</v>
      </c>
      <c r="N40" s="9">
        <f>UA!Q13</f>
        <v>36.925984900000003</v>
      </c>
      <c r="O40" s="9">
        <f>UA!R13</f>
        <v>36.925984900000003</v>
      </c>
      <c r="P40" s="9">
        <f>UA!S13</f>
        <v>29.152093342105264</v>
      </c>
      <c r="Q40" s="9">
        <f>UA!T13</f>
        <v>29.152093342105264</v>
      </c>
      <c r="R40" s="9">
        <f>UA!U13</f>
        <v>85.21381130769231</v>
      </c>
      <c r="S40" s="9">
        <f>UA!V13</f>
        <v>58.304186684210528</v>
      </c>
      <c r="T40" s="293"/>
    </row>
    <row r="41" spans="1:22" s="269" customFormat="1" ht="15" customHeight="1">
      <c r="B41" s="269" t="s">
        <v>994</v>
      </c>
      <c r="C41" s="9">
        <f>UA!F12</f>
        <v>88.622363760000013</v>
      </c>
      <c r="D41" s="9">
        <f>UA!G12</f>
        <v>88.622363760000013</v>
      </c>
      <c r="E41" s="9">
        <f>UA!H12</f>
        <v>88.622363760000013</v>
      </c>
      <c r="F41" s="9">
        <f>UA!I12</f>
        <v>66.466772820000003</v>
      </c>
      <c r="G41" s="9">
        <f>UA!J12</f>
        <v>66.466772820000003</v>
      </c>
      <c r="H41" s="9">
        <f>UA!K12</f>
        <v>66.466772820000003</v>
      </c>
      <c r="I41" s="9">
        <f>UA!L12</f>
        <v>66.466772820000003</v>
      </c>
      <c r="J41" s="9">
        <f>UA!M12</f>
        <v>66.466772820000003</v>
      </c>
      <c r="K41" s="9">
        <f>UA!N12</f>
        <v>59.820095538000004</v>
      </c>
      <c r="L41" s="9">
        <f>UA!O12</f>
        <v>59.820095538000004</v>
      </c>
      <c r="M41" s="9">
        <f>UA!P12</f>
        <v>59.820095538000004</v>
      </c>
      <c r="N41" s="9">
        <f>UA!Q12</f>
        <v>59.820095538000004</v>
      </c>
      <c r="O41" s="9">
        <f>UA!R12</f>
        <v>59.820095538000004</v>
      </c>
      <c r="P41" s="9">
        <f>UA!S12</f>
        <v>59.820095538000004</v>
      </c>
      <c r="Q41" s="9">
        <f>UA!T12</f>
        <v>59.820095538000004</v>
      </c>
      <c r="R41" s="9">
        <f>UA!U12</f>
        <v>88.622363760000013</v>
      </c>
      <c r="S41" s="9">
        <f>UA!V12</f>
        <v>66.466772820000003</v>
      </c>
      <c r="T41" s="293"/>
    </row>
    <row r="42" spans="1:22" ht="15" customHeight="1">
      <c r="A42" s="269" t="s">
        <v>46</v>
      </c>
      <c r="B42" s="269" t="s">
        <v>995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93"/>
    </row>
    <row r="43" spans="1:22" s="269" customFormat="1" ht="15" customHeight="1">
      <c r="B43" s="269" t="s">
        <v>901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93"/>
    </row>
    <row r="44" spans="1:22" s="269" customFormat="1" ht="15" customHeight="1">
      <c r="B44" s="269" t="s">
        <v>902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93"/>
    </row>
    <row r="45" spans="1:22" s="269" customFormat="1" ht="15" customHeight="1">
      <c r="B45" s="269" t="s">
        <v>903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93"/>
    </row>
    <row r="46" spans="1:22" s="269" customFormat="1" ht="15" customHeight="1">
      <c r="B46" s="269" t="s">
        <v>904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93"/>
    </row>
    <row r="47" spans="1:22" s="269" customFormat="1" ht="15" customHeight="1">
      <c r="B47" s="269" t="s">
        <v>905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93"/>
    </row>
    <row r="48" spans="1:22" ht="15" customHeight="1">
      <c r="A48" s="269" t="s">
        <v>48</v>
      </c>
      <c r="B48" s="269" t="s">
        <v>996</v>
      </c>
      <c r="C48" s="130">
        <f>Inputs!C48</f>
        <v>6</v>
      </c>
      <c r="D48" s="130">
        <f t="shared" ref="D48:S48" si="21">C48</f>
        <v>6</v>
      </c>
      <c r="E48" s="130">
        <f t="shared" si="21"/>
        <v>6</v>
      </c>
      <c r="F48" s="130">
        <f t="shared" si="21"/>
        <v>6</v>
      </c>
      <c r="G48" s="130">
        <f t="shared" si="21"/>
        <v>6</v>
      </c>
      <c r="H48" s="130">
        <f t="shared" si="21"/>
        <v>6</v>
      </c>
      <c r="I48" s="130">
        <f t="shared" si="21"/>
        <v>6</v>
      </c>
      <c r="J48" s="130">
        <f t="shared" si="21"/>
        <v>6</v>
      </c>
      <c r="K48" s="130">
        <f t="shared" si="21"/>
        <v>6</v>
      </c>
      <c r="L48" s="130">
        <f t="shared" si="21"/>
        <v>6</v>
      </c>
      <c r="M48" s="130">
        <f t="shared" si="21"/>
        <v>6</v>
      </c>
      <c r="N48" s="130">
        <f t="shared" si="21"/>
        <v>6</v>
      </c>
      <c r="O48" s="130">
        <f t="shared" si="21"/>
        <v>6</v>
      </c>
      <c r="P48" s="130">
        <f t="shared" si="21"/>
        <v>6</v>
      </c>
      <c r="Q48" s="130">
        <f t="shared" si="21"/>
        <v>6</v>
      </c>
      <c r="R48" s="130">
        <f t="shared" si="21"/>
        <v>6</v>
      </c>
      <c r="S48" s="130">
        <f t="shared" si="21"/>
        <v>6</v>
      </c>
      <c r="T48" s="293"/>
    </row>
    <row r="49" spans="2:20" ht="15" customHeight="1">
      <c r="B49" s="269" t="s">
        <v>1002</v>
      </c>
      <c r="C49" s="350">
        <f>Fans!B12</f>
        <v>23.125992176059796</v>
      </c>
      <c r="D49" s="350">
        <f>Fans!C12</f>
        <v>23.058784946799218</v>
      </c>
      <c r="E49" s="350">
        <f>Fans!D12</f>
        <v>22.989958266231152</v>
      </c>
      <c r="F49" s="350">
        <f>Fans!E12</f>
        <v>23.297294136584757</v>
      </c>
      <c r="G49" s="350">
        <f>Fans!F12</f>
        <v>23.191579954012894</v>
      </c>
      <c r="H49" s="350">
        <f>Fans!G12</f>
        <v>22.462826865645148</v>
      </c>
      <c r="I49" s="350">
        <f>Fans!H12</f>
        <v>23.081367295586908</v>
      </c>
      <c r="J49" s="350">
        <f>Fans!I12</f>
        <v>22.847446551172567</v>
      </c>
      <c r="K49" s="350">
        <f>Fans!J12</f>
        <v>22.786154817660162</v>
      </c>
      <c r="L49" s="350">
        <f>Fans!K12</f>
        <v>23.191579954012894</v>
      </c>
      <c r="M49" s="350">
        <f>Fans!L12</f>
        <v>23.358563377717896</v>
      </c>
      <c r="N49" s="350">
        <f>Fans!M12</f>
        <v>23.148034707744994</v>
      </c>
      <c r="O49" s="350">
        <f>Fans!N12</f>
        <v>23.058784946799218</v>
      </c>
      <c r="P49" s="350">
        <f>Fans!O12</f>
        <v>22.723738465184219</v>
      </c>
      <c r="Q49" s="350">
        <f>Fans!P12</f>
        <v>23.495227074166124</v>
      </c>
      <c r="R49" s="350">
        <f>Fans!Q12</f>
        <v>23.317897155996636</v>
      </c>
      <c r="S49" s="350">
        <f>Fans!R12</f>
        <v>23.44743076821608</v>
      </c>
      <c r="T49" s="293"/>
    </row>
    <row r="50" spans="2:20" ht="15" customHeight="1">
      <c r="B50" s="269" t="s">
        <v>1000</v>
      </c>
      <c r="C50" s="517">
        <f>Fans!B13</f>
        <v>-4.0858643420600353E-2</v>
      </c>
      <c r="D50" s="188">
        <f>Fans!C13</f>
        <v>-4.0739902732860815E-2</v>
      </c>
      <c r="E50" s="188">
        <f>Fans!D13</f>
        <v>-4.0618300823729955E-2</v>
      </c>
      <c r="F50" s="188">
        <f>Fans!E13</f>
        <v>-4.1161297061103816E-2</v>
      </c>
      <c r="G50" s="188">
        <f>Fans!F13</f>
        <v>-4.0974522886948576E-2</v>
      </c>
      <c r="H50" s="188">
        <f>Fans!G13</f>
        <v>-3.9686973260857156E-2</v>
      </c>
      <c r="I50" s="188">
        <f>Fans!H13</f>
        <v>-4.0779800875595247E-2</v>
      </c>
      <c r="J50" s="188">
        <f>Fans!I13</f>
        <v>-4.0366513341294291E-2</v>
      </c>
      <c r="K50" s="188">
        <f>Fans!J13</f>
        <v>-4.025822405947025E-2</v>
      </c>
      <c r="L50" s="188">
        <f>Fans!K13</f>
        <v>-4.0974522886948576E-2</v>
      </c>
      <c r="M50" s="188">
        <f>Fans!L13</f>
        <v>-4.1269546603741873E-2</v>
      </c>
      <c r="N50" s="188">
        <f>Fans!M13</f>
        <v>-4.089758782287102E-2</v>
      </c>
      <c r="O50" s="188">
        <f>Fans!N13</f>
        <v>-4.0739902732860815E-2</v>
      </c>
      <c r="P50" s="188">
        <f>Fans!O13</f>
        <v>-4.0147947818346678E-2</v>
      </c>
      <c r="Q50" s="188">
        <f>Fans!P13</f>
        <v>-4.1511001897820012E-2</v>
      </c>
      <c r="R50" s="188">
        <f>Fans!Q13</f>
        <v>-4.1197698155471092E-2</v>
      </c>
      <c r="S50" s="188">
        <f>Fans!R13</f>
        <v>-4.1426556127590247E-2</v>
      </c>
      <c r="T50" s="293"/>
    </row>
    <row r="51" spans="2:20" ht="15" customHeight="1">
      <c r="B51" s="269" t="s">
        <v>1001</v>
      </c>
      <c r="C51" s="187">
        <f>Fans!B14</f>
        <v>1</v>
      </c>
      <c r="D51" s="187">
        <f>Fans!C14</f>
        <v>1</v>
      </c>
      <c r="E51" s="187">
        <f>Fans!D14</f>
        <v>1</v>
      </c>
      <c r="F51" s="187">
        <f>Fans!E14</f>
        <v>1</v>
      </c>
      <c r="G51" s="187">
        <f>Fans!F14</f>
        <v>1</v>
      </c>
      <c r="H51" s="187">
        <f>Fans!G14</f>
        <v>1</v>
      </c>
      <c r="I51" s="187">
        <f>Fans!H14</f>
        <v>1</v>
      </c>
      <c r="J51" s="187">
        <f>Fans!I14</f>
        <v>1</v>
      </c>
      <c r="K51" s="187">
        <f>Fans!J14</f>
        <v>1</v>
      </c>
      <c r="L51" s="187">
        <f>Fans!K14</f>
        <v>1</v>
      </c>
      <c r="M51" s="187">
        <f>Fans!L14</f>
        <v>1</v>
      </c>
      <c r="N51" s="187">
        <f>Fans!M14</f>
        <v>1</v>
      </c>
      <c r="O51" s="187">
        <f>Fans!N14</f>
        <v>1</v>
      </c>
      <c r="P51" s="187">
        <f>Fans!O14</f>
        <v>1</v>
      </c>
      <c r="Q51" s="187">
        <f>Fans!P14</f>
        <v>1</v>
      </c>
      <c r="R51" s="187">
        <f>Fans!Q14</f>
        <v>1</v>
      </c>
      <c r="S51" s="187">
        <f>Fans!R14</f>
        <v>1</v>
      </c>
      <c r="T51" s="293"/>
    </row>
    <row r="52" spans="2:20" ht="15" customHeight="1">
      <c r="B52" s="269" t="s">
        <v>1003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49">
        <f t="shared" si="22"/>
        <v>0</v>
      </c>
      <c r="T52" s="293"/>
    </row>
    <row r="53" spans="2:20" ht="15" customHeight="1">
      <c r="B53" s="269" t="s">
        <v>1004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293"/>
    </row>
    <row r="54" spans="2:20" ht="15" customHeight="1">
      <c r="B54" s="269" t="s">
        <v>1005</v>
      </c>
      <c r="C54" s="130">
        <f>Inputs!C54</f>
        <v>23</v>
      </c>
      <c r="D54" s="130">
        <f t="shared" ref="D54:S54" si="24">C54</f>
        <v>23</v>
      </c>
      <c r="E54" s="130">
        <f t="shared" si="24"/>
        <v>23</v>
      </c>
      <c r="F54" s="130">
        <f t="shared" si="24"/>
        <v>23</v>
      </c>
      <c r="G54" s="130">
        <f t="shared" si="24"/>
        <v>23</v>
      </c>
      <c r="H54" s="130">
        <f t="shared" si="24"/>
        <v>23</v>
      </c>
      <c r="I54" s="130">
        <f t="shared" si="24"/>
        <v>23</v>
      </c>
      <c r="J54" s="130">
        <f t="shared" si="24"/>
        <v>23</v>
      </c>
      <c r="K54" s="130">
        <f t="shared" si="24"/>
        <v>23</v>
      </c>
      <c r="L54" s="130">
        <f t="shared" si="24"/>
        <v>23</v>
      </c>
      <c r="M54" s="130">
        <f t="shared" si="24"/>
        <v>23</v>
      </c>
      <c r="N54" s="130">
        <f t="shared" si="24"/>
        <v>23</v>
      </c>
      <c r="O54" s="130">
        <f t="shared" si="24"/>
        <v>23</v>
      </c>
      <c r="P54" s="130">
        <f t="shared" si="24"/>
        <v>23</v>
      </c>
      <c r="Q54" s="130">
        <f t="shared" si="24"/>
        <v>23</v>
      </c>
      <c r="R54" s="130">
        <f t="shared" si="24"/>
        <v>23</v>
      </c>
      <c r="S54" s="130">
        <f t="shared" si="24"/>
        <v>23</v>
      </c>
      <c r="T54" s="293"/>
    </row>
    <row r="55" spans="2:20" ht="15" customHeight="1">
      <c r="B55" s="269" t="s">
        <v>1006</v>
      </c>
      <c r="C55" s="192">
        <f>Inputs!C55</f>
        <v>37.200000000000003</v>
      </c>
      <c r="D55" s="192">
        <f t="shared" ref="D55:S55" si="25">C55</f>
        <v>37.200000000000003</v>
      </c>
      <c r="E55" s="192">
        <f t="shared" si="25"/>
        <v>37.200000000000003</v>
      </c>
      <c r="F55" s="192">
        <f t="shared" si="25"/>
        <v>37.200000000000003</v>
      </c>
      <c r="G55" s="192">
        <f t="shared" si="25"/>
        <v>37.200000000000003</v>
      </c>
      <c r="H55" s="192">
        <f t="shared" si="25"/>
        <v>37.200000000000003</v>
      </c>
      <c r="I55" s="192">
        <f t="shared" si="25"/>
        <v>37.200000000000003</v>
      </c>
      <c r="J55" s="192">
        <f t="shared" si="25"/>
        <v>37.200000000000003</v>
      </c>
      <c r="K55" s="192">
        <f t="shared" si="25"/>
        <v>37.200000000000003</v>
      </c>
      <c r="L55" s="192">
        <f t="shared" si="25"/>
        <v>37.200000000000003</v>
      </c>
      <c r="M55" s="192">
        <f t="shared" si="25"/>
        <v>37.200000000000003</v>
      </c>
      <c r="N55" s="192">
        <f t="shared" si="25"/>
        <v>37.200000000000003</v>
      </c>
      <c r="O55" s="192">
        <f t="shared" si="25"/>
        <v>37.200000000000003</v>
      </c>
      <c r="P55" s="192">
        <f t="shared" si="25"/>
        <v>37.200000000000003</v>
      </c>
      <c r="Q55" s="192">
        <f t="shared" si="25"/>
        <v>37.200000000000003</v>
      </c>
      <c r="R55" s="192">
        <f t="shared" si="25"/>
        <v>37.200000000000003</v>
      </c>
      <c r="S55" s="192">
        <f t="shared" si="25"/>
        <v>37.200000000000003</v>
      </c>
      <c r="T55" s="293"/>
    </row>
    <row r="56" spans="2:20" ht="15" customHeight="1">
      <c r="B56" s="269" t="s">
        <v>1007</v>
      </c>
      <c r="C56" s="188">
        <f>Inputs!C56</f>
        <v>-4.7192071731949031E-2</v>
      </c>
      <c r="D56" s="188">
        <f t="shared" ref="D56:S56" si="26">C56</f>
        <v>-4.7192071731949031E-2</v>
      </c>
      <c r="E56" s="188">
        <f t="shared" si="26"/>
        <v>-4.7192071731949031E-2</v>
      </c>
      <c r="F56" s="188">
        <f t="shared" si="26"/>
        <v>-4.7192071731949031E-2</v>
      </c>
      <c r="G56" s="188">
        <f t="shared" si="26"/>
        <v>-4.7192071731949031E-2</v>
      </c>
      <c r="H56" s="188">
        <f t="shared" si="26"/>
        <v>-4.7192071731949031E-2</v>
      </c>
      <c r="I56" s="188">
        <f t="shared" si="26"/>
        <v>-4.7192071731949031E-2</v>
      </c>
      <c r="J56" s="188">
        <f t="shared" si="26"/>
        <v>-4.7192071731949031E-2</v>
      </c>
      <c r="K56" s="188">
        <f t="shared" si="26"/>
        <v>-4.7192071731949031E-2</v>
      </c>
      <c r="L56" s="188">
        <f t="shared" si="26"/>
        <v>-4.7192071731949031E-2</v>
      </c>
      <c r="M56" s="188">
        <f t="shared" si="26"/>
        <v>-4.7192071731949031E-2</v>
      </c>
      <c r="N56" s="188">
        <f t="shared" si="26"/>
        <v>-4.7192071731949031E-2</v>
      </c>
      <c r="O56" s="188">
        <f t="shared" si="26"/>
        <v>-4.7192071731949031E-2</v>
      </c>
      <c r="P56" s="188">
        <f t="shared" si="26"/>
        <v>-4.7192071731949031E-2</v>
      </c>
      <c r="Q56" s="188">
        <f t="shared" si="26"/>
        <v>-4.7192071731949031E-2</v>
      </c>
      <c r="R56" s="188">
        <f t="shared" si="26"/>
        <v>-4.7192071731949031E-2</v>
      </c>
      <c r="S56" s="188">
        <f t="shared" si="26"/>
        <v>-4.7192071731949031E-2</v>
      </c>
      <c r="T56" s="293"/>
    </row>
    <row r="57" spans="2:20" ht="15" customHeight="1">
      <c r="B57" s="269" t="s">
        <v>1008</v>
      </c>
      <c r="C57" s="187">
        <f>Inputs!C57</f>
        <v>24</v>
      </c>
      <c r="D57" s="187">
        <f t="shared" ref="D57:S57" si="27">C57</f>
        <v>24</v>
      </c>
      <c r="E57" s="187">
        <f t="shared" si="27"/>
        <v>24</v>
      </c>
      <c r="F57" s="187">
        <f t="shared" si="27"/>
        <v>24</v>
      </c>
      <c r="G57" s="187">
        <f t="shared" si="27"/>
        <v>24</v>
      </c>
      <c r="H57" s="187">
        <f t="shared" si="27"/>
        <v>24</v>
      </c>
      <c r="I57" s="187">
        <f t="shared" si="27"/>
        <v>24</v>
      </c>
      <c r="J57" s="187">
        <f t="shared" si="27"/>
        <v>24</v>
      </c>
      <c r="K57" s="187">
        <f t="shared" si="27"/>
        <v>24</v>
      </c>
      <c r="L57" s="187">
        <f t="shared" si="27"/>
        <v>24</v>
      </c>
      <c r="M57" s="187">
        <f t="shared" si="27"/>
        <v>24</v>
      </c>
      <c r="N57" s="187">
        <f t="shared" si="27"/>
        <v>24</v>
      </c>
      <c r="O57" s="187">
        <f t="shared" si="27"/>
        <v>24</v>
      </c>
      <c r="P57" s="187">
        <f t="shared" si="27"/>
        <v>24</v>
      </c>
      <c r="Q57" s="187">
        <f t="shared" si="27"/>
        <v>24</v>
      </c>
      <c r="R57" s="187">
        <f t="shared" si="27"/>
        <v>24</v>
      </c>
      <c r="S57" s="187">
        <f t="shared" si="27"/>
        <v>24</v>
      </c>
      <c r="T57" s="293"/>
    </row>
    <row r="58" spans="2:20" ht="15" customHeight="1">
      <c r="B58" s="269" t="s">
        <v>1009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49">
        <f t="shared" si="28"/>
        <v>10.199999999999999</v>
      </c>
      <c r="T58" s="293"/>
    </row>
    <row r="59" spans="2:20" ht="15" customHeight="1">
      <c r="B59" s="269" t="s">
        <v>1010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293"/>
    </row>
    <row r="60" spans="2:20" ht="15" customHeight="1">
      <c r="B60" s="269" t="s">
        <v>1011</v>
      </c>
      <c r="C60" s="130">
        <f>Inputs!C60</f>
        <v>25</v>
      </c>
      <c r="D60" s="130">
        <f t="shared" ref="D60:S60" si="30">C60</f>
        <v>25</v>
      </c>
      <c r="E60" s="130">
        <f t="shared" si="30"/>
        <v>25</v>
      </c>
      <c r="F60" s="130">
        <f t="shared" si="30"/>
        <v>25</v>
      </c>
      <c r="G60" s="130">
        <f t="shared" si="30"/>
        <v>25</v>
      </c>
      <c r="H60" s="130">
        <f t="shared" si="30"/>
        <v>25</v>
      </c>
      <c r="I60" s="130">
        <f t="shared" si="30"/>
        <v>25</v>
      </c>
      <c r="J60" s="130">
        <f t="shared" si="30"/>
        <v>25</v>
      </c>
      <c r="K60" s="130">
        <f t="shared" si="30"/>
        <v>25</v>
      </c>
      <c r="L60" s="130">
        <f t="shared" si="30"/>
        <v>25</v>
      </c>
      <c r="M60" s="130">
        <f t="shared" si="30"/>
        <v>25</v>
      </c>
      <c r="N60" s="130">
        <f t="shared" si="30"/>
        <v>25</v>
      </c>
      <c r="O60" s="130">
        <f t="shared" si="30"/>
        <v>25</v>
      </c>
      <c r="P60" s="130">
        <f t="shared" si="30"/>
        <v>25</v>
      </c>
      <c r="Q60" s="130">
        <f t="shared" si="30"/>
        <v>25</v>
      </c>
      <c r="R60" s="130">
        <f t="shared" si="30"/>
        <v>25</v>
      </c>
      <c r="S60" s="130">
        <f t="shared" si="30"/>
        <v>25</v>
      </c>
      <c r="T60" s="293"/>
    </row>
    <row r="61" spans="2:20" ht="15" customHeight="1">
      <c r="B61" s="269" t="s">
        <v>1012</v>
      </c>
      <c r="C61" s="192">
        <f>Inputs!C61</f>
        <v>10.199999999999999</v>
      </c>
      <c r="D61" s="192">
        <f t="shared" ref="D61:S61" si="31">C61</f>
        <v>10.199999999999999</v>
      </c>
      <c r="E61" s="192">
        <f t="shared" si="31"/>
        <v>10.199999999999999</v>
      </c>
      <c r="F61" s="192">
        <f t="shared" si="31"/>
        <v>10.199999999999999</v>
      </c>
      <c r="G61" s="192">
        <f t="shared" si="31"/>
        <v>10.199999999999999</v>
      </c>
      <c r="H61" s="192">
        <f t="shared" si="31"/>
        <v>10.199999999999999</v>
      </c>
      <c r="I61" s="192">
        <f t="shared" si="31"/>
        <v>10.199999999999999</v>
      </c>
      <c r="J61" s="192">
        <f t="shared" si="31"/>
        <v>10.199999999999999</v>
      </c>
      <c r="K61" s="192">
        <f t="shared" si="31"/>
        <v>10.199999999999999</v>
      </c>
      <c r="L61" s="192">
        <f t="shared" si="31"/>
        <v>10.199999999999999</v>
      </c>
      <c r="M61" s="192">
        <f t="shared" si="31"/>
        <v>10.199999999999999</v>
      </c>
      <c r="N61" s="192">
        <f t="shared" si="31"/>
        <v>10.199999999999999</v>
      </c>
      <c r="O61" s="192">
        <f t="shared" si="31"/>
        <v>10.199999999999999</v>
      </c>
      <c r="P61" s="192">
        <f t="shared" si="31"/>
        <v>10.199999999999999</v>
      </c>
      <c r="Q61" s="192">
        <f t="shared" si="31"/>
        <v>10.199999999999999</v>
      </c>
      <c r="R61" s="192">
        <f t="shared" si="31"/>
        <v>10.199999999999999</v>
      </c>
      <c r="S61" s="192">
        <f t="shared" si="31"/>
        <v>10.199999999999999</v>
      </c>
      <c r="T61" s="293"/>
    </row>
    <row r="62" spans="2:20" ht="15" customHeight="1">
      <c r="B62" s="269" t="s">
        <v>1013</v>
      </c>
      <c r="C62" s="188">
        <f>Inputs!C62</f>
        <v>-2.3596035865974516E-2</v>
      </c>
      <c r="D62" s="188">
        <f t="shared" ref="D62:S62" si="32">C62</f>
        <v>-2.3596035865974516E-2</v>
      </c>
      <c r="E62" s="188">
        <f t="shared" si="32"/>
        <v>-2.3596035865974516E-2</v>
      </c>
      <c r="F62" s="188">
        <f t="shared" si="32"/>
        <v>-2.3596035865974516E-2</v>
      </c>
      <c r="G62" s="188">
        <f t="shared" si="32"/>
        <v>-2.3596035865974516E-2</v>
      </c>
      <c r="H62" s="188">
        <f t="shared" si="32"/>
        <v>-2.3596035865974516E-2</v>
      </c>
      <c r="I62" s="188">
        <f t="shared" si="32"/>
        <v>-2.3596035865974516E-2</v>
      </c>
      <c r="J62" s="188">
        <f t="shared" si="32"/>
        <v>-2.3596035865974516E-2</v>
      </c>
      <c r="K62" s="188">
        <f t="shared" si="32"/>
        <v>-2.3596035865974516E-2</v>
      </c>
      <c r="L62" s="188">
        <f t="shared" si="32"/>
        <v>-2.3596035865974516E-2</v>
      </c>
      <c r="M62" s="188">
        <f t="shared" si="32"/>
        <v>-2.3596035865974516E-2</v>
      </c>
      <c r="N62" s="188">
        <f t="shared" si="32"/>
        <v>-2.3596035865974516E-2</v>
      </c>
      <c r="O62" s="188">
        <f t="shared" si="32"/>
        <v>-2.3596035865974516E-2</v>
      </c>
      <c r="P62" s="188">
        <f t="shared" si="32"/>
        <v>-2.3596035865974516E-2</v>
      </c>
      <c r="Q62" s="188">
        <f t="shared" si="32"/>
        <v>-2.3596035865974516E-2</v>
      </c>
      <c r="R62" s="188">
        <f t="shared" si="32"/>
        <v>-2.3596035865974516E-2</v>
      </c>
      <c r="S62" s="188">
        <f t="shared" si="32"/>
        <v>-2.3596035865974516E-2</v>
      </c>
    </row>
    <row r="63" spans="2:20" ht="15" customHeight="1">
      <c r="B63" s="269" t="s">
        <v>1014</v>
      </c>
      <c r="C63" s="187">
        <f>Inputs!C63</f>
        <v>26</v>
      </c>
      <c r="D63" s="187">
        <f t="shared" ref="D63:S72" si="33">C63</f>
        <v>26</v>
      </c>
      <c r="E63" s="187">
        <f t="shared" si="33"/>
        <v>26</v>
      </c>
      <c r="F63" s="187">
        <f t="shared" si="33"/>
        <v>26</v>
      </c>
      <c r="G63" s="187">
        <f t="shared" si="33"/>
        <v>26</v>
      </c>
      <c r="H63" s="187">
        <f t="shared" si="33"/>
        <v>26</v>
      </c>
      <c r="I63" s="187">
        <f t="shared" si="33"/>
        <v>26</v>
      </c>
      <c r="J63" s="187">
        <f t="shared" si="33"/>
        <v>26</v>
      </c>
      <c r="K63" s="187">
        <f t="shared" si="33"/>
        <v>26</v>
      </c>
      <c r="L63" s="187">
        <f t="shared" si="33"/>
        <v>26</v>
      </c>
      <c r="M63" s="187">
        <f t="shared" si="33"/>
        <v>26</v>
      </c>
      <c r="N63" s="187">
        <f t="shared" si="33"/>
        <v>26</v>
      </c>
      <c r="O63" s="187">
        <f t="shared" si="33"/>
        <v>26</v>
      </c>
      <c r="P63" s="187">
        <f t="shared" si="33"/>
        <v>26</v>
      </c>
      <c r="Q63" s="187">
        <f t="shared" si="33"/>
        <v>26</v>
      </c>
      <c r="R63" s="187">
        <f t="shared" si="33"/>
        <v>26</v>
      </c>
      <c r="S63" s="187">
        <f t="shared" si="33"/>
        <v>26</v>
      </c>
    </row>
    <row r="64" spans="2:20" ht="15" customHeight="1">
      <c r="B64" s="269" t="s">
        <v>1015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49">
        <f t="shared" si="33"/>
        <v>0</v>
      </c>
    </row>
    <row r="65" spans="1:20" ht="15" customHeight="1">
      <c r="B65" s="269" t="s">
        <v>1016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69" t="s">
        <v>1017</v>
      </c>
      <c r="C66" s="130">
        <f>Inputs!C66</f>
        <v>27</v>
      </c>
      <c r="D66" s="130">
        <f t="shared" si="33"/>
        <v>27</v>
      </c>
      <c r="E66" s="130">
        <f t="shared" si="33"/>
        <v>27</v>
      </c>
      <c r="F66" s="130">
        <f t="shared" si="33"/>
        <v>27</v>
      </c>
      <c r="G66" s="130">
        <f t="shared" si="33"/>
        <v>27</v>
      </c>
      <c r="H66" s="130">
        <f t="shared" si="33"/>
        <v>27</v>
      </c>
      <c r="I66" s="130">
        <f t="shared" si="33"/>
        <v>27</v>
      </c>
      <c r="J66" s="130">
        <f t="shared" si="33"/>
        <v>27</v>
      </c>
      <c r="K66" s="130">
        <f t="shared" si="33"/>
        <v>27</v>
      </c>
      <c r="L66" s="130">
        <f t="shared" si="33"/>
        <v>27</v>
      </c>
      <c r="M66" s="130">
        <f t="shared" si="33"/>
        <v>27</v>
      </c>
      <c r="N66" s="130">
        <f t="shared" si="33"/>
        <v>27</v>
      </c>
      <c r="O66" s="130">
        <f t="shared" si="33"/>
        <v>27</v>
      </c>
      <c r="P66" s="130">
        <f t="shared" si="33"/>
        <v>27</v>
      </c>
      <c r="Q66" s="130">
        <f t="shared" si="33"/>
        <v>27</v>
      </c>
      <c r="R66" s="130">
        <f t="shared" si="33"/>
        <v>27</v>
      </c>
      <c r="S66" s="130">
        <f t="shared" si="33"/>
        <v>27</v>
      </c>
    </row>
    <row r="67" spans="1:20" s="126" customFormat="1" ht="15" customHeight="1">
      <c r="A67" s="269"/>
      <c r="B67" s="269" t="s">
        <v>1018</v>
      </c>
      <c r="C67" s="220">
        <v>0</v>
      </c>
      <c r="D67" s="220">
        <f>C67</f>
        <v>0</v>
      </c>
      <c r="E67" s="220">
        <f t="shared" si="33"/>
        <v>0</v>
      </c>
      <c r="F67" s="220">
        <f t="shared" si="33"/>
        <v>0</v>
      </c>
      <c r="G67" s="220">
        <f t="shared" si="33"/>
        <v>0</v>
      </c>
      <c r="H67" s="220">
        <f t="shared" si="33"/>
        <v>0</v>
      </c>
      <c r="I67" s="220">
        <f t="shared" si="33"/>
        <v>0</v>
      </c>
      <c r="J67" s="220">
        <f t="shared" si="33"/>
        <v>0</v>
      </c>
      <c r="K67" s="220">
        <f t="shared" si="33"/>
        <v>0</v>
      </c>
      <c r="L67" s="220">
        <f t="shared" si="33"/>
        <v>0</v>
      </c>
      <c r="M67" s="220">
        <f t="shared" si="33"/>
        <v>0</v>
      </c>
      <c r="N67" s="220">
        <f t="shared" si="33"/>
        <v>0</v>
      </c>
      <c r="O67" s="220">
        <f t="shared" si="33"/>
        <v>0</v>
      </c>
      <c r="P67" s="220">
        <f t="shared" si="33"/>
        <v>0</v>
      </c>
      <c r="Q67" s="220">
        <f t="shared" si="33"/>
        <v>0</v>
      </c>
      <c r="R67" s="220">
        <f t="shared" si="33"/>
        <v>0</v>
      </c>
      <c r="S67" s="220">
        <f t="shared" si="33"/>
        <v>0</v>
      </c>
      <c r="T67" s="66"/>
    </row>
    <row r="68" spans="1:20" s="126" customFormat="1" ht="15" customHeight="1">
      <c r="A68" s="269"/>
      <c r="B68" s="269" t="s">
        <v>1019</v>
      </c>
      <c r="C68" s="277">
        <f>-1*C50</f>
        <v>4.0858643420600353E-2</v>
      </c>
      <c r="D68" s="277">
        <f t="shared" ref="D68" si="34">-1*D50</f>
        <v>4.0739902732860815E-2</v>
      </c>
      <c r="E68" s="277">
        <f t="shared" ref="E68:R68" si="35">-1*E50</f>
        <v>4.0618300823729955E-2</v>
      </c>
      <c r="F68" s="277">
        <f t="shared" si="35"/>
        <v>4.1161297061103816E-2</v>
      </c>
      <c r="G68" s="277">
        <f t="shared" si="35"/>
        <v>4.0974522886948576E-2</v>
      </c>
      <c r="H68" s="277">
        <f t="shared" si="35"/>
        <v>3.9686973260857156E-2</v>
      </c>
      <c r="I68" s="277">
        <f t="shared" si="35"/>
        <v>4.0779800875595247E-2</v>
      </c>
      <c r="J68" s="277">
        <f t="shared" si="35"/>
        <v>4.0366513341294291E-2</v>
      </c>
      <c r="K68" s="277">
        <f t="shared" si="35"/>
        <v>4.025822405947025E-2</v>
      </c>
      <c r="L68" s="277">
        <f t="shared" si="35"/>
        <v>4.0974522886948576E-2</v>
      </c>
      <c r="M68" s="277">
        <f t="shared" si="35"/>
        <v>4.1269546603741873E-2</v>
      </c>
      <c r="N68" s="277">
        <f t="shared" si="35"/>
        <v>4.089758782287102E-2</v>
      </c>
      <c r="O68" s="277">
        <f t="shared" si="35"/>
        <v>4.0739902732860815E-2</v>
      </c>
      <c r="P68" s="277">
        <f t="shared" si="35"/>
        <v>4.0147947818346678E-2</v>
      </c>
      <c r="Q68" s="277">
        <f t="shared" si="35"/>
        <v>4.1511001897820012E-2</v>
      </c>
      <c r="R68" s="277">
        <f t="shared" si="35"/>
        <v>4.1197698155471092E-2</v>
      </c>
      <c r="S68" s="277">
        <f>-1*S50</f>
        <v>4.1426556127590247E-2</v>
      </c>
      <c r="T68" s="66"/>
    </row>
    <row r="69" spans="1:20" s="126" customFormat="1" ht="15" customHeight="1">
      <c r="A69" s="269"/>
      <c r="B69" s="269" t="s">
        <v>1020</v>
      </c>
      <c r="C69" s="187">
        <f>Inputs!C69</f>
        <v>1</v>
      </c>
      <c r="D69" s="187">
        <f>C69</f>
        <v>1</v>
      </c>
      <c r="E69" s="187">
        <f t="shared" ref="E69:S69" si="36">D69</f>
        <v>1</v>
      </c>
      <c r="F69" s="187">
        <f t="shared" si="36"/>
        <v>1</v>
      </c>
      <c r="G69" s="187">
        <f t="shared" si="36"/>
        <v>1</v>
      </c>
      <c r="H69" s="187">
        <f t="shared" si="36"/>
        <v>1</v>
      </c>
      <c r="I69" s="187">
        <f t="shared" si="36"/>
        <v>1</v>
      </c>
      <c r="J69" s="187">
        <f t="shared" si="36"/>
        <v>1</v>
      </c>
      <c r="K69" s="187">
        <f t="shared" si="36"/>
        <v>1</v>
      </c>
      <c r="L69" s="187">
        <f t="shared" si="36"/>
        <v>1</v>
      </c>
      <c r="M69" s="187">
        <f t="shared" si="36"/>
        <v>1</v>
      </c>
      <c r="N69" s="187">
        <f t="shared" si="36"/>
        <v>1</v>
      </c>
      <c r="O69" s="187">
        <f t="shared" si="36"/>
        <v>1</v>
      </c>
      <c r="P69" s="187">
        <f t="shared" si="36"/>
        <v>1</v>
      </c>
      <c r="Q69" s="187">
        <f t="shared" si="36"/>
        <v>1</v>
      </c>
      <c r="R69" s="187">
        <f t="shared" si="36"/>
        <v>1</v>
      </c>
      <c r="S69" s="187">
        <f t="shared" si="36"/>
        <v>1</v>
      </c>
      <c r="T69" s="66"/>
    </row>
    <row r="70" spans="1:20" s="126" customFormat="1" ht="15" customHeight="1">
      <c r="A70" s="269"/>
      <c r="B70" s="269" t="s">
        <v>1021</v>
      </c>
      <c r="C70" s="192">
        <f>Inputs!C70</f>
        <v>0</v>
      </c>
      <c r="D70" s="192">
        <f t="shared" si="33"/>
        <v>0</v>
      </c>
      <c r="E70" s="192">
        <f t="shared" ref="E70:Q70" si="37">D70</f>
        <v>0</v>
      </c>
      <c r="F70" s="192">
        <f t="shared" si="37"/>
        <v>0</v>
      </c>
      <c r="G70" s="192">
        <f t="shared" si="37"/>
        <v>0</v>
      </c>
      <c r="H70" s="192">
        <f t="shared" si="37"/>
        <v>0</v>
      </c>
      <c r="I70" s="192">
        <f t="shared" si="37"/>
        <v>0</v>
      </c>
      <c r="J70" s="192">
        <f t="shared" si="37"/>
        <v>0</v>
      </c>
      <c r="K70" s="192">
        <f t="shared" si="37"/>
        <v>0</v>
      </c>
      <c r="L70" s="192">
        <f t="shared" si="37"/>
        <v>0</v>
      </c>
      <c r="M70" s="192">
        <f t="shared" si="37"/>
        <v>0</v>
      </c>
      <c r="N70" s="192">
        <f t="shared" si="37"/>
        <v>0</v>
      </c>
      <c r="O70" s="192">
        <f t="shared" si="37"/>
        <v>0</v>
      </c>
      <c r="P70" s="192">
        <f t="shared" si="37"/>
        <v>0</v>
      </c>
      <c r="Q70" s="192">
        <f t="shared" si="37"/>
        <v>0</v>
      </c>
      <c r="R70" s="192">
        <f t="shared" ref="R70:S72" si="38">Q70</f>
        <v>0</v>
      </c>
      <c r="S70" s="192">
        <f t="shared" si="38"/>
        <v>0</v>
      </c>
      <c r="T70" s="66"/>
    </row>
    <row r="71" spans="1:20" s="126" customFormat="1" ht="15" customHeight="1">
      <c r="A71" s="269"/>
      <c r="B71" s="269" t="s">
        <v>1022</v>
      </c>
      <c r="C71" s="188">
        <f>Inputs!C71</f>
        <v>0</v>
      </c>
      <c r="D71" s="188">
        <f t="shared" si="33"/>
        <v>0</v>
      </c>
      <c r="E71" s="188">
        <f t="shared" si="33"/>
        <v>0</v>
      </c>
      <c r="F71" s="188">
        <f t="shared" si="33"/>
        <v>0</v>
      </c>
      <c r="G71" s="188">
        <f t="shared" si="33"/>
        <v>0</v>
      </c>
      <c r="H71" s="188">
        <f t="shared" si="33"/>
        <v>0</v>
      </c>
      <c r="I71" s="188">
        <f t="shared" si="33"/>
        <v>0</v>
      </c>
      <c r="J71" s="188">
        <f t="shared" si="33"/>
        <v>0</v>
      </c>
      <c r="K71" s="188">
        <f t="shared" si="33"/>
        <v>0</v>
      </c>
      <c r="L71" s="188">
        <f t="shared" si="33"/>
        <v>0</v>
      </c>
      <c r="M71" s="188">
        <f t="shared" si="33"/>
        <v>0</v>
      </c>
      <c r="N71" s="188">
        <f t="shared" si="33"/>
        <v>0</v>
      </c>
      <c r="O71" s="188">
        <f t="shared" si="33"/>
        <v>0</v>
      </c>
      <c r="P71" s="188">
        <f t="shared" si="33"/>
        <v>0</v>
      </c>
      <c r="Q71" s="188">
        <f t="shared" si="33"/>
        <v>0</v>
      </c>
      <c r="R71" s="188">
        <f t="shared" si="38"/>
        <v>0</v>
      </c>
      <c r="S71" s="188">
        <f t="shared" si="38"/>
        <v>0</v>
      </c>
      <c r="T71" s="66"/>
    </row>
    <row r="72" spans="1:20" s="126" customFormat="1" ht="15" customHeight="1">
      <c r="A72" s="269"/>
      <c r="B72" s="269" t="s">
        <v>1023</v>
      </c>
      <c r="C72" s="187">
        <f>Inputs!C72</f>
        <v>0</v>
      </c>
      <c r="D72" s="187">
        <f t="shared" si="33"/>
        <v>0</v>
      </c>
      <c r="E72" s="187">
        <f t="shared" si="33"/>
        <v>0</v>
      </c>
      <c r="F72" s="187">
        <f t="shared" si="33"/>
        <v>0</v>
      </c>
      <c r="G72" s="187">
        <f t="shared" si="33"/>
        <v>0</v>
      </c>
      <c r="H72" s="187">
        <f t="shared" si="33"/>
        <v>0</v>
      </c>
      <c r="I72" s="187">
        <f t="shared" si="33"/>
        <v>0</v>
      </c>
      <c r="J72" s="187">
        <f t="shared" si="33"/>
        <v>0</v>
      </c>
      <c r="K72" s="187">
        <f t="shared" si="33"/>
        <v>0</v>
      </c>
      <c r="L72" s="187">
        <f t="shared" si="33"/>
        <v>0</v>
      </c>
      <c r="M72" s="187">
        <f t="shared" si="33"/>
        <v>0</v>
      </c>
      <c r="N72" s="187">
        <f t="shared" si="33"/>
        <v>0</v>
      </c>
      <c r="O72" s="187">
        <f t="shared" si="33"/>
        <v>0</v>
      </c>
      <c r="P72" s="187">
        <f t="shared" si="33"/>
        <v>0</v>
      </c>
      <c r="Q72" s="187">
        <f t="shared" si="33"/>
        <v>0</v>
      </c>
      <c r="R72" s="187">
        <f t="shared" si="38"/>
        <v>0</v>
      </c>
      <c r="S72" s="187">
        <f t="shared" si="38"/>
        <v>0</v>
      </c>
      <c r="T72" s="66"/>
    </row>
    <row r="73" spans="1:20" ht="15" customHeight="1">
      <c r="A73" s="269" t="s">
        <v>57</v>
      </c>
      <c r="B73" s="269" t="s">
        <v>397</v>
      </c>
      <c r="C73" s="155">
        <f>Inputs!C73</f>
        <v>19.509</v>
      </c>
      <c r="D73" s="155">
        <f t="shared" ref="D73:S73" si="39">C73</f>
        <v>19.509</v>
      </c>
      <c r="E73" s="155">
        <f t="shared" si="39"/>
        <v>19.509</v>
      </c>
      <c r="F73" s="155">
        <f t="shared" si="39"/>
        <v>19.509</v>
      </c>
      <c r="G73" s="155">
        <f t="shared" si="39"/>
        <v>19.509</v>
      </c>
      <c r="H73" s="155">
        <f t="shared" si="39"/>
        <v>19.509</v>
      </c>
      <c r="I73" s="155">
        <f t="shared" si="39"/>
        <v>19.509</v>
      </c>
      <c r="J73" s="155">
        <f t="shared" si="39"/>
        <v>19.509</v>
      </c>
      <c r="K73" s="155">
        <f t="shared" si="39"/>
        <v>19.509</v>
      </c>
      <c r="L73" s="155">
        <f t="shared" si="39"/>
        <v>19.509</v>
      </c>
      <c r="M73" s="155">
        <f t="shared" si="39"/>
        <v>19.509</v>
      </c>
      <c r="N73" s="155">
        <f t="shared" si="39"/>
        <v>19.509</v>
      </c>
      <c r="O73" s="155">
        <f t="shared" si="39"/>
        <v>19.509</v>
      </c>
      <c r="P73" s="155">
        <f t="shared" si="39"/>
        <v>19.509</v>
      </c>
      <c r="Q73" s="155">
        <f t="shared" si="39"/>
        <v>19.509</v>
      </c>
      <c r="R73" s="155">
        <f t="shared" si="39"/>
        <v>19.509</v>
      </c>
      <c r="S73" s="155">
        <f t="shared" si="39"/>
        <v>19.509</v>
      </c>
    </row>
    <row r="74" spans="1:20" ht="15" customHeight="1">
      <c r="B74" s="269" t="s">
        <v>398</v>
      </c>
      <c r="C74" s="155">
        <f>Inputs!C74</f>
        <v>9.7545000000000002</v>
      </c>
      <c r="D74" s="155">
        <f t="shared" ref="D74:S74" si="40">C74</f>
        <v>9.7545000000000002</v>
      </c>
      <c r="E74" s="155">
        <f t="shared" si="40"/>
        <v>9.7545000000000002</v>
      </c>
      <c r="F74" s="155">
        <f t="shared" si="40"/>
        <v>9.7545000000000002</v>
      </c>
      <c r="G74" s="155">
        <f t="shared" si="40"/>
        <v>9.7545000000000002</v>
      </c>
      <c r="H74" s="155">
        <f t="shared" si="40"/>
        <v>9.7545000000000002</v>
      </c>
      <c r="I74" s="155">
        <f t="shared" si="40"/>
        <v>9.7545000000000002</v>
      </c>
      <c r="J74" s="155">
        <f t="shared" si="40"/>
        <v>9.7545000000000002</v>
      </c>
      <c r="K74" s="155">
        <f t="shared" si="40"/>
        <v>9.7545000000000002</v>
      </c>
      <c r="L74" s="155">
        <f t="shared" si="40"/>
        <v>9.7545000000000002</v>
      </c>
      <c r="M74" s="155">
        <f t="shared" si="40"/>
        <v>9.7545000000000002</v>
      </c>
      <c r="N74" s="155">
        <f t="shared" si="40"/>
        <v>9.7545000000000002</v>
      </c>
      <c r="O74" s="155">
        <f t="shared" si="40"/>
        <v>9.7545000000000002</v>
      </c>
      <c r="P74" s="155">
        <f t="shared" si="40"/>
        <v>9.7545000000000002</v>
      </c>
      <c r="Q74" s="155">
        <f t="shared" si="40"/>
        <v>9.7545000000000002</v>
      </c>
      <c r="R74" s="155">
        <f t="shared" si="40"/>
        <v>9.7545000000000002</v>
      </c>
      <c r="S74" s="155">
        <f t="shared" si="40"/>
        <v>9.7545000000000002</v>
      </c>
    </row>
    <row r="75" spans="1:20" ht="15" customHeight="1">
      <c r="B75" s="269" t="s">
        <v>399</v>
      </c>
      <c r="C75" s="155">
        <f>Inputs!C75</f>
        <v>9.7545000000000002</v>
      </c>
      <c r="D75" s="155">
        <f t="shared" ref="D75:S90" si="41">C75</f>
        <v>9.7545000000000002</v>
      </c>
      <c r="E75" s="155">
        <f t="shared" si="41"/>
        <v>9.7545000000000002</v>
      </c>
      <c r="F75" s="155">
        <f t="shared" si="41"/>
        <v>9.7545000000000002</v>
      </c>
      <c r="G75" s="155">
        <f t="shared" si="41"/>
        <v>9.7545000000000002</v>
      </c>
      <c r="H75" s="155">
        <f t="shared" si="41"/>
        <v>9.7545000000000002</v>
      </c>
      <c r="I75" s="155">
        <f t="shared" si="41"/>
        <v>9.7545000000000002</v>
      </c>
      <c r="J75" s="155">
        <f t="shared" si="41"/>
        <v>9.7545000000000002</v>
      </c>
      <c r="K75" s="155">
        <f t="shared" si="41"/>
        <v>9.7545000000000002</v>
      </c>
      <c r="L75" s="155">
        <f t="shared" si="41"/>
        <v>9.7545000000000002</v>
      </c>
      <c r="M75" s="155">
        <f t="shared" si="41"/>
        <v>9.7545000000000002</v>
      </c>
      <c r="N75" s="155">
        <f t="shared" si="41"/>
        <v>9.7545000000000002</v>
      </c>
      <c r="O75" s="155">
        <f t="shared" si="41"/>
        <v>9.7545000000000002</v>
      </c>
      <c r="P75" s="155">
        <f t="shared" si="41"/>
        <v>9.7545000000000002</v>
      </c>
      <c r="Q75" s="155">
        <f t="shared" si="41"/>
        <v>9.7545000000000002</v>
      </c>
      <c r="R75" s="155">
        <f t="shared" si="41"/>
        <v>9.7545000000000002</v>
      </c>
      <c r="S75" s="155">
        <f t="shared" si="41"/>
        <v>9.7545000000000002</v>
      </c>
    </row>
    <row r="76" spans="1:20" ht="15" customHeight="1">
      <c r="B76" s="269" t="s">
        <v>1024</v>
      </c>
      <c r="C76" s="166">
        <f>UA!F27</f>
        <v>0.25</v>
      </c>
      <c r="D76" s="166">
        <f>UA!G27</f>
        <v>0.25</v>
      </c>
      <c r="E76" s="166">
        <f>UA!H27</f>
        <v>0.25</v>
      </c>
      <c r="F76" s="166">
        <f>UA!I27</f>
        <v>0.27</v>
      </c>
      <c r="G76" s="166">
        <f>UA!J27</f>
        <v>0.27</v>
      </c>
      <c r="H76" s="166">
        <f>UA!K27</f>
        <v>0.27</v>
      </c>
      <c r="I76" s="166">
        <f>UA!L27</f>
        <v>0.27</v>
      </c>
      <c r="J76" s="166">
        <f>UA!M27</f>
        <v>0.27</v>
      </c>
      <c r="K76" s="166">
        <f>UA!N27</f>
        <v>0.3</v>
      </c>
      <c r="L76" s="166">
        <f>UA!O27</f>
        <v>0.3</v>
      </c>
      <c r="M76" s="166">
        <f>UA!P27</f>
        <v>0.3</v>
      </c>
      <c r="N76" s="166">
        <f>UA!Q27</f>
        <v>0.3</v>
      </c>
      <c r="O76" s="166">
        <f>UA!R27</f>
        <v>0.3</v>
      </c>
      <c r="P76" s="166">
        <f>UA!S27</f>
        <v>0.3</v>
      </c>
      <c r="Q76" s="166">
        <f>UA!T27</f>
        <v>0.35</v>
      </c>
      <c r="R76" s="166">
        <f>UA!U27</f>
        <v>0.25</v>
      </c>
      <c r="S76" s="166">
        <f>UA!V27</f>
        <v>0.27</v>
      </c>
    </row>
    <row r="77" spans="1:20" ht="15" customHeight="1">
      <c r="B77" s="269" t="s">
        <v>1339</v>
      </c>
      <c r="C77" s="10">
        <f>UA!F21</f>
        <v>5.2832714016519029</v>
      </c>
      <c r="D77" s="10">
        <f>UA!G21</f>
        <v>5.5420319461810754</v>
      </c>
      <c r="E77" s="10">
        <f>UA!H21</f>
        <v>5.5420319461810754</v>
      </c>
      <c r="F77" s="10">
        <f>UA!I21</f>
        <v>5.5420319461810754</v>
      </c>
      <c r="G77" s="10">
        <f>UA!J21</f>
        <v>5.5420319461810754</v>
      </c>
      <c r="H77" s="10">
        <f>UA!K21</f>
        <v>5.5420319461810754</v>
      </c>
      <c r="I77" s="10">
        <f>UA!L21</f>
        <v>6.8169223182994898</v>
      </c>
      <c r="J77" s="10">
        <f>UA!M21</f>
        <v>6.8169223182994898</v>
      </c>
      <c r="K77" s="10">
        <f>UA!N21</f>
        <v>6.8169223182994898</v>
      </c>
      <c r="L77" s="10">
        <f>UA!O21</f>
        <v>6.8169223182994898</v>
      </c>
      <c r="M77" s="10">
        <f>UA!P21</f>
        <v>6.8169223182994898</v>
      </c>
      <c r="N77" s="10">
        <f>UA!Q21</f>
        <v>6.8169223182994898</v>
      </c>
      <c r="O77" s="10">
        <f>UA!R21</f>
        <v>6.8169223182994898</v>
      </c>
      <c r="P77" s="10">
        <f>UA!S21</f>
        <v>6.8169223182994898</v>
      </c>
      <c r="Q77" s="10">
        <f>UA!T21</f>
        <v>6.8169223182994898</v>
      </c>
      <c r="R77" s="10">
        <f>UA!U21</f>
        <v>5.5420319461810754</v>
      </c>
      <c r="S77" s="10">
        <f>UA!V21</f>
        <v>5.5420319461810754</v>
      </c>
    </row>
    <row r="78" spans="1:20" ht="15" customHeight="1">
      <c r="B78" s="269" t="s">
        <v>1025</v>
      </c>
      <c r="C78" s="191">
        <f>Inputs!C78</f>
        <v>7.5231481481481474E-5</v>
      </c>
      <c r="D78" s="191">
        <f t="shared" ref="D78:D94" si="42">C78</f>
        <v>7.5231481481481474E-5</v>
      </c>
      <c r="E78" s="191">
        <f t="shared" si="41"/>
        <v>7.5231481481481474E-5</v>
      </c>
      <c r="F78" s="191">
        <f t="shared" si="41"/>
        <v>7.5231481481481474E-5</v>
      </c>
      <c r="G78" s="191">
        <f t="shared" si="41"/>
        <v>7.5231481481481474E-5</v>
      </c>
      <c r="H78" s="191">
        <f t="shared" si="41"/>
        <v>7.5231481481481474E-5</v>
      </c>
      <c r="I78" s="191">
        <f t="shared" si="41"/>
        <v>7.5231481481481474E-5</v>
      </c>
      <c r="J78" s="191">
        <f t="shared" si="41"/>
        <v>7.5231481481481474E-5</v>
      </c>
      <c r="K78" s="191">
        <f t="shared" si="41"/>
        <v>7.5231481481481474E-5</v>
      </c>
      <c r="L78" s="191">
        <f t="shared" si="41"/>
        <v>7.5231481481481474E-5</v>
      </c>
      <c r="M78" s="191">
        <f t="shared" si="41"/>
        <v>7.5231481481481474E-5</v>
      </c>
      <c r="N78" s="191">
        <f t="shared" si="41"/>
        <v>7.5231481481481474E-5</v>
      </c>
      <c r="O78" s="191">
        <f t="shared" si="41"/>
        <v>7.5231481481481474E-5</v>
      </c>
      <c r="P78" s="191">
        <f t="shared" si="41"/>
        <v>7.5231481481481474E-5</v>
      </c>
      <c r="Q78" s="191">
        <f t="shared" si="41"/>
        <v>7.5231481481481474E-5</v>
      </c>
      <c r="R78" s="191">
        <f t="shared" si="41"/>
        <v>7.5231481481481474E-5</v>
      </c>
      <c r="S78" s="191">
        <f t="shared" si="41"/>
        <v>7.5231481481481474E-5</v>
      </c>
    </row>
    <row r="79" spans="1:20" ht="15" customHeight="1">
      <c r="B79" s="269" t="s">
        <v>1026</v>
      </c>
      <c r="C79" s="8">
        <f>Inputs!C79</f>
        <v>774.72889800703399</v>
      </c>
      <c r="D79" s="8">
        <f t="shared" si="42"/>
        <v>774.72889800703399</v>
      </c>
      <c r="E79" s="8">
        <f t="shared" si="41"/>
        <v>774.72889800703399</v>
      </c>
      <c r="F79" s="8">
        <f t="shared" si="41"/>
        <v>774.72889800703399</v>
      </c>
      <c r="G79" s="8">
        <f t="shared" si="41"/>
        <v>774.72889800703399</v>
      </c>
      <c r="H79" s="8">
        <f t="shared" si="41"/>
        <v>774.72889800703399</v>
      </c>
      <c r="I79" s="8">
        <f t="shared" si="41"/>
        <v>774.72889800703399</v>
      </c>
      <c r="J79" s="8">
        <f t="shared" si="41"/>
        <v>774.72889800703399</v>
      </c>
      <c r="K79" s="8">
        <f t="shared" si="41"/>
        <v>774.72889800703399</v>
      </c>
      <c r="L79" s="8">
        <f t="shared" si="41"/>
        <v>774.72889800703399</v>
      </c>
      <c r="M79" s="8">
        <f t="shared" si="41"/>
        <v>774.72889800703399</v>
      </c>
      <c r="N79" s="8">
        <f t="shared" si="41"/>
        <v>774.72889800703399</v>
      </c>
      <c r="O79" s="8">
        <f t="shared" si="41"/>
        <v>774.72889800703399</v>
      </c>
      <c r="P79" s="8">
        <f t="shared" si="41"/>
        <v>774.72889800703399</v>
      </c>
      <c r="Q79" s="8">
        <f t="shared" si="41"/>
        <v>774.72889800703399</v>
      </c>
      <c r="R79" s="8">
        <f t="shared" si="41"/>
        <v>774.72889800703399</v>
      </c>
      <c r="S79" s="249">
        <f t="shared" si="41"/>
        <v>774.72889800703399</v>
      </c>
    </row>
    <row r="80" spans="1:20" ht="15" customHeight="1">
      <c r="A80" s="269" t="s">
        <v>68</v>
      </c>
      <c r="B80" s="269" t="s">
        <v>1027</v>
      </c>
      <c r="C80" s="8">
        <f>Inputs!C80</f>
        <v>38.460599999999999</v>
      </c>
      <c r="D80" s="8">
        <f t="shared" si="42"/>
        <v>38.460599999999999</v>
      </c>
      <c r="E80" s="8">
        <f t="shared" si="41"/>
        <v>38.460599999999999</v>
      </c>
      <c r="F80" s="8">
        <f t="shared" si="41"/>
        <v>38.460599999999999</v>
      </c>
      <c r="G80" s="8">
        <f t="shared" si="41"/>
        <v>38.460599999999999</v>
      </c>
      <c r="H80" s="8">
        <f t="shared" si="41"/>
        <v>38.460599999999999</v>
      </c>
      <c r="I80" s="8">
        <f t="shared" si="41"/>
        <v>38.460599999999999</v>
      </c>
      <c r="J80" s="8">
        <f t="shared" si="41"/>
        <v>38.460599999999999</v>
      </c>
      <c r="K80" s="8">
        <f t="shared" si="41"/>
        <v>38.460599999999999</v>
      </c>
      <c r="L80" s="8">
        <f t="shared" si="41"/>
        <v>38.460599999999999</v>
      </c>
      <c r="M80" s="8">
        <f t="shared" si="41"/>
        <v>38.460599999999999</v>
      </c>
      <c r="N80" s="8">
        <f t="shared" si="41"/>
        <v>38.460599999999999</v>
      </c>
      <c r="O80" s="8">
        <f t="shared" si="41"/>
        <v>38.460599999999999</v>
      </c>
      <c r="P80" s="8">
        <f t="shared" si="41"/>
        <v>38.460599999999999</v>
      </c>
      <c r="Q80" s="8">
        <f t="shared" si="41"/>
        <v>38.460599999999999</v>
      </c>
      <c r="R80" s="8">
        <f t="shared" si="41"/>
        <v>38.460599999999999</v>
      </c>
      <c r="S80" s="249">
        <f t="shared" si="41"/>
        <v>38.460599999999999</v>
      </c>
    </row>
    <row r="81" spans="1:19" ht="15" customHeight="1">
      <c r="B81" s="269" t="s">
        <v>1028</v>
      </c>
      <c r="C81" s="155">
        <f>Inputs!C81</f>
        <v>0.36823315582877392</v>
      </c>
      <c r="D81" s="155">
        <f t="shared" si="42"/>
        <v>0.36823315582877392</v>
      </c>
      <c r="E81" s="155">
        <f t="shared" si="41"/>
        <v>0.36823315582877392</v>
      </c>
      <c r="F81" s="155">
        <f t="shared" si="41"/>
        <v>0.36823315582877392</v>
      </c>
      <c r="G81" s="155">
        <f t="shared" si="41"/>
        <v>0.36823315582877392</v>
      </c>
      <c r="H81" s="155">
        <f t="shared" si="41"/>
        <v>0.36823315582877392</v>
      </c>
      <c r="I81" s="155">
        <f t="shared" si="41"/>
        <v>0.36823315582877392</v>
      </c>
      <c r="J81" s="155">
        <f t="shared" si="41"/>
        <v>0.36823315582877392</v>
      </c>
      <c r="K81" s="155">
        <f t="shared" si="41"/>
        <v>0.36823315582877392</v>
      </c>
      <c r="L81" s="155">
        <f t="shared" si="41"/>
        <v>0.36823315582877392</v>
      </c>
      <c r="M81" s="155">
        <f t="shared" si="41"/>
        <v>0.36823315582877392</v>
      </c>
      <c r="N81" s="155">
        <f t="shared" si="41"/>
        <v>0.36823315582877392</v>
      </c>
      <c r="O81" s="155">
        <f t="shared" si="41"/>
        <v>0.36823315582877392</v>
      </c>
      <c r="P81" s="155">
        <f t="shared" si="41"/>
        <v>0.36823315582877392</v>
      </c>
      <c r="Q81" s="155">
        <f t="shared" si="41"/>
        <v>0.36823315582877392</v>
      </c>
      <c r="R81" s="155">
        <f t="shared" si="41"/>
        <v>0.36823315582877392</v>
      </c>
      <c r="S81" s="155">
        <f t="shared" si="41"/>
        <v>0.36823315582877392</v>
      </c>
    </row>
    <row r="82" spans="1:19" ht="15" customHeight="1">
      <c r="B82" s="269" t="s">
        <v>1029</v>
      </c>
      <c r="C82" s="155">
        <f>Inputs!C82</f>
        <v>0.65</v>
      </c>
      <c r="D82" s="155">
        <f t="shared" si="42"/>
        <v>0.65</v>
      </c>
      <c r="E82" s="155">
        <f t="shared" si="41"/>
        <v>0.65</v>
      </c>
      <c r="F82" s="155">
        <f t="shared" si="41"/>
        <v>0.65</v>
      </c>
      <c r="G82" s="155">
        <f t="shared" si="41"/>
        <v>0.65</v>
      </c>
      <c r="H82" s="155">
        <f t="shared" si="41"/>
        <v>0.65</v>
      </c>
      <c r="I82" s="155">
        <f t="shared" si="41"/>
        <v>0.65</v>
      </c>
      <c r="J82" s="155">
        <f t="shared" si="41"/>
        <v>0.65</v>
      </c>
      <c r="K82" s="155">
        <f t="shared" si="41"/>
        <v>0.65</v>
      </c>
      <c r="L82" s="155">
        <f t="shared" si="41"/>
        <v>0.65</v>
      </c>
      <c r="M82" s="155">
        <f t="shared" si="41"/>
        <v>0.65</v>
      </c>
      <c r="N82" s="155">
        <f t="shared" si="41"/>
        <v>0.65</v>
      </c>
      <c r="O82" s="155">
        <f t="shared" si="41"/>
        <v>0.65</v>
      </c>
      <c r="P82" s="155">
        <f t="shared" si="41"/>
        <v>0.65</v>
      </c>
      <c r="Q82" s="155">
        <f t="shared" si="41"/>
        <v>0.65</v>
      </c>
      <c r="R82" s="155">
        <f t="shared" si="41"/>
        <v>0.65</v>
      </c>
      <c r="S82" s="155">
        <f t="shared" si="41"/>
        <v>0.65</v>
      </c>
    </row>
    <row r="83" spans="1:19" ht="15" customHeight="1">
      <c r="B83" s="269" t="s">
        <v>1030</v>
      </c>
      <c r="C83" s="155">
        <f>Inputs!C83</f>
        <v>0.35</v>
      </c>
      <c r="D83" s="155">
        <f t="shared" si="42"/>
        <v>0.35</v>
      </c>
      <c r="E83" s="155">
        <f t="shared" si="41"/>
        <v>0.35</v>
      </c>
      <c r="F83" s="155">
        <f t="shared" si="41"/>
        <v>0.35</v>
      </c>
      <c r="G83" s="155">
        <f t="shared" si="41"/>
        <v>0.35</v>
      </c>
      <c r="H83" s="155">
        <f t="shared" si="41"/>
        <v>0.35</v>
      </c>
      <c r="I83" s="155">
        <f t="shared" si="41"/>
        <v>0.35</v>
      </c>
      <c r="J83" s="155">
        <f t="shared" si="41"/>
        <v>0.35</v>
      </c>
      <c r="K83" s="155">
        <f t="shared" si="41"/>
        <v>0.35</v>
      </c>
      <c r="L83" s="155">
        <f t="shared" si="41"/>
        <v>0.35</v>
      </c>
      <c r="M83" s="155">
        <f t="shared" si="41"/>
        <v>0.35</v>
      </c>
      <c r="N83" s="155">
        <f t="shared" si="41"/>
        <v>0.35</v>
      </c>
      <c r="O83" s="155">
        <f t="shared" si="41"/>
        <v>0.35</v>
      </c>
      <c r="P83" s="155">
        <f t="shared" si="41"/>
        <v>0.35</v>
      </c>
      <c r="Q83" s="155">
        <f t="shared" si="41"/>
        <v>0.35</v>
      </c>
      <c r="R83" s="155">
        <f t="shared" si="41"/>
        <v>0.35</v>
      </c>
      <c r="S83" s="155">
        <f t="shared" si="41"/>
        <v>0.35</v>
      </c>
    </row>
    <row r="84" spans="1:19" ht="15.75" customHeight="1">
      <c r="B84" s="269" t="s">
        <v>1031</v>
      </c>
      <c r="C84" s="155">
        <f>Inputs!C84</f>
        <v>0.35</v>
      </c>
      <c r="D84" s="155">
        <f t="shared" si="42"/>
        <v>0.35</v>
      </c>
      <c r="E84" s="155">
        <f t="shared" si="41"/>
        <v>0.35</v>
      </c>
      <c r="F84" s="155">
        <f t="shared" si="41"/>
        <v>0.35</v>
      </c>
      <c r="G84" s="155">
        <f t="shared" si="41"/>
        <v>0.35</v>
      </c>
      <c r="H84" s="155">
        <f t="shared" si="41"/>
        <v>0.35</v>
      </c>
      <c r="I84" s="155">
        <f t="shared" si="41"/>
        <v>0.35</v>
      </c>
      <c r="J84" s="155">
        <f t="shared" si="41"/>
        <v>0.35</v>
      </c>
      <c r="K84" s="155">
        <f t="shared" si="41"/>
        <v>0.35</v>
      </c>
      <c r="L84" s="155">
        <f t="shared" si="41"/>
        <v>0.35</v>
      </c>
      <c r="M84" s="155">
        <f t="shared" si="41"/>
        <v>0.35</v>
      </c>
      <c r="N84" s="155">
        <f t="shared" si="41"/>
        <v>0.35</v>
      </c>
      <c r="O84" s="155">
        <f t="shared" si="41"/>
        <v>0.35</v>
      </c>
      <c r="P84" s="155">
        <f t="shared" si="41"/>
        <v>0.35</v>
      </c>
      <c r="Q84" s="155">
        <f t="shared" si="41"/>
        <v>0.35</v>
      </c>
      <c r="R84" s="155">
        <f t="shared" si="41"/>
        <v>0.35</v>
      </c>
      <c r="S84" s="155">
        <f t="shared" si="41"/>
        <v>0.35</v>
      </c>
    </row>
    <row r="85" spans="1:19" ht="15" customHeight="1">
      <c r="B85" s="269" t="s">
        <v>1032</v>
      </c>
      <c r="C85" s="155">
        <f>Inputs!C85</f>
        <v>0.1</v>
      </c>
      <c r="D85" s="155">
        <f t="shared" si="42"/>
        <v>0.1</v>
      </c>
      <c r="E85" s="155">
        <f t="shared" si="41"/>
        <v>0.1</v>
      </c>
      <c r="F85" s="155">
        <f t="shared" si="41"/>
        <v>0.1</v>
      </c>
      <c r="G85" s="155">
        <f t="shared" si="41"/>
        <v>0.1</v>
      </c>
      <c r="H85" s="155">
        <f t="shared" si="41"/>
        <v>0.1</v>
      </c>
      <c r="I85" s="155">
        <f t="shared" si="41"/>
        <v>0.1</v>
      </c>
      <c r="J85" s="155">
        <f t="shared" si="41"/>
        <v>0.1</v>
      </c>
      <c r="K85" s="155">
        <f t="shared" si="41"/>
        <v>0.1</v>
      </c>
      <c r="L85" s="155">
        <f t="shared" si="41"/>
        <v>0.1</v>
      </c>
      <c r="M85" s="155">
        <f t="shared" si="41"/>
        <v>0.1</v>
      </c>
      <c r="N85" s="155">
        <f t="shared" si="41"/>
        <v>0.1</v>
      </c>
      <c r="O85" s="155">
        <f t="shared" si="41"/>
        <v>0.1</v>
      </c>
      <c r="P85" s="155">
        <f t="shared" si="41"/>
        <v>0.1</v>
      </c>
      <c r="Q85" s="155">
        <f t="shared" si="41"/>
        <v>0.1</v>
      </c>
      <c r="R85" s="155">
        <f t="shared" si="41"/>
        <v>0.1</v>
      </c>
      <c r="S85" s="155">
        <f t="shared" si="41"/>
        <v>0.1</v>
      </c>
    </row>
    <row r="86" spans="1:19" ht="15" customHeight="1">
      <c r="B86" s="269" t="s">
        <v>1033</v>
      </c>
      <c r="C86" s="155">
        <f>Inputs!C86</f>
        <v>0.1</v>
      </c>
      <c r="D86" s="155">
        <f t="shared" si="42"/>
        <v>0.1</v>
      </c>
      <c r="E86" s="155">
        <f t="shared" si="41"/>
        <v>0.1</v>
      </c>
      <c r="F86" s="155">
        <f t="shared" si="41"/>
        <v>0.1</v>
      </c>
      <c r="G86" s="155">
        <f t="shared" si="41"/>
        <v>0.1</v>
      </c>
      <c r="H86" s="155">
        <f t="shared" si="41"/>
        <v>0.1</v>
      </c>
      <c r="I86" s="155">
        <f t="shared" si="41"/>
        <v>0.1</v>
      </c>
      <c r="J86" s="155">
        <f t="shared" si="41"/>
        <v>0.1</v>
      </c>
      <c r="K86" s="155">
        <f t="shared" si="41"/>
        <v>0.1</v>
      </c>
      <c r="L86" s="155">
        <f t="shared" si="41"/>
        <v>0.1</v>
      </c>
      <c r="M86" s="155">
        <f t="shared" si="41"/>
        <v>0.1</v>
      </c>
      <c r="N86" s="155">
        <f t="shared" si="41"/>
        <v>0.1</v>
      </c>
      <c r="O86" s="155">
        <f t="shared" si="41"/>
        <v>0.1</v>
      </c>
      <c r="P86" s="155">
        <f t="shared" si="41"/>
        <v>0.1</v>
      </c>
      <c r="Q86" s="155">
        <f t="shared" si="41"/>
        <v>0.1</v>
      </c>
      <c r="R86" s="155">
        <f t="shared" si="41"/>
        <v>0.1</v>
      </c>
      <c r="S86" s="155">
        <f t="shared" si="41"/>
        <v>0.1</v>
      </c>
    </row>
    <row r="87" spans="1:19" ht="15" customHeight="1">
      <c r="B87" s="269" t="s">
        <v>1034</v>
      </c>
      <c r="C87" s="155">
        <f>Inputs!C87</f>
        <v>0.1</v>
      </c>
      <c r="D87" s="155">
        <f t="shared" si="42"/>
        <v>0.1</v>
      </c>
      <c r="E87" s="155">
        <f t="shared" si="41"/>
        <v>0.1</v>
      </c>
      <c r="F87" s="155">
        <f t="shared" si="41"/>
        <v>0.1</v>
      </c>
      <c r="G87" s="155">
        <f t="shared" si="41"/>
        <v>0.1</v>
      </c>
      <c r="H87" s="155">
        <f t="shared" si="41"/>
        <v>0.1</v>
      </c>
      <c r="I87" s="155">
        <f t="shared" si="41"/>
        <v>0.1</v>
      </c>
      <c r="J87" s="155">
        <f t="shared" si="41"/>
        <v>0.1</v>
      </c>
      <c r="K87" s="155">
        <f t="shared" si="41"/>
        <v>0.1</v>
      </c>
      <c r="L87" s="155">
        <f t="shared" si="41"/>
        <v>0.1</v>
      </c>
      <c r="M87" s="155">
        <f t="shared" si="41"/>
        <v>0.1</v>
      </c>
      <c r="N87" s="155">
        <f t="shared" si="41"/>
        <v>0.1</v>
      </c>
      <c r="O87" s="155">
        <f t="shared" si="41"/>
        <v>0.1</v>
      </c>
      <c r="P87" s="155">
        <f t="shared" si="41"/>
        <v>0.1</v>
      </c>
      <c r="Q87" s="155">
        <f t="shared" si="41"/>
        <v>0.1</v>
      </c>
      <c r="R87" s="155">
        <f t="shared" si="41"/>
        <v>0.1</v>
      </c>
      <c r="S87" s="155">
        <f t="shared" si="41"/>
        <v>0.1</v>
      </c>
    </row>
    <row r="88" spans="1:19" ht="15" customHeight="1">
      <c r="B88" s="269" t="s">
        <v>1035</v>
      </c>
      <c r="C88" s="155">
        <f>Inputs!C88</f>
        <v>3.3527998927104035</v>
      </c>
      <c r="D88" s="155">
        <f t="shared" si="42"/>
        <v>3.3527998927104035</v>
      </c>
      <c r="E88" s="155">
        <f t="shared" si="41"/>
        <v>3.3527998927104035</v>
      </c>
      <c r="F88" s="155">
        <f t="shared" si="41"/>
        <v>3.3527998927104035</v>
      </c>
      <c r="G88" s="155">
        <f t="shared" si="41"/>
        <v>3.3527998927104035</v>
      </c>
      <c r="H88" s="155">
        <f t="shared" si="41"/>
        <v>3.3527998927104035</v>
      </c>
      <c r="I88" s="155">
        <f t="shared" si="41"/>
        <v>3.3527998927104035</v>
      </c>
      <c r="J88" s="155">
        <f t="shared" si="41"/>
        <v>3.3527998927104035</v>
      </c>
      <c r="K88" s="155">
        <f t="shared" si="41"/>
        <v>3.3527998927104035</v>
      </c>
      <c r="L88" s="155">
        <f t="shared" si="41"/>
        <v>3.3527998927104035</v>
      </c>
      <c r="M88" s="155">
        <f t="shared" si="41"/>
        <v>3.3527998927104035</v>
      </c>
      <c r="N88" s="155">
        <f t="shared" si="41"/>
        <v>3.3527998927104035</v>
      </c>
      <c r="O88" s="155">
        <f t="shared" si="41"/>
        <v>3.3527998927104035</v>
      </c>
      <c r="P88" s="155">
        <f t="shared" si="41"/>
        <v>3.3527998927104035</v>
      </c>
      <c r="Q88" s="155">
        <f t="shared" si="41"/>
        <v>3.3527998927104035</v>
      </c>
      <c r="R88" s="155">
        <f t="shared" si="41"/>
        <v>3.3527998927104035</v>
      </c>
      <c r="S88" s="155">
        <f t="shared" si="41"/>
        <v>3.3527998927104035</v>
      </c>
    </row>
    <row r="89" spans="1:19" ht="15" customHeight="1">
      <c r="B89" s="269" t="s">
        <v>1036</v>
      </c>
      <c r="C89" s="155">
        <f>Inputs!C89</f>
        <v>3.3527998927104035</v>
      </c>
      <c r="D89" s="155">
        <f t="shared" si="42"/>
        <v>3.3527998927104035</v>
      </c>
      <c r="E89" s="155">
        <f t="shared" si="41"/>
        <v>3.3527998927104035</v>
      </c>
      <c r="F89" s="155">
        <f t="shared" si="41"/>
        <v>3.3527998927104035</v>
      </c>
      <c r="G89" s="155">
        <f t="shared" si="41"/>
        <v>3.3527998927104035</v>
      </c>
      <c r="H89" s="155">
        <f t="shared" si="41"/>
        <v>3.3527998927104035</v>
      </c>
      <c r="I89" s="155">
        <f t="shared" si="41"/>
        <v>3.3527998927104035</v>
      </c>
      <c r="J89" s="155">
        <f t="shared" si="41"/>
        <v>3.3527998927104035</v>
      </c>
      <c r="K89" s="155">
        <f t="shared" si="41"/>
        <v>3.3527998927104035</v>
      </c>
      <c r="L89" s="155">
        <f t="shared" si="41"/>
        <v>3.3527998927104035</v>
      </c>
      <c r="M89" s="155">
        <f t="shared" si="41"/>
        <v>3.3527998927104035</v>
      </c>
      <c r="N89" s="155">
        <f t="shared" si="41"/>
        <v>3.3527998927104035</v>
      </c>
      <c r="O89" s="155">
        <f t="shared" si="41"/>
        <v>3.3527998927104035</v>
      </c>
      <c r="P89" s="155">
        <f t="shared" si="41"/>
        <v>3.3527998927104035</v>
      </c>
      <c r="Q89" s="155">
        <f t="shared" si="41"/>
        <v>3.3527998927104035</v>
      </c>
      <c r="R89" s="155">
        <f t="shared" si="41"/>
        <v>3.3527998927104035</v>
      </c>
      <c r="S89" s="155">
        <f t="shared" si="41"/>
        <v>3.3527998927104035</v>
      </c>
    </row>
    <row r="90" spans="1:19" ht="15" customHeight="1">
      <c r="B90" s="269" t="s">
        <v>1037</v>
      </c>
      <c r="C90" s="155">
        <f>Inputs!C90</f>
        <v>3.3527998927104035</v>
      </c>
      <c r="D90" s="155">
        <f t="shared" si="42"/>
        <v>3.3527998927104035</v>
      </c>
      <c r="E90" s="155">
        <f t="shared" si="41"/>
        <v>3.3527998927104035</v>
      </c>
      <c r="F90" s="155">
        <f t="shared" si="41"/>
        <v>3.3527998927104035</v>
      </c>
      <c r="G90" s="155">
        <f t="shared" si="41"/>
        <v>3.3527998927104035</v>
      </c>
      <c r="H90" s="155">
        <f t="shared" si="41"/>
        <v>3.3527998927104035</v>
      </c>
      <c r="I90" s="155">
        <f t="shared" si="41"/>
        <v>3.3527998927104035</v>
      </c>
      <c r="J90" s="155">
        <f t="shared" si="41"/>
        <v>3.3527998927104035</v>
      </c>
      <c r="K90" s="155">
        <f t="shared" si="41"/>
        <v>3.3527998927104035</v>
      </c>
      <c r="L90" s="155">
        <f t="shared" si="41"/>
        <v>3.3527998927104035</v>
      </c>
      <c r="M90" s="155">
        <f t="shared" si="41"/>
        <v>3.3527998927104035</v>
      </c>
      <c r="N90" s="155">
        <f t="shared" si="41"/>
        <v>3.3527998927104035</v>
      </c>
      <c r="O90" s="155">
        <f t="shared" si="41"/>
        <v>3.3527998927104035</v>
      </c>
      <c r="P90" s="155">
        <f t="shared" si="41"/>
        <v>3.3527998927104035</v>
      </c>
      <c r="Q90" s="155">
        <f t="shared" si="41"/>
        <v>3.3527998927104035</v>
      </c>
      <c r="R90" s="155">
        <f t="shared" si="41"/>
        <v>3.3527998927104035</v>
      </c>
      <c r="S90" s="155">
        <f t="shared" si="41"/>
        <v>3.3527998927104035</v>
      </c>
    </row>
    <row r="91" spans="1:19" ht="15" customHeight="1">
      <c r="B91" s="269" t="s">
        <v>1038</v>
      </c>
      <c r="C91" s="155">
        <f>Inputs!C91</f>
        <v>3.3527998927104035</v>
      </c>
      <c r="D91" s="155">
        <f t="shared" si="42"/>
        <v>3.3527998927104035</v>
      </c>
      <c r="E91" s="155">
        <f t="shared" ref="E91:S91" si="43">D91</f>
        <v>3.3527998927104035</v>
      </c>
      <c r="F91" s="155">
        <f t="shared" si="43"/>
        <v>3.3527998927104035</v>
      </c>
      <c r="G91" s="155">
        <f t="shared" si="43"/>
        <v>3.3527998927104035</v>
      </c>
      <c r="H91" s="155">
        <f t="shared" si="43"/>
        <v>3.3527998927104035</v>
      </c>
      <c r="I91" s="155">
        <f t="shared" si="43"/>
        <v>3.3527998927104035</v>
      </c>
      <c r="J91" s="155">
        <f t="shared" si="43"/>
        <v>3.3527998927104035</v>
      </c>
      <c r="K91" s="155">
        <f t="shared" si="43"/>
        <v>3.3527998927104035</v>
      </c>
      <c r="L91" s="155">
        <f t="shared" si="43"/>
        <v>3.3527998927104035</v>
      </c>
      <c r="M91" s="155">
        <f t="shared" si="43"/>
        <v>3.3527998927104035</v>
      </c>
      <c r="N91" s="155">
        <f t="shared" si="43"/>
        <v>3.3527998927104035</v>
      </c>
      <c r="O91" s="155">
        <f t="shared" si="43"/>
        <v>3.3527998927104035</v>
      </c>
      <c r="P91" s="155">
        <f t="shared" si="43"/>
        <v>3.3527998927104035</v>
      </c>
      <c r="Q91" s="155">
        <f t="shared" si="43"/>
        <v>3.3527998927104035</v>
      </c>
      <c r="R91" s="155">
        <f t="shared" si="43"/>
        <v>3.3527998927104035</v>
      </c>
      <c r="S91" s="155">
        <f t="shared" si="43"/>
        <v>3.3527998927104035</v>
      </c>
    </row>
    <row r="92" spans="1:19" ht="15" customHeight="1">
      <c r="A92" s="269" t="s">
        <v>85</v>
      </c>
      <c r="B92" s="269" t="s">
        <v>1039</v>
      </c>
      <c r="C92" s="130">
        <f>Inputs!C92</f>
        <v>2</v>
      </c>
      <c r="D92" s="130">
        <f t="shared" si="42"/>
        <v>2</v>
      </c>
      <c r="E92" s="130">
        <f t="shared" ref="E92:S92" si="44">D92</f>
        <v>2</v>
      </c>
      <c r="F92" s="130">
        <f t="shared" si="44"/>
        <v>2</v>
      </c>
      <c r="G92" s="130">
        <f t="shared" si="44"/>
        <v>2</v>
      </c>
      <c r="H92" s="130">
        <f t="shared" si="44"/>
        <v>2</v>
      </c>
      <c r="I92" s="130">
        <f t="shared" si="44"/>
        <v>2</v>
      </c>
      <c r="J92" s="130">
        <f t="shared" si="44"/>
        <v>2</v>
      </c>
      <c r="K92" s="130">
        <f t="shared" si="44"/>
        <v>2</v>
      </c>
      <c r="L92" s="130">
        <f t="shared" si="44"/>
        <v>2</v>
      </c>
      <c r="M92" s="130">
        <f t="shared" si="44"/>
        <v>2</v>
      </c>
      <c r="N92" s="130">
        <f t="shared" si="44"/>
        <v>2</v>
      </c>
      <c r="O92" s="130">
        <f t="shared" si="44"/>
        <v>2</v>
      </c>
      <c r="P92" s="130">
        <f t="shared" si="44"/>
        <v>2</v>
      </c>
      <c r="Q92" s="130">
        <f t="shared" si="44"/>
        <v>2</v>
      </c>
      <c r="R92" s="130">
        <f t="shared" si="44"/>
        <v>2</v>
      </c>
      <c r="S92" s="130">
        <f t="shared" si="44"/>
        <v>2</v>
      </c>
    </row>
    <row r="93" spans="1:19" ht="15" customHeight="1">
      <c r="B93" s="269" t="s">
        <v>1145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69" t="s">
        <v>1146</v>
      </c>
      <c r="C94" s="6">
        <f>Inputs!C94</f>
        <v>4.9402998419104049</v>
      </c>
      <c r="D94" s="6">
        <f t="shared" si="42"/>
        <v>4.9402998419104049</v>
      </c>
      <c r="E94" s="6">
        <f t="shared" ref="E94:S94" si="46">D94</f>
        <v>4.9402998419104049</v>
      </c>
      <c r="F94" s="6">
        <f t="shared" si="46"/>
        <v>4.9402998419104049</v>
      </c>
      <c r="G94" s="6">
        <f t="shared" si="46"/>
        <v>4.9402998419104049</v>
      </c>
      <c r="H94" s="6">
        <f t="shared" si="46"/>
        <v>4.9402998419104049</v>
      </c>
      <c r="I94" s="6">
        <f t="shared" si="46"/>
        <v>4.9402998419104049</v>
      </c>
      <c r="J94" s="6">
        <f t="shared" si="46"/>
        <v>4.9402998419104049</v>
      </c>
      <c r="K94" s="6">
        <f t="shared" si="46"/>
        <v>4.9402998419104049</v>
      </c>
      <c r="L94" s="6">
        <f t="shared" si="46"/>
        <v>4.9402998419104049</v>
      </c>
      <c r="M94" s="6">
        <f t="shared" si="46"/>
        <v>4.9402998419104049</v>
      </c>
      <c r="N94" s="6">
        <f t="shared" si="46"/>
        <v>4.9402998419104049</v>
      </c>
      <c r="O94" s="6">
        <f t="shared" si="46"/>
        <v>4.9402998419104049</v>
      </c>
      <c r="P94" s="6">
        <f t="shared" si="46"/>
        <v>4.9402998419104049</v>
      </c>
      <c r="Q94" s="6">
        <f t="shared" si="46"/>
        <v>4.9402998419104049</v>
      </c>
      <c r="R94" s="6">
        <f t="shared" si="46"/>
        <v>4.9402998419104049</v>
      </c>
      <c r="S94" s="6">
        <f t="shared" si="46"/>
        <v>4.9402998419104049</v>
      </c>
    </row>
    <row r="95" spans="1:19" ht="15" customHeight="1">
      <c r="B95" s="269" t="s">
        <v>1147</v>
      </c>
      <c r="C95" s="6">
        <f>Inputs!C95</f>
        <v>0.18208399999999997</v>
      </c>
      <c r="D95" s="6">
        <f t="shared" ref="D95:S113" si="47">C95</f>
        <v>0.18208399999999997</v>
      </c>
      <c r="E95" s="6">
        <f t="shared" si="47"/>
        <v>0.18208399999999997</v>
      </c>
      <c r="F95" s="6">
        <f t="shared" si="47"/>
        <v>0.18208399999999997</v>
      </c>
      <c r="G95" s="6">
        <f t="shared" si="47"/>
        <v>0.18208399999999997</v>
      </c>
      <c r="H95" s="6">
        <f t="shared" si="47"/>
        <v>0.18208399999999997</v>
      </c>
      <c r="I95" s="6">
        <f t="shared" si="47"/>
        <v>0.18208399999999997</v>
      </c>
      <c r="J95" s="6">
        <f t="shared" si="47"/>
        <v>0.18208399999999997</v>
      </c>
      <c r="K95" s="6">
        <f t="shared" si="47"/>
        <v>0.18208399999999997</v>
      </c>
      <c r="L95" s="6">
        <f t="shared" si="47"/>
        <v>0.18208399999999997</v>
      </c>
      <c r="M95" s="6">
        <f t="shared" si="47"/>
        <v>0.18208399999999997</v>
      </c>
      <c r="N95" s="6">
        <f t="shared" si="47"/>
        <v>0.18208399999999997</v>
      </c>
      <c r="O95" s="6">
        <f t="shared" si="47"/>
        <v>0.18208399999999997</v>
      </c>
      <c r="P95" s="6">
        <f t="shared" si="47"/>
        <v>0.18208399999999997</v>
      </c>
      <c r="Q95" s="6">
        <f t="shared" si="47"/>
        <v>0.18208399999999997</v>
      </c>
      <c r="R95" s="6">
        <f t="shared" si="47"/>
        <v>0.18208399999999997</v>
      </c>
      <c r="S95" s="6">
        <f t="shared" si="47"/>
        <v>0.18208399999999997</v>
      </c>
    </row>
    <row r="96" spans="1:19" ht="15" customHeight="1">
      <c r="B96" s="269" t="s">
        <v>1148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69" t="s">
        <v>1149</v>
      </c>
      <c r="C97" s="130">
        <f>Inputs!C97</f>
        <v>3</v>
      </c>
      <c r="D97" s="130">
        <f t="shared" si="47"/>
        <v>3</v>
      </c>
      <c r="E97" s="130">
        <f t="shared" si="47"/>
        <v>3</v>
      </c>
      <c r="F97" s="130">
        <f t="shared" si="47"/>
        <v>3</v>
      </c>
      <c r="G97" s="130">
        <f t="shared" si="47"/>
        <v>3</v>
      </c>
      <c r="H97" s="130">
        <f t="shared" si="47"/>
        <v>3</v>
      </c>
      <c r="I97" s="130">
        <f t="shared" si="47"/>
        <v>3</v>
      </c>
      <c r="J97" s="130">
        <f t="shared" si="47"/>
        <v>3</v>
      </c>
      <c r="K97" s="130">
        <f t="shared" si="47"/>
        <v>3</v>
      </c>
      <c r="L97" s="130">
        <f t="shared" si="47"/>
        <v>3</v>
      </c>
      <c r="M97" s="130">
        <f t="shared" si="47"/>
        <v>3</v>
      </c>
      <c r="N97" s="130">
        <f t="shared" si="47"/>
        <v>3</v>
      </c>
      <c r="O97" s="130">
        <f t="shared" si="47"/>
        <v>3</v>
      </c>
      <c r="P97" s="130">
        <f t="shared" si="47"/>
        <v>3</v>
      </c>
      <c r="Q97" s="130">
        <f t="shared" si="47"/>
        <v>3</v>
      </c>
      <c r="R97" s="130">
        <f t="shared" si="47"/>
        <v>3</v>
      </c>
      <c r="S97" s="130">
        <f t="shared" si="47"/>
        <v>3</v>
      </c>
    </row>
    <row r="98" spans="1:20" ht="15" customHeight="1">
      <c r="B98" s="269" t="s">
        <v>1150</v>
      </c>
      <c r="C98" s="155">
        <f>Inputs!C98</f>
        <v>4.9402998419104049</v>
      </c>
      <c r="D98" s="155">
        <f t="shared" si="47"/>
        <v>4.9402998419104049</v>
      </c>
      <c r="E98" s="155">
        <f t="shared" si="47"/>
        <v>4.9402998419104049</v>
      </c>
      <c r="F98" s="155">
        <f t="shared" si="47"/>
        <v>4.9402998419104049</v>
      </c>
      <c r="G98" s="155">
        <f t="shared" si="47"/>
        <v>4.9402998419104049</v>
      </c>
      <c r="H98" s="155">
        <f t="shared" si="47"/>
        <v>4.9402998419104049</v>
      </c>
      <c r="I98" s="155">
        <f t="shared" si="47"/>
        <v>4.9402998419104049</v>
      </c>
      <c r="J98" s="155">
        <f t="shared" si="47"/>
        <v>4.9402998419104049</v>
      </c>
      <c r="K98" s="155">
        <f t="shared" si="47"/>
        <v>4.9402998419104049</v>
      </c>
      <c r="L98" s="155">
        <f t="shared" si="47"/>
        <v>4.9402998419104049</v>
      </c>
      <c r="M98" s="155">
        <f t="shared" si="47"/>
        <v>4.9402998419104049</v>
      </c>
      <c r="N98" s="155">
        <f t="shared" si="47"/>
        <v>4.9402998419104049</v>
      </c>
      <c r="O98" s="155">
        <f t="shared" si="47"/>
        <v>4.9402998419104049</v>
      </c>
      <c r="P98" s="155">
        <f t="shared" si="47"/>
        <v>4.9402998419104049</v>
      </c>
      <c r="Q98" s="155">
        <f t="shared" si="47"/>
        <v>4.9402998419104049</v>
      </c>
      <c r="R98" s="155">
        <f t="shared" si="47"/>
        <v>4.9402998419104049</v>
      </c>
      <c r="S98" s="155">
        <f t="shared" si="47"/>
        <v>4.9402998419104049</v>
      </c>
    </row>
    <row r="99" spans="1:20" ht="15" customHeight="1">
      <c r="B99" s="269" t="s">
        <v>1151</v>
      </c>
      <c r="C99" s="155">
        <f>Inputs!C99</f>
        <v>5.2023999999999994E-2</v>
      </c>
      <c r="D99" s="155">
        <f t="shared" si="47"/>
        <v>5.2023999999999994E-2</v>
      </c>
      <c r="E99" s="155">
        <f t="shared" si="47"/>
        <v>5.2023999999999994E-2</v>
      </c>
      <c r="F99" s="155">
        <f t="shared" si="47"/>
        <v>5.2023999999999994E-2</v>
      </c>
      <c r="G99" s="155">
        <f t="shared" si="47"/>
        <v>5.2023999999999994E-2</v>
      </c>
      <c r="H99" s="155">
        <f t="shared" si="47"/>
        <v>5.2023999999999994E-2</v>
      </c>
      <c r="I99" s="155">
        <f t="shared" si="47"/>
        <v>5.2023999999999994E-2</v>
      </c>
      <c r="J99" s="155">
        <f t="shared" si="47"/>
        <v>5.2023999999999994E-2</v>
      </c>
      <c r="K99" s="155">
        <f t="shared" si="47"/>
        <v>5.2023999999999994E-2</v>
      </c>
      <c r="L99" s="155">
        <f t="shared" si="47"/>
        <v>5.2023999999999994E-2</v>
      </c>
      <c r="M99" s="155">
        <f t="shared" si="47"/>
        <v>5.2023999999999994E-2</v>
      </c>
      <c r="N99" s="155">
        <f t="shared" si="47"/>
        <v>5.2023999999999994E-2</v>
      </c>
      <c r="O99" s="155">
        <f t="shared" si="47"/>
        <v>5.2023999999999994E-2</v>
      </c>
      <c r="P99" s="155">
        <f t="shared" si="47"/>
        <v>5.2023999999999994E-2</v>
      </c>
      <c r="Q99" s="155">
        <f t="shared" si="47"/>
        <v>5.2023999999999994E-2</v>
      </c>
      <c r="R99" s="155">
        <f t="shared" si="47"/>
        <v>5.2023999999999994E-2</v>
      </c>
      <c r="S99" s="155">
        <f t="shared" si="47"/>
        <v>5.2023999999999994E-2</v>
      </c>
    </row>
    <row r="100" spans="1:20" ht="15" customHeight="1">
      <c r="B100" s="269" t="s">
        <v>1152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49">
        <f t="shared" si="47"/>
        <v>0.5</v>
      </c>
    </row>
    <row r="101" spans="1:20" ht="15" customHeight="1">
      <c r="A101" s="269" t="s">
        <v>148</v>
      </c>
      <c r="B101" s="269" t="s">
        <v>1040</v>
      </c>
      <c r="C101" s="155">
        <f>Inputs!C101</f>
        <v>8.3609999999999989</v>
      </c>
      <c r="D101" s="155">
        <f t="shared" si="47"/>
        <v>8.3609999999999989</v>
      </c>
      <c r="E101" s="155">
        <f t="shared" si="47"/>
        <v>8.3609999999999989</v>
      </c>
      <c r="F101" s="155">
        <f t="shared" si="47"/>
        <v>8.3609999999999989</v>
      </c>
      <c r="G101" s="155">
        <f t="shared" si="47"/>
        <v>8.3609999999999989</v>
      </c>
      <c r="H101" s="155">
        <f t="shared" si="47"/>
        <v>8.3609999999999989</v>
      </c>
      <c r="I101" s="155">
        <f t="shared" si="47"/>
        <v>8.3609999999999989</v>
      </c>
      <c r="J101" s="155">
        <f t="shared" si="47"/>
        <v>8.3609999999999989</v>
      </c>
      <c r="K101" s="155">
        <f t="shared" si="47"/>
        <v>8.3609999999999989</v>
      </c>
      <c r="L101" s="155">
        <f t="shared" si="47"/>
        <v>8.3609999999999989</v>
      </c>
      <c r="M101" s="155">
        <f t="shared" si="47"/>
        <v>8.3609999999999989</v>
      </c>
      <c r="N101" s="155">
        <f t="shared" si="47"/>
        <v>8.3609999999999989</v>
      </c>
      <c r="O101" s="155">
        <f t="shared" si="47"/>
        <v>8.3609999999999989</v>
      </c>
      <c r="P101" s="155">
        <f t="shared" si="47"/>
        <v>8.3609999999999989</v>
      </c>
      <c r="Q101" s="155">
        <f t="shared" si="47"/>
        <v>8.3609999999999989</v>
      </c>
      <c r="R101" s="155">
        <f t="shared" si="47"/>
        <v>8.3609999999999989</v>
      </c>
      <c r="S101" s="155">
        <f t="shared" si="47"/>
        <v>8.3609999999999989</v>
      </c>
    </row>
    <row r="102" spans="1:20" ht="15" customHeight="1">
      <c r="B102" s="269" t="s">
        <v>1041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69" t="s">
        <v>1042</v>
      </c>
      <c r="C103" s="8">
        <f>Inputs!C103</f>
        <v>6.5277997911104073</v>
      </c>
      <c r="D103" s="8">
        <f>C103</f>
        <v>6.5277997911104073</v>
      </c>
      <c r="E103" s="8">
        <f t="shared" si="47"/>
        <v>6.5277997911104073</v>
      </c>
      <c r="F103" s="8">
        <f t="shared" si="47"/>
        <v>6.5277997911104073</v>
      </c>
      <c r="G103" s="8">
        <f t="shared" si="47"/>
        <v>6.5277997911104073</v>
      </c>
      <c r="H103" s="8">
        <f t="shared" si="47"/>
        <v>6.5277997911104073</v>
      </c>
      <c r="I103" s="8">
        <f t="shared" si="47"/>
        <v>6.5277997911104073</v>
      </c>
      <c r="J103" s="8">
        <f t="shared" si="47"/>
        <v>6.5277997911104073</v>
      </c>
      <c r="K103" s="8">
        <f t="shared" si="47"/>
        <v>6.5277997911104073</v>
      </c>
      <c r="L103" s="8">
        <f t="shared" si="47"/>
        <v>6.5277997911104073</v>
      </c>
      <c r="M103" s="8">
        <f t="shared" si="47"/>
        <v>6.5277997911104073</v>
      </c>
      <c r="N103" s="8">
        <f t="shared" si="47"/>
        <v>6.5277997911104073</v>
      </c>
      <c r="O103" s="8">
        <f t="shared" si="47"/>
        <v>6.5277997911104073</v>
      </c>
      <c r="P103" s="8">
        <f t="shared" si="47"/>
        <v>6.5277997911104073</v>
      </c>
      <c r="Q103" s="8">
        <f t="shared" si="47"/>
        <v>6.5277997911104073</v>
      </c>
      <c r="R103" s="8">
        <f t="shared" si="47"/>
        <v>6.5277997911104073</v>
      </c>
      <c r="S103" s="249">
        <f t="shared" si="47"/>
        <v>6.5277997911104073</v>
      </c>
    </row>
    <row r="104" spans="1:20" ht="15" customHeight="1">
      <c r="B104" s="269" t="s">
        <v>1043</v>
      </c>
      <c r="C104" s="130">
        <f>Inputs!C104</f>
        <v>0</v>
      </c>
      <c r="D104" s="130">
        <f t="shared" si="47"/>
        <v>0</v>
      </c>
      <c r="E104" s="130">
        <f t="shared" si="47"/>
        <v>0</v>
      </c>
      <c r="F104" s="130">
        <f t="shared" si="47"/>
        <v>0</v>
      </c>
      <c r="G104" s="130">
        <f t="shared" si="47"/>
        <v>0</v>
      </c>
      <c r="H104" s="130">
        <f t="shared" si="47"/>
        <v>0</v>
      </c>
      <c r="I104" s="130">
        <f t="shared" si="47"/>
        <v>0</v>
      </c>
      <c r="J104" s="130">
        <f t="shared" si="47"/>
        <v>0</v>
      </c>
      <c r="K104" s="130">
        <f t="shared" si="47"/>
        <v>0</v>
      </c>
      <c r="L104" s="130">
        <f t="shared" si="47"/>
        <v>0</v>
      </c>
      <c r="M104" s="130">
        <f t="shared" si="47"/>
        <v>0</v>
      </c>
      <c r="N104" s="130">
        <f t="shared" si="47"/>
        <v>0</v>
      </c>
      <c r="O104" s="130">
        <f t="shared" si="47"/>
        <v>0</v>
      </c>
      <c r="P104" s="130">
        <f t="shared" si="47"/>
        <v>0</v>
      </c>
      <c r="Q104" s="130">
        <f t="shared" si="47"/>
        <v>0</v>
      </c>
      <c r="R104" s="130">
        <f t="shared" si="47"/>
        <v>0</v>
      </c>
      <c r="S104" s="130">
        <f t="shared" si="47"/>
        <v>0</v>
      </c>
    </row>
    <row r="105" spans="1:20" ht="15" customHeight="1">
      <c r="B105" s="269" t="s">
        <v>1044</v>
      </c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</row>
    <row r="106" spans="1:20" ht="15" customHeight="1">
      <c r="B106" s="269" t="s">
        <v>1045</v>
      </c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</row>
    <row r="107" spans="1:20" ht="15" customHeight="1">
      <c r="B107" s="269" t="s">
        <v>1046</v>
      </c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</row>
    <row r="108" spans="1:20" ht="15" customHeight="1">
      <c r="B108" s="269" t="s">
        <v>1341</v>
      </c>
      <c r="C108" s="249">
        <f>Inputs!C108</f>
        <v>0</v>
      </c>
      <c r="D108" s="249">
        <f t="shared" si="47"/>
        <v>0</v>
      </c>
      <c r="E108" s="249">
        <f t="shared" ref="E108:E111" si="48">D108</f>
        <v>0</v>
      </c>
      <c r="F108" s="249">
        <f t="shared" ref="F108:F111" si="49">E108</f>
        <v>0</v>
      </c>
      <c r="G108" s="249">
        <f t="shared" ref="G108:G111" si="50">F108</f>
        <v>0</v>
      </c>
      <c r="H108" s="249">
        <f t="shared" ref="H108:H111" si="51">G108</f>
        <v>0</v>
      </c>
      <c r="I108" s="249">
        <f t="shared" ref="I108:I111" si="52">H108</f>
        <v>0</v>
      </c>
      <c r="J108" s="249">
        <f t="shared" ref="J108:J111" si="53">I108</f>
        <v>0</v>
      </c>
      <c r="K108" s="249">
        <f t="shared" ref="K108:K111" si="54">J108</f>
        <v>0</v>
      </c>
      <c r="L108" s="249">
        <f t="shared" ref="L108:L111" si="55">K108</f>
        <v>0</v>
      </c>
      <c r="M108" s="249">
        <f t="shared" ref="M108:M111" si="56">L108</f>
        <v>0</v>
      </c>
      <c r="N108" s="249">
        <f t="shared" ref="N108:N111" si="57">M108</f>
        <v>0</v>
      </c>
      <c r="O108" s="249">
        <f t="shared" ref="O108:O111" si="58">N108</f>
        <v>0</v>
      </c>
      <c r="P108" s="249">
        <f t="shared" ref="P108:P111" si="59">O108</f>
        <v>0</v>
      </c>
      <c r="Q108" s="249">
        <f t="shared" ref="Q108:Q111" si="60">P108</f>
        <v>0</v>
      </c>
      <c r="R108" s="249">
        <f t="shared" ref="R108:R111" si="61">Q108</f>
        <v>0</v>
      </c>
      <c r="S108" s="249">
        <f t="shared" ref="S108:S111" si="62">R108</f>
        <v>0</v>
      </c>
    </row>
    <row r="109" spans="1:20" s="269" customFormat="1" ht="15" customHeight="1">
      <c r="B109" s="269" t="s">
        <v>1350</v>
      </c>
      <c r="C109" s="249">
        <f>Inputs!C109</f>
        <v>0</v>
      </c>
      <c r="D109" s="249">
        <f t="shared" si="47"/>
        <v>0</v>
      </c>
      <c r="E109" s="249">
        <f t="shared" si="48"/>
        <v>0</v>
      </c>
      <c r="F109" s="249">
        <f t="shared" si="49"/>
        <v>0</v>
      </c>
      <c r="G109" s="249">
        <f t="shared" si="50"/>
        <v>0</v>
      </c>
      <c r="H109" s="249">
        <f t="shared" si="51"/>
        <v>0</v>
      </c>
      <c r="I109" s="249">
        <f t="shared" si="52"/>
        <v>0</v>
      </c>
      <c r="J109" s="249">
        <f t="shared" si="53"/>
        <v>0</v>
      </c>
      <c r="K109" s="249">
        <f t="shared" si="54"/>
        <v>0</v>
      </c>
      <c r="L109" s="249">
        <f t="shared" si="55"/>
        <v>0</v>
      </c>
      <c r="M109" s="249">
        <f t="shared" si="56"/>
        <v>0</v>
      </c>
      <c r="N109" s="249">
        <f t="shared" si="57"/>
        <v>0</v>
      </c>
      <c r="O109" s="249">
        <f t="shared" si="58"/>
        <v>0</v>
      </c>
      <c r="P109" s="249">
        <f t="shared" si="59"/>
        <v>0</v>
      </c>
      <c r="Q109" s="249">
        <f t="shared" si="60"/>
        <v>0</v>
      </c>
      <c r="R109" s="249">
        <f t="shared" si="61"/>
        <v>0</v>
      </c>
      <c r="S109" s="249">
        <f t="shared" si="62"/>
        <v>0</v>
      </c>
      <c r="T109" s="66"/>
    </row>
    <row r="110" spans="1:20" s="269" customFormat="1" ht="15" customHeight="1">
      <c r="B110" s="269" t="s">
        <v>1340</v>
      </c>
      <c r="C110" s="249">
        <f>Inputs!C110</f>
        <v>0</v>
      </c>
      <c r="D110" s="249">
        <f t="shared" si="47"/>
        <v>0</v>
      </c>
      <c r="E110" s="249">
        <f t="shared" si="48"/>
        <v>0</v>
      </c>
      <c r="F110" s="249">
        <f t="shared" si="49"/>
        <v>0</v>
      </c>
      <c r="G110" s="249">
        <f t="shared" si="50"/>
        <v>0</v>
      </c>
      <c r="H110" s="249">
        <f t="shared" si="51"/>
        <v>0</v>
      </c>
      <c r="I110" s="249">
        <f t="shared" si="52"/>
        <v>0</v>
      </c>
      <c r="J110" s="249">
        <f t="shared" si="53"/>
        <v>0</v>
      </c>
      <c r="K110" s="249">
        <f t="shared" si="54"/>
        <v>0</v>
      </c>
      <c r="L110" s="249">
        <f t="shared" si="55"/>
        <v>0</v>
      </c>
      <c r="M110" s="249">
        <f t="shared" si="56"/>
        <v>0</v>
      </c>
      <c r="N110" s="249">
        <f t="shared" si="57"/>
        <v>0</v>
      </c>
      <c r="O110" s="249">
        <f t="shared" si="58"/>
        <v>0</v>
      </c>
      <c r="P110" s="249">
        <f t="shared" si="59"/>
        <v>0</v>
      </c>
      <c r="Q110" s="249">
        <f t="shared" si="60"/>
        <v>0</v>
      </c>
      <c r="R110" s="249">
        <f t="shared" si="61"/>
        <v>0</v>
      </c>
      <c r="S110" s="249">
        <f t="shared" si="62"/>
        <v>0</v>
      </c>
      <c r="T110" s="66"/>
    </row>
    <row r="111" spans="1:20" s="269" customFormat="1" ht="15" customHeight="1">
      <c r="B111" s="269" t="s">
        <v>1342</v>
      </c>
      <c r="C111" s="249">
        <f>Inputs!C111</f>
        <v>2.2999999999999998</v>
      </c>
      <c r="D111" s="249">
        <f t="shared" si="47"/>
        <v>2.2999999999999998</v>
      </c>
      <c r="E111" s="249">
        <f t="shared" si="48"/>
        <v>2.2999999999999998</v>
      </c>
      <c r="F111" s="249">
        <f t="shared" si="49"/>
        <v>2.2999999999999998</v>
      </c>
      <c r="G111" s="249">
        <f t="shared" si="50"/>
        <v>2.2999999999999998</v>
      </c>
      <c r="H111" s="249">
        <f t="shared" si="51"/>
        <v>2.2999999999999998</v>
      </c>
      <c r="I111" s="249">
        <f t="shared" si="52"/>
        <v>2.2999999999999998</v>
      </c>
      <c r="J111" s="249">
        <f t="shared" si="53"/>
        <v>2.2999999999999998</v>
      </c>
      <c r="K111" s="249">
        <f t="shared" si="54"/>
        <v>2.2999999999999998</v>
      </c>
      <c r="L111" s="249">
        <f t="shared" si="55"/>
        <v>2.2999999999999998</v>
      </c>
      <c r="M111" s="249">
        <f t="shared" si="56"/>
        <v>2.2999999999999998</v>
      </c>
      <c r="N111" s="249">
        <f t="shared" si="57"/>
        <v>2.2999999999999998</v>
      </c>
      <c r="O111" s="249">
        <f t="shared" si="58"/>
        <v>2.2999999999999998</v>
      </c>
      <c r="P111" s="249">
        <f t="shared" si="59"/>
        <v>2.2999999999999998</v>
      </c>
      <c r="Q111" s="249">
        <f t="shared" si="60"/>
        <v>2.2999999999999998</v>
      </c>
      <c r="R111" s="249">
        <f t="shared" si="61"/>
        <v>2.2999999999999998</v>
      </c>
      <c r="S111" s="249">
        <f t="shared" si="62"/>
        <v>2.2999999999999998</v>
      </c>
      <c r="T111" s="66"/>
    </row>
    <row r="112" spans="1:20" ht="15" customHeight="1">
      <c r="B112" s="269" t="s">
        <v>1047</v>
      </c>
      <c r="C112" s="130">
        <f>Inputs!C112</f>
        <v>1</v>
      </c>
      <c r="D112" s="130">
        <f t="shared" si="47"/>
        <v>1</v>
      </c>
      <c r="E112" s="130">
        <f t="shared" si="47"/>
        <v>1</v>
      </c>
      <c r="F112" s="130">
        <f t="shared" si="47"/>
        <v>1</v>
      </c>
      <c r="G112" s="130">
        <f t="shared" si="47"/>
        <v>1</v>
      </c>
      <c r="H112" s="130">
        <f t="shared" si="47"/>
        <v>1</v>
      </c>
      <c r="I112" s="130">
        <f t="shared" si="47"/>
        <v>1</v>
      </c>
      <c r="J112" s="130">
        <f t="shared" si="47"/>
        <v>1</v>
      </c>
      <c r="K112" s="130">
        <f t="shared" si="47"/>
        <v>1</v>
      </c>
      <c r="L112" s="130">
        <f t="shared" si="47"/>
        <v>1</v>
      </c>
      <c r="M112" s="130">
        <f t="shared" si="47"/>
        <v>1</v>
      </c>
      <c r="N112" s="130">
        <f t="shared" si="47"/>
        <v>1</v>
      </c>
      <c r="O112" s="130">
        <f t="shared" si="47"/>
        <v>1</v>
      </c>
      <c r="P112" s="130">
        <f t="shared" si="47"/>
        <v>1</v>
      </c>
      <c r="Q112" s="130">
        <f t="shared" si="47"/>
        <v>1</v>
      </c>
      <c r="R112" s="130">
        <f t="shared" si="47"/>
        <v>1</v>
      </c>
      <c r="S112" s="130">
        <f t="shared" si="47"/>
        <v>1</v>
      </c>
    </row>
    <row r="113" spans="1:19" ht="15" customHeight="1">
      <c r="A113" s="269" t="s">
        <v>96</v>
      </c>
      <c r="B113" s="269" t="s">
        <v>1048</v>
      </c>
      <c r="C113" s="130">
        <f>Inputs!C113</f>
        <v>1</v>
      </c>
      <c r="D113" s="130">
        <f t="shared" si="47"/>
        <v>1</v>
      </c>
      <c r="E113" s="130">
        <f t="shared" si="47"/>
        <v>1</v>
      </c>
      <c r="F113" s="130">
        <f t="shared" si="47"/>
        <v>1</v>
      </c>
      <c r="G113" s="130">
        <f t="shared" si="47"/>
        <v>1</v>
      </c>
      <c r="H113" s="130">
        <f t="shared" si="47"/>
        <v>1</v>
      </c>
      <c r="I113" s="130">
        <f t="shared" si="47"/>
        <v>1</v>
      </c>
      <c r="J113" s="130">
        <f t="shared" si="47"/>
        <v>1</v>
      </c>
      <c r="K113" s="130">
        <f t="shared" si="47"/>
        <v>1</v>
      </c>
      <c r="L113" s="130">
        <f t="shared" si="47"/>
        <v>1</v>
      </c>
      <c r="M113" s="130">
        <f t="shared" si="47"/>
        <v>1</v>
      </c>
      <c r="N113" s="130">
        <f t="shared" si="47"/>
        <v>1</v>
      </c>
      <c r="O113" s="130">
        <f t="shared" si="47"/>
        <v>1</v>
      </c>
      <c r="P113" s="130">
        <f t="shared" si="47"/>
        <v>1</v>
      </c>
      <c r="Q113" s="130">
        <f t="shared" si="47"/>
        <v>1</v>
      </c>
      <c r="R113" s="130">
        <f t="shared" si="47"/>
        <v>1</v>
      </c>
      <c r="S113" s="130">
        <f t="shared" si="47"/>
        <v>1</v>
      </c>
    </row>
    <row r="114" spans="1:19" ht="15" customHeight="1">
      <c r="B114" s="269" t="s">
        <v>1049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69" t="s">
        <v>1050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69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69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69" t="s">
        <v>1180</v>
      </c>
      <c r="C118" s="155">
        <f>Inputs!C118</f>
        <v>0</v>
      </c>
      <c r="D118" s="155">
        <f t="shared" ref="D118:S127" si="63">C118</f>
        <v>0</v>
      </c>
      <c r="E118" s="155">
        <f t="shared" si="63"/>
        <v>0</v>
      </c>
      <c r="F118" s="155">
        <f t="shared" si="63"/>
        <v>0</v>
      </c>
      <c r="G118" s="155">
        <f t="shared" si="63"/>
        <v>0</v>
      </c>
      <c r="H118" s="155">
        <f t="shared" si="63"/>
        <v>0</v>
      </c>
      <c r="I118" s="155">
        <f t="shared" si="63"/>
        <v>0</v>
      </c>
      <c r="J118" s="155">
        <f t="shared" si="63"/>
        <v>0</v>
      </c>
      <c r="K118" s="155">
        <f t="shared" si="63"/>
        <v>0</v>
      </c>
      <c r="L118" s="155">
        <f t="shared" si="63"/>
        <v>0</v>
      </c>
      <c r="M118" s="155">
        <f t="shared" si="63"/>
        <v>0</v>
      </c>
      <c r="N118" s="155">
        <f t="shared" si="63"/>
        <v>0</v>
      </c>
      <c r="O118" s="155">
        <f t="shared" si="63"/>
        <v>0</v>
      </c>
      <c r="P118" s="155">
        <f t="shared" si="63"/>
        <v>0</v>
      </c>
      <c r="Q118" s="155">
        <f t="shared" si="63"/>
        <v>0</v>
      </c>
      <c r="R118" s="155">
        <f t="shared" si="63"/>
        <v>0</v>
      </c>
      <c r="S118" s="155">
        <f t="shared" si="63"/>
        <v>0</v>
      </c>
    </row>
    <row r="119" spans="1:19" ht="15" customHeight="1">
      <c r="B119" s="269" t="s">
        <v>1181</v>
      </c>
      <c r="C119" s="155">
        <f>Inputs!C119</f>
        <v>0</v>
      </c>
      <c r="D119" s="155">
        <f t="shared" si="63"/>
        <v>0</v>
      </c>
      <c r="E119" s="155">
        <f t="shared" si="63"/>
        <v>0</v>
      </c>
      <c r="F119" s="155">
        <f t="shared" si="63"/>
        <v>0</v>
      </c>
      <c r="G119" s="155">
        <f t="shared" si="63"/>
        <v>0</v>
      </c>
      <c r="H119" s="155">
        <f t="shared" si="63"/>
        <v>0</v>
      </c>
      <c r="I119" s="155">
        <f t="shared" si="63"/>
        <v>0</v>
      </c>
      <c r="J119" s="155">
        <f t="shared" si="63"/>
        <v>0</v>
      </c>
      <c r="K119" s="155">
        <f t="shared" si="63"/>
        <v>0</v>
      </c>
      <c r="L119" s="155">
        <f t="shared" si="63"/>
        <v>0</v>
      </c>
      <c r="M119" s="155">
        <f t="shared" si="63"/>
        <v>0</v>
      </c>
      <c r="N119" s="155">
        <f t="shared" si="63"/>
        <v>0</v>
      </c>
      <c r="O119" s="155">
        <f t="shared" si="63"/>
        <v>0</v>
      </c>
      <c r="P119" s="155">
        <f t="shared" si="63"/>
        <v>0</v>
      </c>
      <c r="Q119" s="155">
        <f t="shared" si="63"/>
        <v>0</v>
      </c>
      <c r="R119" s="155">
        <f t="shared" si="63"/>
        <v>0</v>
      </c>
      <c r="S119" s="155">
        <f t="shared" si="63"/>
        <v>0</v>
      </c>
    </row>
    <row r="120" spans="1:19" ht="15" customHeight="1">
      <c r="B120" s="269" t="s">
        <v>1051</v>
      </c>
      <c r="C120" s="8">
        <f>Inputs!C120</f>
        <v>67.069196408781849</v>
      </c>
      <c r="D120" s="8">
        <f t="shared" si="63"/>
        <v>67.069196408781849</v>
      </c>
      <c r="E120" s="8">
        <f t="shared" si="63"/>
        <v>67.069196408781849</v>
      </c>
      <c r="F120" s="8">
        <f t="shared" si="63"/>
        <v>67.069196408781849</v>
      </c>
      <c r="G120" s="8">
        <f t="shared" si="63"/>
        <v>67.069196408781849</v>
      </c>
      <c r="H120" s="8">
        <f t="shared" si="63"/>
        <v>67.069196408781849</v>
      </c>
      <c r="I120" s="8">
        <f t="shared" si="63"/>
        <v>67.069196408781849</v>
      </c>
      <c r="J120" s="8">
        <f t="shared" si="63"/>
        <v>67.069196408781849</v>
      </c>
      <c r="K120" s="8">
        <f t="shared" si="63"/>
        <v>67.069196408781849</v>
      </c>
      <c r="L120" s="8">
        <f t="shared" si="63"/>
        <v>67.069196408781849</v>
      </c>
      <c r="M120" s="8">
        <f t="shared" si="63"/>
        <v>67.069196408781849</v>
      </c>
      <c r="N120" s="8">
        <f t="shared" si="63"/>
        <v>67.069196408781849</v>
      </c>
      <c r="O120" s="8">
        <f t="shared" si="63"/>
        <v>67.069196408781849</v>
      </c>
      <c r="P120" s="8">
        <f t="shared" si="63"/>
        <v>67.069196408781849</v>
      </c>
      <c r="Q120" s="8">
        <f t="shared" si="63"/>
        <v>67.069196408781849</v>
      </c>
      <c r="R120" s="8">
        <f t="shared" si="63"/>
        <v>67.069196408781849</v>
      </c>
      <c r="S120" s="249">
        <f t="shared" si="63"/>
        <v>67.069196408781849</v>
      </c>
    </row>
    <row r="121" spans="1:19" ht="15" customHeight="1">
      <c r="B121" s="269" t="s">
        <v>1052</v>
      </c>
      <c r="C121" s="8">
        <f>Inputs!C121</f>
        <v>6.9001230873232355</v>
      </c>
      <c r="D121" s="8">
        <f t="shared" si="63"/>
        <v>6.9001230873232355</v>
      </c>
      <c r="E121" s="8">
        <f t="shared" si="63"/>
        <v>6.9001230873232355</v>
      </c>
      <c r="F121" s="8">
        <f t="shared" si="63"/>
        <v>6.9001230873232355</v>
      </c>
      <c r="G121" s="8">
        <f t="shared" si="63"/>
        <v>6.9001230873232355</v>
      </c>
      <c r="H121" s="8">
        <f t="shared" si="63"/>
        <v>6.9001230873232355</v>
      </c>
      <c r="I121" s="8">
        <f t="shared" si="63"/>
        <v>6.9001230873232355</v>
      </c>
      <c r="J121" s="8">
        <f t="shared" si="63"/>
        <v>6.9001230873232355</v>
      </c>
      <c r="K121" s="8">
        <f t="shared" si="63"/>
        <v>6.9001230873232355</v>
      </c>
      <c r="L121" s="8">
        <f t="shared" si="63"/>
        <v>6.9001230873232355</v>
      </c>
      <c r="M121" s="8">
        <f t="shared" si="63"/>
        <v>6.9001230873232355</v>
      </c>
      <c r="N121" s="8">
        <f t="shared" si="63"/>
        <v>6.9001230873232355</v>
      </c>
      <c r="O121" s="8">
        <f t="shared" si="63"/>
        <v>6.9001230873232355</v>
      </c>
      <c r="P121" s="8">
        <f t="shared" si="63"/>
        <v>6.9001230873232355</v>
      </c>
      <c r="Q121" s="8">
        <f t="shared" si="63"/>
        <v>6.9001230873232355</v>
      </c>
      <c r="R121" s="8">
        <f t="shared" si="63"/>
        <v>6.9001230873232355</v>
      </c>
      <c r="S121" s="249">
        <f t="shared" si="63"/>
        <v>6.9001230873232355</v>
      </c>
    </row>
    <row r="122" spans="1:19" ht="15" customHeight="1">
      <c r="B122" s="269" t="s">
        <v>1053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69" t="s">
        <v>1054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69" t="s">
        <v>1055</v>
      </c>
      <c r="C124" s="375">
        <f>HVAC!B135</f>
        <v>0.47199999999999998</v>
      </c>
      <c r="D124" s="375">
        <f>HVAC!C135</f>
        <v>0.47199999999999998</v>
      </c>
      <c r="E124" s="375">
        <f>HVAC!D135</f>
        <v>0.47199999999999998</v>
      </c>
      <c r="F124" s="375">
        <f>HVAC!E135</f>
        <v>0.37759999999999999</v>
      </c>
      <c r="G124" s="375">
        <f>HVAC!F135</f>
        <v>0.37759999999999999</v>
      </c>
      <c r="H124" s="375">
        <f>HVAC!G135</f>
        <v>0.28320000000000001</v>
      </c>
      <c r="I124" s="375">
        <f>HVAC!H135</f>
        <v>0.37759999999999999</v>
      </c>
      <c r="J124" s="375">
        <f>HVAC!I135</f>
        <v>0.37759999999999999</v>
      </c>
      <c r="K124" s="375">
        <f>HVAC!J135</f>
        <v>0.28320000000000001</v>
      </c>
      <c r="L124" s="375">
        <f>HVAC!K135</f>
        <v>0.37759999999999999</v>
      </c>
      <c r="M124" s="375">
        <f>HVAC!L135</f>
        <v>0.37759999999999999</v>
      </c>
      <c r="N124" s="375">
        <f>HVAC!M135</f>
        <v>0.37759999999999999</v>
      </c>
      <c r="O124" s="375">
        <f>HVAC!N135</f>
        <v>0.28320000000000001</v>
      </c>
      <c r="P124" s="375">
        <f>HVAC!O135</f>
        <v>0.28320000000000001</v>
      </c>
      <c r="Q124" s="375">
        <f>HVAC!P135</f>
        <v>0.28320000000000001</v>
      </c>
      <c r="R124" s="375">
        <f>HVAC!Q135</f>
        <v>0.37759999999999999</v>
      </c>
      <c r="S124" s="375">
        <f>HVAC!R135</f>
        <v>0.37759999999999999</v>
      </c>
    </row>
    <row r="125" spans="1:19" ht="15" customHeight="1">
      <c r="B125" s="269" t="s">
        <v>1056</v>
      </c>
      <c r="C125" s="375">
        <f>HVAC!B139</f>
        <v>0.23788799999999999</v>
      </c>
      <c r="D125" s="375">
        <f>HVAC!C139</f>
        <v>0.23788799999999999</v>
      </c>
      <c r="E125" s="375">
        <f>HVAC!D139</f>
        <v>0.23788799999999999</v>
      </c>
      <c r="F125" s="375">
        <f>HVAC!E139</f>
        <v>0.23788799999999999</v>
      </c>
      <c r="G125" s="375">
        <f>HVAC!F139</f>
        <v>0.19031039999999999</v>
      </c>
      <c r="H125" s="375">
        <f>HVAC!G139</f>
        <v>0.14273280000000002</v>
      </c>
      <c r="I125" s="375">
        <f>HVAC!H139</f>
        <v>0.23788799999999999</v>
      </c>
      <c r="J125" s="375">
        <f>HVAC!I139</f>
        <v>0.23788799999999999</v>
      </c>
      <c r="K125" s="375">
        <f>HVAC!J139</f>
        <v>0.19031039999999999</v>
      </c>
      <c r="L125" s="375">
        <f>HVAC!K139</f>
        <v>0.23788799999999999</v>
      </c>
      <c r="M125" s="375">
        <f>HVAC!L139</f>
        <v>0.19031039999999999</v>
      </c>
      <c r="N125" s="375">
        <f>HVAC!M139</f>
        <v>0.23788799999999999</v>
      </c>
      <c r="O125" s="375">
        <f>HVAC!N139</f>
        <v>0.28546560000000004</v>
      </c>
      <c r="P125" s="375">
        <f>HVAC!O139</f>
        <v>0.28546560000000004</v>
      </c>
      <c r="Q125" s="375">
        <f>HVAC!P139</f>
        <v>0.38062079999999998</v>
      </c>
      <c r="R125" s="375">
        <f>HVAC!Q139</f>
        <v>0.19031039999999999</v>
      </c>
      <c r="S125" s="375">
        <f>HVAC!R139</f>
        <v>0.19031039999999999</v>
      </c>
    </row>
    <row r="126" spans="1:19" ht="15" customHeight="1">
      <c r="B126" s="269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49">
        <f t="shared" si="63"/>
        <v>0.6</v>
      </c>
    </row>
    <row r="127" spans="1:19" ht="15" customHeight="1">
      <c r="B127" s="269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49">
        <f t="shared" si="63"/>
        <v>0.6</v>
      </c>
    </row>
    <row r="128" spans="1:19" ht="15" customHeight="1">
      <c r="B128" s="269" t="s">
        <v>114</v>
      </c>
      <c r="C128" s="377">
        <f>HVAC!B141</f>
        <v>0</v>
      </c>
      <c r="D128" s="377">
        <f>HVAC!C141</f>
        <v>0</v>
      </c>
      <c r="E128" s="377">
        <f>HVAC!D141</f>
        <v>0</v>
      </c>
      <c r="F128" s="377">
        <f>HVAC!E141</f>
        <v>0</v>
      </c>
      <c r="G128" s="377">
        <f>HVAC!F141</f>
        <v>0</v>
      </c>
      <c r="H128" s="377">
        <f>HVAC!G141</f>
        <v>0</v>
      </c>
      <c r="I128" s="377">
        <f>HVAC!H141</f>
        <v>0</v>
      </c>
      <c r="J128" s="377">
        <f>HVAC!I141</f>
        <v>0</v>
      </c>
      <c r="K128" s="377">
        <f>HVAC!J141</f>
        <v>0</v>
      </c>
      <c r="L128" s="377">
        <f>HVAC!K141</f>
        <v>0</v>
      </c>
      <c r="M128" s="377">
        <f>HVAC!L141</f>
        <v>0</v>
      </c>
      <c r="N128" s="377">
        <f>HVAC!M141</f>
        <v>0</v>
      </c>
      <c r="O128" s="377">
        <f>HVAC!N141</f>
        <v>0</v>
      </c>
      <c r="P128" s="377">
        <f>HVAC!O141</f>
        <v>0</v>
      </c>
      <c r="Q128" s="377">
        <f>HVAC!P141</f>
        <v>0</v>
      </c>
      <c r="R128" s="377">
        <f>HVAC!Q141</f>
        <v>0</v>
      </c>
      <c r="S128" s="377">
        <f>HVAC!R141</f>
        <v>0</v>
      </c>
    </row>
    <row r="129" spans="1:20" ht="15" customHeight="1">
      <c r="B129" s="269" t="s">
        <v>116</v>
      </c>
      <c r="C129" s="377">
        <f>HVAC!B142</f>
        <v>0</v>
      </c>
      <c r="D129" s="377">
        <f>HVAC!C142</f>
        <v>0</v>
      </c>
      <c r="E129" s="377">
        <f>HVAC!D142</f>
        <v>0</v>
      </c>
      <c r="F129" s="377">
        <f>HVAC!E142</f>
        <v>0</v>
      </c>
      <c r="G129" s="377">
        <f>HVAC!F142</f>
        <v>0</v>
      </c>
      <c r="H129" s="377">
        <f>HVAC!G142</f>
        <v>0</v>
      </c>
      <c r="I129" s="377">
        <f>HVAC!H142</f>
        <v>0</v>
      </c>
      <c r="J129" s="377">
        <f>HVAC!I142</f>
        <v>0</v>
      </c>
      <c r="K129" s="377">
        <f>HVAC!J142</f>
        <v>0</v>
      </c>
      <c r="L129" s="377">
        <f>HVAC!K142</f>
        <v>0</v>
      </c>
      <c r="M129" s="377">
        <f>HVAC!L142</f>
        <v>0</v>
      </c>
      <c r="N129" s="377">
        <f>HVAC!M142</f>
        <v>0</v>
      </c>
      <c r="O129" s="377">
        <f>HVAC!N142</f>
        <v>0</v>
      </c>
      <c r="P129" s="377">
        <f>HVAC!O142</f>
        <v>0</v>
      </c>
      <c r="Q129" s="377">
        <f>HVAC!P142</f>
        <v>0</v>
      </c>
      <c r="R129" s="377">
        <f>HVAC!Q142</f>
        <v>0</v>
      </c>
      <c r="S129" s="377">
        <f>HVAC!R142</f>
        <v>0</v>
      </c>
    </row>
    <row r="130" spans="1:20" ht="15" customHeight="1">
      <c r="A130" s="269" t="s">
        <v>494</v>
      </c>
      <c r="B130" s="269" t="s">
        <v>401</v>
      </c>
      <c r="C130" s="375">
        <f>HVAC!B133</f>
        <v>2.5</v>
      </c>
      <c r="D130" s="375">
        <f>HVAC!C133</f>
        <v>2.5</v>
      </c>
      <c r="E130" s="375">
        <f>HVAC!D133</f>
        <v>2.5</v>
      </c>
      <c r="F130" s="375">
        <f>HVAC!E133</f>
        <v>2</v>
      </c>
      <c r="G130" s="375">
        <f>HVAC!F133</f>
        <v>2</v>
      </c>
      <c r="H130" s="375">
        <f>HVAC!G133</f>
        <v>1.5</v>
      </c>
      <c r="I130" s="375">
        <f>HVAC!H133</f>
        <v>2</v>
      </c>
      <c r="J130" s="375">
        <f>HVAC!I133</f>
        <v>2</v>
      </c>
      <c r="K130" s="375">
        <f>HVAC!J133</f>
        <v>1.5</v>
      </c>
      <c r="L130" s="375">
        <f>HVAC!K133</f>
        <v>2</v>
      </c>
      <c r="M130" s="375">
        <f>HVAC!L133</f>
        <v>2</v>
      </c>
      <c r="N130" s="375">
        <f>HVAC!M133</f>
        <v>2</v>
      </c>
      <c r="O130" s="375">
        <f>HVAC!N133</f>
        <v>1.5</v>
      </c>
      <c r="P130" s="375">
        <f>HVAC!O133</f>
        <v>1.5</v>
      </c>
      <c r="Q130" s="375">
        <f>HVAC!P133</f>
        <v>1.5</v>
      </c>
      <c r="R130" s="375">
        <f>HVAC!Q133</f>
        <v>2</v>
      </c>
      <c r="S130" s="375">
        <f>HVAC!R133</f>
        <v>2</v>
      </c>
    </row>
    <row r="131" spans="1:20" ht="15" customHeight="1">
      <c r="B131" s="269" t="s">
        <v>402</v>
      </c>
      <c r="C131" s="378">
        <f>12*C130</f>
        <v>30</v>
      </c>
      <c r="D131" s="378">
        <f t="shared" ref="D131:S131" si="64">12*D130</f>
        <v>30</v>
      </c>
      <c r="E131" s="378">
        <f t="shared" si="64"/>
        <v>30</v>
      </c>
      <c r="F131" s="378">
        <f t="shared" si="64"/>
        <v>24</v>
      </c>
      <c r="G131" s="378">
        <f t="shared" si="64"/>
        <v>24</v>
      </c>
      <c r="H131" s="378">
        <f t="shared" si="64"/>
        <v>18</v>
      </c>
      <c r="I131" s="378">
        <f t="shared" si="64"/>
        <v>24</v>
      </c>
      <c r="J131" s="378">
        <f t="shared" si="64"/>
        <v>24</v>
      </c>
      <c r="K131" s="378">
        <f t="shared" si="64"/>
        <v>18</v>
      </c>
      <c r="L131" s="378">
        <f t="shared" si="64"/>
        <v>24</v>
      </c>
      <c r="M131" s="378">
        <f t="shared" si="64"/>
        <v>24</v>
      </c>
      <c r="N131" s="378">
        <f t="shared" si="64"/>
        <v>24</v>
      </c>
      <c r="O131" s="378">
        <f t="shared" si="64"/>
        <v>18</v>
      </c>
      <c r="P131" s="378">
        <f t="shared" si="64"/>
        <v>18</v>
      </c>
      <c r="Q131" s="378">
        <f t="shared" si="64"/>
        <v>18</v>
      </c>
      <c r="R131" s="378">
        <f t="shared" si="64"/>
        <v>24</v>
      </c>
      <c r="S131" s="378">
        <f t="shared" si="64"/>
        <v>24</v>
      </c>
    </row>
    <row r="132" spans="1:20" ht="15" customHeight="1">
      <c r="B132" s="269" t="s">
        <v>400</v>
      </c>
      <c r="C132" s="376">
        <f>HVAC!C10</f>
        <v>15.2</v>
      </c>
      <c r="D132" s="376">
        <f>HVAC!D10</f>
        <v>15.2</v>
      </c>
      <c r="E132" s="376">
        <f>HVAC!E10</f>
        <v>15.2</v>
      </c>
      <c r="F132" s="376">
        <f>HVAC!F10</f>
        <v>13</v>
      </c>
      <c r="G132" s="376">
        <f>HVAC!G10</f>
        <v>13</v>
      </c>
      <c r="H132" s="376">
        <f>HVAC!H10</f>
        <v>13</v>
      </c>
      <c r="I132" s="376">
        <f>HVAC!I10</f>
        <v>13</v>
      </c>
      <c r="J132" s="376">
        <f>HVAC!J10</f>
        <v>13</v>
      </c>
      <c r="K132" s="376">
        <f>HVAC!K10</f>
        <v>11.1</v>
      </c>
      <c r="L132" s="376">
        <f>HVAC!L10</f>
        <v>11.1</v>
      </c>
      <c r="M132" s="376">
        <f>HVAC!M10</f>
        <v>11.1</v>
      </c>
      <c r="N132" s="376">
        <f>HVAC!N10</f>
        <v>11.1</v>
      </c>
      <c r="O132" s="376">
        <f>HVAC!O10</f>
        <v>11.1</v>
      </c>
      <c r="P132" s="376">
        <f>HVAC!P10</f>
        <v>11.1</v>
      </c>
      <c r="Q132" s="376">
        <f>HVAC!Q10</f>
        <v>11.1</v>
      </c>
      <c r="R132" s="376">
        <f>HVAC!R10</f>
        <v>15.2</v>
      </c>
      <c r="S132" s="376">
        <f>HVAC!S10</f>
        <v>13</v>
      </c>
    </row>
    <row r="133" spans="1:20" ht="15" customHeight="1">
      <c r="B133" s="269" t="s">
        <v>1057</v>
      </c>
      <c r="C133" s="376">
        <f>12000/1000*HVAC!B137</f>
        <v>30</v>
      </c>
      <c r="D133" s="376">
        <f>12000/1000*HVAC!C137</f>
        <v>30</v>
      </c>
      <c r="E133" s="376">
        <f>12000/1000*HVAC!D137</f>
        <v>30</v>
      </c>
      <c r="F133" s="376">
        <f>12000/1000*HVAC!E137</f>
        <v>30</v>
      </c>
      <c r="G133" s="376">
        <f>12000/1000*HVAC!F137</f>
        <v>24</v>
      </c>
      <c r="H133" s="376">
        <f>12000/1000*HVAC!G137</f>
        <v>18</v>
      </c>
      <c r="I133" s="376">
        <f>12000/1000*HVAC!H137</f>
        <v>30</v>
      </c>
      <c r="J133" s="376">
        <f>12000/1000*HVAC!I137</f>
        <v>30</v>
      </c>
      <c r="K133" s="376">
        <f>12000/1000*HVAC!J137</f>
        <v>24</v>
      </c>
      <c r="L133" s="376">
        <f>12000/1000*HVAC!K137</f>
        <v>30</v>
      </c>
      <c r="M133" s="376">
        <f>12000/1000*HVAC!L137</f>
        <v>24</v>
      </c>
      <c r="N133" s="376">
        <f>12000/1000*HVAC!M137</f>
        <v>30</v>
      </c>
      <c r="O133" s="376">
        <f>12000/1000*HVAC!N137</f>
        <v>36</v>
      </c>
      <c r="P133" s="376">
        <f>12000/1000*HVAC!O137</f>
        <v>36</v>
      </c>
      <c r="Q133" s="376">
        <f>12000/1000*HVAC!P137</f>
        <v>48</v>
      </c>
      <c r="R133" s="376">
        <f>12000/1000*HVAC!Q137</f>
        <v>24</v>
      </c>
      <c r="S133" s="376">
        <f>12000/1000*HVAC!R137</f>
        <v>24</v>
      </c>
    </row>
    <row r="134" spans="1:20" ht="15" customHeight="1">
      <c r="B134" s="269" t="s">
        <v>1058</v>
      </c>
      <c r="C134" s="376">
        <f>HVAC!B140</f>
        <v>201.6</v>
      </c>
      <c r="D134" s="376">
        <f>HVAC!C140</f>
        <v>201.6</v>
      </c>
      <c r="E134" s="376">
        <f>HVAC!D140</f>
        <v>201.6</v>
      </c>
      <c r="F134" s="376">
        <f>HVAC!E140</f>
        <v>201.6</v>
      </c>
      <c r="G134" s="376">
        <f>HVAC!F140</f>
        <v>161.28</v>
      </c>
      <c r="H134" s="376">
        <f>HVAC!G140</f>
        <v>120.96000000000001</v>
      </c>
      <c r="I134" s="376">
        <f>HVAC!H140</f>
        <v>201.6</v>
      </c>
      <c r="J134" s="376">
        <f>HVAC!I140</f>
        <v>201.6</v>
      </c>
      <c r="K134" s="376">
        <f>HVAC!J140</f>
        <v>161.28</v>
      </c>
      <c r="L134" s="376">
        <f>HVAC!K140</f>
        <v>201.6</v>
      </c>
      <c r="M134" s="376">
        <f>HVAC!L140</f>
        <v>161.28</v>
      </c>
      <c r="N134" s="376">
        <f>HVAC!M140</f>
        <v>201.6</v>
      </c>
      <c r="O134" s="376">
        <f>HVAC!N140</f>
        <v>241.92000000000002</v>
      </c>
      <c r="P134" s="376">
        <f>HVAC!O140</f>
        <v>241.92000000000002</v>
      </c>
      <c r="Q134" s="376">
        <f>HVAC!P140</f>
        <v>322.56</v>
      </c>
      <c r="R134" s="376">
        <f>HVAC!Q140</f>
        <v>161.28</v>
      </c>
      <c r="S134" s="376">
        <f>HVAC!R140</f>
        <v>161.28</v>
      </c>
    </row>
    <row r="135" spans="1:20" ht="15" customHeight="1">
      <c r="B135" s="269" t="s">
        <v>1059</v>
      </c>
      <c r="C135" s="376">
        <f>HVAC!B136</f>
        <v>400</v>
      </c>
      <c r="D135" s="376">
        <f>HVAC!C136</f>
        <v>400</v>
      </c>
      <c r="E135" s="376">
        <f>HVAC!D136</f>
        <v>400</v>
      </c>
      <c r="F135" s="376">
        <f>HVAC!E136</f>
        <v>320</v>
      </c>
      <c r="G135" s="376">
        <f>HVAC!F136</f>
        <v>320</v>
      </c>
      <c r="H135" s="376">
        <f>HVAC!G136</f>
        <v>240</v>
      </c>
      <c r="I135" s="376">
        <f>HVAC!H136</f>
        <v>320</v>
      </c>
      <c r="J135" s="376">
        <f>HVAC!I136</f>
        <v>320</v>
      </c>
      <c r="K135" s="376">
        <f>HVAC!J136</f>
        <v>240</v>
      </c>
      <c r="L135" s="376">
        <f>HVAC!K136</f>
        <v>320</v>
      </c>
      <c r="M135" s="376">
        <f>HVAC!L136</f>
        <v>320</v>
      </c>
      <c r="N135" s="376">
        <f>HVAC!M136</f>
        <v>320</v>
      </c>
      <c r="O135" s="376">
        <f>HVAC!N136</f>
        <v>240</v>
      </c>
      <c r="P135" s="376">
        <f>HVAC!O136</f>
        <v>240</v>
      </c>
      <c r="Q135" s="376">
        <f>HVAC!P136</f>
        <v>240</v>
      </c>
      <c r="R135" s="376">
        <f>HVAC!Q136</f>
        <v>320</v>
      </c>
      <c r="S135" s="376">
        <f>HVAC!R136</f>
        <v>320</v>
      </c>
    </row>
    <row r="136" spans="1:20" ht="15" customHeight="1">
      <c r="B136" s="269" t="s">
        <v>403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49">
        <f t="shared" si="65"/>
        <v>1</v>
      </c>
    </row>
    <row r="137" spans="1:20" ht="15" customHeight="1">
      <c r="B137" s="269" t="s">
        <v>383</v>
      </c>
      <c r="C137" s="155">
        <f>HVAC!C14</f>
        <v>0.8</v>
      </c>
      <c r="D137" s="155">
        <f>HVAC!D14</f>
        <v>0.8</v>
      </c>
      <c r="E137" s="155">
        <f>HVAC!E14</f>
        <v>0.8</v>
      </c>
      <c r="F137" s="155">
        <f>HVAC!F14</f>
        <v>0.9</v>
      </c>
      <c r="G137" s="155">
        <f>HVAC!G14</f>
        <v>0.9</v>
      </c>
      <c r="H137" s="155">
        <f>HVAC!H14</f>
        <v>0.9</v>
      </c>
      <c r="I137" s="155">
        <f>HVAC!I14</f>
        <v>0.9</v>
      </c>
      <c r="J137" s="155">
        <f>HVAC!J14</f>
        <v>0.9</v>
      </c>
      <c r="K137" s="155">
        <f>HVAC!K14</f>
        <v>0.94</v>
      </c>
      <c r="L137" s="155">
        <f>HVAC!L14</f>
        <v>0.94</v>
      </c>
      <c r="M137" s="155">
        <f>HVAC!M14</f>
        <v>0.94</v>
      </c>
      <c r="N137" s="155">
        <f>HVAC!N14</f>
        <v>0.94</v>
      </c>
      <c r="O137" s="155">
        <f>HVAC!O14</f>
        <v>0.94</v>
      </c>
      <c r="P137" s="155">
        <f>HVAC!P14</f>
        <v>0.94</v>
      </c>
      <c r="Q137" s="155">
        <f>HVAC!Q14</f>
        <v>0.94</v>
      </c>
      <c r="R137" s="155">
        <f>HVAC!R14</f>
        <v>0.8</v>
      </c>
      <c r="S137" s="155">
        <f>HVAC!S14</f>
        <v>0.9</v>
      </c>
    </row>
    <row r="138" spans="1:20" s="269" customFormat="1" ht="15" customHeight="1">
      <c r="A138" s="269" t="s">
        <v>1074</v>
      </c>
      <c r="B138" s="269" t="s">
        <v>1060</v>
      </c>
      <c r="C138" s="130">
        <f>Inputs!C138</f>
        <v>3</v>
      </c>
      <c r="D138" s="130">
        <f>C138</f>
        <v>3</v>
      </c>
      <c r="E138" s="130">
        <f t="shared" ref="E138:S138" si="66">D138</f>
        <v>3</v>
      </c>
      <c r="F138" s="130">
        <f t="shared" si="66"/>
        <v>3</v>
      </c>
      <c r="G138" s="130">
        <f t="shared" si="66"/>
        <v>3</v>
      </c>
      <c r="H138" s="130">
        <f t="shared" si="66"/>
        <v>3</v>
      </c>
      <c r="I138" s="130">
        <f t="shared" si="66"/>
        <v>3</v>
      </c>
      <c r="J138" s="130">
        <f t="shared" si="66"/>
        <v>3</v>
      </c>
      <c r="K138" s="130">
        <f t="shared" si="66"/>
        <v>3</v>
      </c>
      <c r="L138" s="130">
        <f t="shared" si="66"/>
        <v>3</v>
      </c>
      <c r="M138" s="130">
        <f t="shared" si="66"/>
        <v>3</v>
      </c>
      <c r="N138" s="130">
        <f t="shared" si="66"/>
        <v>3</v>
      </c>
      <c r="O138" s="130">
        <f t="shared" si="66"/>
        <v>3</v>
      </c>
      <c r="P138" s="130">
        <f t="shared" si="66"/>
        <v>3</v>
      </c>
      <c r="Q138" s="130">
        <f t="shared" si="66"/>
        <v>3</v>
      </c>
      <c r="R138" s="130">
        <f t="shared" si="66"/>
        <v>3</v>
      </c>
      <c r="S138" s="130">
        <f t="shared" si="66"/>
        <v>3</v>
      </c>
      <c r="T138" s="66"/>
    </row>
    <row r="139" spans="1:20" s="269" customFormat="1" ht="15" customHeight="1">
      <c r="B139" s="269" t="s">
        <v>1061</v>
      </c>
      <c r="C139" s="130">
        <f>Inputs!C139</f>
        <v>1</v>
      </c>
      <c r="D139" s="130">
        <f>C139</f>
        <v>1</v>
      </c>
      <c r="E139" s="130">
        <f t="shared" ref="E139:S139" si="67">D139</f>
        <v>1</v>
      </c>
      <c r="F139" s="130">
        <f t="shared" si="67"/>
        <v>1</v>
      </c>
      <c r="G139" s="130">
        <f t="shared" si="67"/>
        <v>1</v>
      </c>
      <c r="H139" s="130">
        <f t="shared" si="67"/>
        <v>1</v>
      </c>
      <c r="I139" s="130">
        <f t="shared" si="67"/>
        <v>1</v>
      </c>
      <c r="J139" s="130">
        <f t="shared" si="67"/>
        <v>1</v>
      </c>
      <c r="K139" s="130">
        <f t="shared" si="67"/>
        <v>1</v>
      </c>
      <c r="L139" s="130">
        <f t="shared" si="67"/>
        <v>1</v>
      </c>
      <c r="M139" s="130">
        <f t="shared" si="67"/>
        <v>1</v>
      </c>
      <c r="N139" s="130">
        <f t="shared" si="67"/>
        <v>1</v>
      </c>
      <c r="O139" s="130">
        <f t="shared" si="67"/>
        <v>1</v>
      </c>
      <c r="P139" s="130">
        <f t="shared" si="67"/>
        <v>1</v>
      </c>
      <c r="Q139" s="130">
        <f t="shared" si="67"/>
        <v>1</v>
      </c>
      <c r="R139" s="130">
        <f t="shared" si="67"/>
        <v>1</v>
      </c>
      <c r="S139" s="130">
        <f t="shared" si="67"/>
        <v>1</v>
      </c>
      <c r="T139" s="66"/>
    </row>
    <row r="140" spans="1:20" s="269" customFormat="1" ht="15" customHeight="1">
      <c r="B140" s="269" t="s">
        <v>615</v>
      </c>
      <c r="C140" s="155">
        <f>Weather!B25</f>
        <v>0.41</v>
      </c>
      <c r="D140" s="155">
        <f>Weather!C25</f>
        <v>0.42</v>
      </c>
      <c r="E140" s="155">
        <f>Weather!D25</f>
        <v>0.43</v>
      </c>
      <c r="F140" s="155">
        <f>Weather!E25</f>
        <v>0.46</v>
      </c>
      <c r="G140" s="155">
        <f>Weather!F25</f>
        <v>0.48</v>
      </c>
      <c r="H140" s="155">
        <f>Weather!G25</f>
        <v>0.6</v>
      </c>
      <c r="I140" s="155">
        <f>Weather!H25</f>
        <v>0.5</v>
      </c>
      <c r="J140" s="155">
        <f>Weather!I25</f>
        <v>0.54</v>
      </c>
      <c r="K140" s="155">
        <f>Weather!J25</f>
        <v>0.55000000000000004</v>
      </c>
      <c r="L140" s="155">
        <f>Weather!K25</f>
        <v>0.6</v>
      </c>
      <c r="M140" s="155">
        <f>Weather!L25</f>
        <v>0.56000000000000005</v>
      </c>
      <c r="N140" s="155">
        <f>Weather!M25</f>
        <v>0.61</v>
      </c>
      <c r="O140" s="155">
        <f>Weather!N25</f>
        <v>0.63</v>
      </c>
      <c r="P140" s="155">
        <f>Weather!O25</f>
        <v>0.7</v>
      </c>
      <c r="Q140" s="155">
        <f>Weather!P25</f>
        <v>0.7</v>
      </c>
      <c r="R140" s="155">
        <f>Weather!Q25</f>
        <v>0.38</v>
      </c>
      <c r="S140" s="155">
        <f>Weather!R25</f>
        <v>0.43</v>
      </c>
      <c r="T140" s="66"/>
    </row>
    <row r="141" spans="1:20" s="269" customFormat="1" ht="15" customHeight="1">
      <c r="B141" s="269" t="s">
        <v>906</v>
      </c>
      <c r="C141" s="130">
        <f>Inputs!C141</f>
        <v>2</v>
      </c>
      <c r="D141" s="130">
        <f>C141</f>
        <v>2</v>
      </c>
      <c r="E141" s="130">
        <f t="shared" ref="E141:S143" si="68">D141</f>
        <v>2</v>
      </c>
      <c r="F141" s="130">
        <f t="shared" si="68"/>
        <v>2</v>
      </c>
      <c r="G141" s="130">
        <f t="shared" si="68"/>
        <v>2</v>
      </c>
      <c r="H141" s="130">
        <f t="shared" si="68"/>
        <v>2</v>
      </c>
      <c r="I141" s="130">
        <f t="shared" si="68"/>
        <v>2</v>
      </c>
      <c r="J141" s="130">
        <f t="shared" si="68"/>
        <v>2</v>
      </c>
      <c r="K141" s="130">
        <f t="shared" si="68"/>
        <v>2</v>
      </c>
      <c r="L141" s="130">
        <f t="shared" si="68"/>
        <v>2</v>
      </c>
      <c r="M141" s="130">
        <f t="shared" si="68"/>
        <v>2</v>
      </c>
      <c r="N141" s="130">
        <f t="shared" si="68"/>
        <v>2</v>
      </c>
      <c r="O141" s="130">
        <f t="shared" si="68"/>
        <v>2</v>
      </c>
      <c r="P141" s="130">
        <f t="shared" si="68"/>
        <v>2</v>
      </c>
      <c r="Q141" s="130">
        <f t="shared" si="68"/>
        <v>2</v>
      </c>
      <c r="R141" s="130">
        <f t="shared" si="68"/>
        <v>2</v>
      </c>
      <c r="S141" s="130">
        <f t="shared" si="68"/>
        <v>2</v>
      </c>
      <c r="T141" s="66"/>
    </row>
    <row r="142" spans="1:20" s="269" customFormat="1" ht="15" customHeight="1">
      <c r="B142" s="269" t="s">
        <v>1211</v>
      </c>
      <c r="C142" s="198">
        <f>Inputs!C142</f>
        <v>0.2910166711333334</v>
      </c>
      <c r="D142" s="198">
        <f>C142</f>
        <v>0.2910166711333334</v>
      </c>
      <c r="E142" s="198">
        <f t="shared" si="68"/>
        <v>0.2910166711333334</v>
      </c>
      <c r="F142" s="198">
        <f t="shared" si="68"/>
        <v>0.2910166711333334</v>
      </c>
      <c r="G142" s="198">
        <f t="shared" si="68"/>
        <v>0.2910166711333334</v>
      </c>
      <c r="H142" s="198">
        <f t="shared" si="68"/>
        <v>0.2910166711333334</v>
      </c>
      <c r="I142" s="198">
        <f t="shared" si="68"/>
        <v>0.2910166711333334</v>
      </c>
      <c r="J142" s="198">
        <f t="shared" si="68"/>
        <v>0.2910166711333334</v>
      </c>
      <c r="K142" s="198">
        <f t="shared" si="68"/>
        <v>0.2910166711333334</v>
      </c>
      <c r="L142" s="198">
        <f t="shared" si="68"/>
        <v>0.2910166711333334</v>
      </c>
      <c r="M142" s="198">
        <f t="shared" si="68"/>
        <v>0.2910166711333334</v>
      </c>
      <c r="N142" s="198">
        <f t="shared" si="68"/>
        <v>0.2910166711333334</v>
      </c>
      <c r="O142" s="198">
        <f t="shared" si="68"/>
        <v>0.2910166711333334</v>
      </c>
      <c r="P142" s="198">
        <f t="shared" si="68"/>
        <v>0.2910166711333334</v>
      </c>
      <c r="Q142" s="198">
        <f t="shared" si="68"/>
        <v>0.2910166711333334</v>
      </c>
      <c r="R142" s="198">
        <f t="shared" si="68"/>
        <v>0.2910166711333334</v>
      </c>
      <c r="S142" s="198">
        <f t="shared" si="68"/>
        <v>0.2910166711333334</v>
      </c>
      <c r="T142" s="66"/>
    </row>
    <row r="143" spans="1:20" s="269" customFormat="1" ht="15" customHeight="1">
      <c r="B143" s="269" t="s">
        <v>1213</v>
      </c>
      <c r="C143" s="198">
        <f>Inputs!C143</f>
        <v>0</v>
      </c>
      <c r="D143" s="198">
        <f>C143</f>
        <v>0</v>
      </c>
      <c r="E143" s="198">
        <f t="shared" si="68"/>
        <v>0</v>
      </c>
      <c r="F143" s="198">
        <f t="shared" si="68"/>
        <v>0</v>
      </c>
      <c r="G143" s="198">
        <f t="shared" si="68"/>
        <v>0</v>
      </c>
      <c r="H143" s="198">
        <f t="shared" si="68"/>
        <v>0</v>
      </c>
      <c r="I143" s="198">
        <f t="shared" si="68"/>
        <v>0</v>
      </c>
      <c r="J143" s="198">
        <f t="shared" si="68"/>
        <v>0</v>
      </c>
      <c r="K143" s="198">
        <f t="shared" si="68"/>
        <v>0</v>
      </c>
      <c r="L143" s="198">
        <f t="shared" si="68"/>
        <v>0</v>
      </c>
      <c r="M143" s="198">
        <f t="shared" si="68"/>
        <v>0</v>
      </c>
      <c r="N143" s="198">
        <f t="shared" si="68"/>
        <v>0</v>
      </c>
      <c r="O143" s="198">
        <f t="shared" si="68"/>
        <v>0</v>
      </c>
      <c r="P143" s="198">
        <f t="shared" si="68"/>
        <v>0</v>
      </c>
      <c r="Q143" s="198">
        <f t="shared" si="68"/>
        <v>0</v>
      </c>
      <c r="R143" s="198">
        <f t="shared" si="68"/>
        <v>0</v>
      </c>
      <c r="S143" s="198">
        <f t="shared" si="68"/>
        <v>0</v>
      </c>
      <c r="T143" s="66"/>
    </row>
    <row r="144" spans="1:20" s="269" customFormat="1" ht="15" customHeight="1">
      <c r="B144" s="269" t="s">
        <v>907</v>
      </c>
      <c r="C144" s="130">
        <f>Inputs!C144</f>
        <v>1</v>
      </c>
      <c r="D144" s="130">
        <f t="shared" ref="D144:S151" si="69">C144</f>
        <v>1</v>
      </c>
      <c r="E144" s="130">
        <f t="shared" si="69"/>
        <v>1</v>
      </c>
      <c r="F144" s="130">
        <f t="shared" si="69"/>
        <v>1</v>
      </c>
      <c r="G144" s="130">
        <f t="shared" si="69"/>
        <v>1</v>
      </c>
      <c r="H144" s="130">
        <f t="shared" si="69"/>
        <v>1</v>
      </c>
      <c r="I144" s="130">
        <f t="shared" si="69"/>
        <v>1</v>
      </c>
      <c r="J144" s="130">
        <f t="shared" si="69"/>
        <v>1</v>
      </c>
      <c r="K144" s="130">
        <f t="shared" si="69"/>
        <v>1</v>
      </c>
      <c r="L144" s="130">
        <f t="shared" si="69"/>
        <v>1</v>
      </c>
      <c r="M144" s="130">
        <f t="shared" si="69"/>
        <v>1</v>
      </c>
      <c r="N144" s="130">
        <f t="shared" si="69"/>
        <v>1</v>
      </c>
      <c r="O144" s="130">
        <f t="shared" si="69"/>
        <v>1</v>
      </c>
      <c r="P144" s="130">
        <f t="shared" si="69"/>
        <v>1</v>
      </c>
      <c r="Q144" s="130">
        <f t="shared" si="69"/>
        <v>1</v>
      </c>
      <c r="R144" s="130">
        <f t="shared" si="69"/>
        <v>1</v>
      </c>
      <c r="S144" s="130">
        <f t="shared" si="69"/>
        <v>1</v>
      </c>
      <c r="T144" s="66"/>
    </row>
    <row r="145" spans="1:20" s="269" customFormat="1" ht="15" customHeight="1">
      <c r="A145" s="269" t="s">
        <v>1075</v>
      </c>
      <c r="B145" s="269" t="s">
        <v>908</v>
      </c>
      <c r="C145" s="155">
        <f>Inputs!C145</f>
        <v>0.82</v>
      </c>
      <c r="D145" s="155">
        <f t="shared" si="69"/>
        <v>0.82</v>
      </c>
      <c r="E145" s="155">
        <f t="shared" si="69"/>
        <v>0.82</v>
      </c>
      <c r="F145" s="155">
        <f t="shared" si="69"/>
        <v>0.82</v>
      </c>
      <c r="G145" s="155">
        <f t="shared" si="69"/>
        <v>0.82</v>
      </c>
      <c r="H145" s="155">
        <f t="shared" si="69"/>
        <v>0.82</v>
      </c>
      <c r="I145" s="155">
        <f t="shared" si="69"/>
        <v>0.82</v>
      </c>
      <c r="J145" s="155">
        <f t="shared" si="69"/>
        <v>0.82</v>
      </c>
      <c r="K145" s="155">
        <f t="shared" si="69"/>
        <v>0.82</v>
      </c>
      <c r="L145" s="155">
        <f t="shared" si="69"/>
        <v>0.82</v>
      </c>
      <c r="M145" s="155">
        <f t="shared" si="69"/>
        <v>0.82</v>
      </c>
      <c r="N145" s="155">
        <f t="shared" si="69"/>
        <v>0.82</v>
      </c>
      <c r="O145" s="155">
        <f t="shared" si="69"/>
        <v>0.82</v>
      </c>
      <c r="P145" s="155">
        <f t="shared" si="69"/>
        <v>0.82</v>
      </c>
      <c r="Q145" s="155">
        <f t="shared" si="69"/>
        <v>0.82</v>
      </c>
      <c r="R145" s="155">
        <f t="shared" si="69"/>
        <v>0.82</v>
      </c>
      <c r="S145" s="155">
        <f t="shared" si="69"/>
        <v>0.82</v>
      </c>
      <c r="T145" s="66"/>
    </row>
    <row r="146" spans="1:20" s="269" customFormat="1" ht="15" customHeight="1">
      <c r="B146" s="269" t="s">
        <v>909</v>
      </c>
      <c r="C146" s="155">
        <f>Inputs!C146</f>
        <v>0.63</v>
      </c>
      <c r="D146" s="155">
        <f t="shared" si="69"/>
        <v>0.63</v>
      </c>
      <c r="E146" s="155">
        <f t="shared" si="69"/>
        <v>0.63</v>
      </c>
      <c r="F146" s="155">
        <f t="shared" si="69"/>
        <v>0.63</v>
      </c>
      <c r="G146" s="155">
        <f t="shared" si="69"/>
        <v>0.63</v>
      </c>
      <c r="H146" s="155">
        <f t="shared" si="69"/>
        <v>0.63</v>
      </c>
      <c r="I146" s="155">
        <f t="shared" si="69"/>
        <v>0.63</v>
      </c>
      <c r="J146" s="155">
        <f t="shared" si="69"/>
        <v>0.63</v>
      </c>
      <c r="K146" s="155">
        <f t="shared" si="69"/>
        <v>0.63</v>
      </c>
      <c r="L146" s="155">
        <f t="shared" si="69"/>
        <v>0.63</v>
      </c>
      <c r="M146" s="155">
        <f t="shared" si="69"/>
        <v>0.63</v>
      </c>
      <c r="N146" s="155">
        <f t="shared" si="69"/>
        <v>0.63</v>
      </c>
      <c r="O146" s="155">
        <f t="shared" si="69"/>
        <v>0.63</v>
      </c>
      <c r="P146" s="155">
        <f t="shared" si="69"/>
        <v>0.63</v>
      </c>
      <c r="Q146" s="155">
        <f t="shared" si="69"/>
        <v>0.63</v>
      </c>
      <c r="R146" s="155">
        <f t="shared" si="69"/>
        <v>0.63</v>
      </c>
      <c r="S146" s="155">
        <f t="shared" si="69"/>
        <v>0.63</v>
      </c>
      <c r="T146" s="66"/>
    </row>
    <row r="147" spans="1:20" s="269" customFormat="1" ht="15" customHeight="1">
      <c r="B147" s="269" t="s">
        <v>910</v>
      </c>
      <c r="C147" s="155">
        <f>Inputs!C147</f>
        <v>0.51</v>
      </c>
      <c r="D147" s="155">
        <f t="shared" si="69"/>
        <v>0.51</v>
      </c>
      <c r="E147" s="155">
        <f t="shared" si="69"/>
        <v>0.51</v>
      </c>
      <c r="F147" s="155">
        <f t="shared" si="69"/>
        <v>0.51</v>
      </c>
      <c r="G147" s="155">
        <f t="shared" si="69"/>
        <v>0.51</v>
      </c>
      <c r="H147" s="155">
        <f t="shared" si="69"/>
        <v>0.51</v>
      </c>
      <c r="I147" s="155">
        <f t="shared" si="69"/>
        <v>0.51</v>
      </c>
      <c r="J147" s="155">
        <f t="shared" si="69"/>
        <v>0.51</v>
      </c>
      <c r="K147" s="155">
        <f t="shared" si="69"/>
        <v>0.51</v>
      </c>
      <c r="L147" s="155">
        <f t="shared" si="69"/>
        <v>0.51</v>
      </c>
      <c r="M147" s="155">
        <f t="shared" si="69"/>
        <v>0.51</v>
      </c>
      <c r="N147" s="155">
        <f t="shared" si="69"/>
        <v>0.51</v>
      </c>
      <c r="O147" s="155">
        <f t="shared" si="69"/>
        <v>0.51</v>
      </c>
      <c r="P147" s="155">
        <f t="shared" si="69"/>
        <v>0.51</v>
      </c>
      <c r="Q147" s="155">
        <f t="shared" si="69"/>
        <v>0.51</v>
      </c>
      <c r="R147" s="155">
        <f t="shared" si="69"/>
        <v>0.51</v>
      </c>
      <c r="S147" s="155">
        <f t="shared" si="69"/>
        <v>0.51</v>
      </c>
      <c r="T147" s="66"/>
    </row>
    <row r="148" spans="1:20" s="269" customFormat="1" ht="15" customHeight="1">
      <c r="B148" s="269" t="s">
        <v>911</v>
      </c>
      <c r="C148" s="130">
        <f>Inputs!C148</f>
        <v>0</v>
      </c>
      <c r="D148" s="130">
        <f t="shared" si="69"/>
        <v>0</v>
      </c>
      <c r="E148" s="130">
        <f t="shared" si="69"/>
        <v>0</v>
      </c>
      <c r="F148" s="130">
        <f t="shared" si="69"/>
        <v>0</v>
      </c>
      <c r="G148" s="130">
        <f t="shared" si="69"/>
        <v>0</v>
      </c>
      <c r="H148" s="130">
        <f t="shared" si="69"/>
        <v>0</v>
      </c>
      <c r="I148" s="130">
        <f t="shared" si="69"/>
        <v>0</v>
      </c>
      <c r="J148" s="130">
        <f t="shared" si="69"/>
        <v>0</v>
      </c>
      <c r="K148" s="130">
        <f t="shared" si="69"/>
        <v>0</v>
      </c>
      <c r="L148" s="130">
        <f t="shared" si="69"/>
        <v>0</v>
      </c>
      <c r="M148" s="130">
        <f t="shared" si="69"/>
        <v>0</v>
      </c>
      <c r="N148" s="130">
        <f t="shared" si="69"/>
        <v>0</v>
      </c>
      <c r="O148" s="130">
        <f t="shared" si="69"/>
        <v>0</v>
      </c>
      <c r="P148" s="130">
        <f t="shared" si="69"/>
        <v>0</v>
      </c>
      <c r="Q148" s="130">
        <f t="shared" si="69"/>
        <v>0</v>
      </c>
      <c r="R148" s="130">
        <f t="shared" si="69"/>
        <v>0</v>
      </c>
      <c r="S148" s="130">
        <f t="shared" si="69"/>
        <v>0</v>
      </c>
      <c r="T148" s="66"/>
    </row>
    <row r="149" spans="1:20" ht="15" customHeight="1">
      <c r="B149" s="269" t="s">
        <v>912</v>
      </c>
      <c r="C149" s="130">
        <f>Inputs!C149</f>
        <v>8</v>
      </c>
      <c r="D149" s="130">
        <f t="shared" si="69"/>
        <v>8</v>
      </c>
      <c r="E149" s="130">
        <f t="shared" si="69"/>
        <v>8</v>
      </c>
      <c r="F149" s="130">
        <f t="shared" si="69"/>
        <v>8</v>
      </c>
      <c r="G149" s="130">
        <f t="shared" si="69"/>
        <v>8</v>
      </c>
      <c r="H149" s="130">
        <f t="shared" si="69"/>
        <v>8</v>
      </c>
      <c r="I149" s="130">
        <f t="shared" si="69"/>
        <v>8</v>
      </c>
      <c r="J149" s="130">
        <f t="shared" si="69"/>
        <v>8</v>
      </c>
      <c r="K149" s="130">
        <f t="shared" si="69"/>
        <v>8</v>
      </c>
      <c r="L149" s="130">
        <f t="shared" si="69"/>
        <v>8</v>
      </c>
      <c r="M149" s="130">
        <f t="shared" si="69"/>
        <v>8</v>
      </c>
      <c r="N149" s="130">
        <f t="shared" si="69"/>
        <v>8</v>
      </c>
      <c r="O149" s="130">
        <f t="shared" si="69"/>
        <v>8</v>
      </c>
      <c r="P149" s="130">
        <f t="shared" si="69"/>
        <v>8</v>
      </c>
      <c r="Q149" s="130">
        <f t="shared" si="69"/>
        <v>8</v>
      </c>
      <c r="R149" s="130">
        <f t="shared" si="69"/>
        <v>8</v>
      </c>
      <c r="S149" s="130">
        <f t="shared" si="69"/>
        <v>8</v>
      </c>
    </row>
    <row r="150" spans="1:20" ht="15" customHeight="1">
      <c r="B150" s="269" t="s">
        <v>913</v>
      </c>
      <c r="C150" s="130">
        <f>Inputs!C150</f>
        <v>0</v>
      </c>
      <c r="D150" s="130">
        <f t="shared" si="69"/>
        <v>0</v>
      </c>
      <c r="E150" s="130">
        <f t="shared" si="69"/>
        <v>0</v>
      </c>
      <c r="F150" s="130">
        <f t="shared" si="69"/>
        <v>0</v>
      </c>
      <c r="G150" s="130">
        <f t="shared" si="69"/>
        <v>0</v>
      </c>
      <c r="H150" s="130">
        <f t="shared" si="69"/>
        <v>0</v>
      </c>
      <c r="I150" s="130">
        <f t="shared" si="69"/>
        <v>0</v>
      </c>
      <c r="J150" s="130">
        <f t="shared" si="69"/>
        <v>0</v>
      </c>
      <c r="K150" s="130">
        <f t="shared" si="69"/>
        <v>0</v>
      </c>
      <c r="L150" s="130">
        <f t="shared" si="69"/>
        <v>0</v>
      </c>
      <c r="M150" s="130">
        <f t="shared" si="69"/>
        <v>0</v>
      </c>
      <c r="N150" s="130">
        <f t="shared" si="69"/>
        <v>0</v>
      </c>
      <c r="O150" s="130">
        <f t="shared" si="69"/>
        <v>0</v>
      </c>
      <c r="P150" s="130">
        <f t="shared" si="69"/>
        <v>0</v>
      </c>
      <c r="Q150" s="130">
        <f t="shared" si="69"/>
        <v>0</v>
      </c>
      <c r="R150" s="130">
        <f t="shared" si="69"/>
        <v>0</v>
      </c>
      <c r="S150" s="130">
        <f t="shared" si="69"/>
        <v>0</v>
      </c>
    </row>
    <row r="151" spans="1:20" ht="15" customHeight="1">
      <c r="B151" s="269" t="s">
        <v>914</v>
      </c>
      <c r="C151" s="130">
        <f>Inputs!C151</f>
        <v>1</v>
      </c>
      <c r="D151" s="130">
        <f t="shared" si="69"/>
        <v>1</v>
      </c>
      <c r="E151" s="130">
        <f t="shared" si="69"/>
        <v>1</v>
      </c>
      <c r="F151" s="130">
        <f t="shared" si="69"/>
        <v>1</v>
      </c>
      <c r="G151" s="130">
        <f t="shared" si="69"/>
        <v>1</v>
      </c>
      <c r="H151" s="130">
        <f t="shared" si="69"/>
        <v>1</v>
      </c>
      <c r="I151" s="130">
        <f t="shared" si="69"/>
        <v>1</v>
      </c>
      <c r="J151" s="130">
        <f t="shared" si="69"/>
        <v>1</v>
      </c>
      <c r="K151" s="130">
        <f t="shared" si="69"/>
        <v>1</v>
      </c>
      <c r="L151" s="130">
        <f t="shared" si="69"/>
        <v>1</v>
      </c>
      <c r="M151" s="130">
        <f t="shared" si="69"/>
        <v>1</v>
      </c>
      <c r="N151" s="130">
        <f t="shared" si="69"/>
        <v>1</v>
      </c>
      <c r="O151" s="130">
        <f t="shared" si="69"/>
        <v>1</v>
      </c>
      <c r="P151" s="130">
        <f t="shared" si="69"/>
        <v>1</v>
      </c>
      <c r="Q151" s="130">
        <f t="shared" si="69"/>
        <v>1</v>
      </c>
      <c r="R151" s="130">
        <f t="shared" si="69"/>
        <v>1</v>
      </c>
      <c r="S151" s="130">
        <f t="shared" si="69"/>
        <v>1</v>
      </c>
    </row>
    <row r="152" spans="1:20" s="269" customFormat="1" ht="15" customHeight="1">
      <c r="A152" s="269" t="s">
        <v>798</v>
      </c>
      <c r="B152" s="269" t="s">
        <v>840</v>
      </c>
      <c r="C152" s="248">
        <f>Inputs!C152</f>
        <v>1</v>
      </c>
      <c r="D152" s="248">
        <f>C152</f>
        <v>1</v>
      </c>
      <c r="E152" s="248">
        <f t="shared" ref="E152:S152" si="70">D152</f>
        <v>1</v>
      </c>
      <c r="F152" s="248">
        <f t="shared" si="70"/>
        <v>1</v>
      </c>
      <c r="G152" s="248">
        <f t="shared" si="70"/>
        <v>1</v>
      </c>
      <c r="H152" s="248">
        <f t="shared" si="70"/>
        <v>1</v>
      </c>
      <c r="I152" s="248">
        <f t="shared" si="70"/>
        <v>1</v>
      </c>
      <c r="J152" s="248">
        <f t="shared" si="70"/>
        <v>1</v>
      </c>
      <c r="K152" s="248">
        <f t="shared" si="70"/>
        <v>1</v>
      </c>
      <c r="L152" s="248">
        <f t="shared" si="70"/>
        <v>1</v>
      </c>
      <c r="M152" s="248">
        <f t="shared" si="70"/>
        <v>1</v>
      </c>
      <c r="N152" s="248">
        <f t="shared" si="70"/>
        <v>1</v>
      </c>
      <c r="O152" s="248">
        <f t="shared" si="70"/>
        <v>1</v>
      </c>
      <c r="P152" s="248">
        <f t="shared" si="70"/>
        <v>1</v>
      </c>
      <c r="Q152" s="248">
        <f t="shared" si="70"/>
        <v>1</v>
      </c>
      <c r="R152" s="248">
        <f t="shared" si="70"/>
        <v>1</v>
      </c>
      <c r="S152" s="248">
        <f t="shared" si="70"/>
        <v>1</v>
      </c>
      <c r="T152" s="66"/>
    </row>
    <row r="153" spans="1:20" ht="15" customHeight="1">
      <c r="B153" s="269" t="s">
        <v>841</v>
      </c>
      <c r="C153" s="248">
        <f>Inputs!C153</f>
        <v>1</v>
      </c>
      <c r="D153" s="248">
        <f>C153</f>
        <v>1</v>
      </c>
      <c r="E153" s="248">
        <f t="shared" ref="E153:S153" si="71">D153</f>
        <v>1</v>
      </c>
      <c r="F153" s="248">
        <f t="shared" si="71"/>
        <v>1</v>
      </c>
      <c r="G153" s="248">
        <f t="shared" si="71"/>
        <v>1</v>
      </c>
      <c r="H153" s="248">
        <f t="shared" si="71"/>
        <v>1</v>
      </c>
      <c r="I153" s="248">
        <f t="shared" si="71"/>
        <v>1</v>
      </c>
      <c r="J153" s="248">
        <f t="shared" si="71"/>
        <v>1</v>
      </c>
      <c r="K153" s="248">
        <f t="shared" si="71"/>
        <v>1</v>
      </c>
      <c r="L153" s="248">
        <f t="shared" si="71"/>
        <v>1</v>
      </c>
      <c r="M153" s="248">
        <f t="shared" si="71"/>
        <v>1</v>
      </c>
      <c r="N153" s="248">
        <f t="shared" si="71"/>
        <v>1</v>
      </c>
      <c r="O153" s="248">
        <f t="shared" si="71"/>
        <v>1</v>
      </c>
      <c r="P153" s="248">
        <f t="shared" si="71"/>
        <v>1</v>
      </c>
      <c r="Q153" s="248">
        <f t="shared" si="71"/>
        <v>1</v>
      </c>
      <c r="R153" s="248">
        <f t="shared" si="71"/>
        <v>1</v>
      </c>
      <c r="S153" s="248">
        <f t="shared" si="71"/>
        <v>1</v>
      </c>
    </row>
    <row r="154" spans="1:20" s="269" customFormat="1" ht="15" customHeight="1">
      <c r="B154" s="259" t="s">
        <v>1236</v>
      </c>
      <c r="C154" s="248">
        <f>Inputs!$C$154</f>
        <v>0</v>
      </c>
      <c r="D154" s="248">
        <f>Inputs!$C$154</f>
        <v>0</v>
      </c>
      <c r="E154" s="248">
        <f>Inputs!$C$154</f>
        <v>0</v>
      </c>
      <c r="F154" s="248">
        <f>Inputs!$C$154</f>
        <v>0</v>
      </c>
      <c r="G154" s="248">
        <f>Inputs!$C$154</f>
        <v>0</v>
      </c>
      <c r="H154" s="248">
        <f>Inputs!$C$154</f>
        <v>0</v>
      </c>
      <c r="I154" s="248">
        <f>Inputs!$C$154</f>
        <v>0</v>
      </c>
      <c r="J154" s="248">
        <f>Inputs!$C$154</f>
        <v>0</v>
      </c>
      <c r="K154" s="248">
        <f>Inputs!$C$154</f>
        <v>0</v>
      </c>
      <c r="L154" s="248">
        <f>Inputs!$C$154</f>
        <v>0</v>
      </c>
      <c r="M154" s="248">
        <f>Inputs!$C$154</f>
        <v>0</v>
      </c>
      <c r="N154" s="248">
        <f>Inputs!$C$154</f>
        <v>0</v>
      </c>
      <c r="O154" s="248">
        <f>Inputs!$C$154</f>
        <v>0</v>
      </c>
      <c r="P154" s="248">
        <f>Inputs!$C$154</f>
        <v>0</v>
      </c>
      <c r="Q154" s="248">
        <f>Inputs!$C$154</f>
        <v>0</v>
      </c>
      <c r="R154" s="248">
        <f>Inputs!$C$154</f>
        <v>0</v>
      </c>
      <c r="S154" s="248">
        <f>Inputs!$C$154</f>
        <v>0</v>
      </c>
      <c r="T154" s="66"/>
    </row>
    <row r="155" spans="1:20" ht="15" customHeight="1">
      <c r="A155" s="269" t="s">
        <v>1076</v>
      </c>
      <c r="B155" s="269" t="s">
        <v>1065</v>
      </c>
      <c r="C155" s="130">
        <f>Inputs!C155</f>
        <v>0</v>
      </c>
      <c r="D155" s="130">
        <f>C155</f>
        <v>0</v>
      </c>
      <c r="E155" s="130">
        <f t="shared" ref="E155:S155" si="72">D155</f>
        <v>0</v>
      </c>
      <c r="F155" s="130">
        <f t="shared" si="72"/>
        <v>0</v>
      </c>
      <c r="G155" s="130">
        <f t="shared" si="72"/>
        <v>0</v>
      </c>
      <c r="H155" s="130">
        <f t="shared" si="72"/>
        <v>0</v>
      </c>
      <c r="I155" s="130">
        <f t="shared" si="72"/>
        <v>0</v>
      </c>
      <c r="J155" s="130">
        <f t="shared" si="72"/>
        <v>0</v>
      </c>
      <c r="K155" s="130">
        <f t="shared" si="72"/>
        <v>0</v>
      </c>
      <c r="L155" s="130">
        <f t="shared" si="72"/>
        <v>0</v>
      </c>
      <c r="M155" s="130">
        <f t="shared" si="72"/>
        <v>0</v>
      </c>
      <c r="N155" s="130">
        <f t="shared" si="72"/>
        <v>0</v>
      </c>
      <c r="O155" s="130">
        <f t="shared" si="72"/>
        <v>0</v>
      </c>
      <c r="P155" s="130">
        <f t="shared" si="72"/>
        <v>0</v>
      </c>
      <c r="Q155" s="130">
        <f t="shared" si="72"/>
        <v>0</v>
      </c>
      <c r="R155" s="130">
        <f t="shared" si="72"/>
        <v>0</v>
      </c>
      <c r="S155" s="130">
        <f t="shared" si="72"/>
        <v>0</v>
      </c>
    </row>
    <row r="156" spans="1:20" ht="15" customHeight="1">
      <c r="B156" s="269" t="s">
        <v>1067</v>
      </c>
      <c r="C156" s="155">
        <f>Inputs!C156</f>
        <v>1.85</v>
      </c>
      <c r="D156" s="155">
        <f t="shared" ref="D156:S158" si="73">C156</f>
        <v>1.85</v>
      </c>
      <c r="E156" s="155">
        <f t="shared" si="73"/>
        <v>1.85</v>
      </c>
      <c r="F156" s="155">
        <f t="shared" si="73"/>
        <v>1.85</v>
      </c>
      <c r="G156" s="155">
        <f t="shared" si="73"/>
        <v>1.85</v>
      </c>
      <c r="H156" s="155">
        <f t="shared" si="73"/>
        <v>1.85</v>
      </c>
      <c r="I156" s="155">
        <f t="shared" si="73"/>
        <v>1.85</v>
      </c>
      <c r="J156" s="155">
        <f t="shared" si="73"/>
        <v>1.85</v>
      </c>
      <c r="K156" s="155">
        <f t="shared" si="73"/>
        <v>1.85</v>
      </c>
      <c r="L156" s="155">
        <f t="shared" si="73"/>
        <v>1.85</v>
      </c>
      <c r="M156" s="155">
        <f t="shared" si="73"/>
        <v>1.85</v>
      </c>
      <c r="N156" s="155">
        <f t="shared" si="73"/>
        <v>1.85</v>
      </c>
      <c r="O156" s="155">
        <f t="shared" si="73"/>
        <v>1.85</v>
      </c>
      <c r="P156" s="155">
        <f t="shared" si="73"/>
        <v>1.85</v>
      </c>
      <c r="Q156" s="155">
        <f t="shared" si="73"/>
        <v>1.85</v>
      </c>
      <c r="R156" s="155">
        <f t="shared" si="73"/>
        <v>1.85</v>
      </c>
      <c r="S156" s="155">
        <f t="shared" si="73"/>
        <v>1.85</v>
      </c>
    </row>
    <row r="157" spans="1:20" ht="15" customHeight="1">
      <c r="B157" s="269" t="s">
        <v>1068</v>
      </c>
      <c r="C157" s="130">
        <f>Inputs!C157</f>
        <v>55</v>
      </c>
      <c r="D157" s="130">
        <f t="shared" si="73"/>
        <v>55</v>
      </c>
      <c r="E157" s="130">
        <f t="shared" si="73"/>
        <v>55</v>
      </c>
      <c r="F157" s="130">
        <f t="shared" si="73"/>
        <v>55</v>
      </c>
      <c r="G157" s="130">
        <f t="shared" si="73"/>
        <v>55</v>
      </c>
      <c r="H157" s="130">
        <f t="shared" si="73"/>
        <v>55</v>
      </c>
      <c r="I157" s="130">
        <f t="shared" si="73"/>
        <v>55</v>
      </c>
      <c r="J157" s="130">
        <f t="shared" si="73"/>
        <v>55</v>
      </c>
      <c r="K157" s="130">
        <f t="shared" si="73"/>
        <v>55</v>
      </c>
      <c r="L157" s="130">
        <f t="shared" si="73"/>
        <v>55</v>
      </c>
      <c r="M157" s="130">
        <f t="shared" si="73"/>
        <v>55</v>
      </c>
      <c r="N157" s="130">
        <f t="shared" si="73"/>
        <v>55</v>
      </c>
      <c r="O157" s="130">
        <f t="shared" si="73"/>
        <v>55</v>
      </c>
      <c r="P157" s="130">
        <f t="shared" si="73"/>
        <v>55</v>
      </c>
      <c r="Q157" s="130">
        <f t="shared" si="73"/>
        <v>55</v>
      </c>
      <c r="R157" s="130">
        <f t="shared" si="73"/>
        <v>55</v>
      </c>
      <c r="S157" s="130">
        <f t="shared" si="73"/>
        <v>55</v>
      </c>
    </row>
    <row r="158" spans="1:20" ht="15" customHeight="1">
      <c r="A158" s="269" t="s">
        <v>1104</v>
      </c>
      <c r="C158" s="249" t="str">
        <f>Inputs!C158</f>
        <v>E_O_F</v>
      </c>
      <c r="D158" s="249" t="str">
        <f t="shared" si="73"/>
        <v>E_O_F</v>
      </c>
      <c r="E158" s="249" t="str">
        <f t="shared" si="73"/>
        <v>E_O_F</v>
      </c>
      <c r="F158" s="249" t="str">
        <f t="shared" si="73"/>
        <v>E_O_F</v>
      </c>
      <c r="G158" s="249" t="str">
        <f t="shared" si="73"/>
        <v>E_O_F</v>
      </c>
      <c r="H158" s="249" t="str">
        <f t="shared" si="73"/>
        <v>E_O_F</v>
      </c>
      <c r="I158" s="249" t="str">
        <f t="shared" si="73"/>
        <v>E_O_F</v>
      </c>
      <c r="J158" s="249" t="str">
        <f t="shared" si="73"/>
        <v>E_O_F</v>
      </c>
      <c r="K158" s="249" t="str">
        <f t="shared" si="73"/>
        <v>E_O_F</v>
      </c>
      <c r="L158" s="249" t="str">
        <f t="shared" si="73"/>
        <v>E_O_F</v>
      </c>
      <c r="M158" s="249" t="str">
        <f t="shared" si="73"/>
        <v>E_O_F</v>
      </c>
      <c r="N158" s="249" t="str">
        <f t="shared" si="73"/>
        <v>E_O_F</v>
      </c>
      <c r="O158" s="249" t="str">
        <f t="shared" si="73"/>
        <v>E_O_F</v>
      </c>
      <c r="P158" s="249" t="str">
        <f t="shared" si="73"/>
        <v>E_O_F</v>
      </c>
      <c r="Q158" s="249" t="str">
        <f t="shared" si="73"/>
        <v>E_O_F</v>
      </c>
      <c r="R158" s="249" t="str">
        <f t="shared" si="73"/>
        <v>E_O_F</v>
      </c>
      <c r="S158" s="249" t="str">
        <f t="shared" si="73"/>
        <v>E_O_F</v>
      </c>
    </row>
    <row r="159" spans="1:20" ht="15" customHeight="1">
      <c r="D159" s="248"/>
      <c r="E159" s="248"/>
      <c r="F159" s="248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</row>
    <row r="160" spans="1:20" ht="15" customHeight="1">
      <c r="D160" s="248"/>
      <c r="E160" s="248"/>
      <c r="F160" s="248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abSelected="1" workbookViewId="0"/>
  </sheetViews>
  <sheetFormatPr baseColWidth="10" defaultColWidth="8.83203125" defaultRowHeight="15" customHeight="1" x14ac:dyDescent="0"/>
  <cols>
    <col min="1" max="1" width="18.1640625" style="269" customWidth="1"/>
    <col min="2" max="2" width="10.6640625" style="269" customWidth="1"/>
    <col min="3" max="3" width="5.6640625" style="269" customWidth="1"/>
    <col min="4" max="4" width="9.33203125" style="269" customWidth="1"/>
    <col min="5" max="5" width="6" style="269" customWidth="1"/>
    <col min="6" max="6" width="8.1640625" style="269" customWidth="1"/>
    <col min="7" max="7" width="29.33203125" style="269" bestFit="1" customWidth="1"/>
    <col min="8" max="8" width="27.5" style="269" bestFit="1" customWidth="1"/>
    <col min="9" max="9" width="13.6640625" style="269" customWidth="1"/>
    <col min="10" max="10" width="8.83203125" style="269" customWidth="1"/>
    <col min="11" max="11" width="9.83203125" style="269" customWidth="1"/>
    <col min="12" max="12" width="8.1640625" style="269" customWidth="1"/>
    <col min="13" max="16384" width="8.83203125" style="269"/>
  </cols>
  <sheetData>
    <row r="1" spans="1:19" ht="15" customHeight="1">
      <c r="A1" s="127" t="s">
        <v>123</v>
      </c>
      <c r="B1" s="127"/>
      <c r="C1" s="127"/>
      <c r="D1" s="127"/>
      <c r="E1" s="127"/>
      <c r="I1" s="127" t="s">
        <v>1357</v>
      </c>
      <c r="J1" s="127"/>
      <c r="K1" s="127"/>
      <c r="L1" s="127"/>
      <c r="M1" s="127"/>
      <c r="N1" s="127"/>
      <c r="O1" s="127"/>
      <c r="P1" s="127"/>
      <c r="Q1" s="127"/>
    </row>
    <row r="2" spans="1:19" ht="15" customHeight="1">
      <c r="A2" s="129" t="s">
        <v>511</v>
      </c>
      <c r="I2" s="129" t="s">
        <v>511</v>
      </c>
    </row>
    <row r="3" spans="1:19" ht="15" customHeight="1">
      <c r="A3" s="128" t="s">
        <v>512</v>
      </c>
      <c r="B3" s="537" t="s">
        <v>1358</v>
      </c>
      <c r="C3" s="537"/>
      <c r="D3" s="537"/>
      <c r="E3" s="537"/>
      <c r="I3" s="128" t="s">
        <v>512</v>
      </c>
      <c r="J3" s="537" t="s">
        <v>1359</v>
      </c>
      <c r="K3" s="537"/>
      <c r="L3" s="537"/>
      <c r="M3" s="537"/>
      <c r="N3" s="537" t="s">
        <v>1360</v>
      </c>
      <c r="O3" s="537"/>
      <c r="P3" s="537"/>
      <c r="Q3" s="537"/>
    </row>
    <row r="4" spans="1:19" ht="15" customHeight="1">
      <c r="A4" s="104" t="s">
        <v>125</v>
      </c>
      <c r="B4" s="105" t="s">
        <v>126</v>
      </c>
      <c r="C4" s="105" t="s">
        <v>127</v>
      </c>
      <c r="D4" s="105" t="s">
        <v>128</v>
      </c>
      <c r="E4" s="105" t="s">
        <v>127</v>
      </c>
      <c r="I4" s="104" t="s">
        <v>125</v>
      </c>
      <c r="J4" s="105" t="s">
        <v>126</v>
      </c>
      <c r="K4" s="105" t="s">
        <v>127</v>
      </c>
      <c r="L4" s="105" t="s">
        <v>128</v>
      </c>
      <c r="M4" s="105" t="s">
        <v>127</v>
      </c>
      <c r="N4" s="105" t="s">
        <v>126</v>
      </c>
      <c r="O4" s="105" t="s">
        <v>127</v>
      </c>
      <c r="P4" s="105" t="s">
        <v>128</v>
      </c>
      <c r="Q4" s="105" t="s">
        <v>127</v>
      </c>
      <c r="R4" s="269" t="s">
        <v>2</v>
      </c>
    </row>
    <row r="5" spans="1:19" ht="15" customHeight="1">
      <c r="A5" s="202" t="s">
        <v>584</v>
      </c>
      <c r="B5" s="269">
        <f>IF(HomeSize="Med",VLOOKUP(Geometry!A5,Geometry!$I$5:$Q$40,2,FALSE),VLOOKUP(Geometry!A5,Geometry!$I5:$Q$40,6,FALSE))</f>
        <v>1</v>
      </c>
      <c r="C5" s="259"/>
      <c r="D5" s="269">
        <f>IF(HomeSize="Med",VLOOKUP(Geometry!A5,Geometry!$I$5:$Q$40,4,FALSE),VLOOKUP(Geometry!A5,Geometry!$I$5:$Q$40,8,FALSE))</f>
        <v>1</v>
      </c>
      <c r="E5" s="269" t="s">
        <v>11</v>
      </c>
      <c r="I5" s="202" t="s">
        <v>584</v>
      </c>
      <c r="J5" s="281">
        <v>1</v>
      </c>
      <c r="K5" s="259"/>
      <c r="L5" s="272">
        <v>1</v>
      </c>
      <c r="M5" s="272" t="s">
        <v>11</v>
      </c>
      <c r="N5" s="281">
        <v>2</v>
      </c>
      <c r="O5" s="281"/>
      <c r="P5" s="272">
        <v>2</v>
      </c>
      <c r="Q5" s="269" t="s">
        <v>11</v>
      </c>
    </row>
    <row r="6" spans="1:19" ht="15" customHeight="1">
      <c r="A6" s="202" t="s">
        <v>129</v>
      </c>
      <c r="B6" s="269">
        <f>IF(HomeSize="Med",VLOOKUP(Geometry!A6,Geometry!$I$5:$Q$40,2,FALSE),VLOOKUP(Geometry!A6,Geometry!$I6:$Q$40,6,FALSE))</f>
        <v>50</v>
      </c>
      <c r="C6" s="272" t="s">
        <v>130</v>
      </c>
      <c r="D6" s="269">
        <f>IF(HomeSize="Med",VLOOKUP(Geometry!A6,Geometry!$I$5:$Q$40,4,FALSE),VLOOKUP(Geometry!A6,Geometry!$I$5:$Q$40,8,FALSE))</f>
        <v>15.239999512320015</v>
      </c>
      <c r="E6" s="272" t="s">
        <v>131</v>
      </c>
      <c r="I6" s="202" t="s">
        <v>129</v>
      </c>
      <c r="J6" s="272">
        <v>50</v>
      </c>
      <c r="K6" s="272" t="s">
        <v>130</v>
      </c>
      <c r="L6" s="272">
        <f t="shared" ref="L6:L7" si="0">J6/3.28084</f>
        <v>15.239999512320015</v>
      </c>
      <c r="M6" s="272" t="s">
        <v>131</v>
      </c>
      <c r="N6" s="272">
        <v>50</v>
      </c>
      <c r="O6" s="272" t="s">
        <v>130</v>
      </c>
      <c r="P6" s="272">
        <f t="shared" ref="P6:P7" si="1">N6/3.28084</f>
        <v>15.239999512320015</v>
      </c>
      <c r="Q6" s="272" t="s">
        <v>131</v>
      </c>
      <c r="R6" s="269" t="s">
        <v>509</v>
      </c>
    </row>
    <row r="7" spans="1:19" ht="15" customHeight="1">
      <c r="A7" s="202" t="s">
        <v>132</v>
      </c>
      <c r="B7" s="269">
        <f>IF(HomeSize="Med",VLOOKUP(Geometry!A7,Geometry!$I$5:$Q$40,2,FALSE),VLOOKUP(Geometry!A7,Geometry!$I7:$Q$40,6,FALSE))</f>
        <v>46</v>
      </c>
      <c r="C7" s="272" t="s">
        <v>130</v>
      </c>
      <c r="D7" s="269">
        <f>IF(HomeSize="Med",VLOOKUP(Geometry!A7,Geometry!$I$5:$Q$40,4,FALSE),VLOOKUP(Geometry!A7,Geometry!$I$5:$Q$40,8,FALSE))</f>
        <v>14.020799551334415</v>
      </c>
      <c r="E7" s="272" t="s">
        <v>131</v>
      </c>
      <c r="I7" s="202" t="s">
        <v>132</v>
      </c>
      <c r="J7" s="272">
        <v>46</v>
      </c>
      <c r="K7" s="272" t="s">
        <v>130</v>
      </c>
      <c r="L7" s="272">
        <f t="shared" si="0"/>
        <v>14.020799551334415</v>
      </c>
      <c r="M7" s="272" t="s">
        <v>131</v>
      </c>
      <c r="N7" s="272">
        <v>29</v>
      </c>
      <c r="O7" s="272" t="s">
        <v>130</v>
      </c>
      <c r="P7" s="272">
        <f t="shared" si="1"/>
        <v>8.8391997171456094</v>
      </c>
      <c r="Q7" s="272" t="s">
        <v>131</v>
      </c>
      <c r="R7" s="259"/>
      <c r="S7" s="272"/>
    </row>
    <row r="8" spans="1:19" ht="15" customHeight="1">
      <c r="A8" s="202" t="s">
        <v>133</v>
      </c>
      <c r="B8" s="269">
        <f>IF(HomeSize="Med",VLOOKUP(Geometry!A8,Geometry!$I$5:$Q$40,2,FALSE),VLOOKUP(Geometry!A8,Geometry!$I8:$Q$40,6,FALSE))</f>
        <v>2100</v>
      </c>
      <c r="C8" s="272" t="s">
        <v>506</v>
      </c>
      <c r="D8" s="269">
        <f>IF(HomeSize="Med",VLOOKUP(Geometry!A8,Geometry!$I$5:$Q$40,4,FALSE),VLOOKUP(Geometry!A8,Geometry!$I$5:$Q$40,8,FALSE))</f>
        <v>195.09</v>
      </c>
      <c r="E8" s="272" t="s">
        <v>505</v>
      </c>
      <c r="I8" s="202" t="s">
        <v>133</v>
      </c>
      <c r="J8" s="256">
        <v>2100</v>
      </c>
      <c r="K8" s="272" t="s">
        <v>506</v>
      </c>
      <c r="L8" s="258">
        <f t="shared" ref="L8:L12" si="2">J8*0.0929</f>
        <v>195.09</v>
      </c>
      <c r="M8" s="272" t="s">
        <v>505</v>
      </c>
      <c r="N8" s="256">
        <v>2700</v>
      </c>
      <c r="O8" s="272" t="s">
        <v>506</v>
      </c>
      <c r="P8" s="258">
        <f t="shared" ref="P8:P12" si="3">N8*0.0929</f>
        <v>250.82999999999998</v>
      </c>
      <c r="Q8" s="272" t="s">
        <v>505</v>
      </c>
      <c r="R8" s="259"/>
      <c r="S8" s="259"/>
    </row>
    <row r="9" spans="1:19" ht="15" customHeight="1">
      <c r="A9" s="202" t="s">
        <v>504</v>
      </c>
      <c r="B9" s="269">
        <f>IF(HomeSize="Med",VLOOKUP(Geometry!A9,Geometry!$I$5:$Q$40,2,FALSE),VLOOKUP(Geometry!A9,Geometry!$I9:$Q$40,6,FALSE))</f>
        <v>2100</v>
      </c>
      <c r="C9" s="272" t="s">
        <v>506</v>
      </c>
      <c r="D9" s="269">
        <f>IF(HomeSize="Med",VLOOKUP(Geometry!A9,Geometry!$I$5:$Q$40,4,FALSE),VLOOKUP(Geometry!A9,Geometry!$I$5:$Q$40,8,FALSE))</f>
        <v>195.09</v>
      </c>
      <c r="E9" s="272" t="s">
        <v>505</v>
      </c>
      <c r="I9" s="202" t="s">
        <v>504</v>
      </c>
      <c r="J9" s="272">
        <f>J8/J5</f>
        <v>2100</v>
      </c>
      <c r="K9" s="272" t="s">
        <v>506</v>
      </c>
      <c r="L9" s="258">
        <f t="shared" si="2"/>
        <v>195.09</v>
      </c>
      <c r="M9" s="272" t="s">
        <v>505</v>
      </c>
      <c r="N9" s="272">
        <v>1250</v>
      </c>
      <c r="O9" s="272" t="s">
        <v>506</v>
      </c>
      <c r="P9" s="258">
        <f t="shared" si="3"/>
        <v>116.125</v>
      </c>
      <c r="Q9" s="272" t="s">
        <v>505</v>
      </c>
      <c r="R9" s="259"/>
      <c r="S9" s="259"/>
    </row>
    <row r="10" spans="1:19" ht="15" customHeight="1">
      <c r="A10" s="202" t="s">
        <v>136</v>
      </c>
      <c r="B10" s="269">
        <f>IF(HomeSize="Med",VLOOKUP(Geometry!A10,Geometry!$I$5:$Q$40,2,FALSE),VLOOKUP(Geometry!A10,Geometry!$I10:$Q$40,6,FALSE))</f>
        <v>0</v>
      </c>
      <c r="C10" s="272" t="s">
        <v>506</v>
      </c>
      <c r="D10" s="269">
        <f>IF(HomeSize="Med",VLOOKUP(Geometry!A10,Geometry!$I$5:$Q$40,4,FALSE),VLOOKUP(Geometry!A10,Geometry!$I$5:$Q$40,8,FALSE))</f>
        <v>0</v>
      </c>
      <c r="E10" s="272" t="s">
        <v>505</v>
      </c>
      <c r="I10" s="202" t="s">
        <v>136</v>
      </c>
      <c r="J10" s="272">
        <f>IF(J5=2,J8/J5,0)</f>
        <v>0</v>
      </c>
      <c r="K10" s="272" t="s">
        <v>506</v>
      </c>
      <c r="L10" s="258">
        <f t="shared" si="2"/>
        <v>0</v>
      </c>
      <c r="M10" s="272" t="s">
        <v>505</v>
      </c>
      <c r="N10" s="272">
        <v>1450</v>
      </c>
      <c r="O10" s="272" t="s">
        <v>506</v>
      </c>
      <c r="P10" s="258">
        <f t="shared" si="3"/>
        <v>134.70499999999998</v>
      </c>
      <c r="Q10" s="272" t="s">
        <v>505</v>
      </c>
      <c r="R10" s="259"/>
    </row>
    <row r="11" spans="1:19" ht="15" customHeight="1">
      <c r="A11" s="202" t="s">
        <v>137</v>
      </c>
      <c r="B11" s="269">
        <f>IF(HomeSize="Med",VLOOKUP(Geometry!A11,Geometry!$I$5:$Q$40,2,FALSE),VLOOKUP(Geometry!A11,Geometry!$I11:$Q$40,6,FALSE))</f>
        <v>192</v>
      </c>
      <c r="C11" s="272" t="s">
        <v>130</v>
      </c>
      <c r="D11" s="269">
        <f>IF(HomeSize="Med",VLOOKUP(Geometry!A11,Geometry!$I$5:$Q$40,4,FALSE),VLOOKUP(Geometry!A11,Geometry!$I$5:$Q$40,8,FALSE))</f>
        <v>58.521598127308863</v>
      </c>
      <c r="E11" s="272" t="s">
        <v>131</v>
      </c>
      <c r="I11" s="202" t="s">
        <v>137</v>
      </c>
      <c r="J11" s="257">
        <v>192</v>
      </c>
      <c r="K11" s="272" t="s">
        <v>130</v>
      </c>
      <c r="L11" s="272">
        <f>J11/3.28084</f>
        <v>58.521598127308863</v>
      </c>
      <c r="M11" s="272" t="s">
        <v>131</v>
      </c>
      <c r="N11" s="257">
        <v>158</v>
      </c>
      <c r="O11" s="272" t="s">
        <v>130</v>
      </c>
      <c r="P11" s="272">
        <f>N11/3.28084</f>
        <v>48.158398458931252</v>
      </c>
      <c r="Q11" s="272" t="s">
        <v>131</v>
      </c>
      <c r="R11" s="259"/>
      <c r="S11" s="269" t="s">
        <v>1361</v>
      </c>
    </row>
    <row r="12" spans="1:19" ht="15" customHeight="1">
      <c r="A12" s="202" t="s">
        <v>1362</v>
      </c>
      <c r="B12" s="269">
        <f>IF(HomeSize="Med",VLOOKUP(Geometry!A12,Geometry!$I$5:$Q$40,2,FALSE),VLOOKUP(Geometry!A12,Geometry!$I12:$Q$40,6,FALSE))</f>
        <v>0</v>
      </c>
      <c r="C12" s="272" t="s">
        <v>506</v>
      </c>
      <c r="D12" s="269">
        <f>IF(HomeSize="Med",VLOOKUP(Geometry!A12,Geometry!$I$5:$Q$40,4,FALSE),VLOOKUP(Geometry!A12,Geometry!$I$5:$Q$40,8,FALSE))</f>
        <v>0</v>
      </c>
      <c r="E12" s="272" t="s">
        <v>505</v>
      </c>
      <c r="I12" s="202" t="s">
        <v>1362</v>
      </c>
      <c r="J12" s="538">
        <f>J8-J9</f>
        <v>0</v>
      </c>
      <c r="K12" s="272" t="s">
        <v>506</v>
      </c>
      <c r="L12" s="258">
        <f t="shared" si="2"/>
        <v>0</v>
      </c>
      <c r="M12" s="272" t="s">
        <v>505</v>
      </c>
      <c r="N12" s="538">
        <f>N10-N9</f>
        <v>200</v>
      </c>
      <c r="O12" s="272" t="s">
        <v>506</v>
      </c>
      <c r="P12" s="258">
        <f t="shared" si="3"/>
        <v>18.579999999999998</v>
      </c>
      <c r="Q12" s="272" t="s">
        <v>505</v>
      </c>
      <c r="R12" s="259"/>
    </row>
    <row r="13" spans="1:19" ht="15" customHeight="1">
      <c r="A13" s="202" t="s">
        <v>138</v>
      </c>
      <c r="B13" s="269">
        <f>IF(HomeSize="Med",VLOOKUP(Geometry!A13,Geometry!$I$5:$Q$40,2,FALSE),VLOOKUP(Geometry!A13,Geometry!$I13:$Q$40,6,FALSE))</f>
        <v>1</v>
      </c>
      <c r="C13" s="272" t="s">
        <v>130</v>
      </c>
      <c r="D13" s="269">
        <f>IF(HomeSize="Med",VLOOKUP(Geometry!A13,Geometry!$I$5:$Q$40,4,FALSE),VLOOKUP(Geometry!A13,Geometry!$I$5:$Q$40,8,FALSE))</f>
        <v>0.30479999024640031</v>
      </c>
      <c r="E13" s="272" t="s">
        <v>131</v>
      </c>
      <c r="I13" s="202" t="s">
        <v>138</v>
      </c>
      <c r="J13" s="272">
        <v>1</v>
      </c>
      <c r="K13" s="272" t="s">
        <v>130</v>
      </c>
      <c r="L13" s="272">
        <f>J13/3.28084</f>
        <v>0.30479999024640031</v>
      </c>
      <c r="M13" s="272" t="s">
        <v>131</v>
      </c>
      <c r="N13" s="272">
        <v>1</v>
      </c>
      <c r="O13" s="272" t="s">
        <v>130</v>
      </c>
      <c r="P13" s="272">
        <f>N13/3.28084</f>
        <v>0.30479999024640031</v>
      </c>
      <c r="Q13" s="272" t="s">
        <v>131</v>
      </c>
      <c r="R13" s="259"/>
    </row>
    <row r="14" spans="1:19" ht="15" customHeight="1">
      <c r="A14" s="202" t="s">
        <v>139</v>
      </c>
      <c r="B14" s="269">
        <f>IF(HomeSize="Med",VLOOKUP(Geometry!A14,Geometry!$I$5:$Q$40,2,FALSE),VLOOKUP(Geometry!A14,Geometry!$I14:$Q$40,6,FALSE))</f>
        <v>9</v>
      </c>
      <c r="C14" s="272" t="s">
        <v>130</v>
      </c>
      <c r="D14" s="269">
        <f>IF(HomeSize="Med",VLOOKUP(Geometry!A14,Geometry!$I$5:$Q$40,4,FALSE),VLOOKUP(Geometry!A14,Geometry!$I$5:$Q$40,8,FALSE))</f>
        <v>2.743199912217603</v>
      </c>
      <c r="E14" s="272" t="s">
        <v>131</v>
      </c>
      <c r="I14" s="202" t="s">
        <v>139</v>
      </c>
      <c r="J14" s="272">
        <v>9</v>
      </c>
      <c r="K14" s="272" t="s">
        <v>130</v>
      </c>
      <c r="L14" s="272">
        <f>J14/3.28084</f>
        <v>2.743199912217603</v>
      </c>
      <c r="M14" s="272" t="s">
        <v>131</v>
      </c>
      <c r="N14" s="272">
        <v>9</v>
      </c>
      <c r="O14" s="272" t="s">
        <v>130</v>
      </c>
      <c r="P14" s="272">
        <f>N14/3.28084</f>
        <v>2.743199912217603</v>
      </c>
      <c r="Q14" s="272" t="s">
        <v>131</v>
      </c>
      <c r="R14" s="259"/>
    </row>
    <row r="15" spans="1:19" ht="15" customHeight="1">
      <c r="A15" s="202" t="s">
        <v>140</v>
      </c>
      <c r="B15" s="269">
        <f>IF(HomeSize="Med",VLOOKUP(Geometry!A15,Geometry!$I$5:$Q$40,2,FALSE),VLOOKUP(Geometry!A15,Geometry!$I15:$Q$40,6,FALSE))</f>
        <v>1</v>
      </c>
      <c r="C15" s="272" t="s">
        <v>130</v>
      </c>
      <c r="D15" s="269">
        <f>IF(HomeSize="Med",VLOOKUP(Geometry!A15,Geometry!$I$5:$Q$40,4,FALSE),VLOOKUP(Geometry!A15,Geometry!$I$5:$Q$40,8,FALSE))</f>
        <v>0.30479999024640031</v>
      </c>
      <c r="E15" s="272" t="s">
        <v>131</v>
      </c>
      <c r="I15" s="202" t="s">
        <v>140</v>
      </c>
      <c r="J15" s="272">
        <v>1</v>
      </c>
      <c r="K15" s="272" t="s">
        <v>130</v>
      </c>
      <c r="L15" s="272">
        <f>J15/3.28084</f>
        <v>0.30479999024640031</v>
      </c>
      <c r="M15" s="272" t="s">
        <v>131</v>
      </c>
      <c r="N15" s="272">
        <v>1</v>
      </c>
      <c r="O15" s="272" t="s">
        <v>130</v>
      </c>
      <c r="P15" s="272">
        <f>N15/3.28084</f>
        <v>0.30479999024640031</v>
      </c>
      <c r="Q15" s="272" t="s">
        <v>131</v>
      </c>
      <c r="R15" s="259"/>
    </row>
    <row r="16" spans="1:19" ht="15" customHeight="1">
      <c r="A16" s="202" t="s">
        <v>141</v>
      </c>
      <c r="B16" s="269">
        <f>IF(HomeSize="Med",VLOOKUP(Geometry!A16,Geometry!$I$5:$Q$40,2,FALSE),VLOOKUP(Geometry!A16,Geometry!$I16:$Q$40,6,FALSE))</f>
        <v>11</v>
      </c>
      <c r="C16" s="272" t="s">
        <v>130</v>
      </c>
      <c r="D16" s="269">
        <f>IF(HomeSize="Med",VLOOKUP(Geometry!A16,Geometry!$I$5:$Q$40,4,FALSE),VLOOKUP(Geometry!A16,Geometry!$I$5:$Q$40,8,FALSE))</f>
        <v>3.3527998927104035</v>
      </c>
      <c r="E16" s="272" t="s">
        <v>131</v>
      </c>
      <c r="I16" s="202" t="s">
        <v>141</v>
      </c>
      <c r="J16" s="272">
        <f>J13+(J14*J5)+J15</f>
        <v>11</v>
      </c>
      <c r="K16" s="272" t="s">
        <v>130</v>
      </c>
      <c r="L16" s="272">
        <f>J16/3.28084</f>
        <v>3.3527998927104035</v>
      </c>
      <c r="M16" s="272" t="s">
        <v>131</v>
      </c>
      <c r="N16" s="272">
        <f>N13+(N14*N5)+N15</f>
        <v>20</v>
      </c>
      <c r="O16" s="272" t="s">
        <v>130</v>
      </c>
      <c r="P16" s="272">
        <f>N16/3.28084</f>
        <v>6.095999804928006</v>
      </c>
      <c r="Q16" s="272" t="s">
        <v>131</v>
      </c>
      <c r="R16" s="259"/>
      <c r="S16" s="269" t="s">
        <v>142</v>
      </c>
    </row>
    <row r="17" spans="1:19" ht="15" customHeight="1">
      <c r="A17" s="202" t="s">
        <v>143</v>
      </c>
      <c r="B17" s="269">
        <f>IF(HomeSize="Med",VLOOKUP(Geometry!A17,Geometry!$I$5:$Q$40,2,FALSE),VLOOKUP(Geometry!A17,Geometry!$I17:$Q$40,6,FALSE))</f>
        <v>420</v>
      </c>
      <c r="C17" s="272" t="s">
        <v>506</v>
      </c>
      <c r="D17" s="269">
        <f>IF(HomeSize="Med",VLOOKUP(Geometry!A17,Geometry!$I$5:$Q$40,4,FALSE),VLOOKUP(Geometry!A17,Geometry!$I$5:$Q$40,8,FALSE))</f>
        <v>39.018000000000001</v>
      </c>
      <c r="E17" s="272" t="s">
        <v>505</v>
      </c>
      <c r="G17" s="269" t="s">
        <v>1363</v>
      </c>
      <c r="I17" s="202" t="s">
        <v>143</v>
      </c>
      <c r="J17" s="258">
        <f>0.2*J8</f>
        <v>420</v>
      </c>
      <c r="K17" s="272" t="s">
        <v>506</v>
      </c>
      <c r="L17" s="258">
        <f>J17*0.0929</f>
        <v>39.018000000000001</v>
      </c>
      <c r="M17" s="272" t="s">
        <v>505</v>
      </c>
      <c r="N17" s="258">
        <f>0.2*N8</f>
        <v>540</v>
      </c>
      <c r="O17" s="272" t="s">
        <v>506</v>
      </c>
      <c r="P17" s="258">
        <f>N17*0.0929</f>
        <v>50.165999999999997</v>
      </c>
      <c r="Q17" s="272" t="s">
        <v>505</v>
      </c>
      <c r="R17" s="269" t="s">
        <v>510</v>
      </c>
      <c r="S17" s="269" t="s">
        <v>144</v>
      </c>
    </row>
    <row r="18" spans="1:19" ht="15" customHeight="1">
      <c r="A18" s="202" t="s">
        <v>931</v>
      </c>
      <c r="B18" s="269">
        <f>IF(HomeSize="Med",VLOOKUP(Geometry!A18,Geometry!$I$5:$Q$40,2,FALSE),VLOOKUP(Geometry!A18,Geometry!$I18:$Q$40,6,FALSE))</f>
        <v>40</v>
      </c>
      <c r="C18" s="272" t="s">
        <v>506</v>
      </c>
      <c r="D18" s="269">
        <f>IF(HomeSize="Med",VLOOKUP(Geometry!A18,Geometry!$I$5:$Q$40,4,FALSE),VLOOKUP(Geometry!A18,Geometry!$I$5:$Q$40,8,FALSE))</f>
        <v>3.7159999999999997</v>
      </c>
      <c r="E18" s="272" t="s">
        <v>505</v>
      </c>
      <c r="I18" s="202" t="s">
        <v>931</v>
      </c>
      <c r="J18" s="258">
        <v>40</v>
      </c>
      <c r="K18" s="272" t="s">
        <v>506</v>
      </c>
      <c r="L18" s="258">
        <f>J18*0.0929</f>
        <v>3.7159999999999997</v>
      </c>
      <c r="M18" s="272" t="s">
        <v>505</v>
      </c>
      <c r="N18" s="258">
        <v>40</v>
      </c>
      <c r="O18" s="272" t="s">
        <v>506</v>
      </c>
      <c r="P18" s="258">
        <f>N18*0.0929</f>
        <v>3.7159999999999997</v>
      </c>
      <c r="Q18" s="272" t="s">
        <v>505</v>
      </c>
    </row>
    <row r="19" spans="1:19" ht="15" customHeight="1">
      <c r="A19" s="202" t="s">
        <v>145</v>
      </c>
      <c r="B19" s="269">
        <f>IF(HomeSize="Med",VLOOKUP(Geometry!A19,Geometry!$I$5:$Q$40,2,FALSE),VLOOKUP(Geometry!A19,Geometry!$I19:$Q$40,6,FALSE))</f>
        <v>0</v>
      </c>
      <c r="C19" s="272"/>
      <c r="D19" s="269">
        <f>IF(HomeSize="Med",VLOOKUP(Geometry!A19,Geometry!$I$5:$Q$40,4,FALSE),VLOOKUP(Geometry!A19,Geometry!$I$5:$Q$40,8,FALSE))</f>
        <v>0</v>
      </c>
      <c r="E19" s="272" t="s">
        <v>11</v>
      </c>
      <c r="I19" s="202" t="s">
        <v>145</v>
      </c>
      <c r="J19" s="272"/>
      <c r="K19" s="272"/>
      <c r="L19" s="272"/>
      <c r="M19" s="272" t="s">
        <v>11</v>
      </c>
      <c r="N19" s="272"/>
      <c r="O19" s="272"/>
      <c r="P19" s="272"/>
      <c r="Q19" s="272" t="s">
        <v>11</v>
      </c>
      <c r="R19" s="281" t="s">
        <v>157</v>
      </c>
    </row>
    <row r="20" spans="1:19" ht="15" customHeight="1">
      <c r="A20" s="202" t="s">
        <v>1364</v>
      </c>
      <c r="B20" s="269">
        <f>IF(HomeSize="Med",VLOOKUP(Geometry!A20,Geometry!$I$5:$Q$40,2,FALSE),VLOOKUP(Geometry!A20,Geometry!$I20:$Q$40,6,FALSE))</f>
        <v>270</v>
      </c>
      <c r="C20" s="272" t="s">
        <v>506</v>
      </c>
      <c r="D20" s="269">
        <f>IF(HomeSize="Med",VLOOKUP(Geometry!A20,Geometry!$I$5:$Q$40,4,FALSE),VLOOKUP(Geometry!A20,Geometry!$I$5:$Q$40,8,FALSE))</f>
        <v>25.082999999999998</v>
      </c>
      <c r="E20" s="272" t="s">
        <v>505</v>
      </c>
      <c r="I20" s="202" t="s">
        <v>1364</v>
      </c>
      <c r="J20" s="272">
        <v>270</v>
      </c>
      <c r="K20" s="272" t="s">
        <v>506</v>
      </c>
      <c r="L20" s="258">
        <f t="shared" ref="L20:L28" si="4">J20*0.0929</f>
        <v>25.082999999999998</v>
      </c>
      <c r="M20" s="272" t="s">
        <v>505</v>
      </c>
      <c r="N20" s="272">
        <v>270</v>
      </c>
      <c r="O20" s="272" t="s">
        <v>506</v>
      </c>
      <c r="P20" s="258">
        <f t="shared" ref="P20:P28" si="5">N20*0.0929</f>
        <v>25.082999999999998</v>
      </c>
      <c r="Q20" s="272" t="s">
        <v>505</v>
      </c>
      <c r="R20" s="281"/>
    </row>
    <row r="21" spans="1:19" ht="15" customHeight="1">
      <c r="A21" s="202" t="s">
        <v>1365</v>
      </c>
      <c r="B21" s="269">
        <f>IF(HomeSize="Med",VLOOKUP(Geometry!A21,Geometry!$I$5:$Q$40,2,FALSE),VLOOKUP(Geometry!A21,Geometry!$I21:$Q$40,6,FALSE))</f>
        <v>180</v>
      </c>
      <c r="C21" s="272" t="s">
        <v>506</v>
      </c>
      <c r="D21" s="269">
        <f>IF(HomeSize="Med",VLOOKUP(Geometry!A21,Geometry!$I$5:$Q$40,4,FALSE),VLOOKUP(Geometry!A21,Geometry!$I$5:$Q$40,8,FALSE))</f>
        <v>16.721999999999998</v>
      </c>
      <c r="E21" s="272" t="s">
        <v>505</v>
      </c>
      <c r="I21" s="202" t="s">
        <v>1365</v>
      </c>
      <c r="J21" s="272">
        <v>180</v>
      </c>
      <c r="K21" s="272" t="s">
        <v>506</v>
      </c>
      <c r="L21" s="258">
        <f t="shared" si="4"/>
        <v>16.721999999999998</v>
      </c>
      <c r="M21" s="272" t="s">
        <v>505</v>
      </c>
      <c r="N21" s="272">
        <v>180</v>
      </c>
      <c r="O21" s="272" t="s">
        <v>506</v>
      </c>
      <c r="P21" s="258">
        <f t="shared" si="5"/>
        <v>16.721999999999998</v>
      </c>
      <c r="Q21" s="272" t="s">
        <v>505</v>
      </c>
      <c r="R21" s="281"/>
    </row>
    <row r="22" spans="1:19" ht="15" customHeight="1">
      <c r="A22" s="202" t="s">
        <v>1366</v>
      </c>
      <c r="B22" s="269">
        <f>IF(HomeSize="Med",VLOOKUP(Geometry!A22,Geometry!$I$5:$Q$40,2,FALSE),VLOOKUP(Geometry!A22,Geometry!$I22:$Q$40,6,FALSE))</f>
        <v>324</v>
      </c>
      <c r="C22" s="272" t="s">
        <v>506</v>
      </c>
      <c r="D22" s="269">
        <f>IF(HomeSize="Med",VLOOKUP(Geometry!A22,Geometry!$I$5:$Q$40,4,FALSE),VLOOKUP(Geometry!A22,Geometry!$I$5:$Q$40,8,FALSE))</f>
        <v>30.099599999999999</v>
      </c>
      <c r="E22" s="272" t="s">
        <v>505</v>
      </c>
      <c r="I22" s="202" t="s">
        <v>1366</v>
      </c>
      <c r="J22" s="272">
        <v>324</v>
      </c>
      <c r="K22" s="272" t="s">
        <v>506</v>
      </c>
      <c r="L22" s="258">
        <f t="shared" si="4"/>
        <v>30.099599999999999</v>
      </c>
      <c r="M22" s="272" t="s">
        <v>505</v>
      </c>
      <c r="N22" s="272">
        <v>551</v>
      </c>
      <c r="O22" s="272" t="s">
        <v>506</v>
      </c>
      <c r="P22" s="258">
        <f t="shared" si="5"/>
        <v>51.187899999999999</v>
      </c>
      <c r="Q22" s="272" t="s">
        <v>505</v>
      </c>
      <c r="R22" s="281"/>
    </row>
    <row r="23" spans="1:19" ht="15" customHeight="1">
      <c r="A23" s="202" t="s">
        <v>1367</v>
      </c>
      <c r="B23" s="269">
        <f>IF(HomeSize="Med",VLOOKUP(Geometry!A23,Geometry!$I$5:$Q$40,2,FALSE),VLOOKUP(Geometry!A23,Geometry!$I23:$Q$40,6,FALSE))</f>
        <v>90</v>
      </c>
      <c r="C23" s="272" t="s">
        <v>506</v>
      </c>
      <c r="D23" s="269">
        <f>IF(HomeSize="Med",VLOOKUP(Geometry!A23,Geometry!$I$5:$Q$40,4,FALSE),VLOOKUP(Geometry!A23,Geometry!$I$5:$Q$40,8,FALSE))</f>
        <v>8.3609999999999989</v>
      </c>
      <c r="E23" s="272" t="s">
        <v>505</v>
      </c>
      <c r="I23" s="202" t="s">
        <v>1367</v>
      </c>
      <c r="J23" s="272">
        <v>90</v>
      </c>
      <c r="K23" s="272" t="s">
        <v>506</v>
      </c>
      <c r="L23" s="258">
        <f t="shared" si="4"/>
        <v>8.3609999999999989</v>
      </c>
      <c r="M23" s="272" t="s">
        <v>505</v>
      </c>
      <c r="N23" s="272">
        <v>0</v>
      </c>
      <c r="O23" s="272" t="s">
        <v>506</v>
      </c>
      <c r="P23" s="258">
        <f t="shared" si="5"/>
        <v>0</v>
      </c>
      <c r="Q23" s="272" t="s">
        <v>505</v>
      </c>
      <c r="R23" s="281"/>
    </row>
    <row r="24" spans="1:19" ht="15" customHeight="1">
      <c r="A24" s="202" t="s">
        <v>1368</v>
      </c>
      <c r="B24" s="269">
        <f>IF(HomeSize="Med",VLOOKUP(Geometry!A24,Geometry!$I$5:$Q$40,2,FALSE),VLOOKUP(Geometry!A24,Geometry!$I24:$Q$40,6,FALSE))</f>
        <v>450</v>
      </c>
      <c r="C24" s="272" t="s">
        <v>506</v>
      </c>
      <c r="D24" s="269">
        <f>IF(HomeSize="Med",VLOOKUP(Geometry!A24,Geometry!$I$5:$Q$40,4,FALSE),VLOOKUP(Geometry!A24,Geometry!$I$5:$Q$40,8,FALSE))</f>
        <v>41.805</v>
      </c>
      <c r="E24" s="272" t="s">
        <v>505</v>
      </c>
      <c r="I24" s="202" t="s">
        <v>1368</v>
      </c>
      <c r="J24" s="272">
        <v>450</v>
      </c>
      <c r="K24" s="272" t="s">
        <v>506</v>
      </c>
      <c r="L24" s="258">
        <f t="shared" si="4"/>
        <v>41.805</v>
      </c>
      <c r="M24" s="272" t="s">
        <v>505</v>
      </c>
      <c r="N24" s="272">
        <v>950</v>
      </c>
      <c r="O24" s="272" t="s">
        <v>506</v>
      </c>
      <c r="P24" s="258">
        <f t="shared" si="5"/>
        <v>88.254999999999995</v>
      </c>
      <c r="Q24" s="272" t="s">
        <v>505</v>
      </c>
      <c r="R24" s="281"/>
    </row>
    <row r="25" spans="1:19" ht="15" customHeight="1">
      <c r="A25" s="202" t="s">
        <v>1369</v>
      </c>
      <c r="B25" s="269">
        <f>IF(HomeSize="Med",VLOOKUP(Geometry!A25,Geometry!$I$5:$Q$40,2,FALSE),VLOOKUP(Geometry!A25,Geometry!$I25:$Q$40,6,FALSE))</f>
        <v>414</v>
      </c>
      <c r="C25" s="272" t="s">
        <v>506</v>
      </c>
      <c r="D25" s="269">
        <f>IF(HomeSize="Med",VLOOKUP(Geometry!A25,Geometry!$I$5:$Q$40,4,FALSE),VLOOKUP(Geometry!A25,Geometry!$I$5:$Q$40,8,FALSE))</f>
        <v>38.460599999999999</v>
      </c>
      <c r="E25" s="272" t="s">
        <v>505</v>
      </c>
      <c r="I25" s="202" t="s">
        <v>1369</v>
      </c>
      <c r="J25" s="272">
        <v>414</v>
      </c>
      <c r="K25" s="272" t="s">
        <v>506</v>
      </c>
      <c r="L25" s="258">
        <f t="shared" si="4"/>
        <v>38.460599999999999</v>
      </c>
      <c r="M25" s="272" t="s">
        <v>505</v>
      </c>
      <c r="N25" s="272">
        <v>461</v>
      </c>
      <c r="O25" s="272" t="s">
        <v>506</v>
      </c>
      <c r="P25" s="258">
        <f t="shared" si="5"/>
        <v>42.826899999999995</v>
      </c>
      <c r="Q25" s="272" t="s">
        <v>505</v>
      </c>
      <c r="R25" s="281"/>
    </row>
    <row r="26" spans="1:19" ht="15" customHeight="1">
      <c r="A26" s="202" t="s">
        <v>1370</v>
      </c>
      <c r="B26" s="269">
        <f>IF(HomeSize="Med",VLOOKUP(Geometry!A26,Geometry!$I$5:$Q$40,2,FALSE),VLOOKUP(Geometry!A26,Geometry!$I26:$Q$40,6,FALSE))</f>
        <v>0</v>
      </c>
      <c r="C26" s="272" t="s">
        <v>506</v>
      </c>
      <c r="D26" s="269">
        <f>IF(HomeSize="Med",VLOOKUP(Geometry!A26,Geometry!$I$5:$Q$40,4,FALSE),VLOOKUP(Geometry!A26,Geometry!$I$5:$Q$40,8,FALSE))</f>
        <v>0</v>
      </c>
      <c r="E26" s="272" t="s">
        <v>505</v>
      </c>
      <c r="I26" s="202" t="s">
        <v>1370</v>
      </c>
      <c r="J26" s="272">
        <v>0</v>
      </c>
      <c r="K26" s="272" t="s">
        <v>506</v>
      </c>
      <c r="L26" s="258">
        <f t="shared" si="4"/>
        <v>0</v>
      </c>
      <c r="M26" s="272" t="s">
        <v>505</v>
      </c>
      <c r="N26" s="272">
        <v>90</v>
      </c>
      <c r="O26" s="272"/>
      <c r="P26" s="258">
        <f t="shared" si="5"/>
        <v>8.3609999999999989</v>
      </c>
      <c r="Q26" s="272"/>
      <c r="R26" s="281"/>
    </row>
    <row r="27" spans="1:19" ht="15" customHeight="1">
      <c r="A27" s="202" t="s">
        <v>1371</v>
      </c>
      <c r="B27" s="269">
        <f>IF(HomeSize="Med",VLOOKUP(Geometry!A27,Geometry!$I$5:$Q$40,2,FALSE),VLOOKUP(Geometry!A27,Geometry!$I27:$Q$40,6,FALSE))</f>
        <v>1728</v>
      </c>
      <c r="C27" s="272" t="s">
        <v>506</v>
      </c>
      <c r="D27" s="269">
        <f>IF(HomeSize="Med",VLOOKUP(Geometry!A27,Geometry!$I$5:$Q$40,4,FALSE),VLOOKUP(Geometry!A27,Geometry!$I$5:$Q$40,8,FALSE))</f>
        <v>160.53119999999998</v>
      </c>
      <c r="E27" s="272" t="s">
        <v>505</v>
      </c>
      <c r="G27" s="269" t="s">
        <v>1372</v>
      </c>
      <c r="I27" s="202" t="s">
        <v>1371</v>
      </c>
      <c r="J27" s="281">
        <f>SUM(J20:J26)</f>
        <v>1728</v>
      </c>
      <c r="K27" s="272" t="s">
        <v>506</v>
      </c>
      <c r="L27" s="258">
        <f t="shared" si="4"/>
        <v>160.53119999999998</v>
      </c>
      <c r="M27" s="272" t="s">
        <v>505</v>
      </c>
      <c r="N27" s="281">
        <f>SUM(N20:N26)</f>
        <v>2502</v>
      </c>
      <c r="O27" s="272" t="s">
        <v>506</v>
      </c>
      <c r="P27" s="258">
        <f t="shared" si="5"/>
        <v>232.4358</v>
      </c>
      <c r="Q27" s="272" t="s">
        <v>505</v>
      </c>
      <c r="R27" s="259"/>
      <c r="S27" s="269">
        <f>((L11*L14*Stories))-A_windowSI</f>
        <v>121.51844284566752</v>
      </c>
    </row>
    <row r="28" spans="1:19" ht="15" customHeight="1">
      <c r="A28" s="202" t="s">
        <v>1373</v>
      </c>
      <c r="B28" s="269">
        <f>IF(HomeSize="Med",VLOOKUP(Geometry!A28,Geometry!$I$5:$Q$40,2,FALSE),VLOOKUP(Geometry!A28,Geometry!$I28:$Q$40,6,FALSE))</f>
        <v>1308</v>
      </c>
      <c r="C28" s="272" t="s">
        <v>1374</v>
      </c>
      <c r="D28" s="269">
        <f>IF(HomeSize="Med",VLOOKUP(Geometry!A28,Geometry!$I$5:$Q$40,4,FALSE),VLOOKUP(Geometry!A28,Geometry!$I$5:$Q$40,8,FALSE))</f>
        <v>121.5132</v>
      </c>
      <c r="E28" s="272" t="s">
        <v>1375</v>
      </c>
      <c r="I28" s="202" t="s">
        <v>1373</v>
      </c>
      <c r="J28" s="539">
        <f>J27-J17</f>
        <v>1308</v>
      </c>
      <c r="K28" s="272" t="s">
        <v>506</v>
      </c>
      <c r="L28" s="258">
        <f t="shared" si="4"/>
        <v>121.5132</v>
      </c>
      <c r="M28" s="272" t="s">
        <v>505</v>
      </c>
      <c r="N28" s="539">
        <f>N27-N17</f>
        <v>1962</v>
      </c>
      <c r="O28" s="272" t="s">
        <v>506</v>
      </c>
      <c r="P28" s="258">
        <f t="shared" si="5"/>
        <v>182.2698</v>
      </c>
      <c r="Q28" s="272" t="s">
        <v>505</v>
      </c>
      <c r="R28" s="259"/>
    </row>
    <row r="29" spans="1:19" ht="15" customHeight="1">
      <c r="A29" s="202" t="s">
        <v>146</v>
      </c>
      <c r="B29" s="269">
        <f>IF(HomeSize="Med",VLOOKUP(Geometry!A29,Geometry!$I$5:$Q$40,2,FALSE),VLOOKUP(Geometry!A29,Geometry!$I29:$Q$40,6,FALSE))</f>
        <v>18900</v>
      </c>
      <c r="C29" s="272" t="s">
        <v>1376</v>
      </c>
      <c r="D29" s="269">
        <f>IF(HomeSize="Med",VLOOKUP(Geometry!A29,Geometry!$I$5:$Q$40,4,FALSE),VLOOKUP(Geometry!A29,Geometry!$I$5:$Q$40,8,FALSE))</f>
        <v>535.18789625849854</v>
      </c>
      <c r="E29" s="269" t="s">
        <v>147</v>
      </c>
      <c r="I29" s="202" t="s">
        <v>146</v>
      </c>
      <c r="J29" s="281">
        <v>18900</v>
      </c>
      <c r="K29" s="272" t="s">
        <v>1376</v>
      </c>
      <c r="L29" s="256">
        <f>J29/35.3147</f>
        <v>535.18789625849854</v>
      </c>
      <c r="M29" s="272" t="s">
        <v>147</v>
      </c>
      <c r="N29" s="281">
        <v>25750</v>
      </c>
      <c r="O29" s="272" t="s">
        <v>1376</v>
      </c>
      <c r="P29" s="256">
        <f>N29/35.3147</f>
        <v>729.1581126273195</v>
      </c>
      <c r="Q29" s="269" t="s">
        <v>147</v>
      </c>
      <c r="R29" s="259"/>
    </row>
    <row r="30" spans="1:19" ht="15" customHeight="1">
      <c r="B30" s="272"/>
      <c r="J30" s="272"/>
      <c r="L30" s="272"/>
      <c r="M30" s="272"/>
      <c r="N30" s="272"/>
      <c r="O30" s="272"/>
      <c r="P30" s="272"/>
    </row>
    <row r="31" spans="1:19" ht="15" customHeight="1">
      <c r="A31" s="104" t="s">
        <v>148</v>
      </c>
      <c r="B31" s="105" t="s">
        <v>126</v>
      </c>
      <c r="C31" s="105" t="s">
        <v>127</v>
      </c>
      <c r="D31" s="105" t="s">
        <v>128</v>
      </c>
      <c r="E31" s="105" t="s">
        <v>127</v>
      </c>
      <c r="I31" s="104" t="s">
        <v>148</v>
      </c>
      <c r="J31" s="105" t="s">
        <v>126</v>
      </c>
      <c r="K31" s="105" t="s">
        <v>127</v>
      </c>
      <c r="L31" s="540" t="s">
        <v>128</v>
      </c>
      <c r="M31" s="540" t="s">
        <v>127</v>
      </c>
      <c r="N31" s="540" t="s">
        <v>126</v>
      </c>
      <c r="O31" s="540" t="s">
        <v>127</v>
      </c>
      <c r="P31" s="540" t="s">
        <v>128</v>
      </c>
      <c r="Q31" s="105" t="s">
        <v>127</v>
      </c>
      <c r="R31" s="259"/>
    </row>
    <row r="32" spans="1:19" ht="15" customHeight="1">
      <c r="A32" s="202" t="s">
        <v>149</v>
      </c>
      <c r="B32" s="260"/>
      <c r="C32" s="269" t="s">
        <v>11</v>
      </c>
      <c r="D32" s="269">
        <f>IF(HomeSize="Med",VLOOKUP(Geometry!A32,Geometry!$I$5:$Q$40,4,FALSE),VLOOKUP(Geometry!A32,Geometry!$I$5:$Q$40,8,FALSE))</f>
        <v>22.61986494804043</v>
      </c>
      <c r="E32" s="269" t="s">
        <v>150</v>
      </c>
      <c r="I32" s="202" t="s">
        <v>149</v>
      </c>
      <c r="J32" s="541" t="s">
        <v>1377</v>
      </c>
      <c r="K32" s="269" t="s">
        <v>11</v>
      </c>
      <c r="L32" s="258">
        <f>DEGREES(ATAN(5/12))</f>
        <v>22.61986494804043</v>
      </c>
      <c r="M32" s="272" t="s">
        <v>150</v>
      </c>
      <c r="N32" s="542" t="s">
        <v>1378</v>
      </c>
      <c r="O32" s="272" t="s">
        <v>11</v>
      </c>
      <c r="P32" s="258">
        <f>DEGREES(ATAN(4/12))</f>
        <v>18.43494882292201</v>
      </c>
      <c r="Q32" s="269" t="s">
        <v>150</v>
      </c>
      <c r="R32" s="269" t="s">
        <v>541</v>
      </c>
    </row>
    <row r="33" spans="1:19" ht="15" customHeight="1">
      <c r="A33" s="202" t="s">
        <v>151</v>
      </c>
      <c r="B33" s="259"/>
      <c r="C33" s="259"/>
      <c r="D33" s="269">
        <f>IF(HomeSize="Med",VLOOKUP(Geometry!A33,Geometry!$I$5:$Q$40,4,FALSE),VLOOKUP(Geometry!A33,Geometry!$I$5:$Q$40,8,FALSE))</f>
        <v>3.1749998984000034</v>
      </c>
      <c r="E33" s="269" t="s">
        <v>131</v>
      </c>
      <c r="I33" s="202" t="s">
        <v>151</v>
      </c>
      <c r="J33" s="259"/>
      <c r="K33" s="259"/>
      <c r="L33" s="61">
        <f>TAN(RADIANS(L32))*(L6/2)</f>
        <v>3.1749998984000034</v>
      </c>
      <c r="M33" s="272" t="s">
        <v>131</v>
      </c>
      <c r="N33" s="281"/>
      <c r="O33" s="281"/>
      <c r="P33" s="61">
        <f>TAN(RADIANS(P32))*(P6/2)</f>
        <v>2.5399999187200022</v>
      </c>
      <c r="Q33" s="269" t="s">
        <v>131</v>
      </c>
    </row>
    <row r="34" spans="1:19" ht="15" customHeight="1">
      <c r="A34" s="202" t="s">
        <v>152</v>
      </c>
      <c r="B34" s="259"/>
      <c r="C34" s="259"/>
      <c r="D34" s="269">
        <f>IF(HomeSize="Med",VLOOKUP(Geometry!A34,Geometry!$I$5:$Q$40,4,FALSE),VLOOKUP(Geometry!A34,Geometry!$I$5:$Q$40,8,FALSE))</f>
        <v>309.70536508942831</v>
      </c>
      <c r="E34" s="269" t="s">
        <v>507</v>
      </c>
      <c r="I34" s="202" t="s">
        <v>152</v>
      </c>
      <c r="J34" s="259"/>
      <c r="K34" s="259"/>
      <c r="L34" s="258">
        <f>0.5*L9*L33</f>
        <v>309.70536508942831</v>
      </c>
      <c r="M34" s="272" t="s">
        <v>507</v>
      </c>
      <c r="N34" s="281"/>
      <c r="O34" s="281"/>
      <c r="P34" s="258">
        <f>0.5*P10*P33</f>
        <v>171.07534452558892</v>
      </c>
      <c r="Q34" s="269" t="s">
        <v>507</v>
      </c>
    </row>
    <row r="35" spans="1:19" ht="15" customHeight="1">
      <c r="A35" s="202" t="s">
        <v>153</v>
      </c>
      <c r="B35" s="259"/>
      <c r="C35" s="259"/>
      <c r="D35" s="269">
        <f>IF(HomeSize="Med",VLOOKUP(Geometry!A35,Geometry!$I$5:$Q$40,4,FALSE),VLOOKUP(Geometry!A35,Geometry!$I$5:$Q$40,8,FALSE))</f>
        <v>6.5277997911104073</v>
      </c>
      <c r="E35" s="269" t="s">
        <v>131</v>
      </c>
      <c r="I35" s="202" t="s">
        <v>153</v>
      </c>
      <c r="J35" s="259"/>
      <c r="K35" s="259"/>
      <c r="L35" s="258">
        <f>L16+L33</f>
        <v>6.5277997911104073</v>
      </c>
      <c r="M35" s="272" t="s">
        <v>131</v>
      </c>
      <c r="N35" s="281"/>
      <c r="O35" s="281"/>
      <c r="P35" s="258">
        <f>P16+P33</f>
        <v>8.6359997236480091</v>
      </c>
      <c r="Q35" s="269" t="s">
        <v>131</v>
      </c>
    </row>
    <row r="36" spans="1:19" ht="15" customHeight="1">
      <c r="A36" s="202" t="s">
        <v>154</v>
      </c>
      <c r="B36" s="259"/>
      <c r="C36" s="259"/>
      <c r="D36" s="269">
        <f>IF(HomeSize="Med",VLOOKUP(Geometry!A36,Geometry!$I$5:$Q$40,4,FALSE),VLOOKUP(Geometry!A36,Geometry!$I$5:$Q$40,8,FALSE))</f>
        <v>4.9402998419104049</v>
      </c>
      <c r="E36" s="269" t="s">
        <v>131</v>
      </c>
      <c r="I36" s="202" t="s">
        <v>154</v>
      </c>
      <c r="J36" s="259"/>
      <c r="K36" s="259"/>
      <c r="L36" s="258">
        <f>L16+(0.5*L33)</f>
        <v>4.9402998419104049</v>
      </c>
      <c r="M36" s="272" t="s">
        <v>131</v>
      </c>
      <c r="N36" s="281"/>
      <c r="O36" s="281"/>
      <c r="P36" s="258">
        <f>P16+(0.5*P33)</f>
        <v>7.3659997642880075</v>
      </c>
      <c r="Q36" s="269" t="s">
        <v>131</v>
      </c>
      <c r="R36" s="269" t="s">
        <v>519</v>
      </c>
    </row>
    <row r="37" spans="1:19" ht="15" customHeight="1">
      <c r="A37" s="202" t="s">
        <v>155</v>
      </c>
      <c r="B37" s="259"/>
      <c r="C37" s="259"/>
      <c r="D37" s="269">
        <f>IF(HomeSize="Med",VLOOKUP(Geometry!A37,Geometry!$I$5:$Q$40,4,FALSE),VLOOKUP(Geometry!A37,Geometry!$I$5:$Q$40,8,FALSE))</f>
        <v>0.3</v>
      </c>
      <c r="E37" s="269" t="s">
        <v>131</v>
      </c>
      <c r="I37" s="202" t="s">
        <v>155</v>
      </c>
      <c r="J37" s="259"/>
      <c r="K37" s="259"/>
      <c r="L37" s="272">
        <v>0.3</v>
      </c>
      <c r="M37" s="272" t="s">
        <v>131</v>
      </c>
      <c r="N37" s="281"/>
      <c r="O37" s="281"/>
      <c r="P37" s="272">
        <v>0.3</v>
      </c>
      <c r="Q37" s="269" t="s">
        <v>131</v>
      </c>
      <c r="R37" s="269" t="s">
        <v>156</v>
      </c>
      <c r="S37" s="269" t="s">
        <v>157</v>
      </c>
    </row>
    <row r="38" spans="1:19" ht="15" customHeight="1">
      <c r="A38" s="202" t="s">
        <v>158</v>
      </c>
      <c r="B38" s="259"/>
      <c r="C38" s="259"/>
      <c r="D38" s="269">
        <f>IF(HomeSize="Med",VLOOKUP(Geometry!A38,Geometry!$I$5:$Q$40,4,FALSE),VLOOKUP(Geometry!A38,Geometry!$I$5:$Q$40,8,FALSE))</f>
        <v>6.5277997911104073</v>
      </c>
      <c r="E38" s="269" t="s">
        <v>131</v>
      </c>
      <c r="I38" s="202" t="s">
        <v>158</v>
      </c>
      <c r="J38" s="259"/>
      <c r="K38" s="259"/>
      <c r="L38" s="258">
        <f>L35</f>
        <v>6.5277997911104073</v>
      </c>
      <c r="M38" s="272" t="s">
        <v>131</v>
      </c>
      <c r="N38" s="281"/>
      <c r="O38" s="281"/>
      <c r="P38" s="258">
        <f>P35</f>
        <v>8.6359997236480091</v>
      </c>
      <c r="Q38" s="269" t="s">
        <v>131</v>
      </c>
      <c r="S38" s="269" t="s">
        <v>159</v>
      </c>
    </row>
    <row r="39" spans="1:19" ht="15" customHeight="1">
      <c r="A39" s="202" t="s">
        <v>404</v>
      </c>
      <c r="B39" s="259"/>
      <c r="C39" s="259"/>
      <c r="D39" s="269">
        <f>IF(HomeSize="Med",VLOOKUP(Geometry!A39,Geometry!$I$5:$Q$40,4,FALSE),VLOOKUP(Geometry!A39,Geometry!$I$5:$Q$40,8,FALSE))</f>
        <v>0.30479999024640031</v>
      </c>
      <c r="E39" s="269" t="s">
        <v>131</v>
      </c>
      <c r="I39" s="202" t="s">
        <v>404</v>
      </c>
      <c r="J39" s="259">
        <v>1</v>
      </c>
      <c r="K39" s="259"/>
      <c r="L39" s="272">
        <f>J39/3.28084</f>
        <v>0.30479999024640031</v>
      </c>
      <c r="M39" s="272" t="s">
        <v>131</v>
      </c>
      <c r="N39" s="281">
        <v>1</v>
      </c>
      <c r="O39" s="281"/>
      <c r="P39" s="272">
        <f>N39/3.28084</f>
        <v>0.30479999024640031</v>
      </c>
      <c r="Q39" s="269" t="s">
        <v>131</v>
      </c>
    </row>
    <row r="40" spans="1:19" ht="15" customHeight="1">
      <c r="A40" s="269" t="s">
        <v>543</v>
      </c>
      <c r="C40" s="259"/>
      <c r="D40" s="269">
        <f>IF(HomeSize="Med",VLOOKUP(Geometry!A40,Geometry!$I$5:$Q$40,4,FALSE),VLOOKUP(Geometry!A40,Geometry!$I$5:$Q$40,8,FALSE))</f>
        <v>252.78550423366531</v>
      </c>
      <c r="E40" s="269" t="s">
        <v>505</v>
      </c>
      <c r="I40" s="269" t="s">
        <v>543</v>
      </c>
      <c r="K40" s="259"/>
      <c r="L40" s="271">
        <f>(((L7/2+L39)^2+(L33^2))^0.5)*(L6+2*L39)*2</f>
        <v>252.78550423366531</v>
      </c>
      <c r="M40" s="269" t="s">
        <v>505</v>
      </c>
      <c r="O40" s="259"/>
      <c r="P40" s="271">
        <f>(((P7/2+P39)^2+(P33^2))^0.5)*(P6+2*P39)*2</f>
        <v>170.031718482922</v>
      </c>
      <c r="Q40" s="269" t="s">
        <v>505</v>
      </c>
      <c r="R40" s="269" t="s">
        <v>542</v>
      </c>
      <c r="S40" s="269" t="s">
        <v>405</v>
      </c>
    </row>
    <row r="42" spans="1:19" ht="15" customHeight="1">
      <c r="A42" s="22" t="s">
        <v>1379</v>
      </c>
      <c r="D42" s="22" t="s">
        <v>1380</v>
      </c>
      <c r="E42" s="22"/>
      <c r="F42" s="543" t="s">
        <v>1381</v>
      </c>
      <c r="L42" s="271"/>
    </row>
    <row r="43" spans="1:19" ht="15" customHeight="1">
      <c r="A43" s="259" t="s">
        <v>968</v>
      </c>
      <c r="D43" s="269">
        <f>L_houseSI/(2*L_houseSI+2*W_houseSI)</f>
        <v>0.26041666666666663</v>
      </c>
      <c r="F43" s="269" t="s">
        <v>1382</v>
      </c>
    </row>
    <row r="44" spans="1:19" ht="15" customHeight="1">
      <c r="A44" s="259" t="s">
        <v>969</v>
      </c>
      <c r="D44" s="269">
        <f>L_houseSI/(2*L_houseSI+2*W_houseSI)</f>
        <v>0.26041666666666663</v>
      </c>
      <c r="F44" s="269" t="s">
        <v>1383</v>
      </c>
    </row>
    <row r="45" spans="1:19" ht="15" customHeight="1">
      <c r="A45" s="259" t="s">
        <v>970</v>
      </c>
      <c r="D45" s="269">
        <f>W_houseSI/(2*L_houseSI+2*W_houseSI)</f>
        <v>0.23958333333333331</v>
      </c>
      <c r="F45" s="269" t="s">
        <v>1384</v>
      </c>
    </row>
    <row r="46" spans="1:19" ht="15" customHeight="1">
      <c r="A46" s="356" t="s">
        <v>971</v>
      </c>
      <c r="D46" s="269">
        <f>W_houseSI/(2*L_houseSI+2*W_houseSI)</f>
        <v>0.23958333333333331</v>
      </c>
      <c r="F46" s="269" t="s">
        <v>1385</v>
      </c>
    </row>
    <row r="51" spans="1:17" ht="15" customHeight="1">
      <c r="N51" s="518"/>
      <c r="O51" s="518"/>
      <c r="P51" s="518"/>
      <c r="Q51" s="518"/>
    </row>
    <row r="52" spans="1:17" ht="15" customHeight="1">
      <c r="N52" s="272"/>
      <c r="O52" s="272"/>
      <c r="P52" s="272"/>
      <c r="Q52" s="272"/>
    </row>
    <row r="53" spans="1:17" ht="15" customHeight="1">
      <c r="N53" s="272"/>
      <c r="O53" s="272"/>
      <c r="P53" s="272"/>
      <c r="Q53" s="272"/>
    </row>
    <row r="58" spans="1:17" ht="15" customHeight="1">
      <c r="A58" s="269" t="s">
        <v>508</v>
      </c>
      <c r="D58" s="269">
        <f>W_houseSI/(W_houseSI+L_houseSI)</f>
        <v>0.47916666666666663</v>
      </c>
      <c r="I58" s="269" t="s">
        <v>508</v>
      </c>
      <c r="L58" s="269">
        <f>W_houseSI/(W_houseSI+L_houseSI)</f>
        <v>0.47916666666666663</v>
      </c>
    </row>
    <row r="59" spans="1:17" ht="15" customHeight="1">
      <c r="A59" s="269" t="s">
        <v>412</v>
      </c>
      <c r="I59" s="269" t="s">
        <v>412</v>
      </c>
    </row>
    <row r="61" spans="1:17" ht="15" customHeight="1">
      <c r="A61" s="127" t="s">
        <v>124</v>
      </c>
      <c r="I61" s="127" t="s">
        <v>124</v>
      </c>
    </row>
    <row r="64" spans="1:17" ht="15" customHeight="1">
      <c r="A64" s="86"/>
      <c r="B64" s="105" t="s">
        <v>126</v>
      </c>
      <c r="C64" s="105" t="s">
        <v>127</v>
      </c>
      <c r="D64" s="105" t="s">
        <v>128</v>
      </c>
      <c r="E64" s="105" t="s">
        <v>127</v>
      </c>
      <c r="I64" s="86"/>
      <c r="J64" s="105" t="s">
        <v>126</v>
      </c>
      <c r="K64" s="105" t="s">
        <v>127</v>
      </c>
      <c r="L64" s="105" t="s">
        <v>128</v>
      </c>
      <c r="M64" s="105" t="s">
        <v>127</v>
      </c>
    </row>
    <row r="65" spans="1:13" ht="15" customHeight="1">
      <c r="A65" s="131" t="s">
        <v>428</v>
      </c>
      <c r="B65" s="272">
        <v>200</v>
      </c>
      <c r="C65" s="272" t="s">
        <v>134</v>
      </c>
      <c r="D65" s="258">
        <f>B65*0.3048^2</f>
        <v>18.580608000000002</v>
      </c>
      <c r="E65" s="272" t="s">
        <v>505</v>
      </c>
      <c r="I65" s="131" t="s">
        <v>428</v>
      </c>
      <c r="J65" s="272">
        <v>200</v>
      </c>
      <c r="K65" s="272" t="s">
        <v>134</v>
      </c>
      <c r="L65" s="258">
        <f>J65*0.3048^2</f>
        <v>18.580608000000002</v>
      </c>
      <c r="M65" s="272" t="s">
        <v>505</v>
      </c>
    </row>
    <row r="66" spans="1:13" ht="15" customHeight="1">
      <c r="A66" s="131" t="s">
        <v>429</v>
      </c>
      <c r="B66" s="272">
        <v>240</v>
      </c>
      <c r="C66" s="272" t="s">
        <v>134</v>
      </c>
      <c r="D66" s="258">
        <f>B66*0.3048^2</f>
        <v>22.296729600000003</v>
      </c>
      <c r="E66" s="272" t="s">
        <v>505</v>
      </c>
      <c r="I66" s="131" t="s">
        <v>429</v>
      </c>
      <c r="J66" s="272">
        <v>240</v>
      </c>
      <c r="K66" s="272" t="s">
        <v>134</v>
      </c>
      <c r="L66" s="258">
        <f>J66*0.3048^2</f>
        <v>22.296729600000003</v>
      </c>
      <c r="M66" s="272" t="s">
        <v>505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E5" sqref="E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160</v>
      </c>
      <c r="G1" s="4" t="s">
        <v>161</v>
      </c>
      <c r="L1" s="414" t="s">
        <v>162</v>
      </c>
      <c r="M1" s="414"/>
      <c r="N1" s="414"/>
    </row>
    <row r="2" spans="1:33" ht="15" customHeight="1">
      <c r="A2" s="13" t="s">
        <v>6</v>
      </c>
      <c r="G2" s="13" t="s">
        <v>163</v>
      </c>
      <c r="L2" s="69" t="s">
        <v>427</v>
      </c>
      <c r="M2" s="69"/>
      <c r="N2" s="69"/>
    </row>
    <row r="3" spans="1:33" ht="15" customHeight="1">
      <c r="A3" s="13" t="s">
        <v>164</v>
      </c>
      <c r="L3" s="69"/>
      <c r="M3" s="69"/>
      <c r="N3" s="69"/>
    </row>
    <row r="4" spans="1:33" ht="15" customHeight="1">
      <c r="A4" s="13" t="s">
        <v>165</v>
      </c>
      <c r="G4" s="112"/>
      <c r="H4" s="105" t="s">
        <v>166</v>
      </c>
      <c r="I4" s="105" t="s">
        <v>167</v>
      </c>
      <c r="J4" s="89" t="s">
        <v>168</v>
      </c>
      <c r="L4" s="254"/>
      <c r="M4" s="69" t="s">
        <v>169</v>
      </c>
      <c r="N4" s="69" t="s">
        <v>127</v>
      </c>
      <c r="P4" s="120" t="s">
        <v>424</v>
      </c>
      <c r="Q4" s="119" t="s">
        <v>935</v>
      </c>
      <c r="R4" s="119"/>
      <c r="T4" s="120" t="s">
        <v>425</v>
      </c>
      <c r="U4" s="119"/>
      <c r="V4" s="119"/>
      <c r="X4" s="120" t="s">
        <v>426</v>
      </c>
      <c r="Y4" s="119"/>
      <c r="Z4" s="119"/>
      <c r="AB4" s="1" t="s">
        <v>659</v>
      </c>
      <c r="AD4" s="1" t="s">
        <v>660</v>
      </c>
      <c r="AE4" s="1" t="s">
        <v>661</v>
      </c>
      <c r="AF4" s="1" t="s">
        <v>662</v>
      </c>
      <c r="AG4" s="1" t="s">
        <v>663</v>
      </c>
    </row>
    <row r="5" spans="1:33" ht="15" customHeight="1">
      <c r="A5" s="13" t="s">
        <v>170</v>
      </c>
      <c r="G5" s="97" t="s">
        <v>15</v>
      </c>
      <c r="H5" s="1">
        <v>0.65</v>
      </c>
      <c r="I5" s="1">
        <v>0.60000000000000009</v>
      </c>
      <c r="J5" s="178">
        <v>0.5</v>
      </c>
      <c r="L5" s="69" t="s">
        <v>171</v>
      </c>
      <c r="M5" s="416">
        <f>H23</f>
        <v>0.26041666666666663</v>
      </c>
      <c r="N5" s="69" t="s">
        <v>11</v>
      </c>
      <c r="P5" s="121" t="s">
        <v>422</v>
      </c>
      <c r="Q5" s="72">
        <v>4.8</v>
      </c>
      <c r="R5" s="72"/>
      <c r="T5" s="121" t="s">
        <v>422</v>
      </c>
      <c r="U5" s="72">
        <v>5.2</v>
      </c>
      <c r="V5" s="72"/>
      <c r="X5" s="121" t="s">
        <v>422</v>
      </c>
      <c r="Y5" s="72">
        <v>8.6</v>
      </c>
      <c r="Z5" s="72"/>
      <c r="AA5" s="292" t="s">
        <v>422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79">
        <v>0</v>
      </c>
      <c r="L6" s="69" t="s">
        <v>172</v>
      </c>
      <c r="M6" s="416">
        <f>H22</f>
        <v>0.23958333333333331</v>
      </c>
      <c r="N6" s="69" t="s">
        <v>11</v>
      </c>
      <c r="P6" s="116" t="s">
        <v>423</v>
      </c>
      <c r="Q6" s="73">
        <f>V_houseSI</f>
        <v>535.18789625849854</v>
      </c>
      <c r="R6" s="72" t="s">
        <v>147</v>
      </c>
      <c r="T6" s="116" t="s">
        <v>423</v>
      </c>
      <c r="U6" s="73">
        <f>V_houseSI</f>
        <v>535.18789625849854</v>
      </c>
      <c r="V6" s="72" t="s">
        <v>147</v>
      </c>
      <c r="X6" s="116" t="s">
        <v>423</v>
      </c>
      <c r="Y6" s="73">
        <f>V_houseSI</f>
        <v>535.18789625849854</v>
      </c>
      <c r="Z6" s="72" t="s">
        <v>147</v>
      </c>
      <c r="AA6" s="114" t="s">
        <v>423</v>
      </c>
      <c r="AB6" s="73">
        <f t="shared" ref="AB6:AG6" si="0">V_houseSI</f>
        <v>535.18789625849854</v>
      </c>
      <c r="AC6" s="73">
        <f t="shared" si="0"/>
        <v>535.18789625849854</v>
      </c>
      <c r="AD6" s="73">
        <f t="shared" si="0"/>
        <v>535.18789625849854</v>
      </c>
      <c r="AE6" s="73">
        <f t="shared" si="0"/>
        <v>535.18789625849854</v>
      </c>
      <c r="AF6" s="73">
        <f t="shared" si="0"/>
        <v>535.18789625849854</v>
      </c>
      <c r="AG6" s="73">
        <f t="shared" si="0"/>
        <v>535.18789625849854</v>
      </c>
    </row>
    <row r="7" spans="1:33" ht="15" customHeight="1">
      <c r="A7" s="112"/>
      <c r="B7" s="105" t="s">
        <v>126</v>
      </c>
      <c r="C7" s="105" t="s">
        <v>127</v>
      </c>
      <c r="D7" s="105" t="s">
        <v>128</v>
      </c>
      <c r="E7" s="105" t="s">
        <v>127</v>
      </c>
      <c r="L7" s="69" t="s">
        <v>173</v>
      </c>
      <c r="M7" s="69">
        <f>M5*2+M6*2</f>
        <v>0.99999999999999989</v>
      </c>
      <c r="N7" s="69"/>
      <c r="P7" s="116" t="s">
        <v>202</v>
      </c>
      <c r="Q7" s="74">
        <f>(Q5*Q6)/3600/14</f>
        <v>5.0970275834142716E-2</v>
      </c>
      <c r="R7" s="72" t="s">
        <v>135</v>
      </c>
      <c r="T7" s="116" t="s">
        <v>202</v>
      </c>
      <c r="U7" s="74">
        <f>(U5*U6)/3600/14</f>
        <v>5.5217798820321282E-2</v>
      </c>
      <c r="V7" s="72" t="s">
        <v>135</v>
      </c>
      <c r="X7" s="116" t="s">
        <v>202</v>
      </c>
      <c r="Y7" s="74">
        <f>(Y5*Y6)/3600/14</f>
        <v>9.1321744202839034E-2</v>
      </c>
      <c r="Z7" s="72" t="s">
        <v>135</v>
      </c>
      <c r="AA7" s="114" t="s">
        <v>202</v>
      </c>
      <c r="AB7" s="74">
        <f t="shared" ref="AB7:AG7" si="1">(AB5*AB6)/3600/14</f>
        <v>0.106188074654464</v>
      </c>
      <c r="AC7" s="74">
        <f t="shared" si="1"/>
        <v>7.4331652258124783E-2</v>
      </c>
      <c r="AD7" s="74">
        <f t="shared" si="1"/>
        <v>5.3094037327232002E-2</v>
      </c>
      <c r="AE7" s="74">
        <f t="shared" si="1"/>
        <v>3.18564223963392E-2</v>
      </c>
      <c r="AF7" s="74">
        <f t="shared" si="1"/>
        <v>1.59282111981696E-2</v>
      </c>
      <c r="AG7" s="74">
        <f t="shared" si="1"/>
        <v>6.3712844792678395E-3</v>
      </c>
    </row>
    <row r="8" spans="1:33" ht="15" customHeight="1">
      <c r="A8" s="114" t="s">
        <v>174</v>
      </c>
      <c r="B8" s="197"/>
      <c r="C8" s="69"/>
      <c r="D8" s="69"/>
      <c r="E8" s="69"/>
      <c r="L8" s="69"/>
      <c r="M8" s="69"/>
      <c r="N8" s="69"/>
      <c r="P8" s="116" t="s">
        <v>174</v>
      </c>
      <c r="Q8" s="76">
        <f>10000*(Q7/A_houseSI)</f>
        <v>2.6126544586674205</v>
      </c>
      <c r="R8" s="75" t="s">
        <v>11</v>
      </c>
      <c r="T8" s="116" t="s">
        <v>174</v>
      </c>
      <c r="U8" s="76">
        <f>10000*(U7/A_houseSI)</f>
        <v>2.8303756635563726</v>
      </c>
      <c r="V8" s="75" t="s">
        <v>11</v>
      </c>
      <c r="X8" s="116" t="s">
        <v>174</v>
      </c>
      <c r="Y8" s="76">
        <f>10000*(Y7/A_houseSI)</f>
        <v>4.6810059051124622</v>
      </c>
      <c r="Z8" s="75" t="s">
        <v>11</v>
      </c>
      <c r="AA8" s="114" t="s">
        <v>174</v>
      </c>
      <c r="AB8" s="76">
        <f t="shared" ref="AB8:AG8" si="2">10000*(AB7/A_houseSI)</f>
        <v>5.4430301222237949</v>
      </c>
      <c r="AC8" s="76">
        <f t="shared" si="2"/>
        <v>3.8101210855566552</v>
      </c>
      <c r="AD8" s="76">
        <f t="shared" si="2"/>
        <v>2.7215150611118974</v>
      </c>
      <c r="AE8" s="76">
        <f t="shared" si="2"/>
        <v>1.6329090366671382</v>
      </c>
      <c r="AF8" s="76">
        <f t="shared" si="2"/>
        <v>0.81645451833356908</v>
      </c>
      <c r="AG8" s="76">
        <f t="shared" si="2"/>
        <v>0.32658180733342757</v>
      </c>
    </row>
    <row r="9" spans="1:33" ht="15" customHeight="1">
      <c r="A9" s="97" t="s">
        <v>175</v>
      </c>
      <c r="B9" s="17"/>
      <c r="D9" s="418">
        <f>VLOOKUP(Airtightness,Leakage!AB11:AF16,3,FALSE)</f>
        <v>3.18564223963392E-2</v>
      </c>
      <c r="E9" s="1" t="s">
        <v>135</v>
      </c>
      <c r="G9" s="104" t="s">
        <v>7</v>
      </c>
      <c r="H9" s="105" t="s">
        <v>169</v>
      </c>
      <c r="I9" s="105" t="s">
        <v>127</v>
      </c>
      <c r="L9" s="415" t="s">
        <v>595</v>
      </c>
      <c r="M9" s="69"/>
      <c r="N9" s="69"/>
      <c r="P9" s="1" t="s">
        <v>789</v>
      </c>
      <c r="AA9" s="1" t="s">
        <v>789</v>
      </c>
      <c r="AB9" s="1">
        <f>1000*(AB7/A_houseSI)*(([0]!H_soffitSI-Geometry!D12)/2.5)^0.4</f>
        <v>0.61210762264581575</v>
      </c>
      <c r="AC9" s="1">
        <f>1000*(AC7/A_houseSI)*(([0]!H_soffitSI-Geometry!D12)/2.5)^0.4</f>
        <v>0.42847533585207098</v>
      </c>
      <c r="AD9" s="1">
        <f>1000*(AD7/A_houseSI)*(([0]!H_soffitSI-Geometry!D12)/2.5)^0.4</f>
        <v>0.30605381132290788</v>
      </c>
      <c r="AE9" s="1">
        <f>1000*(AE7/A_houseSI)*(([0]!H_soffitSI-Geometry!D12)/2.5)^0.4</f>
        <v>0.18363228679374471</v>
      </c>
      <c r="AF9" s="1">
        <f>1000*(AF7/A_houseSI)*(([0]!H_soffitSI-Geometry!D12)/2.5)^0.4</f>
        <v>9.1816143396872357E-2</v>
      </c>
      <c r="AG9" s="1">
        <f>1000*(AG7/A_houseSI)*(([0]!H_soffitSI-Geometry!D12)/2.5)^0.4</f>
        <v>3.6726457358748937E-2</v>
      </c>
    </row>
    <row r="10" spans="1:33" ht="15" customHeight="1">
      <c r="A10" s="97" t="s">
        <v>176</v>
      </c>
      <c r="D10" s="1">
        <v>1</v>
      </c>
      <c r="E10" s="1" t="s">
        <v>11</v>
      </c>
      <c r="G10" s="97" t="s">
        <v>177</v>
      </c>
      <c r="H10" s="416">
        <v>0.5</v>
      </c>
      <c r="I10" s="1" t="s">
        <v>11</v>
      </c>
      <c r="L10" s="69" t="s">
        <v>171</v>
      </c>
      <c r="M10" s="69">
        <v>0.5</v>
      </c>
      <c r="N10" s="69"/>
      <c r="AB10" s="292" t="s">
        <v>422</v>
      </c>
      <c r="AC10" s="114" t="s">
        <v>423</v>
      </c>
      <c r="AD10" s="114" t="s">
        <v>202</v>
      </c>
      <c r="AE10" s="114" t="s">
        <v>174</v>
      </c>
      <c r="AF10" s="1" t="s">
        <v>789</v>
      </c>
    </row>
    <row r="11" spans="1:33" ht="15" customHeight="1">
      <c r="A11" s="97" t="s">
        <v>178</v>
      </c>
      <c r="D11" s="17">
        <v>1.2</v>
      </c>
      <c r="E11" s="1" t="s">
        <v>179</v>
      </c>
      <c r="G11" s="97" t="s">
        <v>180</v>
      </c>
      <c r="H11" s="416">
        <v>0</v>
      </c>
      <c r="I11" s="1" t="s">
        <v>11</v>
      </c>
      <c r="L11" s="69" t="s">
        <v>172</v>
      </c>
      <c r="M11" s="69">
        <v>0</v>
      </c>
      <c r="N11" s="69"/>
      <c r="AA11" s="1" t="s">
        <v>659</v>
      </c>
      <c r="AB11" s="72">
        <v>10</v>
      </c>
      <c r="AC11" s="73">
        <f t="shared" ref="AC11:AC16" si="3">V_houseSI</f>
        <v>535.18789625849854</v>
      </c>
      <c r="AD11" s="74">
        <f t="shared" ref="AD11:AD16" si="4">(AB11*AC11)/3600/14</f>
        <v>0.106188074654464</v>
      </c>
      <c r="AE11" s="76">
        <f t="shared" ref="AE11:AE16" si="5">10000*(AD11/A_houseSI)</f>
        <v>5.4430301222237949</v>
      </c>
      <c r="AF11" s="1">
        <f>1000*(AD11/A_houseSI)*((H_soffitSI-Geometry!$D$12)/Geometry!$D$13)^0.4</f>
        <v>1.4203579675724791</v>
      </c>
    </row>
    <row r="12" spans="1:33" ht="15" customHeight="1">
      <c r="A12" s="114" t="s">
        <v>181</v>
      </c>
      <c r="B12" s="69"/>
      <c r="C12" s="69"/>
      <c r="D12" s="417">
        <v>4</v>
      </c>
      <c r="E12" s="69" t="s">
        <v>409</v>
      </c>
      <c r="G12" s="97"/>
      <c r="L12" s="69" t="s">
        <v>173</v>
      </c>
      <c r="M12" s="69">
        <f>M10*2+M11*2</f>
        <v>1</v>
      </c>
      <c r="N12" s="69"/>
      <c r="AB12" s="1">
        <v>7</v>
      </c>
      <c r="AC12" s="73">
        <f>V_houseSI</f>
        <v>535.18789625849854</v>
      </c>
      <c r="AD12" s="74">
        <f>(AB12*AC12)/3600/14</f>
        <v>7.4331652258124783E-2</v>
      </c>
      <c r="AE12" s="76">
        <f t="shared" si="5"/>
        <v>3.8101210855566552</v>
      </c>
      <c r="AF12" s="1">
        <f>1000*(AD12/A_houseSI)*((H_soffitSI-Geometry!$D$12)/Geometry!$D$13)^0.4</f>
        <v>0.99425057730073518</v>
      </c>
    </row>
    <row r="13" spans="1:33" ht="15" customHeight="1">
      <c r="A13" s="114" t="s">
        <v>4</v>
      </c>
      <c r="B13" s="69"/>
      <c r="C13" s="69"/>
      <c r="D13" s="464">
        <f>D9*D10/(SQRT(rho_air/2)*D12^(n-0.5))</f>
        <v>3.3405069319625745E-2</v>
      </c>
      <c r="E13" s="69" t="s">
        <v>430</v>
      </c>
      <c r="G13" s="97" t="s">
        <v>182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660</v>
      </c>
      <c r="AB13" s="72">
        <v>5</v>
      </c>
      <c r="AC13" s="73">
        <f t="shared" si="3"/>
        <v>535.18789625849854</v>
      </c>
      <c r="AD13" s="74">
        <f t="shared" si="4"/>
        <v>5.3094037327232002E-2</v>
      </c>
      <c r="AE13" s="76">
        <f t="shared" si="5"/>
        <v>2.7215150611118974</v>
      </c>
      <c r="AF13" s="1">
        <f>1000*(AD13/A_houseSI)*((H_soffitSI-Geometry!$D$12)/Geometry!$D$13)^0.4</f>
        <v>0.71017898378623956</v>
      </c>
    </row>
    <row r="14" spans="1:33" ht="15" customHeight="1">
      <c r="A14" s="114" t="s">
        <v>8</v>
      </c>
      <c r="B14" s="69"/>
      <c r="C14" s="69"/>
      <c r="D14" s="433">
        <v>0.65</v>
      </c>
      <c r="G14" s="97" t="s">
        <v>183</v>
      </c>
      <c r="H14" s="19">
        <f>1-H13-H15</f>
        <v>0.25</v>
      </c>
      <c r="I14" s="1" t="s">
        <v>11</v>
      </c>
      <c r="P14" s="22" t="s">
        <v>184</v>
      </c>
      <c r="T14" s="22" t="s">
        <v>185</v>
      </c>
      <c r="AA14" s="1" t="s">
        <v>661</v>
      </c>
      <c r="AB14" s="72">
        <v>3</v>
      </c>
      <c r="AC14" s="73">
        <f t="shared" si="3"/>
        <v>535.18789625849854</v>
      </c>
      <c r="AD14" s="74">
        <f t="shared" si="4"/>
        <v>3.18564223963392E-2</v>
      </c>
      <c r="AE14" s="76">
        <f t="shared" si="5"/>
        <v>1.6329090366671382</v>
      </c>
      <c r="AF14" s="1">
        <f>1000*(AD14/A_houseSI)*((H_soffitSI-Geometry!$D$12)/Geometry!$D$13)^0.4</f>
        <v>0.42610739027174366</v>
      </c>
    </row>
    <row r="15" spans="1:33" ht="15" customHeight="1">
      <c r="A15" s="22" t="s">
        <v>186</v>
      </c>
      <c r="G15" s="117" t="s">
        <v>187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188</v>
      </c>
      <c r="T15" s="1" t="s">
        <v>189</v>
      </c>
      <c r="U15" s="1">
        <v>1.5</v>
      </c>
      <c r="V15" s="1" t="s">
        <v>190</v>
      </c>
      <c r="AA15" s="1" t="s">
        <v>662</v>
      </c>
      <c r="AB15" s="72">
        <v>1.5</v>
      </c>
      <c r="AC15" s="73">
        <f t="shared" si="3"/>
        <v>535.18789625849854</v>
      </c>
      <c r="AD15" s="74">
        <f t="shared" si="4"/>
        <v>1.59282111981696E-2</v>
      </c>
      <c r="AE15" s="76">
        <f t="shared" si="5"/>
        <v>0.81645451833356908</v>
      </c>
      <c r="AF15" s="1">
        <f>1000*(AD15/A_houseSI)*((H_soffitSI-Geometry!$D$12)/Geometry!$D$13)^0.4</f>
        <v>0.21305369513587183</v>
      </c>
    </row>
    <row r="16" spans="1:33" ht="15" customHeight="1">
      <c r="A16" s="104" t="s">
        <v>191</v>
      </c>
      <c r="B16" s="105" t="s">
        <v>192</v>
      </c>
      <c r="C16" s="105" t="s">
        <v>193</v>
      </c>
      <c r="D16" s="105" t="s">
        <v>194</v>
      </c>
      <c r="E16" s="105" t="s">
        <v>195</v>
      </c>
      <c r="G16" s="97" t="s">
        <v>173</v>
      </c>
      <c r="H16" s="1">
        <f>SUM(H13:H15)</f>
        <v>1</v>
      </c>
      <c r="I16" s="1" t="s">
        <v>11</v>
      </c>
      <c r="P16" s="1" t="s">
        <v>196</v>
      </c>
      <c r="Q16" s="1">
        <f>Q15+10/100*86</f>
        <v>23.4</v>
      </c>
      <c r="R16" s="1" t="s">
        <v>188</v>
      </c>
      <c r="T16" s="1" t="s">
        <v>197</v>
      </c>
      <c r="U16" s="1">
        <f>U15/1000*3600/2.5</f>
        <v>2.16</v>
      </c>
      <c r="V16" s="1" t="s">
        <v>198</v>
      </c>
      <c r="AA16" s="1" t="s">
        <v>663</v>
      </c>
      <c r="AB16" s="72">
        <v>0.6</v>
      </c>
      <c r="AC16" s="73">
        <f t="shared" si="3"/>
        <v>535.18789625849854</v>
      </c>
      <c r="AD16" s="74">
        <f t="shared" si="4"/>
        <v>6.3712844792678395E-3</v>
      </c>
      <c r="AE16" s="76">
        <f t="shared" si="5"/>
        <v>0.32658180733342757</v>
      </c>
      <c r="AF16" s="1">
        <f>1000*(AD16/A_houseSI)*((H_soffitSI-Geometry!$D$12)/Geometry!$D$13)^0.4</f>
        <v>8.5221478054348723E-2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199</v>
      </c>
      <c r="Q17" s="1">
        <v>86</v>
      </c>
      <c r="R17" s="1" t="s">
        <v>147</v>
      </c>
      <c r="T17" s="1" t="s">
        <v>174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146</v>
      </c>
      <c r="Q18" s="20">
        <f>Q17*2.5</f>
        <v>215</v>
      </c>
      <c r="R18" s="1" t="s">
        <v>147</v>
      </c>
      <c r="T18" s="13" t="s">
        <v>200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414</v>
      </c>
      <c r="P19" s="1" t="s">
        <v>197</v>
      </c>
      <c r="Q19" s="21">
        <f>Q16/1000*3600/Q18</f>
        <v>0.39181395348837206</v>
      </c>
      <c r="R19" s="1" t="s">
        <v>198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431</v>
      </c>
      <c r="H20" s="24">
        <f>W_houseSI</f>
        <v>14.020799551334415</v>
      </c>
      <c r="P20" s="1" t="s">
        <v>201</v>
      </c>
      <c r="Q20" s="1">
        <v>3.5</v>
      </c>
      <c r="R20" s="1" t="s">
        <v>198</v>
      </c>
    </row>
    <row r="21" spans="1:24" ht="15" customHeight="1">
      <c r="G21" s="97" t="s">
        <v>432</v>
      </c>
      <c r="H21" s="24">
        <f>L_houseSI</f>
        <v>15.239999512320015</v>
      </c>
      <c r="L21" s="20"/>
      <c r="M21" s="20"/>
      <c r="N21" s="20"/>
      <c r="O21" s="20"/>
      <c r="P21" s="1" t="s">
        <v>202</v>
      </c>
      <c r="Q21" s="18">
        <f>Q20*Q17*2.5/3600/14</f>
        <v>1.4930555555555556E-2</v>
      </c>
      <c r="R21" s="1" t="s">
        <v>135</v>
      </c>
    </row>
    <row r="22" spans="1:24" ht="15" customHeight="1">
      <c r="A22" s="22" t="s">
        <v>186</v>
      </c>
      <c r="B22" s="4"/>
      <c r="G22" s="97" t="s">
        <v>433</v>
      </c>
      <c r="H22" s="24">
        <f>H20/(2*H21+2*H20)</f>
        <v>0.23958333333333331</v>
      </c>
      <c r="P22" s="1" t="s">
        <v>203</v>
      </c>
      <c r="Q22" s="25">
        <f>PI()*(0.1/2)^2</f>
        <v>7.8539816339744835E-3</v>
      </c>
      <c r="R22" s="1" t="s">
        <v>135</v>
      </c>
      <c r="S22" s="26">
        <f>Q22/($Q$21+Q22)</f>
        <v>0.3447066564768122</v>
      </c>
    </row>
    <row r="23" spans="1:24" ht="15.75" customHeight="1">
      <c r="A23" s="104" t="s">
        <v>191</v>
      </c>
      <c r="B23" s="105" t="s">
        <v>192</v>
      </c>
      <c r="C23" s="105" t="s">
        <v>193</v>
      </c>
      <c r="D23" s="105" t="s">
        <v>194</v>
      </c>
      <c r="E23" s="105" t="s">
        <v>195</v>
      </c>
      <c r="G23" s="118" t="s">
        <v>434</v>
      </c>
      <c r="H23" s="24">
        <f>H21/(2*H20+2*H21)</f>
        <v>0.26041666666666663</v>
      </c>
      <c r="M23" s="24"/>
      <c r="N23" s="24"/>
      <c r="P23" s="1" t="s">
        <v>204</v>
      </c>
      <c r="Q23" s="25">
        <f>PI()*(0.2/2)^2</f>
        <v>3.1415926535897934E-2</v>
      </c>
      <c r="R23" s="1" t="s">
        <v>135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174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205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881</v>
      </c>
    </row>
    <row r="29" spans="1:24" ht="15" customHeight="1">
      <c r="G29" s="184" t="s">
        <v>587</v>
      </c>
      <c r="H29" s="259" t="s">
        <v>649</v>
      </c>
      <c r="I29" s="259" t="s">
        <v>598</v>
      </c>
      <c r="J29" s="259" t="s">
        <v>599</v>
      </c>
      <c r="K29" s="259" t="s">
        <v>600</v>
      </c>
      <c r="L29" s="259" t="s">
        <v>601</v>
      </c>
      <c r="M29" s="259" t="s">
        <v>602</v>
      </c>
      <c r="N29" s="259" t="s">
        <v>603</v>
      </c>
      <c r="O29" s="259" t="s">
        <v>604</v>
      </c>
      <c r="P29" s="259" t="s">
        <v>605</v>
      </c>
      <c r="Q29" s="259" t="s">
        <v>606</v>
      </c>
      <c r="R29" s="259" t="s">
        <v>607</v>
      </c>
      <c r="S29" s="259" t="s">
        <v>608</v>
      </c>
      <c r="T29" s="259" t="s">
        <v>609</v>
      </c>
      <c r="U29" s="291">
        <v>7</v>
      </c>
      <c r="V29" s="291">
        <v>8</v>
      </c>
      <c r="W29" s="1" t="s">
        <v>832</v>
      </c>
      <c r="X29" s="1" t="s">
        <v>831</v>
      </c>
    </row>
    <row r="30" spans="1:24" ht="15" customHeight="1">
      <c r="G30" s="1" t="s">
        <v>792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809</v>
      </c>
      <c r="H31" s="1">
        <f>(V_houseSI*H30)/3600/14</f>
        <v>3.18564223963392E-2</v>
      </c>
      <c r="I31" s="1">
        <f t="shared" ref="I31:V31" si="6">(V_houseSI*I30)/3600/14</f>
        <v>3.18564223963392E-2</v>
      </c>
      <c r="J31" s="1">
        <f t="shared" si="6"/>
        <v>3.18564223963392E-2</v>
      </c>
      <c r="K31" s="1">
        <f t="shared" si="6"/>
        <v>2.6547018663616001E-2</v>
      </c>
      <c r="L31" s="1">
        <f t="shared" si="6"/>
        <v>2.6547018663616001E-2</v>
      </c>
      <c r="M31" s="1">
        <f t="shared" si="6"/>
        <v>2.6547018663616001E-2</v>
      </c>
      <c r="N31" s="1">
        <f t="shared" si="6"/>
        <v>2.6547018663616001E-2</v>
      </c>
      <c r="O31" s="1">
        <f t="shared" si="6"/>
        <v>2.6547018663616001E-2</v>
      </c>
      <c r="P31" s="1">
        <f t="shared" si="6"/>
        <v>2.6547018663616001E-2</v>
      </c>
      <c r="Q31" s="1">
        <f t="shared" si="6"/>
        <v>2.1237614930892799E-2</v>
      </c>
      <c r="R31" s="1">
        <f t="shared" si="6"/>
        <v>2.1237614930892799E-2</v>
      </c>
      <c r="S31" s="1">
        <f t="shared" si="6"/>
        <v>2.1237614930892799E-2</v>
      </c>
      <c r="T31" s="1">
        <f t="shared" si="6"/>
        <v>2.1237614930892799E-2</v>
      </c>
      <c r="U31" s="1">
        <f t="shared" si="6"/>
        <v>2.1237614930892799E-2</v>
      </c>
      <c r="V31" s="1">
        <f t="shared" si="6"/>
        <v>1.59282111981696E-2</v>
      </c>
      <c r="W31" s="1">
        <f>(V_houseSI*W30)/3600/14</f>
        <v>3.18564223963392E-2</v>
      </c>
      <c r="X31" s="1">
        <f>(V_houseSI*X30)/3600/14</f>
        <v>2.6547018663616001E-2</v>
      </c>
    </row>
    <row r="32" spans="1:24" ht="15" customHeight="1">
      <c r="G32" s="1" t="s">
        <v>810</v>
      </c>
      <c r="H32" s="416">
        <f>H31*1.05</f>
        <v>3.3449243516156163E-2</v>
      </c>
      <c r="I32" s="416">
        <f t="shared" ref="I32:X32" si="7">I31*1.05</f>
        <v>3.3449243516156163E-2</v>
      </c>
      <c r="J32" s="416">
        <f t="shared" si="7"/>
        <v>3.3449243516156163E-2</v>
      </c>
      <c r="K32" s="416">
        <f t="shared" si="7"/>
        <v>2.7874369596796802E-2</v>
      </c>
      <c r="L32" s="416">
        <f t="shared" si="7"/>
        <v>2.7874369596796802E-2</v>
      </c>
      <c r="M32" s="416">
        <f t="shared" si="7"/>
        <v>2.7874369596796802E-2</v>
      </c>
      <c r="N32" s="416">
        <f t="shared" si="7"/>
        <v>2.7874369596796802E-2</v>
      </c>
      <c r="O32" s="416">
        <f t="shared" si="7"/>
        <v>2.7874369596796802E-2</v>
      </c>
      <c r="P32" s="416">
        <f t="shared" si="7"/>
        <v>2.7874369596796802E-2</v>
      </c>
      <c r="Q32" s="416">
        <f t="shared" si="7"/>
        <v>2.2299495677437439E-2</v>
      </c>
      <c r="R32" s="416">
        <f t="shared" si="7"/>
        <v>2.2299495677437439E-2</v>
      </c>
      <c r="S32" s="416">
        <f t="shared" si="7"/>
        <v>2.2299495677437439E-2</v>
      </c>
      <c r="T32" s="416">
        <f t="shared" si="7"/>
        <v>2.2299495677437439E-2</v>
      </c>
      <c r="U32" s="416">
        <f t="shared" si="7"/>
        <v>2.2299495677437439E-2</v>
      </c>
      <c r="V32" s="416">
        <f t="shared" si="7"/>
        <v>1.6724621758078081E-2</v>
      </c>
      <c r="W32" s="416">
        <f t="shared" si="7"/>
        <v>3.3449243516156163E-2</v>
      </c>
      <c r="X32" s="416">
        <f t="shared" si="7"/>
        <v>2.7874369596796802E-2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789</v>
      </c>
      <c r="H34" s="1">
        <f>1000*(H31/A_houseSI)*((H_soffitSI-Geometry!$D$12)/2.5)^0.4</f>
        <v>0.18363228679374471</v>
      </c>
      <c r="I34" s="1">
        <f>1000*(I31/A_houseSI)*((H_soffitSI-Geometry!$D$12)/2.5)^0.4</f>
        <v>0.18363228679374471</v>
      </c>
      <c r="J34" s="1">
        <f>1000*(J31/A_houseSI)*((H_soffitSI-Geometry!$D$12)/2.5)^0.4</f>
        <v>0.18363228679374471</v>
      </c>
      <c r="K34" s="1">
        <f>1000*(K31/A_houseSI)*((H_soffitSI-Geometry!$D$12)/2.5)^0.4</f>
        <v>0.15302690566145394</v>
      </c>
      <c r="L34" s="1">
        <f>1000*(L31/A_houseSI)*((H_soffitSI-Geometry!$D$12)/2.5)^0.4</f>
        <v>0.15302690566145394</v>
      </c>
      <c r="M34" s="1">
        <f>1000*(M31/A_houseSI)*((H_soffitSI-Geometry!$D$12)/2.5)^0.4</f>
        <v>0.15302690566145394</v>
      </c>
      <c r="N34" s="1">
        <f>1000*(N31/A_houseSI)*((H_soffitSI-Geometry!$D$12)/2.5)^0.4</f>
        <v>0.15302690566145394</v>
      </c>
      <c r="O34" s="1">
        <f>1000*(O31/A_houseSI)*((H_soffitSI-Geometry!$D$12)/2.5)^0.4</f>
        <v>0.15302690566145394</v>
      </c>
      <c r="P34" s="1">
        <f>1000*(P31/A_houseSI)*((H_soffitSI-Geometry!$D$12)/2.5)^0.4</f>
        <v>0.15302690566145394</v>
      </c>
      <c r="Q34" s="1">
        <f>1000*(Q31/A_houseSI)*((H_soffitSI-Geometry!$D$12)/2.5)^0.4</f>
        <v>0.12242152452916315</v>
      </c>
      <c r="R34" s="1">
        <f>1000*(R31/A_houseSI)*((H_soffitSI-Geometry!$D$12)/2.5)^0.4</f>
        <v>0.12242152452916315</v>
      </c>
      <c r="S34" s="1">
        <f>1000*(S31/A_houseSI)*((H_soffitSI-Geometry!$D$12)/2.5)^0.4</f>
        <v>0.12242152452916315</v>
      </c>
      <c r="T34" s="1">
        <f>1000*(T31/A_houseSI)*((H_soffitSI-Geometry!$D$12)/2.5)^0.4</f>
        <v>0.12242152452916315</v>
      </c>
      <c r="U34" s="1">
        <f>1000*(U31/A_houseSI)*((H_soffitSI-Geometry!$D$12)/2.5)^0.4</f>
        <v>0.12242152452916315</v>
      </c>
      <c r="V34" s="1">
        <f>1000*(V31/A_houseSI)*((H_soffitSI-Geometry!$D$12)/2.5)^0.4</f>
        <v>9.1816143396872357E-2</v>
      </c>
      <c r="W34" s="1">
        <f>1000*(W31/A_houseSI)*((H_soffitSI-Geometry!$D$12)/2.5)^0.4</f>
        <v>0.18363228679374471</v>
      </c>
      <c r="X34" s="1">
        <f>1000*(X31/A_houseSI)*((H_soffitSI-Geometry!$D$12)/2.5)^0.4</f>
        <v>0.15302690566145394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206</v>
      </c>
      <c r="R1" s="27"/>
      <c r="S1" s="27"/>
    </row>
    <row r="2" spans="1:19" s="269" customFormat="1" ht="15" customHeight="1">
      <c r="A2" s="259" t="s">
        <v>967</v>
      </c>
      <c r="B2" s="451">
        <v>0</v>
      </c>
      <c r="Q2" s="27"/>
      <c r="R2" s="27"/>
      <c r="S2" s="27"/>
    </row>
    <row r="3" spans="1:19" s="269" customFormat="1" ht="15" customHeight="1">
      <c r="A3" s="259"/>
      <c r="B3" s="454"/>
      <c r="Q3" s="27"/>
      <c r="R3" s="27"/>
      <c r="S3" s="27"/>
    </row>
    <row r="4" spans="1:19" s="269" customFormat="1" ht="15" customHeight="1">
      <c r="A4" s="22" t="s">
        <v>207</v>
      </c>
      <c r="B4" s="454"/>
      <c r="Q4" s="27"/>
      <c r="R4" s="27"/>
      <c r="S4" s="27"/>
    </row>
    <row r="5" spans="1:19" ht="15" customHeight="1">
      <c r="A5" s="101"/>
      <c r="B5" s="101"/>
      <c r="C5" s="455" t="s">
        <v>1158</v>
      </c>
      <c r="D5" s="455" t="s">
        <v>1159</v>
      </c>
      <c r="E5" s="101"/>
      <c r="H5" s="105" t="s">
        <v>208</v>
      </c>
      <c r="I5" s="101"/>
      <c r="J5" s="101"/>
      <c r="K5" s="101"/>
      <c r="L5" s="101"/>
      <c r="M5" s="101"/>
      <c r="N5" s="101"/>
      <c r="Q5" s="27" t="s">
        <v>209</v>
      </c>
      <c r="R5" s="27"/>
      <c r="S5" s="27"/>
    </row>
    <row r="6" spans="1:19" ht="15" customHeight="1">
      <c r="A6" s="91" t="s">
        <v>210</v>
      </c>
      <c r="B6" s="16"/>
      <c r="C6" s="5">
        <v>3</v>
      </c>
      <c r="D6" s="269">
        <v>3</v>
      </c>
      <c r="E6" s="5" t="s">
        <v>131</v>
      </c>
      <c r="H6" s="91" t="s">
        <v>211</v>
      </c>
      <c r="I6" s="5">
        <v>6</v>
      </c>
      <c r="J6" s="5" t="s">
        <v>131</v>
      </c>
      <c r="K6"/>
      <c r="Q6" s="27" t="s">
        <v>210</v>
      </c>
      <c r="R6" s="27">
        <v>4.5</v>
      </c>
      <c r="S6" s="27" t="s">
        <v>131</v>
      </c>
    </row>
    <row r="7" spans="1:19" ht="15" customHeight="1">
      <c r="A7" s="91" t="s">
        <v>212</v>
      </c>
      <c r="B7" s="16"/>
      <c r="C7" s="28">
        <v>0.15</v>
      </c>
      <c r="D7" s="28">
        <v>0.15</v>
      </c>
      <c r="E7" s="5" t="s">
        <v>131</v>
      </c>
      <c r="H7" s="91" t="s">
        <v>214</v>
      </c>
      <c r="I7" s="28">
        <f>C7</f>
        <v>0.15</v>
      </c>
      <c r="J7" s="5" t="s">
        <v>131</v>
      </c>
      <c r="Q7" s="27" t="s">
        <v>212</v>
      </c>
      <c r="R7" s="27">
        <v>0.15</v>
      </c>
      <c r="S7" s="27" t="s">
        <v>131</v>
      </c>
    </row>
    <row r="8" spans="1:19" ht="15" customHeight="1">
      <c r="A8" s="91" t="s">
        <v>215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91" t="s">
        <v>216</v>
      </c>
      <c r="I8" s="5">
        <v>1.3700000000000002E-2</v>
      </c>
      <c r="Q8" s="27" t="s">
        <v>217</v>
      </c>
      <c r="R8" s="27">
        <v>5.4000000000000006E-2</v>
      </c>
      <c r="S8" s="27"/>
    </row>
    <row r="9" spans="1:19" ht="15" customHeight="1">
      <c r="A9" s="91" t="s">
        <v>218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219</v>
      </c>
      <c r="I9" s="29">
        <f>PI()*(I7/2)^2</f>
        <v>1.7671458676442587E-2</v>
      </c>
      <c r="J9" s="5" t="s">
        <v>135</v>
      </c>
      <c r="L9" s="5" t="s">
        <v>635</v>
      </c>
      <c r="Q9" s="27" t="s">
        <v>215</v>
      </c>
      <c r="R9" s="27">
        <f>PI()*(R7/2)^2</f>
        <v>1.7671458676442587E-2</v>
      </c>
      <c r="S9" s="27" t="s">
        <v>135</v>
      </c>
    </row>
    <row r="10" spans="1:19" ht="15" customHeight="1">
      <c r="A10" s="449" t="s">
        <v>221</v>
      </c>
      <c r="B10" s="450"/>
      <c r="C10" s="448">
        <f>SQRT(2*C8^2/(1.2*(1+C9*C6/C7)))</f>
        <v>1.9281086206186945E-2</v>
      </c>
      <c r="D10" s="448">
        <f>SQRT(2*D8^2/(1.2*(1+D9*D6/D7)))</f>
        <v>1.9281086206186945E-2</v>
      </c>
      <c r="E10" s="450" t="s">
        <v>1140</v>
      </c>
      <c r="H10" s="91" t="s">
        <v>220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2" t="s">
        <v>1161</v>
      </c>
      <c r="C11" s="279">
        <v>-99</v>
      </c>
      <c r="D11" s="279">
        <v>-99</v>
      </c>
      <c r="E11" s="5" t="s">
        <v>1160</v>
      </c>
      <c r="H11" s="91" t="s">
        <v>222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223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224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225</v>
      </c>
    </row>
    <row r="16" spans="1:19" ht="15" customHeight="1">
      <c r="A16" s="91" t="s">
        <v>226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227</v>
      </c>
    </row>
    <row r="17" spans="1:16" ht="15" customHeight="1">
      <c r="A17" s="91" t="s">
        <v>228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229</v>
      </c>
    </row>
    <row r="18" spans="1:16" ht="15" customHeight="1">
      <c r="A18" s="91" t="s">
        <v>230</v>
      </c>
      <c r="B18" s="124">
        <f>B16/B17</f>
        <v>40</v>
      </c>
      <c r="C18" s="124">
        <f t="shared" ref="C18:M18" si="0">C16/C17</f>
        <v>33.333333333333336</v>
      </c>
      <c r="D18" s="124">
        <f t="shared" si="0"/>
        <v>26.666666666666668</v>
      </c>
      <c r="E18" s="124">
        <f t="shared" si="0"/>
        <v>20</v>
      </c>
      <c r="F18" s="124">
        <f t="shared" si="0"/>
        <v>30</v>
      </c>
      <c r="G18" s="124">
        <f t="shared" si="0"/>
        <v>20</v>
      </c>
      <c r="H18" s="124">
        <f t="shared" si="0"/>
        <v>15</v>
      </c>
      <c r="I18" s="124">
        <f t="shared" si="0"/>
        <v>10</v>
      </c>
      <c r="J18" s="124">
        <f t="shared" si="0"/>
        <v>60</v>
      </c>
      <c r="K18" s="124">
        <f t="shared" si="0"/>
        <v>50</v>
      </c>
      <c r="L18" s="124">
        <f t="shared" si="0"/>
        <v>40</v>
      </c>
      <c r="M18" s="124">
        <f t="shared" si="0"/>
        <v>30</v>
      </c>
      <c r="N18" s="124">
        <f>N16/N17</f>
        <v>37.1875</v>
      </c>
      <c r="P18" s="5" t="s">
        <v>231</v>
      </c>
    </row>
    <row r="19" spans="1:16" ht="15" customHeight="1">
      <c r="A19" s="91" t="s">
        <v>232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234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233</v>
      </c>
    </row>
    <row r="21" spans="1:16" ht="15" customHeight="1">
      <c r="A21" s="91" t="s">
        <v>235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236</v>
      </c>
    </row>
    <row r="24" spans="1:16" ht="15" customHeight="1">
      <c r="A24" s="13" t="s">
        <v>237</v>
      </c>
    </row>
    <row r="25" spans="1:16" ht="15" customHeight="1">
      <c r="A25" s="13" t="s">
        <v>238</v>
      </c>
    </row>
    <row r="28" spans="1:16" ht="15" customHeight="1">
      <c r="A28" s="4" t="s">
        <v>392</v>
      </c>
    </row>
    <row r="29" spans="1:16" ht="15" customHeight="1">
      <c r="A29" s="104"/>
      <c r="B29" s="105" t="s">
        <v>393</v>
      </c>
      <c r="C29" s="105" t="s">
        <v>394</v>
      </c>
      <c r="D29" s="105" t="s">
        <v>391</v>
      </c>
      <c r="E29" s="105"/>
    </row>
    <row r="30" spans="1:16" ht="15" customHeight="1">
      <c r="A30" s="91" t="s">
        <v>389</v>
      </c>
      <c r="C30" s="28">
        <f>Leakage!D9</f>
        <v>3.18564223963392E-2</v>
      </c>
    </row>
    <row r="31" spans="1:16" ht="15" customHeight="1">
      <c r="A31" s="91" t="s">
        <v>390</v>
      </c>
      <c r="B31" s="5">
        <v>0.1</v>
      </c>
      <c r="C31" s="28">
        <f>PI()*(B31/2)^2</f>
        <v>7.8539816339744835E-3</v>
      </c>
      <c r="D31" s="65">
        <f>C31/($C$30+C31)</f>
        <v>0.19778145868218813</v>
      </c>
    </row>
    <row r="32" spans="1:16" ht="15" customHeight="1">
      <c r="A32" s="91" t="s">
        <v>390</v>
      </c>
      <c r="B32" s="5">
        <v>0.2</v>
      </c>
      <c r="C32" s="28">
        <f>PI()*(B32/2)^2</f>
        <v>3.1415926535897934E-2</v>
      </c>
      <c r="D32" s="65">
        <f>C32/($C$30+C32)</f>
        <v>0.49651904925394014</v>
      </c>
    </row>
    <row r="33" spans="1:4" ht="15" customHeight="1">
      <c r="A33" s="91" t="s">
        <v>390</v>
      </c>
      <c r="B33" s="5">
        <v>0.3</v>
      </c>
      <c r="C33" s="28">
        <f>PI()*(B33/2)^2</f>
        <v>7.0685834705770348E-2</v>
      </c>
      <c r="D33" s="65">
        <f>C33/($C$30+C33)</f>
        <v>0.68933371181192937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0"/>
  <sheetViews>
    <sheetView zoomScale="85" zoomScaleNormal="85" zoomScalePageLayoutView="85" workbookViewId="0">
      <selection activeCell="B29" sqref="B29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69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239</v>
      </c>
      <c r="E1" s="290" t="s">
        <v>758</v>
      </c>
      <c r="Y1" s="5">
        <f>1/0.102</f>
        <v>9.8039215686274517</v>
      </c>
    </row>
    <row r="2" spans="1:41" ht="15" customHeight="1">
      <c r="A2" s="13" t="s">
        <v>1347</v>
      </c>
      <c r="C2" s="5"/>
      <c r="F2" s="5"/>
      <c r="P2" s="2"/>
    </row>
    <row r="3" spans="1:41" ht="15" customHeight="1">
      <c r="A3" s="13" t="s">
        <v>535</v>
      </c>
      <c r="C3" s="5"/>
      <c r="F3" s="31"/>
      <c r="P3" s="2"/>
      <c r="Z3" s="22" t="s">
        <v>241</v>
      </c>
    </row>
    <row r="4" spans="1:41" ht="15" customHeight="1">
      <c r="A4" s="13"/>
      <c r="C4" s="5"/>
      <c r="F4" s="31" t="s">
        <v>242</v>
      </c>
      <c r="P4" s="2"/>
      <c r="Z4" s="31" t="s">
        <v>242</v>
      </c>
    </row>
    <row r="5" spans="1:41" s="13" customFormat="1" ht="15" customHeight="1">
      <c r="A5" s="89" t="s">
        <v>243</v>
      </c>
      <c r="B5" s="87" t="s">
        <v>421</v>
      </c>
      <c r="C5" s="88" t="s">
        <v>244</v>
      </c>
      <c r="D5" s="78" t="s">
        <v>245</v>
      </c>
      <c r="E5" s="79" t="s">
        <v>169</v>
      </c>
      <c r="F5" s="239" t="s">
        <v>649</v>
      </c>
      <c r="G5" s="77" t="s">
        <v>598</v>
      </c>
      <c r="H5" s="77" t="s">
        <v>599</v>
      </c>
      <c r="I5" s="77" t="s">
        <v>600</v>
      </c>
      <c r="J5" s="77" t="s">
        <v>601</v>
      </c>
      <c r="K5" s="77" t="s">
        <v>602</v>
      </c>
      <c r="L5" s="77" t="s">
        <v>603</v>
      </c>
      <c r="M5" s="77" t="s">
        <v>604</v>
      </c>
      <c r="N5" s="77" t="s">
        <v>605</v>
      </c>
      <c r="O5" s="77" t="s">
        <v>606</v>
      </c>
      <c r="P5" s="77" t="s">
        <v>607</v>
      </c>
      <c r="Q5" s="77" t="s">
        <v>608</v>
      </c>
      <c r="R5" s="77" t="s">
        <v>609</v>
      </c>
      <c r="S5" s="77">
        <v>7</v>
      </c>
      <c r="T5" s="239">
        <v>8</v>
      </c>
      <c r="U5" s="239" t="s">
        <v>830</v>
      </c>
      <c r="V5" s="239" t="s">
        <v>831</v>
      </c>
      <c r="W5" s="239"/>
      <c r="X5" s="221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246</v>
      </c>
      <c r="B6" s="492">
        <f>IF(B10=1, 1, 1/0.7)</f>
        <v>1</v>
      </c>
      <c r="C6" s="85">
        <f>A_wall</f>
        <v>121.5132</v>
      </c>
      <c r="D6" s="2" t="s">
        <v>247</v>
      </c>
      <c r="E6" s="80" t="s">
        <v>248</v>
      </c>
      <c r="F6" s="255">
        <v>13</v>
      </c>
      <c r="G6" s="246">
        <v>13</v>
      </c>
      <c r="H6" s="246">
        <v>13</v>
      </c>
      <c r="I6" s="246">
        <v>20</v>
      </c>
      <c r="J6" s="246">
        <v>20</v>
      </c>
      <c r="K6" s="246">
        <v>20</v>
      </c>
      <c r="L6" s="246">
        <v>20</v>
      </c>
      <c r="M6" s="246">
        <v>20</v>
      </c>
      <c r="N6" s="246">
        <v>20</v>
      </c>
      <c r="O6" s="246">
        <v>20</v>
      </c>
      <c r="P6" s="246">
        <v>20</v>
      </c>
      <c r="Q6" s="246">
        <v>25</v>
      </c>
      <c r="R6" s="246">
        <v>25</v>
      </c>
      <c r="S6" s="246">
        <v>25</v>
      </c>
      <c r="T6" s="246">
        <v>25</v>
      </c>
      <c r="U6" s="35">
        <f>G6</f>
        <v>13</v>
      </c>
      <c r="V6" s="35">
        <f>I6</f>
        <v>20</v>
      </c>
      <c r="W6" s="246"/>
      <c r="X6" s="222">
        <v>21</v>
      </c>
      <c r="Y6" s="13" t="s">
        <v>534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249</v>
      </c>
      <c r="B7" s="84">
        <v>1</v>
      </c>
      <c r="C7" s="85">
        <f>A_windowSI</f>
        <v>39.018000000000001</v>
      </c>
      <c r="D7" s="2" t="s">
        <v>250</v>
      </c>
      <c r="E7" s="80" t="s">
        <v>248</v>
      </c>
      <c r="F7" s="255">
        <f>1/F83</f>
        <v>2.5</v>
      </c>
      <c r="G7" s="255">
        <f t="shared" ref="G7:T7" si="0">1/G83</f>
        <v>2.5</v>
      </c>
      <c r="H7" s="255">
        <f t="shared" si="0"/>
        <v>2.5</v>
      </c>
      <c r="I7" s="255">
        <f t="shared" si="0"/>
        <v>3.3333333333333335</v>
      </c>
      <c r="J7" s="255">
        <f t="shared" si="0"/>
        <v>3.3333333333333335</v>
      </c>
      <c r="K7" s="255">
        <f t="shared" si="0"/>
        <v>3.3333333333333335</v>
      </c>
      <c r="L7" s="255">
        <f t="shared" si="0"/>
        <v>3.3333333333333335</v>
      </c>
      <c r="M7" s="255">
        <f t="shared" si="0"/>
        <v>3.3333333333333335</v>
      </c>
      <c r="N7" s="255">
        <f t="shared" si="0"/>
        <v>3.7037037037037033</v>
      </c>
      <c r="O7" s="255">
        <f t="shared" si="0"/>
        <v>3.7037037037037033</v>
      </c>
      <c r="P7" s="255">
        <f t="shared" si="0"/>
        <v>3.7037037037037033</v>
      </c>
      <c r="Q7" s="255">
        <f t="shared" si="0"/>
        <v>3.7037037037037033</v>
      </c>
      <c r="R7" s="255">
        <f t="shared" si="0"/>
        <v>3.7037037037037033</v>
      </c>
      <c r="S7" s="255">
        <f t="shared" si="0"/>
        <v>3.7037037037037033</v>
      </c>
      <c r="T7" s="255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55"/>
      <c r="X7" s="222">
        <f>1/0.4</f>
        <v>2.5</v>
      </c>
      <c r="Y7" s="13" t="s">
        <v>532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251</v>
      </c>
      <c r="B8" s="84">
        <v>1</v>
      </c>
      <c r="C8" s="85">
        <f>Geometry!D9</f>
        <v>195.09</v>
      </c>
      <c r="D8" s="2" t="s">
        <v>252</v>
      </c>
      <c r="E8" s="80" t="s">
        <v>248</v>
      </c>
      <c r="F8" s="255">
        <f>F75</f>
        <v>13</v>
      </c>
      <c r="G8" s="255">
        <f t="shared" ref="G8:T8" si="4">G75</f>
        <v>13</v>
      </c>
      <c r="H8" s="255">
        <f t="shared" si="4"/>
        <v>13</v>
      </c>
      <c r="I8" s="255">
        <f t="shared" si="4"/>
        <v>19</v>
      </c>
      <c r="J8" s="255">
        <f t="shared" si="4"/>
        <v>19</v>
      </c>
      <c r="K8" s="255">
        <f t="shared" si="4"/>
        <v>19</v>
      </c>
      <c r="L8" s="255">
        <f t="shared" si="4"/>
        <v>19</v>
      </c>
      <c r="M8" s="255">
        <f t="shared" si="4"/>
        <v>19</v>
      </c>
      <c r="N8" s="255">
        <f t="shared" si="4"/>
        <v>30</v>
      </c>
      <c r="O8" s="255">
        <f t="shared" si="4"/>
        <v>30</v>
      </c>
      <c r="P8" s="255">
        <f t="shared" si="4"/>
        <v>30</v>
      </c>
      <c r="Q8" s="255">
        <f t="shared" si="4"/>
        <v>30</v>
      </c>
      <c r="R8" s="255">
        <f t="shared" si="4"/>
        <v>30</v>
      </c>
      <c r="S8" s="255">
        <f t="shared" si="4"/>
        <v>38</v>
      </c>
      <c r="T8" s="255">
        <f t="shared" si="4"/>
        <v>38</v>
      </c>
      <c r="U8" s="35">
        <f t="shared" si="1"/>
        <v>13</v>
      </c>
      <c r="V8" s="35">
        <f t="shared" si="2"/>
        <v>19</v>
      </c>
      <c r="W8" s="255"/>
      <c r="X8" s="222">
        <v>19</v>
      </c>
      <c r="Y8" s="13" t="s">
        <v>533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932</v>
      </c>
      <c r="B9" s="5">
        <v>1</v>
      </c>
      <c r="C9" s="42">
        <f>A_doors_SI</f>
        <v>3.7159999999999997</v>
      </c>
      <c r="D9" s="2" t="s">
        <v>933</v>
      </c>
      <c r="E9" s="2" t="s">
        <v>248</v>
      </c>
      <c r="F9" s="248">
        <v>5</v>
      </c>
      <c r="G9" s="248">
        <v>5</v>
      </c>
      <c r="H9" s="248">
        <v>5</v>
      </c>
      <c r="I9" s="248">
        <v>5</v>
      </c>
      <c r="J9" s="248">
        <v>5</v>
      </c>
      <c r="K9" s="248">
        <v>5</v>
      </c>
      <c r="L9" s="248">
        <v>5</v>
      </c>
      <c r="M9" s="248">
        <v>5</v>
      </c>
      <c r="N9" s="248">
        <v>5</v>
      </c>
      <c r="O9" s="248">
        <v>5</v>
      </c>
      <c r="P9" s="248">
        <v>5</v>
      </c>
      <c r="Q9" s="248">
        <v>5</v>
      </c>
      <c r="R9" s="248">
        <v>5</v>
      </c>
      <c r="S9" s="248">
        <v>5</v>
      </c>
      <c r="T9" s="248">
        <v>5</v>
      </c>
      <c r="U9" s="248">
        <v>5</v>
      </c>
      <c r="V9" s="248">
        <v>5</v>
      </c>
      <c r="Y9" s="129" t="s">
        <v>531</v>
      </c>
      <c r="Z9" s="35">
        <f t="shared" ref="Z9:AO9" si="5">1/Z6*$B$6*RvalConv*$C$6</f>
        <v>23.792703571034483</v>
      </c>
      <c r="AA9" s="35">
        <f t="shared" si="5"/>
        <v>23.792703571034483</v>
      </c>
      <c r="AB9" s="35">
        <f t="shared" si="5"/>
        <v>27.599536142399998</v>
      </c>
      <c r="AC9" s="35">
        <f t="shared" si="5"/>
        <v>27.599536142399998</v>
      </c>
      <c r="AD9" s="35">
        <f t="shared" si="5"/>
        <v>27.599536142399998</v>
      </c>
      <c r="AE9" s="35">
        <f t="shared" si="5"/>
        <v>32.856590645714284</v>
      </c>
      <c r="AF9" s="35">
        <f t="shared" si="5"/>
        <v>32.856590645714284</v>
      </c>
      <c r="AG9" s="35">
        <f t="shared" si="5"/>
        <v>32.856590645714284</v>
      </c>
      <c r="AH9" s="35">
        <f t="shared" si="5"/>
        <v>32.856590645714284</v>
      </c>
      <c r="AI9" s="35">
        <f t="shared" si="5"/>
        <v>27.599536142399998</v>
      </c>
      <c r="AJ9" s="35">
        <f t="shared" si="5"/>
        <v>23.792703571034483</v>
      </c>
      <c r="AK9" s="35">
        <f t="shared" si="5"/>
        <v>23.792703571034483</v>
      </c>
      <c r="AL9" s="35">
        <f t="shared" si="5"/>
        <v>23.792703571034483</v>
      </c>
      <c r="AM9" s="35">
        <f t="shared" si="5"/>
        <v>23.792703571034483</v>
      </c>
      <c r="AN9" s="35">
        <f t="shared" si="5"/>
        <v>23.792703571034483</v>
      </c>
      <c r="AO9" s="35">
        <f t="shared" si="5"/>
        <v>23.792703571034483</v>
      </c>
    </row>
    <row r="10" spans="1:41" ht="15" customHeight="1">
      <c r="A10" s="163" t="s">
        <v>435</v>
      </c>
      <c r="B10" s="123">
        <v>1</v>
      </c>
      <c r="C10" s="86"/>
      <c r="D10" s="2" t="s">
        <v>594</v>
      </c>
      <c r="E10" s="80" t="s">
        <v>254</v>
      </c>
      <c r="F10" s="240">
        <f t="shared" ref="F10:V10" si="6">IF($B$12=0,0,$B$13*$K$58)</f>
        <v>0</v>
      </c>
      <c r="G10" s="240">
        <f t="shared" si="6"/>
        <v>0</v>
      </c>
      <c r="H10" s="240">
        <f t="shared" si="6"/>
        <v>0</v>
      </c>
      <c r="I10" s="240">
        <f t="shared" si="6"/>
        <v>0</v>
      </c>
      <c r="J10" s="240">
        <f t="shared" si="6"/>
        <v>0</v>
      </c>
      <c r="K10" s="240">
        <f t="shared" si="6"/>
        <v>0</v>
      </c>
      <c r="L10" s="240">
        <f t="shared" si="6"/>
        <v>0</v>
      </c>
      <c r="M10" s="240">
        <f t="shared" si="6"/>
        <v>0</v>
      </c>
      <c r="N10" s="240">
        <f t="shared" si="6"/>
        <v>0</v>
      </c>
      <c r="O10" s="240">
        <f t="shared" si="6"/>
        <v>0</v>
      </c>
      <c r="P10" s="240">
        <f t="shared" si="6"/>
        <v>0</v>
      </c>
      <c r="Q10" s="240">
        <f t="shared" si="6"/>
        <v>0</v>
      </c>
      <c r="R10" s="240">
        <f t="shared" si="6"/>
        <v>0</v>
      </c>
      <c r="S10" s="240">
        <f t="shared" si="6"/>
        <v>0</v>
      </c>
      <c r="T10" s="240">
        <f t="shared" si="6"/>
        <v>0</v>
      </c>
      <c r="U10" s="240">
        <f t="shared" si="6"/>
        <v>0</v>
      </c>
      <c r="V10" s="240">
        <f t="shared" si="6"/>
        <v>0</v>
      </c>
      <c r="W10" s="240"/>
      <c r="X10" s="223">
        <f>$B$13*$K$59</f>
        <v>49.743358408212529</v>
      </c>
      <c r="Z10" s="35">
        <f t="shared" ref="Z10:AO10" si="7">1/Z7*$B$7*RvalConv*$C$7</f>
        <v>84.191245571999985</v>
      </c>
      <c r="AA10" s="35">
        <f t="shared" si="7"/>
        <v>84.191245571999985</v>
      </c>
      <c r="AB10" s="35">
        <f t="shared" si="7"/>
        <v>84.191245571999985</v>
      </c>
      <c r="AC10" s="35">
        <f t="shared" si="7"/>
        <v>84.191245571999985</v>
      </c>
      <c r="AD10" s="35">
        <f t="shared" si="7"/>
        <v>84.191245571999985</v>
      </c>
      <c r="AE10" s="35">
        <f t="shared" si="7"/>
        <v>84.191245571999985</v>
      </c>
      <c r="AF10" s="35">
        <f t="shared" si="7"/>
        <v>84.191245571999985</v>
      </c>
      <c r="AG10" s="35">
        <f t="shared" si="7"/>
        <v>84.191245571999985</v>
      </c>
      <c r="AH10" s="35">
        <f t="shared" si="7"/>
        <v>84.191245571999985</v>
      </c>
      <c r="AI10" s="35">
        <f t="shared" si="7"/>
        <v>84.191245571999985</v>
      </c>
      <c r="AJ10" s="35">
        <f t="shared" si="7"/>
        <v>84.191245571999985</v>
      </c>
      <c r="AK10" s="35">
        <f t="shared" si="7"/>
        <v>84.191245571999985</v>
      </c>
      <c r="AL10" s="35">
        <f t="shared" si="7"/>
        <v>84.191245571999985</v>
      </c>
      <c r="AM10" s="35">
        <f t="shared" si="7"/>
        <v>84.191245571999985</v>
      </c>
      <c r="AN10" s="35">
        <f t="shared" si="7"/>
        <v>84.191245571999985</v>
      </c>
      <c r="AO10" s="35">
        <f t="shared" si="7"/>
        <v>84.191245571999985</v>
      </c>
    </row>
    <row r="11" spans="1:41" ht="15" customHeight="1">
      <c r="A11" s="129" t="s">
        <v>736</v>
      </c>
      <c r="C11" s="5"/>
      <c r="D11" s="308" t="s">
        <v>253</v>
      </c>
      <c r="E11" s="309" t="s">
        <v>254</v>
      </c>
      <c r="F11" s="310">
        <f t="shared" ref="F11:V11" si="8">((1/F6)*$B$6*RvalConv*$C$6)+(1/F9*$B$9*RvalConv*$C$9)</f>
        <v>57.296143603076928</v>
      </c>
      <c r="G11" s="310">
        <f t="shared" si="8"/>
        <v>57.296143603076928</v>
      </c>
      <c r="H11" s="310">
        <f t="shared" si="8"/>
        <v>57.296143603076928</v>
      </c>
      <c r="I11" s="310">
        <f t="shared" si="8"/>
        <v>38.719532737999998</v>
      </c>
      <c r="J11" s="310">
        <f t="shared" si="8"/>
        <v>38.719532737999998</v>
      </c>
      <c r="K11" s="310">
        <f t="shared" si="8"/>
        <v>38.719532737999998</v>
      </c>
      <c r="L11" s="310">
        <f t="shared" si="8"/>
        <v>38.719532737999998</v>
      </c>
      <c r="M11" s="310">
        <f t="shared" si="8"/>
        <v>38.719532737999998</v>
      </c>
      <c r="N11" s="310">
        <f t="shared" si="8"/>
        <v>38.719532737999998</v>
      </c>
      <c r="O11" s="310">
        <f t="shared" si="8"/>
        <v>38.719532737999998</v>
      </c>
      <c r="P11" s="310">
        <f t="shared" si="8"/>
        <v>38.719532737999998</v>
      </c>
      <c r="Q11" s="310">
        <f t="shared" si="8"/>
        <v>31.819648702399999</v>
      </c>
      <c r="R11" s="310">
        <f t="shared" si="8"/>
        <v>31.819648702399999</v>
      </c>
      <c r="S11" s="310">
        <f t="shared" si="8"/>
        <v>31.819648702399999</v>
      </c>
      <c r="T11" s="310">
        <f t="shared" si="8"/>
        <v>31.819648702399999</v>
      </c>
      <c r="U11" s="310">
        <f t="shared" si="8"/>
        <v>57.296143603076928</v>
      </c>
      <c r="V11" s="310">
        <f t="shared" si="8"/>
        <v>38.719532737999998</v>
      </c>
      <c r="W11" s="245"/>
      <c r="X11" s="224">
        <f>1/X6*$B$6*RvalConv*$C$6</f>
        <v>32.856590645714284</v>
      </c>
      <c r="Y11"/>
      <c r="Z11" s="35">
        <f t="shared" ref="Z11:AO11" si="9">1/Z8*$B$8*RvalConv*$C$8</f>
        <v>36.925984900000003</v>
      </c>
      <c r="AA11" s="35">
        <f t="shared" si="9"/>
        <v>36.925984900000003</v>
      </c>
      <c r="AB11" s="35">
        <f t="shared" si="9"/>
        <v>36.925984900000003</v>
      </c>
      <c r="AC11" s="35">
        <f t="shared" si="9"/>
        <v>36.925984900000003</v>
      </c>
      <c r="AD11" s="35">
        <f t="shared" si="9"/>
        <v>36.925984900000003</v>
      </c>
      <c r="AE11" s="35">
        <f t="shared" si="9"/>
        <v>52.751407</v>
      </c>
      <c r="AF11" s="35">
        <f t="shared" si="9"/>
        <v>52.751407</v>
      </c>
      <c r="AG11" s="35">
        <f t="shared" si="9"/>
        <v>52.751407</v>
      </c>
      <c r="AH11" s="35">
        <f t="shared" si="9"/>
        <v>52.751407</v>
      </c>
      <c r="AI11" s="35">
        <f t="shared" si="9"/>
        <v>36.925984900000003</v>
      </c>
      <c r="AJ11" s="35">
        <f t="shared" si="9"/>
        <v>36.925984900000003</v>
      </c>
      <c r="AK11" s="35">
        <f t="shared" si="9"/>
        <v>36.925984900000003</v>
      </c>
      <c r="AL11" s="35">
        <f t="shared" si="9"/>
        <v>36.925984900000003</v>
      </c>
      <c r="AM11" s="35">
        <f t="shared" si="9"/>
        <v>36.925984900000003</v>
      </c>
      <c r="AN11" s="35">
        <f t="shared" si="9"/>
        <v>52.751407</v>
      </c>
      <c r="AO11" s="35">
        <f t="shared" si="9"/>
        <v>36.925984900000003</v>
      </c>
    </row>
    <row r="12" spans="1:41" ht="15" customHeight="1">
      <c r="A12" s="134" t="s">
        <v>544</v>
      </c>
      <c r="B12" s="135">
        <v>0</v>
      </c>
      <c r="C12" s="5"/>
      <c r="D12" s="308" t="s">
        <v>255</v>
      </c>
      <c r="E12" s="309" t="s">
        <v>254</v>
      </c>
      <c r="F12" s="310">
        <f t="shared" ref="F12:T12" si="10">1/F7*$B$7*RvalConv*$C$7</f>
        <v>88.622363760000013</v>
      </c>
      <c r="G12" s="310">
        <f t="shared" si="10"/>
        <v>88.622363760000013</v>
      </c>
      <c r="H12" s="310">
        <f t="shared" si="10"/>
        <v>88.622363760000013</v>
      </c>
      <c r="I12" s="310">
        <f t="shared" si="10"/>
        <v>66.466772820000003</v>
      </c>
      <c r="J12" s="310">
        <f t="shared" si="10"/>
        <v>66.466772820000003</v>
      </c>
      <c r="K12" s="310">
        <f t="shared" si="10"/>
        <v>66.466772820000003</v>
      </c>
      <c r="L12" s="310">
        <f t="shared" si="10"/>
        <v>66.466772820000003</v>
      </c>
      <c r="M12" s="310">
        <f t="shared" si="10"/>
        <v>66.466772820000003</v>
      </c>
      <c r="N12" s="310">
        <f t="shared" si="10"/>
        <v>59.820095538000004</v>
      </c>
      <c r="O12" s="310">
        <f t="shared" si="10"/>
        <v>59.820095538000004</v>
      </c>
      <c r="P12" s="310">
        <f t="shared" si="10"/>
        <v>59.820095538000004</v>
      </c>
      <c r="Q12" s="310">
        <f t="shared" si="10"/>
        <v>59.820095538000004</v>
      </c>
      <c r="R12" s="310">
        <f t="shared" si="10"/>
        <v>59.820095538000004</v>
      </c>
      <c r="S12" s="310">
        <f t="shared" si="10"/>
        <v>59.820095538000004</v>
      </c>
      <c r="T12" s="310">
        <f t="shared" si="10"/>
        <v>59.820095538000004</v>
      </c>
      <c r="U12" s="310">
        <f>G12</f>
        <v>88.622363760000013</v>
      </c>
      <c r="V12" s="310">
        <f>I12</f>
        <v>66.466772820000003</v>
      </c>
      <c r="W12" s="245"/>
      <c r="X12" s="224">
        <f>1/X7*$B$7*RvalConv*$C$7</f>
        <v>88.622363760000013</v>
      </c>
      <c r="Y12" s="13" t="s">
        <v>259</v>
      </c>
      <c r="Z12" s="35">
        <f t="shared" ref="Z12:AO12" si="11">20*RvalConv*0.3048^2</f>
        <v>10.550626640640001</v>
      </c>
      <c r="AA12" s="35">
        <f t="shared" si="11"/>
        <v>10.550626640640001</v>
      </c>
      <c r="AB12" s="35">
        <f t="shared" si="11"/>
        <v>10.550626640640001</v>
      </c>
      <c r="AC12" s="35">
        <f t="shared" si="11"/>
        <v>10.550626640640001</v>
      </c>
      <c r="AD12" s="35">
        <f t="shared" si="11"/>
        <v>10.550626640640001</v>
      </c>
      <c r="AE12" s="35">
        <f t="shared" si="11"/>
        <v>10.550626640640001</v>
      </c>
      <c r="AF12" s="35">
        <f t="shared" si="11"/>
        <v>10.550626640640001</v>
      </c>
      <c r="AG12" s="35">
        <f t="shared" si="11"/>
        <v>10.550626640640001</v>
      </c>
      <c r="AH12" s="35">
        <f t="shared" si="11"/>
        <v>10.550626640640001</v>
      </c>
      <c r="AI12" s="35">
        <f t="shared" si="11"/>
        <v>10.550626640640001</v>
      </c>
      <c r="AJ12" s="35">
        <f t="shared" si="11"/>
        <v>10.550626640640001</v>
      </c>
      <c r="AK12" s="35">
        <f t="shared" si="11"/>
        <v>10.550626640640001</v>
      </c>
      <c r="AL12" s="35">
        <f t="shared" si="11"/>
        <v>10.550626640640001</v>
      </c>
      <c r="AM12" s="35">
        <f t="shared" si="11"/>
        <v>10.550626640640001</v>
      </c>
      <c r="AN12" s="35">
        <f t="shared" si="11"/>
        <v>10.550626640640001</v>
      </c>
      <c r="AO12" s="35">
        <f t="shared" si="11"/>
        <v>10.550626640640001</v>
      </c>
    </row>
    <row r="13" spans="1:41" ht="15" customHeight="1">
      <c r="A13" s="135" t="s">
        <v>573</v>
      </c>
      <c r="B13" s="151">
        <f>Geometry!D11</f>
        <v>58.521598127308863</v>
      </c>
      <c r="C13" s="5" t="s">
        <v>131</v>
      </c>
      <c r="D13" s="308" t="s">
        <v>256</v>
      </c>
      <c r="E13" s="309" t="s">
        <v>254</v>
      </c>
      <c r="F13" s="310">
        <f t="shared" ref="F13:V13" si="12">IF($B$12=0, 1/F8*$B$8*RvalConv*$C$8, $B$13*$K$58)</f>
        <v>85.21381130769231</v>
      </c>
      <c r="G13" s="310">
        <f t="shared" si="12"/>
        <v>85.21381130769231</v>
      </c>
      <c r="H13" s="310">
        <f t="shared" si="12"/>
        <v>85.21381130769231</v>
      </c>
      <c r="I13" s="310">
        <f t="shared" si="12"/>
        <v>58.304186684210528</v>
      </c>
      <c r="J13" s="310">
        <f t="shared" si="12"/>
        <v>58.304186684210528</v>
      </c>
      <c r="K13" s="310">
        <f t="shared" si="12"/>
        <v>58.304186684210528</v>
      </c>
      <c r="L13" s="310">
        <f t="shared" si="12"/>
        <v>58.304186684210528</v>
      </c>
      <c r="M13" s="310">
        <f t="shared" si="12"/>
        <v>58.304186684210528</v>
      </c>
      <c r="N13" s="310">
        <f t="shared" si="12"/>
        <v>36.925984900000003</v>
      </c>
      <c r="O13" s="310">
        <f t="shared" si="12"/>
        <v>36.925984900000003</v>
      </c>
      <c r="P13" s="310">
        <f t="shared" si="12"/>
        <v>36.925984900000003</v>
      </c>
      <c r="Q13" s="310">
        <f t="shared" si="12"/>
        <v>36.925984900000003</v>
      </c>
      <c r="R13" s="310">
        <f t="shared" si="12"/>
        <v>36.925984900000003</v>
      </c>
      <c r="S13" s="310">
        <f t="shared" si="12"/>
        <v>29.152093342105264</v>
      </c>
      <c r="T13" s="310">
        <f t="shared" si="12"/>
        <v>29.152093342105264</v>
      </c>
      <c r="U13" s="310">
        <f t="shared" si="12"/>
        <v>85.21381130769231</v>
      </c>
      <c r="V13" s="310">
        <f t="shared" si="12"/>
        <v>58.304186684210528</v>
      </c>
      <c r="W13" s="245"/>
      <c r="X13" s="224">
        <f>1/X8*$B$8*RvalConv*$C$8</f>
        <v>58.304186684210528</v>
      </c>
      <c r="Y13" s="13" t="s">
        <v>583</v>
      </c>
      <c r="Z13" s="37">
        <f>SUM(Z9:Z12)</f>
        <v>155.46056068367446</v>
      </c>
      <c r="AA13" s="37">
        <f t="shared" ref="AA13:AO13" si="13">SUM(AA9:AA12)</f>
        <v>155.46056068367446</v>
      </c>
      <c r="AB13" s="37">
        <f t="shared" si="13"/>
        <v>159.26739325503999</v>
      </c>
      <c r="AC13" s="37">
        <f t="shared" si="13"/>
        <v>159.26739325503999</v>
      </c>
      <c r="AD13" s="37">
        <f t="shared" si="13"/>
        <v>159.26739325503999</v>
      </c>
      <c r="AE13" s="37">
        <f t="shared" si="13"/>
        <v>180.34986985835425</v>
      </c>
      <c r="AF13" s="37">
        <f t="shared" si="13"/>
        <v>180.34986985835425</v>
      </c>
      <c r="AG13" s="37">
        <f t="shared" si="13"/>
        <v>180.34986985835425</v>
      </c>
      <c r="AH13" s="37">
        <f t="shared" si="13"/>
        <v>180.34986985835425</v>
      </c>
      <c r="AI13" s="37">
        <f t="shared" si="13"/>
        <v>159.26739325503999</v>
      </c>
      <c r="AJ13" s="37">
        <f t="shared" si="13"/>
        <v>155.46056068367446</v>
      </c>
      <c r="AK13" s="37">
        <f t="shared" si="13"/>
        <v>155.46056068367446</v>
      </c>
      <c r="AL13" s="37">
        <f t="shared" si="13"/>
        <v>155.46056068367446</v>
      </c>
      <c r="AM13" s="37">
        <f t="shared" si="13"/>
        <v>155.46056068367446</v>
      </c>
      <c r="AN13" s="37">
        <f t="shared" si="13"/>
        <v>171.28598278367446</v>
      </c>
      <c r="AO13" s="37">
        <f t="shared" si="13"/>
        <v>155.46056068367446</v>
      </c>
    </row>
    <row r="14" spans="1:41" ht="15" customHeight="1">
      <c r="A14" s="84"/>
      <c r="B14" s="84"/>
      <c r="D14" s="2" t="s">
        <v>257</v>
      </c>
      <c r="E14" s="81" t="s">
        <v>254</v>
      </c>
      <c r="F14" s="245">
        <f t="shared" ref="F14:V14" si="14">1/F9*$B$9*RvalConv*$C$9</f>
        <v>4.2201125600000005</v>
      </c>
      <c r="G14" s="245">
        <f t="shared" si="14"/>
        <v>4.2201125600000005</v>
      </c>
      <c r="H14" s="245">
        <f t="shared" si="14"/>
        <v>4.2201125600000005</v>
      </c>
      <c r="I14" s="245">
        <f t="shared" si="14"/>
        <v>4.2201125600000005</v>
      </c>
      <c r="J14" s="245">
        <f t="shared" si="14"/>
        <v>4.2201125600000005</v>
      </c>
      <c r="K14" s="245">
        <f t="shared" si="14"/>
        <v>4.2201125600000005</v>
      </c>
      <c r="L14" s="245">
        <f t="shared" si="14"/>
        <v>4.2201125600000005</v>
      </c>
      <c r="M14" s="245">
        <f t="shared" si="14"/>
        <v>4.2201125600000005</v>
      </c>
      <c r="N14" s="245">
        <f t="shared" si="14"/>
        <v>4.2201125600000005</v>
      </c>
      <c r="O14" s="245">
        <f t="shared" si="14"/>
        <v>4.2201125600000005</v>
      </c>
      <c r="P14" s="245">
        <f t="shared" si="14"/>
        <v>4.2201125600000005</v>
      </c>
      <c r="Q14" s="245">
        <f t="shared" si="14"/>
        <v>4.2201125600000005</v>
      </c>
      <c r="R14" s="245">
        <f t="shared" si="14"/>
        <v>4.2201125600000005</v>
      </c>
      <c r="S14" s="245">
        <f t="shared" si="14"/>
        <v>4.2201125600000005</v>
      </c>
      <c r="T14" s="245">
        <f t="shared" si="14"/>
        <v>4.2201125600000005</v>
      </c>
      <c r="U14" s="245">
        <f t="shared" si="14"/>
        <v>4.2201125600000005</v>
      </c>
      <c r="V14" s="245">
        <f t="shared" si="14"/>
        <v>4.2201125600000005</v>
      </c>
      <c r="W14" s="245"/>
      <c r="X14" s="224">
        <f>20*RvalConv*0.3048^2</f>
        <v>10.550626640640001</v>
      </c>
      <c r="Y14" s="22" t="s">
        <v>768</v>
      </c>
      <c r="Z14" s="37">
        <f>Z13-Z11</f>
        <v>118.53457578367446</v>
      </c>
      <c r="AA14" s="37">
        <f t="shared" ref="AA14:AO14" si="15">AA13-AA11</f>
        <v>118.53457578367446</v>
      </c>
      <c r="AB14" s="37">
        <f t="shared" si="15"/>
        <v>122.34140835503999</v>
      </c>
      <c r="AC14" s="37">
        <f t="shared" si="15"/>
        <v>122.34140835503999</v>
      </c>
      <c r="AD14" s="37">
        <f t="shared" si="15"/>
        <v>122.34140835503999</v>
      </c>
      <c r="AE14" s="37">
        <f t="shared" si="15"/>
        <v>127.59846285835425</v>
      </c>
      <c r="AF14" s="37">
        <f t="shared" si="15"/>
        <v>127.59846285835425</v>
      </c>
      <c r="AG14" s="37">
        <f t="shared" si="15"/>
        <v>127.59846285835425</v>
      </c>
      <c r="AH14" s="37">
        <f t="shared" si="15"/>
        <v>127.59846285835425</v>
      </c>
      <c r="AI14" s="37">
        <f t="shared" si="15"/>
        <v>122.34140835503999</v>
      </c>
      <c r="AJ14" s="37">
        <f t="shared" si="15"/>
        <v>118.53457578367446</v>
      </c>
      <c r="AK14" s="37">
        <f t="shared" si="15"/>
        <v>118.53457578367446</v>
      </c>
      <c r="AL14" s="37">
        <f t="shared" si="15"/>
        <v>118.53457578367446</v>
      </c>
      <c r="AM14" s="37">
        <f t="shared" si="15"/>
        <v>118.53457578367446</v>
      </c>
      <c r="AN14" s="37">
        <f t="shared" si="15"/>
        <v>118.53457578367446</v>
      </c>
      <c r="AO14" s="37">
        <f t="shared" si="15"/>
        <v>118.53457578367446</v>
      </c>
    </row>
    <row r="15" spans="1:41" ht="15" customHeight="1">
      <c r="C15" s="5"/>
      <c r="D15" s="311" t="s">
        <v>258</v>
      </c>
      <c r="E15" s="312" t="s">
        <v>254</v>
      </c>
      <c r="F15" s="313">
        <f>IF($B$12=0,SUM(F11:F14),SUM(F10,F11,F12,F14))</f>
        <v>235.35243123076924</v>
      </c>
      <c r="G15" s="313">
        <f>IF($B$12=0,SUM(G11:G14),SUM(G10,G11,G12,G14))</f>
        <v>235.35243123076924</v>
      </c>
      <c r="H15" s="313">
        <f t="shared" ref="H15:X15" si="16">IF($B$12=0,SUM(H11:H14),SUM(H10,H11,H12,H14))</f>
        <v>235.35243123076924</v>
      </c>
      <c r="I15" s="313">
        <f t="shared" si="16"/>
        <v>167.71060480221053</v>
      </c>
      <c r="J15" s="313">
        <f t="shared" si="16"/>
        <v>167.71060480221053</v>
      </c>
      <c r="K15" s="313">
        <f t="shared" si="16"/>
        <v>167.71060480221053</v>
      </c>
      <c r="L15" s="313">
        <f t="shared" si="16"/>
        <v>167.71060480221053</v>
      </c>
      <c r="M15" s="313">
        <f t="shared" si="16"/>
        <v>167.71060480221053</v>
      </c>
      <c r="N15" s="313">
        <f t="shared" si="16"/>
        <v>139.68572573599999</v>
      </c>
      <c r="O15" s="313">
        <f t="shared" si="16"/>
        <v>139.68572573599999</v>
      </c>
      <c r="P15" s="313">
        <f t="shared" si="16"/>
        <v>139.68572573599999</v>
      </c>
      <c r="Q15" s="313">
        <f t="shared" si="16"/>
        <v>132.7858417004</v>
      </c>
      <c r="R15" s="313">
        <f t="shared" si="16"/>
        <v>132.7858417004</v>
      </c>
      <c r="S15" s="313">
        <f t="shared" si="16"/>
        <v>125.01195014250527</v>
      </c>
      <c r="T15" s="313">
        <f t="shared" si="16"/>
        <v>125.01195014250527</v>
      </c>
      <c r="U15" s="313">
        <f t="shared" si="16"/>
        <v>235.35243123076924</v>
      </c>
      <c r="V15" s="313">
        <f t="shared" si="16"/>
        <v>167.71060480221053</v>
      </c>
      <c r="W15" s="313"/>
      <c r="X15" s="225">
        <f t="shared" si="16"/>
        <v>190.3337677305648</v>
      </c>
      <c r="Y15" s="22" t="s">
        <v>768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261</v>
      </c>
      <c r="C16" s="5"/>
      <c r="D16" s="311" t="s">
        <v>260</v>
      </c>
      <c r="E16" s="312" t="s">
        <v>254</v>
      </c>
      <c r="F16" s="313">
        <f>SUM(F11,F12,F14)</f>
        <v>150.13861992307693</v>
      </c>
      <c r="G16" s="313">
        <f t="shared" ref="G16:X16" si="17">SUM(G11,G12,G14)</f>
        <v>150.13861992307693</v>
      </c>
      <c r="H16" s="313">
        <f t="shared" si="17"/>
        <v>150.13861992307693</v>
      </c>
      <c r="I16" s="313">
        <f t="shared" si="17"/>
        <v>109.406418118</v>
      </c>
      <c r="J16" s="313">
        <f t="shared" si="17"/>
        <v>109.406418118</v>
      </c>
      <c r="K16" s="313">
        <f t="shared" si="17"/>
        <v>109.406418118</v>
      </c>
      <c r="L16" s="313">
        <f t="shared" si="17"/>
        <v>109.406418118</v>
      </c>
      <c r="M16" s="313">
        <f t="shared" si="17"/>
        <v>109.406418118</v>
      </c>
      <c r="N16" s="313">
        <f t="shared" si="17"/>
        <v>102.75974083600001</v>
      </c>
      <c r="O16" s="313">
        <f t="shared" si="17"/>
        <v>102.75974083600001</v>
      </c>
      <c r="P16" s="313">
        <f t="shared" si="17"/>
        <v>102.75974083600001</v>
      </c>
      <c r="Q16" s="313">
        <f t="shared" si="17"/>
        <v>95.85985680040001</v>
      </c>
      <c r="R16" s="313">
        <f t="shared" si="17"/>
        <v>95.85985680040001</v>
      </c>
      <c r="S16" s="313">
        <f t="shared" si="17"/>
        <v>95.85985680040001</v>
      </c>
      <c r="T16" s="313">
        <f t="shared" si="17"/>
        <v>95.85985680040001</v>
      </c>
      <c r="U16" s="313">
        <f t="shared" si="17"/>
        <v>150.13861992307693</v>
      </c>
      <c r="V16" s="313">
        <f t="shared" si="17"/>
        <v>109.406418118</v>
      </c>
      <c r="W16" s="313"/>
      <c r="X16" s="225">
        <f t="shared" si="17"/>
        <v>132.02958104635428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29" t="s">
        <v>1347</v>
      </c>
      <c r="C17" s="5"/>
      <c r="F17" s="268">
        <f>1/F20</f>
        <v>3.3333333333333333E-2</v>
      </c>
      <c r="G17" s="268">
        <f t="shared" ref="G17:T17" si="18">1/G7</f>
        <v>0.4</v>
      </c>
      <c r="H17" s="268">
        <f t="shared" si="18"/>
        <v>0.4</v>
      </c>
      <c r="I17" s="268">
        <f t="shared" si="18"/>
        <v>0.3</v>
      </c>
      <c r="J17" s="268">
        <f t="shared" si="18"/>
        <v>0.3</v>
      </c>
      <c r="K17" s="268">
        <f t="shared" si="18"/>
        <v>0.3</v>
      </c>
      <c r="L17" s="268">
        <f t="shared" si="18"/>
        <v>0.3</v>
      </c>
      <c r="M17" s="268">
        <f t="shared" si="18"/>
        <v>0.3</v>
      </c>
      <c r="N17" s="268">
        <f t="shared" si="18"/>
        <v>0.27</v>
      </c>
      <c r="O17" s="268">
        <f t="shared" si="18"/>
        <v>0.27</v>
      </c>
      <c r="P17" s="268">
        <f t="shared" si="18"/>
        <v>0.27</v>
      </c>
      <c r="Q17" s="268">
        <f t="shared" si="18"/>
        <v>0.27</v>
      </c>
      <c r="R17" s="268">
        <f t="shared" si="18"/>
        <v>0.27</v>
      </c>
      <c r="S17" s="268">
        <f t="shared" si="18"/>
        <v>0.27</v>
      </c>
      <c r="T17" s="268">
        <f t="shared" si="18"/>
        <v>0.27</v>
      </c>
      <c r="U17" s="268"/>
      <c r="V17" s="268"/>
      <c r="W17" s="268"/>
      <c r="X17" s="226"/>
    </row>
    <row r="18" spans="1:41" ht="15" customHeight="1">
      <c r="A18" s="89" t="s">
        <v>264</v>
      </c>
      <c r="B18" s="518"/>
      <c r="C18" s="518"/>
      <c r="F18" s="241" t="s">
        <v>242</v>
      </c>
      <c r="P18" s="2"/>
      <c r="Q18" s="2"/>
      <c r="R18" s="2"/>
      <c r="S18" s="2"/>
      <c r="T18" s="268"/>
      <c r="U18" s="268"/>
      <c r="V18" s="268"/>
      <c r="W18" s="268"/>
      <c r="X18" s="226"/>
      <c r="Z18" s="31" t="s">
        <v>242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435</v>
      </c>
      <c r="B19" s="163">
        <v>1</v>
      </c>
      <c r="C19" s="122"/>
      <c r="D19" s="78" t="s">
        <v>245</v>
      </c>
      <c r="E19" s="79" t="s">
        <v>169</v>
      </c>
      <c r="F19" s="239" t="s">
        <v>649</v>
      </c>
      <c r="G19" s="265" t="s">
        <v>598</v>
      </c>
      <c r="H19" s="265" t="s">
        <v>599</v>
      </c>
      <c r="I19" s="265" t="s">
        <v>600</v>
      </c>
      <c r="J19" s="265" t="s">
        <v>601</v>
      </c>
      <c r="K19" s="265" t="s">
        <v>602</v>
      </c>
      <c r="L19" s="265" t="s">
        <v>603</v>
      </c>
      <c r="M19" s="265" t="s">
        <v>604</v>
      </c>
      <c r="N19" s="265" t="s">
        <v>605</v>
      </c>
      <c r="O19" s="265" t="s">
        <v>606</v>
      </c>
      <c r="P19" s="265" t="s">
        <v>607</v>
      </c>
      <c r="Q19" s="265" t="s">
        <v>608</v>
      </c>
      <c r="R19" s="265" t="s">
        <v>609</v>
      </c>
      <c r="S19" s="265">
        <v>7</v>
      </c>
      <c r="T19" s="239">
        <v>8</v>
      </c>
      <c r="U19" s="239" t="s">
        <v>830</v>
      </c>
      <c r="V19" s="239" t="s">
        <v>831</v>
      </c>
      <c r="W19" s="239"/>
      <c r="X19" s="221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B20" s="257"/>
      <c r="C20" s="84"/>
      <c r="D20" s="7" t="s">
        <v>265</v>
      </c>
      <c r="E20" s="80" t="s">
        <v>248</v>
      </c>
      <c r="F20" s="164">
        <f>F73</f>
        <v>30</v>
      </c>
      <c r="G20" s="164">
        <f t="shared" ref="G20:T20" si="19">G73</f>
        <v>38</v>
      </c>
      <c r="H20" s="164">
        <f t="shared" si="19"/>
        <v>38</v>
      </c>
      <c r="I20" s="164">
        <f t="shared" si="19"/>
        <v>38</v>
      </c>
      <c r="J20" s="164">
        <f t="shared" si="19"/>
        <v>38</v>
      </c>
      <c r="K20" s="164">
        <f t="shared" si="19"/>
        <v>38</v>
      </c>
      <c r="L20" s="164">
        <f t="shared" si="19"/>
        <v>49</v>
      </c>
      <c r="M20" s="164">
        <f t="shared" si="19"/>
        <v>49</v>
      </c>
      <c r="N20" s="164">
        <f t="shared" si="19"/>
        <v>49</v>
      </c>
      <c r="O20" s="164">
        <f t="shared" si="19"/>
        <v>49</v>
      </c>
      <c r="P20" s="164">
        <f t="shared" si="19"/>
        <v>49</v>
      </c>
      <c r="Q20" s="164">
        <f t="shared" si="19"/>
        <v>49</v>
      </c>
      <c r="R20" s="164">
        <f t="shared" si="19"/>
        <v>49</v>
      </c>
      <c r="S20" s="164">
        <f t="shared" si="19"/>
        <v>49</v>
      </c>
      <c r="T20" s="164">
        <f t="shared" si="19"/>
        <v>49</v>
      </c>
      <c r="U20" s="35">
        <f>G20</f>
        <v>38</v>
      </c>
      <c r="V20" s="35">
        <f>I20</f>
        <v>38</v>
      </c>
      <c r="W20" s="164"/>
      <c r="X20" s="227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257"/>
      <c r="B21" s="257"/>
      <c r="C21" s="84"/>
      <c r="D21" s="36" t="s">
        <v>1339</v>
      </c>
      <c r="E21" s="83" t="s">
        <v>536</v>
      </c>
      <c r="F21" s="423">
        <f>IF(B$19=1,F20,F20*(0.96-0.00347*F20))/RvalConv</f>
        <v>5.2832714016519029</v>
      </c>
      <c r="G21" s="423">
        <f t="shared" ref="G21:V21" si="20">IF(B$20=1,G20,G20*(0.96-0.00347*G20))/RvalConv</f>
        <v>5.5420319461810754</v>
      </c>
      <c r="H21" s="423">
        <f t="shared" si="20"/>
        <v>5.5420319461810754</v>
      </c>
      <c r="I21" s="423">
        <f t="shared" si="20"/>
        <v>5.5420319461810754</v>
      </c>
      <c r="J21" s="423">
        <f t="shared" si="20"/>
        <v>5.5420319461810754</v>
      </c>
      <c r="K21" s="423">
        <f t="shared" si="20"/>
        <v>5.5420319461810754</v>
      </c>
      <c r="L21" s="423">
        <f t="shared" si="20"/>
        <v>6.8169223182994898</v>
      </c>
      <c r="M21" s="423">
        <f t="shared" si="20"/>
        <v>6.8169223182994898</v>
      </c>
      <c r="N21" s="423">
        <f t="shared" si="20"/>
        <v>6.8169223182994898</v>
      </c>
      <c r="O21" s="423">
        <f t="shared" si="20"/>
        <v>6.8169223182994898</v>
      </c>
      <c r="P21" s="423">
        <f t="shared" si="20"/>
        <v>6.8169223182994898</v>
      </c>
      <c r="Q21" s="423">
        <f t="shared" si="20"/>
        <v>6.8169223182994898</v>
      </c>
      <c r="R21" s="423">
        <f t="shared" si="20"/>
        <v>6.8169223182994898</v>
      </c>
      <c r="S21" s="423">
        <f t="shared" si="20"/>
        <v>6.8169223182994898</v>
      </c>
      <c r="T21" s="423">
        <f t="shared" si="20"/>
        <v>6.8169223182994898</v>
      </c>
      <c r="U21" s="423">
        <f t="shared" si="20"/>
        <v>5.5420319461810754</v>
      </c>
      <c r="V21" s="423">
        <f t="shared" si="20"/>
        <v>5.5420319461810754</v>
      </c>
      <c r="W21" s="267"/>
      <c r="X21" s="228">
        <f>IF(S$20=1,X20,X20*(0.96-0.00347*X20))/RvalConv</f>
        <v>5.5420319461810754</v>
      </c>
      <c r="Z21" s="38">
        <f t="shared" ref="Z21:AO21" si="21">IF(U$20=1,Z20,Z20*(0.96-0.00347*Z20))/RvalConv</f>
        <v>6.8169223182994898</v>
      </c>
      <c r="AA21" s="38">
        <f t="shared" si="21"/>
        <v>6.8169223182994898</v>
      </c>
      <c r="AB21" s="38">
        <f t="shared" si="21"/>
        <v>5.5420319461810754</v>
      </c>
      <c r="AC21" s="38">
        <f t="shared" si="21"/>
        <v>5.5420319461810754</v>
      </c>
      <c r="AD21" s="38">
        <f t="shared" si="21"/>
        <v>5.5420319461810754</v>
      </c>
      <c r="AE21" s="38">
        <f t="shared" si="21"/>
        <v>5.5420319461810754</v>
      </c>
      <c r="AF21" s="38">
        <f t="shared" si="21"/>
        <v>5.5420319461810754</v>
      </c>
      <c r="AG21" s="38">
        <f t="shared" si="21"/>
        <v>5.5420319461810754</v>
      </c>
      <c r="AH21" s="38">
        <f t="shared" si="21"/>
        <v>5.5420319461810754</v>
      </c>
      <c r="AI21" s="38">
        <f t="shared" si="21"/>
        <v>6.8169223182994898</v>
      </c>
      <c r="AJ21" s="38">
        <f t="shared" si="21"/>
        <v>6.8169223182994898</v>
      </c>
      <c r="AK21" s="38">
        <f t="shared" si="21"/>
        <v>6.8169223182994898</v>
      </c>
      <c r="AL21" s="38">
        <f t="shared" si="21"/>
        <v>6.8169223182994898</v>
      </c>
      <c r="AM21" s="38">
        <f t="shared" si="21"/>
        <v>6.8169223182994898</v>
      </c>
      <c r="AN21" s="38">
        <f t="shared" si="21"/>
        <v>6.8169223182994898</v>
      </c>
      <c r="AO21" s="38">
        <f t="shared" si="21"/>
        <v>6.8169223182994898</v>
      </c>
    </row>
    <row r="22" spans="1:41" ht="15" customHeight="1">
      <c r="A22" s="13" t="s">
        <v>1348</v>
      </c>
      <c r="F22" s="268"/>
      <c r="P22" s="2"/>
      <c r="Q22" s="2"/>
      <c r="R22" s="2"/>
      <c r="S22" s="2"/>
      <c r="T22" s="268"/>
      <c r="U22" s="268"/>
      <c r="V22" s="268"/>
      <c r="W22" s="268"/>
      <c r="X22" s="226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1" ht="15" customHeight="1" thickBot="1">
      <c r="A23" s="39" t="s">
        <v>266</v>
      </c>
      <c r="F23" s="268"/>
      <c r="P23" s="2"/>
      <c r="Q23" s="2"/>
      <c r="R23" s="2"/>
      <c r="S23" s="2"/>
      <c r="T23" s="268"/>
      <c r="U23" s="268"/>
      <c r="V23" s="268"/>
      <c r="W23" s="268"/>
      <c r="X23" s="226"/>
      <c r="Z23" s="2"/>
      <c r="AA23" s="2"/>
      <c r="AB23" s="2"/>
      <c r="AC23" s="2"/>
      <c r="AD23" s="2"/>
      <c r="AE23" s="2"/>
      <c r="AF23" s="2"/>
      <c r="AG23" s="13"/>
      <c r="AH23" s="2"/>
      <c r="AI23" s="2"/>
      <c r="AJ23" s="2"/>
      <c r="AK23" s="2"/>
      <c r="AL23" s="2"/>
      <c r="AM23" s="2"/>
      <c r="AN23" s="2"/>
    </row>
    <row r="24" spans="1:41" ht="15" customHeight="1" thickBot="1">
      <c r="A24" s="269" t="s">
        <v>1349</v>
      </c>
      <c r="B24" s="519">
        <v>5.6783000000000001</v>
      </c>
      <c r="F24" s="268"/>
      <c r="P24" s="2"/>
      <c r="Q24" s="2"/>
      <c r="R24" s="2"/>
      <c r="S24" s="2"/>
      <c r="T24" s="268"/>
      <c r="U24" s="268"/>
      <c r="V24" s="268"/>
      <c r="W24" s="268"/>
      <c r="X24" s="226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40"/>
      <c r="AK24" s="41"/>
      <c r="AL24" s="41"/>
      <c r="AM24" s="42"/>
      <c r="AN24" s="42"/>
    </row>
    <row r="25" spans="1:41" ht="15" customHeight="1">
      <c r="F25" s="241" t="s">
        <v>242</v>
      </c>
      <c r="P25" s="2"/>
      <c r="Q25" s="2"/>
      <c r="R25" s="2"/>
      <c r="S25" s="2"/>
      <c r="T25" s="268"/>
      <c r="U25" s="268"/>
      <c r="V25" s="268"/>
      <c r="W25" s="268"/>
      <c r="X25" s="226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41"/>
      <c r="AL25" s="41"/>
      <c r="AM25" s="42"/>
      <c r="AN25" s="42"/>
    </row>
    <row r="26" spans="1:41" ht="15" customHeight="1">
      <c r="A26" s="4" t="s">
        <v>267</v>
      </c>
      <c r="D26" s="78" t="s">
        <v>245</v>
      </c>
      <c r="E26" s="79"/>
      <c r="F26" s="239" t="s">
        <v>649</v>
      </c>
      <c r="G26" s="265" t="s">
        <v>598</v>
      </c>
      <c r="H26" s="265" t="s">
        <v>599</v>
      </c>
      <c r="I26" s="265" t="s">
        <v>600</v>
      </c>
      <c r="J26" s="265" t="s">
        <v>601</v>
      </c>
      <c r="K26" s="265" t="s">
        <v>602</v>
      </c>
      <c r="L26" s="265" t="s">
        <v>603</v>
      </c>
      <c r="M26" s="265" t="s">
        <v>604</v>
      </c>
      <c r="N26" s="265" t="s">
        <v>605</v>
      </c>
      <c r="O26" s="265" t="s">
        <v>606</v>
      </c>
      <c r="P26" s="265" t="s">
        <v>607</v>
      </c>
      <c r="Q26" s="265" t="s">
        <v>608</v>
      </c>
      <c r="R26" s="265" t="s">
        <v>609</v>
      </c>
      <c r="S26" s="265">
        <v>7</v>
      </c>
      <c r="T26" s="239">
        <v>8</v>
      </c>
      <c r="U26" s="239" t="s">
        <v>830</v>
      </c>
      <c r="V26" s="239" t="s">
        <v>831</v>
      </c>
      <c r="W26" s="239"/>
      <c r="X26" s="229">
        <v>16</v>
      </c>
    </row>
    <row r="27" spans="1:41" ht="15" customHeight="1">
      <c r="A27" s="91"/>
      <c r="B27" s="22" t="s">
        <v>576</v>
      </c>
      <c r="D27" s="2" t="s">
        <v>268</v>
      </c>
      <c r="E27" s="92" t="s">
        <v>11</v>
      </c>
      <c r="F27" s="424">
        <f>F84</f>
        <v>0.25</v>
      </c>
      <c r="G27" s="424">
        <f t="shared" ref="G27:M27" si="22">G84</f>
        <v>0.25</v>
      </c>
      <c r="H27" s="424">
        <f t="shared" si="22"/>
        <v>0.25</v>
      </c>
      <c r="I27" s="424">
        <f t="shared" si="22"/>
        <v>0.27</v>
      </c>
      <c r="J27" s="424">
        <f t="shared" si="22"/>
        <v>0.27</v>
      </c>
      <c r="K27" s="424">
        <f t="shared" si="22"/>
        <v>0.27</v>
      </c>
      <c r="L27" s="424">
        <f t="shared" si="22"/>
        <v>0.27</v>
      </c>
      <c r="M27" s="424">
        <f t="shared" si="22"/>
        <v>0.27</v>
      </c>
      <c r="N27" s="425">
        <v>0.3</v>
      </c>
      <c r="O27" s="425">
        <v>0.3</v>
      </c>
      <c r="P27" s="425">
        <v>0.3</v>
      </c>
      <c r="Q27" s="425">
        <v>0.3</v>
      </c>
      <c r="R27" s="425">
        <v>0.3</v>
      </c>
      <c r="S27" s="425">
        <v>0.3</v>
      </c>
      <c r="T27" s="426">
        <v>0.35</v>
      </c>
      <c r="U27" s="424">
        <f>G27</f>
        <v>0.25</v>
      </c>
      <c r="V27" s="424">
        <f>I27</f>
        <v>0.27</v>
      </c>
      <c r="W27" s="236"/>
      <c r="X27" s="230">
        <v>0.4</v>
      </c>
      <c r="Z27" s="31" t="s">
        <v>242</v>
      </c>
      <c r="AA27" s="2"/>
      <c r="AB27" s="2"/>
      <c r="AC27" s="2"/>
      <c r="AD27" s="2"/>
      <c r="AE27" s="2"/>
      <c r="AF27" s="2"/>
      <c r="AG27" s="2"/>
      <c r="AH27" s="2"/>
      <c r="AI27" s="2"/>
    </row>
    <row r="28" spans="1:41" ht="15" customHeight="1">
      <c r="A28" s="153" t="s">
        <v>574</v>
      </c>
      <c r="B28" s="154">
        <v>25.6</v>
      </c>
      <c r="C28" s="5"/>
      <c r="D28" s="156" t="s">
        <v>577</v>
      </c>
      <c r="E28" s="80"/>
      <c r="F28" s="242">
        <v>47</v>
      </c>
      <c r="G28" s="250">
        <v>32</v>
      </c>
      <c r="H28" s="250">
        <v>40</v>
      </c>
      <c r="I28" s="250">
        <v>21</v>
      </c>
      <c r="J28" s="250">
        <v>26</v>
      </c>
      <c r="K28" s="250">
        <v>40</v>
      </c>
      <c r="L28" s="250">
        <v>17</v>
      </c>
      <c r="M28" s="250">
        <v>20</v>
      </c>
      <c r="N28" s="250">
        <v>25</v>
      </c>
      <c r="O28" s="250">
        <v>1</v>
      </c>
      <c r="P28" s="250">
        <v>9</v>
      </c>
      <c r="Q28" s="250">
        <v>-4</v>
      </c>
      <c r="R28" s="250">
        <v>-10</v>
      </c>
      <c r="S28" s="250">
        <v>-15</v>
      </c>
      <c r="T28" s="242">
        <v>-47</v>
      </c>
      <c r="U28" s="242"/>
      <c r="V28" s="242"/>
      <c r="W28" s="242"/>
      <c r="X28" s="231">
        <v>17</v>
      </c>
      <c r="Z28" s="78">
        <v>1</v>
      </c>
      <c r="AA28" s="78">
        <v>2</v>
      </c>
      <c r="AB28" s="78">
        <v>3</v>
      </c>
      <c r="AC28" s="78">
        <v>4</v>
      </c>
      <c r="AD28" s="78">
        <v>5</v>
      </c>
      <c r="AE28" s="78">
        <v>6</v>
      </c>
      <c r="AF28" s="78">
        <v>7</v>
      </c>
      <c r="AG28" s="78">
        <v>8</v>
      </c>
      <c r="AH28" s="78">
        <v>9</v>
      </c>
      <c r="AI28" s="78">
        <v>10</v>
      </c>
      <c r="AJ28" s="78">
        <v>11</v>
      </c>
      <c r="AK28" s="78">
        <v>12</v>
      </c>
      <c r="AL28" s="78">
        <v>13</v>
      </c>
      <c r="AM28" s="78">
        <v>14</v>
      </c>
      <c r="AN28" s="78">
        <v>15</v>
      </c>
      <c r="AO28" s="78">
        <v>16</v>
      </c>
    </row>
    <row r="29" spans="1:41" s="126" customFormat="1" ht="15" customHeight="1">
      <c r="A29" s="91" t="s">
        <v>575</v>
      </c>
      <c r="B29" s="42">
        <v>20.7</v>
      </c>
      <c r="C29" s="2"/>
      <c r="D29" s="156" t="s">
        <v>578</v>
      </c>
      <c r="E29" s="157"/>
      <c r="F29" s="238">
        <f>(5/9)*(F28-32)</f>
        <v>8.3333333333333339</v>
      </c>
      <c r="G29" s="249">
        <v>0</v>
      </c>
      <c r="H29" s="249">
        <v>4.4444444444444446</v>
      </c>
      <c r="I29" s="253">
        <v>-6.1111111111111116</v>
      </c>
      <c r="J29" s="253">
        <v>-3.3333333333333335</v>
      </c>
      <c r="K29" s="253">
        <v>4.4444444444444446</v>
      </c>
      <c r="L29" s="253">
        <v>-8.3333333333333339</v>
      </c>
      <c r="M29" s="253">
        <v>-6.666666666666667</v>
      </c>
      <c r="N29" s="253">
        <v>-3.8888888888888893</v>
      </c>
      <c r="O29" s="253">
        <v>-17.222222222222221</v>
      </c>
      <c r="P29" s="253">
        <v>-12.777777777777779</v>
      </c>
      <c r="Q29" s="253">
        <v>-20</v>
      </c>
      <c r="R29" s="253">
        <v>-23.333333333333336</v>
      </c>
      <c r="S29" s="253">
        <v>-26.111111111111111</v>
      </c>
      <c r="T29" s="238">
        <f>(5/9)*(T28-32)</f>
        <v>-43.888888888888893</v>
      </c>
      <c r="U29" s="238"/>
      <c r="V29" s="238"/>
      <c r="W29" s="238"/>
      <c r="X29" s="232">
        <f>(5/9)*(X28-32)</f>
        <v>-8.3333333333333339</v>
      </c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</row>
    <row r="30" spans="1:41" ht="15" customHeight="1">
      <c r="A30" s="84"/>
      <c r="B30" s="42"/>
      <c r="D30" s="159" t="s">
        <v>579</v>
      </c>
      <c r="E30" s="160"/>
      <c r="F30" s="243">
        <f>$B$29-F29</f>
        <v>12.366666666666665</v>
      </c>
      <c r="G30" s="252">
        <v>20.740738888888892</v>
      </c>
      <c r="H30" s="252">
        <v>16.296294444444449</v>
      </c>
      <c r="I30" s="252">
        <v>26.851850000000002</v>
      </c>
      <c r="J30" s="252">
        <v>24.074072222222224</v>
      </c>
      <c r="K30" s="252">
        <v>16.296294444444449</v>
      </c>
      <c r="L30" s="252">
        <v>29.074072222222227</v>
      </c>
      <c r="M30" s="252">
        <v>27.40740555555556</v>
      </c>
      <c r="N30" s="252">
        <v>24.629627777777781</v>
      </c>
      <c r="O30" s="252">
        <v>37.962961111111113</v>
      </c>
      <c r="P30" s="252">
        <v>33.51851666666667</v>
      </c>
      <c r="Q30" s="252">
        <v>40.740738888888892</v>
      </c>
      <c r="R30" s="252">
        <v>44.074072222222227</v>
      </c>
      <c r="S30" s="252">
        <v>46.851849999999999</v>
      </c>
      <c r="T30" s="243">
        <f>$B$29-T29</f>
        <v>64.588888888888889</v>
      </c>
      <c r="U30" s="243"/>
      <c r="V30" s="243"/>
      <c r="W30" s="243"/>
      <c r="X30" s="233">
        <f>$B$29-X29</f>
        <v>29.033333333333331</v>
      </c>
      <c r="Z30" s="43">
        <v>0.4</v>
      </c>
      <c r="AA30" s="43">
        <v>0.4</v>
      </c>
      <c r="AB30" s="43">
        <v>0.4</v>
      </c>
      <c r="AC30" s="43">
        <v>0.4</v>
      </c>
      <c r="AD30" s="43">
        <v>0.4</v>
      </c>
      <c r="AE30" s="43">
        <v>0.4</v>
      </c>
      <c r="AF30" s="43">
        <v>0.4</v>
      </c>
      <c r="AG30" s="43">
        <v>0.4</v>
      </c>
      <c r="AH30" s="43">
        <v>0.4</v>
      </c>
      <c r="AI30" s="43">
        <v>0.4</v>
      </c>
      <c r="AJ30" s="43">
        <v>0.4</v>
      </c>
      <c r="AK30" s="43">
        <v>0.4</v>
      </c>
      <c r="AL30" s="43">
        <v>0.4</v>
      </c>
      <c r="AM30" s="43">
        <v>0.4</v>
      </c>
      <c r="AN30" s="43">
        <v>0.4</v>
      </c>
      <c r="AO30" s="43">
        <v>0.4</v>
      </c>
    </row>
    <row r="31" spans="1:41" s="126" customFormat="1" ht="15" customHeight="1">
      <c r="A31" s="152"/>
      <c r="B31" s="2"/>
      <c r="C31" s="2"/>
      <c r="D31" s="156" t="s">
        <v>580</v>
      </c>
      <c r="E31" s="161"/>
      <c r="F31" s="237">
        <v>90</v>
      </c>
      <c r="G31" s="251">
        <v>95</v>
      </c>
      <c r="H31" s="251">
        <v>108</v>
      </c>
      <c r="I31" s="251">
        <v>94</v>
      </c>
      <c r="J31" s="251">
        <v>99</v>
      </c>
      <c r="K31" s="251">
        <v>78</v>
      </c>
      <c r="L31" s="251">
        <v>91</v>
      </c>
      <c r="M31" s="251">
        <v>94</v>
      </c>
      <c r="N31" s="251">
        <v>87</v>
      </c>
      <c r="O31" s="251">
        <v>89</v>
      </c>
      <c r="P31" s="251">
        <v>94</v>
      </c>
      <c r="Q31" s="251">
        <v>85</v>
      </c>
      <c r="R31" s="251">
        <v>88</v>
      </c>
      <c r="S31" s="251">
        <v>81</v>
      </c>
      <c r="T31" s="237">
        <v>78</v>
      </c>
      <c r="U31" s="237"/>
      <c r="V31" s="237"/>
      <c r="W31" s="237"/>
      <c r="X31" s="234">
        <v>92</v>
      </c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1:41" ht="15" customHeight="1">
      <c r="A32" s="152" t="s">
        <v>262</v>
      </c>
      <c r="B32" s="215" t="s">
        <v>709</v>
      </c>
      <c r="C32" s="215" t="s">
        <v>263</v>
      </c>
      <c r="D32" s="156" t="s">
        <v>581</v>
      </c>
      <c r="E32" s="91"/>
      <c r="F32" s="238">
        <f>(5/9)*(F31-32)</f>
        <v>32.222222222222221</v>
      </c>
      <c r="G32" s="249">
        <v>35</v>
      </c>
      <c r="H32" s="249">
        <v>42.222222222222221</v>
      </c>
      <c r="I32" s="249">
        <v>34.444444444444443</v>
      </c>
      <c r="J32" s="249">
        <v>37.222222222222221</v>
      </c>
      <c r="K32" s="249">
        <v>25.555555555555557</v>
      </c>
      <c r="L32" s="249">
        <v>32.777777777777779</v>
      </c>
      <c r="M32" s="249">
        <v>34.444444444444443</v>
      </c>
      <c r="N32" s="249">
        <v>30.555555555555557</v>
      </c>
      <c r="O32" s="249">
        <v>31.666666666666668</v>
      </c>
      <c r="P32" s="249">
        <v>34.444444444444443</v>
      </c>
      <c r="Q32" s="249">
        <v>29.444444444444446</v>
      </c>
      <c r="R32" s="249">
        <v>31.111111111111114</v>
      </c>
      <c r="S32" s="249">
        <v>27.222222222222225</v>
      </c>
      <c r="T32" s="238">
        <f>(5/9)*(T31-32)</f>
        <v>25.555555555555557</v>
      </c>
      <c r="U32" s="238"/>
      <c r="V32" s="238"/>
      <c r="W32" s="238"/>
      <c r="X32" s="232">
        <f>(5/9)*(X31-32)</f>
        <v>33.333333333333336</v>
      </c>
    </row>
    <row r="33" spans="1:24" s="126" customFormat="1" ht="15" customHeight="1">
      <c r="A33" s="269" t="s">
        <v>738</v>
      </c>
      <c r="B33" s="5"/>
      <c r="C33" s="2"/>
      <c r="D33" s="159" t="s">
        <v>579</v>
      </c>
      <c r="E33" s="86"/>
      <c r="F33" s="243">
        <f>ABS($B$28-F32)</f>
        <v>6.62222222222222</v>
      </c>
      <c r="G33" s="252">
        <v>9.375</v>
      </c>
      <c r="H33" s="252">
        <v>16.597222222222221</v>
      </c>
      <c r="I33" s="252">
        <v>8.8194444444444429</v>
      </c>
      <c r="J33" s="252">
        <v>11.597222222222221</v>
      </c>
      <c r="K33" s="252">
        <v>6.9444444444442865E-2</v>
      </c>
      <c r="L33" s="252">
        <v>7.1527777777777786</v>
      </c>
      <c r="M33" s="252">
        <v>8.8194444444444429</v>
      </c>
      <c r="N33" s="252">
        <v>4.9305555555555571</v>
      </c>
      <c r="O33" s="252">
        <v>6.0416666666666679</v>
      </c>
      <c r="P33" s="252">
        <v>8.8194444444444429</v>
      </c>
      <c r="Q33" s="252">
        <v>3.8194444444444464</v>
      </c>
      <c r="R33" s="252">
        <v>5.4861111111111143</v>
      </c>
      <c r="S33" s="252">
        <v>1.597222222222225</v>
      </c>
      <c r="T33" s="243">
        <f>ABS($B$28-T32)</f>
        <v>4.4444444444444287E-2</v>
      </c>
      <c r="U33" s="243"/>
      <c r="V33" s="243"/>
      <c r="W33" s="243"/>
      <c r="X33" s="233">
        <f>ABS($B$28-X32)</f>
        <v>7.7333333333333343</v>
      </c>
    </row>
    <row r="34" spans="1:24" s="126" customFormat="1" ht="15" customHeight="1">
      <c r="C34" s="2"/>
      <c r="D34" s="156" t="s">
        <v>582</v>
      </c>
      <c r="E34" s="80"/>
      <c r="F34" s="244">
        <f t="shared" ref="F34:T34" si="23">$B$13*$K$58*F30</f>
        <v>1049.3897904195267</v>
      </c>
      <c r="G34" s="162">
        <f t="shared" si="23"/>
        <v>1759.9827198725532</v>
      </c>
      <c r="H34" s="162">
        <f t="shared" si="23"/>
        <v>1382.8435319410073</v>
      </c>
      <c r="I34" s="162">
        <f t="shared" si="23"/>
        <v>2278.5491032784289</v>
      </c>
      <c r="J34" s="162">
        <f t="shared" si="23"/>
        <v>2042.8371108212127</v>
      </c>
      <c r="K34" s="162">
        <f t="shared" si="23"/>
        <v>1382.8435319410073</v>
      </c>
      <c r="L34" s="162">
        <f t="shared" si="23"/>
        <v>2467.1186972442024</v>
      </c>
      <c r="M34" s="162">
        <f t="shared" si="23"/>
        <v>2325.6915017698725</v>
      </c>
      <c r="N34" s="162">
        <f t="shared" si="23"/>
        <v>2089.9795093126559</v>
      </c>
      <c r="O34" s="162">
        <f t="shared" si="23"/>
        <v>3221.3970731072941</v>
      </c>
      <c r="P34" s="162">
        <f t="shared" si="23"/>
        <v>2844.257885175748</v>
      </c>
      <c r="Q34" s="162">
        <f t="shared" si="23"/>
        <v>3457.1090655645103</v>
      </c>
      <c r="R34" s="162">
        <f t="shared" si="23"/>
        <v>3739.9634565131701</v>
      </c>
      <c r="S34" s="162">
        <f t="shared" si="23"/>
        <v>3975.6754489703858</v>
      </c>
      <c r="T34" s="244">
        <f t="shared" si="23"/>
        <v>5480.7752486151921</v>
      </c>
      <c r="U34" s="244"/>
      <c r="V34" s="244"/>
      <c r="W34" s="244"/>
      <c r="X34" s="235">
        <f>$B$13*$K$58*X30</f>
        <v>2463.661745162824</v>
      </c>
    </row>
    <row r="35" spans="1:24" s="126" customFormat="1" ht="15" customHeight="1">
      <c r="C35" s="2"/>
      <c r="D35" s="156"/>
      <c r="E35" s="80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49"/>
      <c r="V35" s="249"/>
      <c r="W35" s="249"/>
      <c r="X35" s="8"/>
    </row>
    <row r="36" spans="1:24" s="126" customFormat="1" ht="15" customHeight="1">
      <c r="C36" s="2"/>
      <c r="D36" s="2"/>
      <c r="E36" s="2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49"/>
      <c r="V36" s="249"/>
      <c r="W36" s="249"/>
      <c r="X36" s="8"/>
    </row>
    <row r="38" spans="1:24" ht="15" customHeight="1">
      <c r="D38" s="266" t="s">
        <v>245</v>
      </c>
      <c r="E38" s="79" t="s">
        <v>169</v>
      </c>
      <c r="F38" s="239" t="s">
        <v>649</v>
      </c>
      <c r="G38" s="273" t="s">
        <v>598</v>
      </c>
      <c r="H38" s="273" t="s">
        <v>599</v>
      </c>
      <c r="I38" s="273" t="s">
        <v>600</v>
      </c>
      <c r="J38" s="273" t="s">
        <v>601</v>
      </c>
      <c r="K38" s="273" t="s">
        <v>602</v>
      </c>
      <c r="L38" s="273" t="s">
        <v>603</v>
      </c>
      <c r="M38" s="273" t="s">
        <v>604</v>
      </c>
      <c r="N38" s="273" t="s">
        <v>605</v>
      </c>
      <c r="O38" s="273" t="s">
        <v>606</v>
      </c>
      <c r="P38" s="273" t="s">
        <v>607</v>
      </c>
      <c r="Q38" s="273" t="s">
        <v>608</v>
      </c>
      <c r="R38" s="273" t="s">
        <v>609</v>
      </c>
      <c r="S38" s="273">
        <v>7</v>
      </c>
      <c r="T38" s="239">
        <v>8</v>
      </c>
      <c r="U38" s="301"/>
      <c r="V38" s="301"/>
      <c r="W38" s="301"/>
    </row>
    <row r="39" spans="1:24" ht="15" customHeight="1">
      <c r="D39" s="215" t="s">
        <v>247</v>
      </c>
      <c r="E39" s="80" t="s">
        <v>248</v>
      </c>
      <c r="F39" s="255">
        <v>13</v>
      </c>
      <c r="G39" s="246">
        <v>13</v>
      </c>
      <c r="H39" s="246">
        <v>13</v>
      </c>
      <c r="I39" s="246">
        <v>13</v>
      </c>
      <c r="J39" s="246">
        <v>13</v>
      </c>
      <c r="K39" s="246">
        <v>13</v>
      </c>
      <c r="L39" s="246">
        <v>13</v>
      </c>
      <c r="M39" s="246">
        <v>13</v>
      </c>
      <c r="N39" s="246">
        <v>20</v>
      </c>
      <c r="O39" s="246">
        <v>20</v>
      </c>
      <c r="P39" s="246">
        <v>20</v>
      </c>
      <c r="Q39" s="246">
        <v>20</v>
      </c>
      <c r="R39" s="246">
        <v>20</v>
      </c>
      <c r="S39" s="246">
        <v>21</v>
      </c>
      <c r="T39" s="255">
        <v>21</v>
      </c>
      <c r="U39" s="255"/>
      <c r="V39" s="255"/>
      <c r="W39" s="255"/>
    </row>
    <row r="40" spans="1:24" ht="15" customHeight="1">
      <c r="D40" s="215" t="s">
        <v>250</v>
      </c>
      <c r="E40" s="80" t="s">
        <v>248</v>
      </c>
      <c r="F40" s="255">
        <v>1.5</v>
      </c>
      <c r="G40" s="247">
        <v>1.5384615384615383</v>
      </c>
      <c r="H40" s="247">
        <v>1.5384615384615383</v>
      </c>
      <c r="I40" s="247">
        <v>2</v>
      </c>
      <c r="J40" s="247">
        <v>2</v>
      </c>
      <c r="K40" s="247">
        <v>2</v>
      </c>
      <c r="L40" s="247">
        <v>2.8571428571428572</v>
      </c>
      <c r="M40" s="247">
        <v>2.8571428571428572</v>
      </c>
      <c r="N40" s="247">
        <v>2.8571428571428572</v>
      </c>
      <c r="O40" s="247">
        <v>2.8571428571428572</v>
      </c>
      <c r="P40" s="247">
        <v>2.8571428571428572</v>
      </c>
      <c r="Q40" s="247">
        <v>2.8571428571428572</v>
      </c>
      <c r="R40" s="247">
        <v>2.8571428571428572</v>
      </c>
      <c r="S40" s="247">
        <v>2.8571428571428572</v>
      </c>
      <c r="T40" s="255">
        <v>2.9</v>
      </c>
      <c r="U40" s="255"/>
      <c r="V40" s="255"/>
      <c r="W40" s="255"/>
    </row>
    <row r="41" spans="1:24" ht="15" customHeight="1">
      <c r="D41" s="215" t="s">
        <v>252</v>
      </c>
      <c r="E41" s="80" t="s">
        <v>248</v>
      </c>
      <c r="F41" s="255">
        <v>13</v>
      </c>
      <c r="G41" s="246">
        <v>13</v>
      </c>
      <c r="H41" s="246">
        <v>13</v>
      </c>
      <c r="I41" s="246">
        <v>19</v>
      </c>
      <c r="J41" s="246">
        <v>19</v>
      </c>
      <c r="K41" s="246">
        <v>19</v>
      </c>
      <c r="L41" s="246">
        <v>19</v>
      </c>
      <c r="M41" s="246">
        <v>19</v>
      </c>
      <c r="N41" s="246">
        <v>19</v>
      </c>
      <c r="O41" s="246">
        <v>30</v>
      </c>
      <c r="P41" s="246">
        <v>30</v>
      </c>
      <c r="Q41" s="246">
        <v>30</v>
      </c>
      <c r="R41" s="246">
        <v>30</v>
      </c>
      <c r="S41" s="246">
        <v>38</v>
      </c>
      <c r="T41" s="255">
        <v>38</v>
      </c>
      <c r="U41" s="255"/>
      <c r="V41" s="255"/>
      <c r="W41" s="255"/>
    </row>
    <row r="42" spans="1:24" ht="15" customHeight="1">
      <c r="D42" s="215" t="s">
        <v>594</v>
      </c>
      <c r="E42" s="80" t="s">
        <v>254</v>
      </c>
      <c r="F42" s="240">
        <f t="shared" ref="F42:T42" si="24">$B$13*$K$58</f>
        <v>84.85631728459785</v>
      </c>
      <c r="G42" s="130">
        <f t="shared" si="24"/>
        <v>84.85631728459785</v>
      </c>
      <c r="H42" s="130">
        <f t="shared" si="24"/>
        <v>84.85631728459785</v>
      </c>
      <c r="I42" s="130">
        <f t="shared" si="24"/>
        <v>84.85631728459785</v>
      </c>
      <c r="J42" s="130">
        <f t="shared" si="24"/>
        <v>84.85631728459785</v>
      </c>
      <c r="K42" s="130">
        <f t="shared" si="24"/>
        <v>84.85631728459785</v>
      </c>
      <c r="L42" s="130">
        <f t="shared" si="24"/>
        <v>84.85631728459785</v>
      </c>
      <c r="M42" s="130">
        <f t="shared" si="24"/>
        <v>84.85631728459785</v>
      </c>
      <c r="N42" s="130">
        <f t="shared" si="24"/>
        <v>84.85631728459785</v>
      </c>
      <c r="O42" s="130">
        <f t="shared" si="24"/>
        <v>84.85631728459785</v>
      </c>
      <c r="P42" s="130">
        <f t="shared" si="24"/>
        <v>84.85631728459785</v>
      </c>
      <c r="Q42" s="130">
        <f t="shared" si="24"/>
        <v>84.85631728459785</v>
      </c>
      <c r="R42" s="130">
        <f t="shared" si="24"/>
        <v>84.85631728459785</v>
      </c>
      <c r="S42" s="130">
        <f t="shared" si="24"/>
        <v>84.85631728459785</v>
      </c>
      <c r="T42" s="240">
        <f t="shared" si="24"/>
        <v>84.85631728459785</v>
      </c>
      <c r="U42" s="240"/>
      <c r="V42" s="240"/>
      <c r="W42" s="240"/>
    </row>
    <row r="43" spans="1:24" ht="15" customHeight="1">
      <c r="D43" s="215" t="s">
        <v>253</v>
      </c>
      <c r="E43" s="81" t="s">
        <v>254</v>
      </c>
      <c r="F43" s="245">
        <f>(1/F39)*$B$6*RvalConv*$C$6</f>
        <v>53.076031043076924</v>
      </c>
      <c r="G43" s="35">
        <f t="shared" ref="G43:T43" si="25">1/G39*$B$6*RvalConv*$C$6</f>
        <v>53.076031043076924</v>
      </c>
      <c r="H43" s="35">
        <f t="shared" si="25"/>
        <v>53.076031043076924</v>
      </c>
      <c r="I43" s="35">
        <f t="shared" si="25"/>
        <v>53.076031043076924</v>
      </c>
      <c r="J43" s="35">
        <f t="shared" si="25"/>
        <v>53.076031043076924</v>
      </c>
      <c r="K43" s="35">
        <f t="shared" si="25"/>
        <v>53.076031043076924</v>
      </c>
      <c r="L43" s="35">
        <f t="shared" si="25"/>
        <v>53.076031043076924</v>
      </c>
      <c r="M43" s="35">
        <f t="shared" si="25"/>
        <v>53.076031043076924</v>
      </c>
      <c r="N43" s="35">
        <f t="shared" si="25"/>
        <v>34.499420178000001</v>
      </c>
      <c r="O43" s="35">
        <f t="shared" si="25"/>
        <v>34.499420178000001</v>
      </c>
      <c r="P43" s="35">
        <f t="shared" si="25"/>
        <v>34.499420178000001</v>
      </c>
      <c r="Q43" s="35">
        <f t="shared" si="25"/>
        <v>34.499420178000001</v>
      </c>
      <c r="R43" s="35">
        <f t="shared" si="25"/>
        <v>34.499420178000001</v>
      </c>
      <c r="S43" s="35">
        <f t="shared" si="25"/>
        <v>32.856590645714284</v>
      </c>
      <c r="T43" s="245">
        <f t="shared" si="25"/>
        <v>32.856590645714284</v>
      </c>
      <c r="U43" s="245"/>
      <c r="V43" s="245"/>
      <c r="W43" s="245"/>
    </row>
    <row r="44" spans="1:24" ht="15" customHeight="1">
      <c r="D44" s="215" t="s">
        <v>255</v>
      </c>
      <c r="E44" s="81" t="s">
        <v>254</v>
      </c>
      <c r="F44" s="245">
        <f t="shared" ref="F44:T44" si="26">1/F40*$B$7*RvalConv*$C$7</f>
        <v>147.70393960000001</v>
      </c>
      <c r="G44" s="35">
        <f t="shared" si="26"/>
        <v>144.01134111000002</v>
      </c>
      <c r="H44" s="35">
        <f t="shared" si="26"/>
        <v>144.01134111000002</v>
      </c>
      <c r="I44" s="35">
        <f t="shared" si="26"/>
        <v>110.77795470000001</v>
      </c>
      <c r="J44" s="35">
        <f t="shared" si="26"/>
        <v>110.77795470000001</v>
      </c>
      <c r="K44" s="35">
        <f t="shared" si="26"/>
        <v>110.77795470000001</v>
      </c>
      <c r="L44" s="35">
        <f t="shared" si="26"/>
        <v>77.544568290000001</v>
      </c>
      <c r="M44" s="35">
        <f t="shared" si="26"/>
        <v>77.544568290000001</v>
      </c>
      <c r="N44" s="35">
        <f t="shared" si="26"/>
        <v>77.544568290000001</v>
      </c>
      <c r="O44" s="35">
        <f t="shared" si="26"/>
        <v>77.544568290000001</v>
      </c>
      <c r="P44" s="35">
        <f t="shared" si="26"/>
        <v>77.544568290000001</v>
      </c>
      <c r="Q44" s="35">
        <f t="shared" si="26"/>
        <v>77.544568290000001</v>
      </c>
      <c r="R44" s="35">
        <f t="shared" si="26"/>
        <v>77.544568290000001</v>
      </c>
      <c r="S44" s="35">
        <f t="shared" si="26"/>
        <v>77.544568290000001</v>
      </c>
      <c r="T44" s="245">
        <f t="shared" si="26"/>
        <v>76.398589448275871</v>
      </c>
      <c r="U44" s="245"/>
      <c r="V44" s="245"/>
      <c r="W44" s="245"/>
    </row>
    <row r="45" spans="1:24" ht="15" customHeight="1">
      <c r="D45" s="215" t="s">
        <v>256</v>
      </c>
      <c r="E45" s="81" t="s">
        <v>254</v>
      </c>
      <c r="F45" s="245">
        <f t="shared" ref="F45:T45" si="27">1/F41*$B$8*RvalConv*$C$8</f>
        <v>85.21381130769231</v>
      </c>
      <c r="G45" s="35">
        <f t="shared" si="27"/>
        <v>85.21381130769231</v>
      </c>
      <c r="H45" s="35">
        <f t="shared" si="27"/>
        <v>85.21381130769231</v>
      </c>
      <c r="I45" s="35">
        <f t="shared" si="27"/>
        <v>58.304186684210528</v>
      </c>
      <c r="J45" s="35">
        <f t="shared" si="27"/>
        <v>58.304186684210528</v>
      </c>
      <c r="K45" s="35">
        <f t="shared" si="27"/>
        <v>58.304186684210528</v>
      </c>
      <c r="L45" s="35">
        <f t="shared" si="27"/>
        <v>58.304186684210528</v>
      </c>
      <c r="M45" s="35">
        <f t="shared" si="27"/>
        <v>58.304186684210528</v>
      </c>
      <c r="N45" s="35">
        <f t="shared" si="27"/>
        <v>58.304186684210528</v>
      </c>
      <c r="O45" s="35">
        <f t="shared" si="27"/>
        <v>36.925984900000003</v>
      </c>
      <c r="P45" s="35">
        <f t="shared" si="27"/>
        <v>36.925984900000003</v>
      </c>
      <c r="Q45" s="35">
        <f t="shared" si="27"/>
        <v>36.925984900000003</v>
      </c>
      <c r="R45" s="35">
        <f t="shared" si="27"/>
        <v>36.925984900000003</v>
      </c>
      <c r="S45" s="35">
        <f t="shared" si="27"/>
        <v>29.152093342105264</v>
      </c>
      <c r="T45" s="245">
        <f t="shared" si="27"/>
        <v>29.152093342105264</v>
      </c>
      <c r="U45" s="245"/>
      <c r="V45" s="245"/>
      <c r="W45" s="245"/>
    </row>
    <row r="46" spans="1:24" ht="15" customHeight="1">
      <c r="D46" s="215" t="s">
        <v>257</v>
      </c>
      <c r="E46" s="81" t="s">
        <v>254</v>
      </c>
      <c r="F46" s="245">
        <f t="shared" ref="F46:T46" si="28">20*RvalConv*0.3048^2</f>
        <v>10.550626640640001</v>
      </c>
      <c r="G46" s="35">
        <f t="shared" si="28"/>
        <v>10.550626640640001</v>
      </c>
      <c r="H46" s="35">
        <f t="shared" si="28"/>
        <v>10.550626640640001</v>
      </c>
      <c r="I46" s="35">
        <f t="shared" si="28"/>
        <v>10.550626640640001</v>
      </c>
      <c r="J46" s="35">
        <f t="shared" si="28"/>
        <v>10.550626640640001</v>
      </c>
      <c r="K46" s="35">
        <f t="shared" si="28"/>
        <v>10.550626640640001</v>
      </c>
      <c r="L46" s="35">
        <f t="shared" si="28"/>
        <v>10.550626640640001</v>
      </c>
      <c r="M46" s="35">
        <f t="shared" si="28"/>
        <v>10.550626640640001</v>
      </c>
      <c r="N46" s="35">
        <f t="shared" si="28"/>
        <v>10.550626640640001</v>
      </c>
      <c r="O46" s="35">
        <f t="shared" si="28"/>
        <v>10.550626640640001</v>
      </c>
      <c r="P46" s="35">
        <f t="shared" si="28"/>
        <v>10.550626640640001</v>
      </c>
      <c r="Q46" s="35">
        <f t="shared" si="28"/>
        <v>10.550626640640001</v>
      </c>
      <c r="R46" s="35">
        <f t="shared" si="28"/>
        <v>10.550626640640001</v>
      </c>
      <c r="S46" s="35">
        <f t="shared" si="28"/>
        <v>10.550626640640001</v>
      </c>
      <c r="T46" s="245">
        <f t="shared" si="28"/>
        <v>10.550626640640001</v>
      </c>
      <c r="U46" s="245"/>
      <c r="V46" s="245"/>
      <c r="W46" s="245"/>
    </row>
    <row r="47" spans="1:24" ht="15" customHeight="1">
      <c r="D47" s="36" t="s">
        <v>258</v>
      </c>
      <c r="E47" s="82" t="s">
        <v>254</v>
      </c>
      <c r="F47" s="262">
        <f>IF($B$12=0,SUM(F43:F46),SUM(F42,F43,F44,F46))</f>
        <v>296.54440859140925</v>
      </c>
      <c r="G47" s="262">
        <f t="shared" ref="G47:T47" si="29">IF($B$12=0,SUM(G43:G46),SUM(G42,G43,G44,G46))</f>
        <v>292.85181010140928</v>
      </c>
      <c r="H47" s="262">
        <f t="shared" si="29"/>
        <v>292.85181010140928</v>
      </c>
      <c r="I47" s="262">
        <f t="shared" si="29"/>
        <v>232.70879906792743</v>
      </c>
      <c r="J47" s="262">
        <f t="shared" si="29"/>
        <v>232.70879906792743</v>
      </c>
      <c r="K47" s="262">
        <f t="shared" si="29"/>
        <v>232.70879906792743</v>
      </c>
      <c r="L47" s="262">
        <f t="shared" si="29"/>
        <v>199.47541265792745</v>
      </c>
      <c r="M47" s="262">
        <f t="shared" si="29"/>
        <v>199.47541265792745</v>
      </c>
      <c r="N47" s="262">
        <f t="shared" si="29"/>
        <v>180.89880179285052</v>
      </c>
      <c r="O47" s="262">
        <f t="shared" si="29"/>
        <v>159.52060000864</v>
      </c>
      <c r="P47" s="262">
        <f t="shared" si="29"/>
        <v>159.52060000864</v>
      </c>
      <c r="Q47" s="262">
        <f t="shared" si="29"/>
        <v>159.52060000864</v>
      </c>
      <c r="R47" s="262">
        <f t="shared" si="29"/>
        <v>159.52060000864</v>
      </c>
      <c r="S47" s="262">
        <f t="shared" si="29"/>
        <v>150.10387891845954</v>
      </c>
      <c r="T47" s="262">
        <f t="shared" si="29"/>
        <v>148.95790007673543</v>
      </c>
      <c r="U47" s="262"/>
      <c r="V47" s="262"/>
      <c r="W47" s="262"/>
    </row>
    <row r="48" spans="1:24" ht="15" customHeight="1">
      <c r="D48" s="36" t="s">
        <v>260</v>
      </c>
      <c r="E48" s="82" t="s">
        <v>254</v>
      </c>
      <c r="F48" s="262">
        <f>SUM(F43,F44,F46)</f>
        <v>211.33059728371691</v>
      </c>
      <c r="G48" s="262">
        <f t="shared" ref="G48:T48" si="30">SUM(G43,G44,G46)</f>
        <v>207.63799879371695</v>
      </c>
      <c r="H48" s="262">
        <f t="shared" si="30"/>
        <v>207.63799879371695</v>
      </c>
      <c r="I48" s="262">
        <f t="shared" si="30"/>
        <v>174.40461238371691</v>
      </c>
      <c r="J48" s="262">
        <f t="shared" si="30"/>
        <v>174.40461238371691</v>
      </c>
      <c r="K48" s="262">
        <f t="shared" si="30"/>
        <v>174.40461238371691</v>
      </c>
      <c r="L48" s="262">
        <f t="shared" si="30"/>
        <v>141.17122597371693</v>
      </c>
      <c r="M48" s="262">
        <f t="shared" si="30"/>
        <v>141.17122597371693</v>
      </c>
      <c r="N48" s="262">
        <f t="shared" si="30"/>
        <v>122.59461510864001</v>
      </c>
      <c r="O48" s="262">
        <f t="shared" si="30"/>
        <v>122.59461510864001</v>
      </c>
      <c r="P48" s="262">
        <f t="shared" si="30"/>
        <v>122.59461510864001</v>
      </c>
      <c r="Q48" s="262">
        <f t="shared" si="30"/>
        <v>122.59461510864001</v>
      </c>
      <c r="R48" s="262">
        <f t="shared" si="30"/>
        <v>122.59461510864001</v>
      </c>
      <c r="S48" s="262">
        <f t="shared" si="30"/>
        <v>120.95178557635428</v>
      </c>
      <c r="T48" s="262">
        <f t="shared" si="30"/>
        <v>119.80580673463017</v>
      </c>
      <c r="U48" s="262"/>
      <c r="V48" s="262"/>
      <c r="W48" s="262"/>
    </row>
    <row r="54" spans="2:24" ht="15" customHeight="1">
      <c r="H54" s="147"/>
      <c r="I54" s="147"/>
      <c r="J54" s="147"/>
      <c r="S54" s="16"/>
      <c r="T54" s="16"/>
      <c r="U54" s="16"/>
      <c r="V54" s="16"/>
      <c r="W54" s="16"/>
    </row>
    <row r="55" spans="2:24" ht="15" customHeight="1">
      <c r="D55" s="530" t="s">
        <v>571</v>
      </c>
      <c r="E55" s="527"/>
      <c r="F55" s="531"/>
      <c r="G55" s="526" t="s">
        <v>564</v>
      </c>
      <c r="H55" s="527"/>
      <c r="I55" s="528"/>
      <c r="J55" s="529"/>
      <c r="K55" s="148" t="s">
        <v>562</v>
      </c>
      <c r="L55" s="149"/>
      <c r="N55" s="174" t="s">
        <v>588</v>
      </c>
      <c r="O55" s="78"/>
      <c r="P55" s="105"/>
      <c r="Q55" s="104"/>
      <c r="R55" s="177" t="s">
        <v>589</v>
      </c>
      <c r="S55" s="176"/>
      <c r="T55" s="176"/>
      <c r="U55" s="176"/>
      <c r="V55" s="176"/>
      <c r="W55" s="176"/>
      <c r="X55" s="105" t="s">
        <v>593</v>
      </c>
    </row>
    <row r="56" spans="2:24" ht="15" customHeight="1">
      <c r="D56" s="521" t="s">
        <v>563</v>
      </c>
      <c r="E56" s="522"/>
      <c r="F56" s="523"/>
      <c r="G56" s="524" t="s">
        <v>565</v>
      </c>
      <c r="H56" s="522"/>
      <c r="I56" s="525"/>
      <c r="J56" s="523"/>
      <c r="K56" s="520">
        <v>1.17</v>
      </c>
      <c r="L56" s="520"/>
      <c r="N56" s="156" t="s">
        <v>590</v>
      </c>
      <c r="Q56" s="91"/>
      <c r="R56" s="5">
        <v>0.1</v>
      </c>
      <c r="S56" s="16" t="s">
        <v>592</v>
      </c>
      <c r="T56" s="16"/>
      <c r="U56" s="16"/>
      <c r="V56" s="16"/>
      <c r="W56" s="16"/>
      <c r="X56" s="5">
        <f>1/(R56+0.12)</f>
        <v>4.5454545454545459</v>
      </c>
    </row>
    <row r="57" spans="2:24" ht="15" customHeight="1">
      <c r="D57" s="521"/>
      <c r="E57" s="522"/>
      <c r="F57" s="523"/>
      <c r="G57" s="524" t="s">
        <v>566</v>
      </c>
      <c r="H57" s="522"/>
      <c r="I57" s="525"/>
      <c r="J57" s="523"/>
      <c r="K57" s="520">
        <v>0.86</v>
      </c>
      <c r="L57" s="520"/>
      <c r="N57" s="175" t="s">
        <v>591</v>
      </c>
      <c r="S57" s="16"/>
      <c r="T57" s="16"/>
      <c r="U57" s="16"/>
      <c r="V57" s="16"/>
      <c r="W57" s="16"/>
    </row>
    <row r="58" spans="2:24" ht="15" customHeight="1">
      <c r="D58" s="521" t="s">
        <v>567</v>
      </c>
      <c r="E58" s="522"/>
      <c r="F58" s="523"/>
      <c r="G58" s="524" t="s">
        <v>565</v>
      </c>
      <c r="H58" s="522"/>
      <c r="I58" s="525"/>
      <c r="J58" s="523"/>
      <c r="K58" s="520">
        <v>1.45</v>
      </c>
      <c r="L58" s="520"/>
      <c r="S58" s="16"/>
      <c r="T58" s="16"/>
      <c r="U58" s="16"/>
      <c r="V58" s="16"/>
      <c r="W58" s="16"/>
    </row>
    <row r="59" spans="2:24" ht="15" customHeight="1">
      <c r="D59" s="521"/>
      <c r="E59" s="522"/>
      <c r="F59" s="523"/>
      <c r="G59" s="524" t="s">
        <v>566</v>
      </c>
      <c r="H59" s="522"/>
      <c r="I59" s="525"/>
      <c r="J59" s="523"/>
      <c r="K59" s="520">
        <v>0.85</v>
      </c>
      <c r="L59" s="520"/>
      <c r="S59" s="16"/>
      <c r="T59" s="16"/>
      <c r="U59" s="16"/>
      <c r="V59" s="16"/>
      <c r="W59" s="16"/>
    </row>
    <row r="60" spans="2:24" ht="15" customHeight="1">
      <c r="D60" s="521" t="s">
        <v>568</v>
      </c>
      <c r="E60" s="522"/>
      <c r="F60" s="523"/>
      <c r="G60" s="524" t="s">
        <v>565</v>
      </c>
      <c r="H60" s="522"/>
      <c r="I60" s="525"/>
      <c r="J60" s="523"/>
      <c r="K60" s="520">
        <v>2.0699999999999998</v>
      </c>
      <c r="L60" s="520"/>
      <c r="S60" s="16"/>
      <c r="T60" s="16"/>
      <c r="U60" s="16"/>
      <c r="V60" s="16"/>
      <c r="W60" s="16"/>
    </row>
    <row r="61" spans="2:24" ht="15" customHeight="1">
      <c r="B61" s="2"/>
      <c r="D61" s="521"/>
      <c r="E61" s="522"/>
      <c r="F61" s="523"/>
      <c r="G61" s="524" t="s">
        <v>566</v>
      </c>
      <c r="H61" s="522"/>
      <c r="I61" s="525"/>
      <c r="J61" s="523"/>
      <c r="K61" s="520">
        <v>0.92</v>
      </c>
      <c r="L61" s="520"/>
      <c r="S61" s="16"/>
      <c r="T61" s="16"/>
      <c r="U61" s="16"/>
      <c r="V61" s="16"/>
      <c r="W61" s="16"/>
    </row>
    <row r="62" spans="2:24" ht="15" customHeight="1">
      <c r="D62" s="521" t="s">
        <v>569</v>
      </c>
      <c r="E62" s="522"/>
      <c r="F62" s="523"/>
      <c r="G62" s="524" t="s">
        <v>565</v>
      </c>
      <c r="H62" s="522"/>
      <c r="I62" s="525"/>
      <c r="J62" s="523"/>
      <c r="K62" s="520">
        <v>3.67</v>
      </c>
      <c r="L62" s="520"/>
      <c r="S62" s="16"/>
      <c r="T62" s="16"/>
      <c r="U62" s="16"/>
      <c r="V62" s="16"/>
      <c r="W62" s="16"/>
    </row>
    <row r="63" spans="2:24" ht="15" customHeight="1">
      <c r="D63" s="521" t="s">
        <v>570</v>
      </c>
      <c r="E63" s="522"/>
      <c r="F63" s="523"/>
      <c r="G63" s="524" t="s">
        <v>566</v>
      </c>
      <c r="H63" s="522"/>
      <c r="I63" s="525"/>
      <c r="J63" s="523"/>
      <c r="K63" s="520">
        <v>1.24</v>
      </c>
      <c r="L63" s="520"/>
    </row>
    <row r="64" spans="2:24" ht="15" customHeight="1">
      <c r="D64" s="150" t="s">
        <v>572</v>
      </c>
    </row>
    <row r="68" spans="4:25" ht="15" customHeight="1">
      <c r="Y68" s="269" t="s">
        <v>697</v>
      </c>
    </row>
    <row r="70" spans="4:25" ht="15" customHeight="1">
      <c r="D70" s="283" t="s">
        <v>664</v>
      </c>
      <c r="F70" s="239" t="s">
        <v>649</v>
      </c>
      <c r="G70" s="273" t="s">
        <v>598</v>
      </c>
      <c r="H70" s="273" t="s">
        <v>599</v>
      </c>
      <c r="I70" s="273" t="s">
        <v>600</v>
      </c>
      <c r="J70" s="273" t="s">
        <v>601</v>
      </c>
      <c r="K70" s="273" t="s">
        <v>602</v>
      </c>
      <c r="L70" s="273" t="s">
        <v>603</v>
      </c>
      <c r="M70" s="273" t="s">
        <v>604</v>
      </c>
      <c r="N70" s="273" t="s">
        <v>605</v>
      </c>
      <c r="O70" s="273" t="s">
        <v>606</v>
      </c>
      <c r="P70" s="273" t="s">
        <v>607</v>
      </c>
      <c r="Q70" s="273" t="s">
        <v>608</v>
      </c>
      <c r="R70" s="273" t="s">
        <v>609</v>
      </c>
      <c r="S70" s="273">
        <v>7</v>
      </c>
      <c r="T70" s="239">
        <v>8</v>
      </c>
      <c r="U70" s="301"/>
      <c r="V70" s="301"/>
      <c r="W70" s="301"/>
      <c r="Y70" s="269" t="s">
        <v>689</v>
      </c>
    </row>
    <row r="71" spans="4:25" ht="15" customHeight="1">
      <c r="E71" s="215" t="s">
        <v>665</v>
      </c>
      <c r="F71" s="2">
        <v>0.65</v>
      </c>
      <c r="G71" s="2">
        <v>0.4</v>
      </c>
      <c r="H71" s="2">
        <v>0.35</v>
      </c>
      <c r="I71" s="215">
        <v>0.35</v>
      </c>
      <c r="J71" s="215">
        <v>0.35</v>
      </c>
      <c r="K71" s="215">
        <v>0.35</v>
      </c>
      <c r="L71" s="215">
        <v>0.35</v>
      </c>
      <c r="M71" s="215">
        <v>0.35</v>
      </c>
      <c r="N71" s="2">
        <v>0.32</v>
      </c>
      <c r="O71" s="2">
        <v>0.32</v>
      </c>
      <c r="P71" s="215">
        <v>0.32</v>
      </c>
      <c r="Q71" s="215">
        <v>0.32</v>
      </c>
      <c r="R71" s="215">
        <v>0.32</v>
      </c>
      <c r="S71" s="215">
        <v>0.32</v>
      </c>
      <c r="T71" s="215">
        <v>0.32</v>
      </c>
      <c r="U71" s="215"/>
      <c r="V71" s="215"/>
      <c r="W71" s="215"/>
    </row>
    <row r="72" spans="4:25" ht="15" customHeight="1">
      <c r="E72" s="215" t="s">
        <v>666</v>
      </c>
      <c r="F72" s="2">
        <v>0.25</v>
      </c>
      <c r="G72" s="215">
        <v>0.25</v>
      </c>
      <c r="H72" s="215">
        <v>0.25</v>
      </c>
      <c r="I72" s="215">
        <v>0.25</v>
      </c>
      <c r="J72" s="215">
        <v>0.25</v>
      </c>
      <c r="K72" s="215">
        <v>0.25</v>
      </c>
      <c r="L72" s="2">
        <v>0.4</v>
      </c>
      <c r="M72" s="215">
        <v>0.4</v>
      </c>
      <c r="N72" s="215" t="s">
        <v>667</v>
      </c>
      <c r="O72" s="215" t="s">
        <v>667</v>
      </c>
      <c r="P72" s="215" t="s">
        <v>667</v>
      </c>
      <c r="Q72" s="215" t="s">
        <v>667</v>
      </c>
      <c r="R72" s="215" t="s">
        <v>667</v>
      </c>
      <c r="S72" s="215" t="s">
        <v>667</v>
      </c>
      <c r="T72" s="215" t="s">
        <v>667</v>
      </c>
      <c r="U72" s="215"/>
      <c r="V72" s="215"/>
      <c r="W72" s="215"/>
    </row>
    <row r="73" spans="4:25" ht="15" customHeight="1">
      <c r="E73" s="215" t="s">
        <v>264</v>
      </c>
      <c r="F73" s="2">
        <v>30</v>
      </c>
      <c r="G73" s="2">
        <v>38</v>
      </c>
      <c r="H73" s="215">
        <v>38</v>
      </c>
      <c r="I73" s="215">
        <v>38</v>
      </c>
      <c r="J73" s="215">
        <v>38</v>
      </c>
      <c r="K73" s="215">
        <v>38</v>
      </c>
      <c r="L73" s="2">
        <v>49</v>
      </c>
      <c r="M73" s="215">
        <v>49</v>
      </c>
      <c r="N73" s="215">
        <v>49</v>
      </c>
      <c r="O73" s="215">
        <v>49</v>
      </c>
      <c r="P73" s="215">
        <v>49</v>
      </c>
      <c r="Q73" s="215">
        <v>49</v>
      </c>
      <c r="R73" s="215">
        <v>49</v>
      </c>
      <c r="S73" s="215">
        <v>49</v>
      </c>
      <c r="T73" s="215">
        <v>49</v>
      </c>
      <c r="U73" s="215"/>
      <c r="V73" s="215"/>
      <c r="W73" s="215"/>
    </row>
    <row r="74" spans="4:25" ht="15" customHeight="1">
      <c r="E74" s="215" t="s">
        <v>668</v>
      </c>
      <c r="F74" s="2">
        <v>13</v>
      </c>
      <c r="G74" s="2">
        <v>13</v>
      </c>
      <c r="H74" s="2">
        <v>13</v>
      </c>
      <c r="I74" s="215" t="s">
        <v>669</v>
      </c>
      <c r="J74" s="215" t="s">
        <v>669</v>
      </c>
      <c r="K74" s="215" t="s">
        <v>669</v>
      </c>
      <c r="L74" s="215" t="s">
        <v>669</v>
      </c>
      <c r="M74" s="215" t="s">
        <v>669</v>
      </c>
      <c r="N74" s="215" t="s">
        <v>669</v>
      </c>
      <c r="O74" s="215" t="s">
        <v>669</v>
      </c>
      <c r="P74" s="215" t="s">
        <v>669</v>
      </c>
      <c r="Q74" s="269" t="s">
        <v>670</v>
      </c>
      <c r="R74" s="269" t="s">
        <v>670</v>
      </c>
      <c r="S74" s="269" t="s">
        <v>670</v>
      </c>
      <c r="T74" s="269" t="s">
        <v>670</v>
      </c>
    </row>
    <row r="75" spans="4:25" ht="15" customHeight="1">
      <c r="E75" s="215" t="s">
        <v>251</v>
      </c>
      <c r="F75" s="2">
        <v>13</v>
      </c>
      <c r="G75" s="2">
        <v>13</v>
      </c>
      <c r="H75" s="2">
        <v>13</v>
      </c>
      <c r="I75" s="2">
        <v>19</v>
      </c>
      <c r="J75" s="215">
        <v>19</v>
      </c>
      <c r="K75" s="215">
        <v>19</v>
      </c>
      <c r="L75" s="215">
        <v>19</v>
      </c>
      <c r="M75" s="215">
        <v>19</v>
      </c>
      <c r="N75" s="2">
        <v>30</v>
      </c>
      <c r="O75" s="215">
        <v>30</v>
      </c>
      <c r="P75" s="215">
        <v>30</v>
      </c>
      <c r="Q75" s="215">
        <v>30</v>
      </c>
      <c r="R75" s="215">
        <v>30</v>
      </c>
      <c r="S75" s="5">
        <v>38</v>
      </c>
      <c r="T75" s="269">
        <v>38</v>
      </c>
    </row>
    <row r="76" spans="4:25" ht="15" customHeight="1">
      <c r="E76" s="215" t="s">
        <v>671</v>
      </c>
      <c r="F76" s="2">
        <v>0</v>
      </c>
      <c r="G76" s="215">
        <v>0</v>
      </c>
      <c r="H76" s="215">
        <v>0</v>
      </c>
      <c r="I76" s="215">
        <v>0</v>
      </c>
      <c r="J76" s="215">
        <v>0</v>
      </c>
      <c r="K76" s="215">
        <v>0</v>
      </c>
      <c r="L76" s="215" t="s">
        <v>672</v>
      </c>
      <c r="M76" s="215" t="s">
        <v>672</v>
      </c>
      <c r="N76" s="215" t="s">
        <v>672</v>
      </c>
      <c r="O76" s="215" t="s">
        <v>672</v>
      </c>
      <c r="P76" s="215" t="s">
        <v>672</v>
      </c>
      <c r="Q76" s="269" t="s">
        <v>673</v>
      </c>
      <c r="R76" s="269" t="s">
        <v>673</v>
      </c>
      <c r="S76" s="269" t="s">
        <v>673</v>
      </c>
      <c r="T76" s="269" t="s">
        <v>673</v>
      </c>
    </row>
    <row r="77" spans="4:25" ht="15" customHeight="1">
      <c r="E77" s="215" t="s">
        <v>674</v>
      </c>
      <c r="F77" s="2">
        <v>0</v>
      </c>
      <c r="G77" s="2">
        <v>0</v>
      </c>
      <c r="H77" s="2">
        <v>0</v>
      </c>
      <c r="I77" s="282" t="s">
        <v>675</v>
      </c>
      <c r="J77" s="282" t="s">
        <v>676</v>
      </c>
      <c r="K77" s="282" t="s">
        <v>677</v>
      </c>
      <c r="L77" s="215" t="s">
        <v>678</v>
      </c>
      <c r="M77" s="215" t="s">
        <v>679</v>
      </c>
      <c r="N77" s="215" t="s">
        <v>680</v>
      </c>
      <c r="O77" s="215" t="s">
        <v>681</v>
      </c>
      <c r="P77" s="215" t="s">
        <v>682</v>
      </c>
      <c r="Q77" s="215" t="s">
        <v>683</v>
      </c>
      <c r="R77" s="215" t="s">
        <v>684</v>
      </c>
      <c r="S77" s="215" t="s">
        <v>685</v>
      </c>
      <c r="T77" s="215" t="s">
        <v>686</v>
      </c>
      <c r="U77" s="215"/>
      <c r="V77" s="215"/>
      <c r="W77" s="215"/>
    </row>
    <row r="78" spans="4:25" ht="15" customHeight="1">
      <c r="E78" s="215" t="s">
        <v>687</v>
      </c>
      <c r="F78" s="2">
        <v>4</v>
      </c>
      <c r="G78" s="215">
        <v>4</v>
      </c>
      <c r="H78" s="215">
        <v>4</v>
      </c>
      <c r="I78" s="215">
        <v>4</v>
      </c>
      <c r="J78" s="215">
        <v>4</v>
      </c>
      <c r="K78" s="215">
        <v>4</v>
      </c>
      <c r="L78" s="215">
        <v>4</v>
      </c>
      <c r="M78" s="215">
        <v>4</v>
      </c>
      <c r="N78" s="215">
        <v>4</v>
      </c>
      <c r="O78" s="215">
        <v>4</v>
      </c>
      <c r="P78" s="215">
        <v>4</v>
      </c>
      <c r="Q78" s="215">
        <v>4</v>
      </c>
      <c r="R78" s="215">
        <v>4</v>
      </c>
      <c r="S78" s="215">
        <v>4</v>
      </c>
      <c r="T78" s="215">
        <v>4</v>
      </c>
      <c r="U78" s="215"/>
      <c r="V78" s="215"/>
      <c r="W78" s="215"/>
    </row>
    <row r="79" spans="4:25" ht="15" customHeight="1">
      <c r="E79" s="215" t="s">
        <v>688</v>
      </c>
      <c r="F79" s="2">
        <v>5</v>
      </c>
      <c r="G79" s="2">
        <v>5</v>
      </c>
      <c r="H79" s="2">
        <v>5</v>
      </c>
      <c r="I79" s="2">
        <v>3</v>
      </c>
      <c r="J79" s="215">
        <v>3</v>
      </c>
      <c r="K79" s="215">
        <v>3</v>
      </c>
      <c r="L79" s="215">
        <v>3</v>
      </c>
      <c r="M79" s="215">
        <v>3</v>
      </c>
      <c r="N79" s="215">
        <v>3</v>
      </c>
      <c r="O79" s="215">
        <v>3</v>
      </c>
      <c r="P79" s="215">
        <v>3</v>
      </c>
      <c r="Q79" s="215">
        <v>3</v>
      </c>
      <c r="R79" s="215">
        <v>3</v>
      </c>
      <c r="S79" s="215">
        <v>3</v>
      </c>
      <c r="T79" s="215">
        <v>3</v>
      </c>
      <c r="U79" s="215"/>
      <c r="V79" s="215"/>
      <c r="W79" s="215"/>
    </row>
    <row r="81" spans="4:25" ht="15" customHeight="1">
      <c r="D81" s="283" t="s">
        <v>694</v>
      </c>
      <c r="E81" s="215" t="s">
        <v>693</v>
      </c>
      <c r="F81" s="2">
        <v>1.4</v>
      </c>
      <c r="G81" s="215">
        <v>1.4</v>
      </c>
      <c r="H81" s="215">
        <v>1.4</v>
      </c>
      <c r="I81" s="215">
        <v>1.4</v>
      </c>
      <c r="J81" s="215">
        <v>1.4</v>
      </c>
      <c r="K81" s="215">
        <v>1.4</v>
      </c>
      <c r="L81" s="215">
        <v>1.4</v>
      </c>
      <c r="M81" s="215">
        <v>1.4</v>
      </c>
      <c r="N81" s="2">
        <v>1.2</v>
      </c>
      <c r="O81" s="215">
        <v>1.2</v>
      </c>
      <c r="P81" s="215">
        <v>1.2</v>
      </c>
      <c r="Q81" s="215">
        <v>1.2</v>
      </c>
      <c r="R81" s="215">
        <v>1.2</v>
      </c>
      <c r="S81" s="215">
        <v>1.2</v>
      </c>
      <c r="T81" s="215">
        <v>1.2</v>
      </c>
      <c r="U81" s="215"/>
      <c r="V81" s="215"/>
      <c r="W81" s="215"/>
      <c r="Y81" s="269" t="s">
        <v>696</v>
      </c>
    </row>
    <row r="82" spans="4:25" ht="15" customHeight="1">
      <c r="E82" s="215" t="s">
        <v>688</v>
      </c>
      <c r="F82" s="2">
        <v>3</v>
      </c>
      <c r="G82" s="215">
        <v>3</v>
      </c>
      <c r="H82" s="215">
        <v>3</v>
      </c>
      <c r="I82" s="2">
        <v>2.5</v>
      </c>
      <c r="J82" s="215">
        <v>2.5</v>
      </c>
      <c r="K82" s="215">
        <v>2.5</v>
      </c>
      <c r="L82" s="215">
        <v>2.5</v>
      </c>
      <c r="M82" s="215">
        <v>2.5</v>
      </c>
      <c r="N82" s="215">
        <v>2.5</v>
      </c>
      <c r="O82" s="2">
        <v>2</v>
      </c>
      <c r="P82" s="215">
        <v>2</v>
      </c>
      <c r="Q82" s="215">
        <v>2</v>
      </c>
      <c r="R82" s="215">
        <v>2</v>
      </c>
      <c r="S82" s="215">
        <v>2</v>
      </c>
      <c r="T82" s="5">
        <v>1.5</v>
      </c>
    </row>
    <row r="83" spans="4:25" ht="15" customHeight="1">
      <c r="E83" s="215" t="s">
        <v>665</v>
      </c>
      <c r="F83" s="2">
        <v>0.4</v>
      </c>
      <c r="G83" s="215">
        <v>0.4</v>
      </c>
      <c r="H83" s="215">
        <v>0.4</v>
      </c>
      <c r="I83" s="2">
        <v>0.3</v>
      </c>
      <c r="J83" s="215">
        <v>0.3</v>
      </c>
      <c r="K83" s="215">
        <v>0.3</v>
      </c>
      <c r="L83" s="215">
        <v>0.3</v>
      </c>
      <c r="M83" s="215">
        <v>0.3</v>
      </c>
      <c r="N83" s="2">
        <v>0.27</v>
      </c>
      <c r="O83" s="215">
        <v>0.27</v>
      </c>
      <c r="P83" s="215">
        <v>0.27</v>
      </c>
      <c r="Q83" s="215">
        <v>0.27</v>
      </c>
      <c r="R83" s="215">
        <v>0.27</v>
      </c>
      <c r="S83" s="215">
        <v>0.27</v>
      </c>
      <c r="T83" s="215">
        <v>0.27</v>
      </c>
      <c r="U83" s="215"/>
      <c r="V83" s="215"/>
      <c r="W83" s="215"/>
    </row>
    <row r="84" spans="4:25" ht="15" customHeight="1">
      <c r="E84" s="215" t="s">
        <v>666</v>
      </c>
      <c r="F84" s="2">
        <v>0.25</v>
      </c>
      <c r="G84" s="215">
        <v>0.25</v>
      </c>
      <c r="H84" s="215">
        <v>0.25</v>
      </c>
      <c r="I84" s="2">
        <v>0.27</v>
      </c>
      <c r="J84" s="215">
        <v>0.27</v>
      </c>
      <c r="K84" s="215">
        <v>0.27</v>
      </c>
      <c r="L84" s="215">
        <v>0.27</v>
      </c>
      <c r="M84" s="215">
        <v>0.27</v>
      </c>
      <c r="N84" s="215" t="s">
        <v>667</v>
      </c>
      <c r="O84" s="215" t="s">
        <v>667</v>
      </c>
      <c r="P84" s="215" t="s">
        <v>667</v>
      </c>
      <c r="Q84" s="215" t="s">
        <v>667</v>
      </c>
      <c r="R84" s="215" t="s">
        <v>667</v>
      </c>
      <c r="S84" s="215" t="s">
        <v>667</v>
      </c>
      <c r="T84" s="215" t="s">
        <v>667</v>
      </c>
      <c r="U84" s="215"/>
      <c r="V84" s="215"/>
      <c r="W84" s="215"/>
    </row>
    <row r="85" spans="4:25" ht="15" customHeight="1">
      <c r="E85" s="215" t="s">
        <v>695</v>
      </c>
      <c r="F85" s="2">
        <v>15</v>
      </c>
      <c r="G85" s="215">
        <v>15</v>
      </c>
      <c r="H85" s="215">
        <v>15</v>
      </c>
      <c r="I85" s="215">
        <v>15</v>
      </c>
      <c r="J85" s="215">
        <v>15</v>
      </c>
      <c r="K85" s="215">
        <v>15</v>
      </c>
      <c r="L85" s="215">
        <v>15</v>
      </c>
      <c r="M85" s="215">
        <v>15</v>
      </c>
      <c r="N85" s="215">
        <v>15</v>
      </c>
      <c r="O85" s="215">
        <v>15</v>
      </c>
      <c r="P85" s="215">
        <v>15</v>
      </c>
      <c r="Q85" s="215">
        <v>15</v>
      </c>
      <c r="R85" s="215">
        <v>15</v>
      </c>
      <c r="S85" s="215">
        <v>15</v>
      </c>
      <c r="T85" s="215">
        <v>15</v>
      </c>
      <c r="U85" s="215"/>
      <c r="V85" s="215"/>
      <c r="W85" s="215"/>
    </row>
    <row r="86" spans="4:25" ht="15" customHeight="1">
      <c r="E86" s="215" t="s">
        <v>698</v>
      </c>
    </row>
    <row r="88" spans="4:25" ht="15" customHeight="1">
      <c r="F88" s="2">
        <f>1/F83</f>
        <v>2.5</v>
      </c>
      <c r="G88" s="215">
        <f t="shared" ref="G88:T88" si="31">1/G83</f>
        <v>2.5</v>
      </c>
      <c r="H88" s="215">
        <f t="shared" si="31"/>
        <v>2.5</v>
      </c>
      <c r="I88" s="215">
        <f t="shared" si="31"/>
        <v>3.3333333333333335</v>
      </c>
      <c r="J88" s="215">
        <f t="shared" si="31"/>
        <v>3.3333333333333335</v>
      </c>
      <c r="K88" s="215">
        <f t="shared" si="31"/>
        <v>3.3333333333333335</v>
      </c>
      <c r="L88" s="215">
        <f t="shared" si="31"/>
        <v>3.3333333333333335</v>
      </c>
      <c r="M88" s="215">
        <f t="shared" si="31"/>
        <v>3.3333333333333335</v>
      </c>
      <c r="N88" s="215">
        <f t="shared" si="31"/>
        <v>3.7037037037037033</v>
      </c>
      <c r="O88" s="215">
        <f t="shared" si="31"/>
        <v>3.7037037037037033</v>
      </c>
      <c r="P88" s="215">
        <f t="shared" si="31"/>
        <v>3.7037037037037033</v>
      </c>
      <c r="Q88" s="215">
        <f t="shared" si="31"/>
        <v>3.7037037037037033</v>
      </c>
      <c r="R88" s="215">
        <f t="shared" si="31"/>
        <v>3.7037037037037033</v>
      </c>
      <c r="S88" s="215">
        <f t="shared" si="31"/>
        <v>3.7037037037037033</v>
      </c>
      <c r="T88" s="215">
        <f t="shared" si="31"/>
        <v>3.7037037037037033</v>
      </c>
      <c r="U88" s="215"/>
      <c r="V88" s="215"/>
      <c r="W88" s="215"/>
    </row>
    <row r="91" spans="4:25" ht="15" customHeight="1">
      <c r="D91" s="283" t="s">
        <v>699</v>
      </c>
    </row>
    <row r="92" spans="4:25" ht="15" customHeight="1">
      <c r="D92" s="283" t="s">
        <v>701</v>
      </c>
      <c r="Y92" s="215" t="s">
        <v>700</v>
      </c>
    </row>
    <row r="93" spans="4:25" ht="15" customHeight="1">
      <c r="E93" s="215" t="s">
        <v>702</v>
      </c>
      <c r="F93" s="2">
        <v>0</v>
      </c>
      <c r="G93" s="215">
        <v>0</v>
      </c>
      <c r="H93" s="215">
        <v>0</v>
      </c>
      <c r="I93" s="215">
        <v>0</v>
      </c>
      <c r="J93" s="215">
        <v>0</v>
      </c>
      <c r="K93" s="215">
        <v>0</v>
      </c>
      <c r="L93" s="215">
        <v>0</v>
      </c>
      <c r="M93" s="215">
        <v>0</v>
      </c>
      <c r="N93" s="215">
        <v>0</v>
      </c>
      <c r="O93" s="215">
        <v>0</v>
      </c>
      <c r="P93" s="215">
        <v>0</v>
      </c>
      <c r="Q93" s="215">
        <v>0</v>
      </c>
      <c r="R93" s="215">
        <v>0</v>
      </c>
      <c r="S93" s="215">
        <v>0</v>
      </c>
      <c r="T93" s="215">
        <v>0</v>
      </c>
      <c r="U93" s="215"/>
      <c r="V93" s="215"/>
      <c r="W93" s="215"/>
    </row>
    <row r="94" spans="4:25" ht="15" customHeight="1">
      <c r="E94" s="215" t="s">
        <v>703</v>
      </c>
      <c r="F94" s="2">
        <v>0.91</v>
      </c>
      <c r="G94" s="215">
        <v>0.91</v>
      </c>
      <c r="H94" s="215">
        <v>0.91</v>
      </c>
      <c r="I94" s="215">
        <v>0.91</v>
      </c>
      <c r="J94" s="215">
        <v>0.91</v>
      </c>
      <c r="K94" s="215">
        <v>0.91</v>
      </c>
      <c r="L94" s="215">
        <v>0.91</v>
      </c>
      <c r="M94" s="215">
        <v>0.91</v>
      </c>
      <c r="N94" s="215">
        <v>0.91</v>
      </c>
      <c r="O94" s="215">
        <v>0.91</v>
      </c>
      <c r="P94" s="215">
        <v>0.91</v>
      </c>
      <c r="Q94" s="215">
        <v>0.91</v>
      </c>
      <c r="R94" s="215">
        <v>0.91</v>
      </c>
      <c r="S94" s="215">
        <v>0.91</v>
      </c>
      <c r="T94" s="215">
        <v>0.91</v>
      </c>
      <c r="U94" s="215"/>
      <c r="V94" s="215"/>
      <c r="W94" s="215"/>
    </row>
    <row r="95" spans="4:25" ht="15" customHeight="1">
      <c r="E95" s="215" t="s">
        <v>704</v>
      </c>
      <c r="F95" s="2">
        <v>0.7</v>
      </c>
      <c r="G95" s="215">
        <v>0.7</v>
      </c>
      <c r="H95" s="215">
        <v>0.7</v>
      </c>
      <c r="I95" s="215">
        <v>0.7</v>
      </c>
      <c r="J95" s="215">
        <v>0.7</v>
      </c>
      <c r="K95" s="215">
        <v>0.7</v>
      </c>
      <c r="L95" s="215">
        <v>0.7</v>
      </c>
      <c r="M95" s="215">
        <v>0.7</v>
      </c>
      <c r="N95" s="215">
        <v>0.7</v>
      </c>
      <c r="O95" s="215">
        <v>0.7</v>
      </c>
      <c r="P95" s="215">
        <v>0.7</v>
      </c>
      <c r="Q95" s="215">
        <v>0.7</v>
      </c>
      <c r="R95" s="215">
        <v>0.7</v>
      </c>
      <c r="S95" s="215">
        <v>0.7</v>
      </c>
      <c r="T95" s="215">
        <v>0.7</v>
      </c>
      <c r="U95" s="215"/>
      <c r="V95" s="215"/>
      <c r="W95" s="215"/>
    </row>
    <row r="100" spans="1:37" ht="15" customHeight="1">
      <c r="D100" s="215" t="s">
        <v>712</v>
      </c>
      <c r="E100" s="283" t="s">
        <v>711</v>
      </c>
      <c r="F100" s="215" t="s">
        <v>710</v>
      </c>
      <c r="G100" s="215" t="s">
        <v>709</v>
      </c>
      <c r="Y100" s="269" t="s">
        <v>700</v>
      </c>
    </row>
    <row r="101" spans="1:37" ht="15" customHeight="1">
      <c r="E101" s="215" t="s">
        <v>705</v>
      </c>
      <c r="F101" s="2">
        <v>16</v>
      </c>
      <c r="G101" s="2">
        <v>0.23</v>
      </c>
    </row>
    <row r="102" spans="1:37" ht="15" customHeight="1">
      <c r="E102" s="215" t="s">
        <v>706</v>
      </c>
      <c r="F102" s="215">
        <v>16</v>
      </c>
      <c r="G102" s="2">
        <v>0.18</v>
      </c>
    </row>
    <row r="103" spans="1:37" ht="15" customHeight="1">
      <c r="E103" s="215" t="s">
        <v>707</v>
      </c>
      <c r="F103" s="215">
        <v>16</v>
      </c>
      <c r="G103" s="2">
        <v>0.13</v>
      </c>
    </row>
    <row r="104" spans="1:37" ht="15" customHeight="1">
      <c r="E104" s="215" t="s">
        <v>708</v>
      </c>
      <c r="F104" s="2">
        <v>24</v>
      </c>
      <c r="G104" s="2">
        <v>0.11</v>
      </c>
    </row>
    <row r="106" spans="1:37" s="269" customFormat="1" ht="15" customHeight="1">
      <c r="A106" s="5"/>
      <c r="B106" s="5"/>
      <c r="C106" s="2"/>
      <c r="D106" s="215" t="s">
        <v>721</v>
      </c>
      <c r="E106" s="283" t="s">
        <v>713</v>
      </c>
      <c r="F106" s="215" t="s">
        <v>383</v>
      </c>
      <c r="G106" s="215" t="s">
        <v>719</v>
      </c>
      <c r="H106" s="215" t="s">
        <v>720</v>
      </c>
      <c r="I106" s="2"/>
      <c r="J106" s="246" t="s">
        <v>729</v>
      </c>
      <c r="K106" s="2"/>
      <c r="L106" s="2"/>
      <c r="M106" s="2"/>
      <c r="N106" s="2"/>
      <c r="O106" s="2"/>
      <c r="P106" s="5"/>
      <c r="Q106" s="5"/>
      <c r="R106" s="5"/>
      <c r="S106" s="5"/>
      <c r="T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37" ht="15" customHeight="1">
      <c r="E107" s="215" t="s">
        <v>714</v>
      </c>
      <c r="F107" s="2">
        <v>90</v>
      </c>
      <c r="G107" s="285">
        <v>5.0000000000000001E-3</v>
      </c>
      <c r="H107" s="285">
        <v>1.4999999999999999E-2</v>
      </c>
    </row>
    <row r="108" spans="1:37" ht="15" customHeight="1">
      <c r="E108" s="215" t="s">
        <v>715</v>
      </c>
      <c r="F108" s="2">
        <v>80</v>
      </c>
      <c r="G108" s="285">
        <v>5.0000000000000001E-3</v>
      </c>
      <c r="H108" s="285">
        <v>1.4999999999999999E-2</v>
      </c>
    </row>
    <row r="109" spans="1:37" s="269" customFormat="1" ht="15" customHeight="1">
      <c r="A109" s="5"/>
      <c r="B109" s="5"/>
      <c r="C109" s="2"/>
      <c r="D109" s="2"/>
      <c r="E109" s="215" t="s">
        <v>716</v>
      </c>
      <c r="F109" s="2">
        <v>78</v>
      </c>
      <c r="G109" s="285">
        <v>5.0000000000000001E-3</v>
      </c>
      <c r="H109" s="285">
        <v>1.4999999999999999E-2</v>
      </c>
      <c r="I109" s="2"/>
      <c r="J109" s="2"/>
      <c r="K109" s="2"/>
      <c r="L109" s="2"/>
      <c r="M109" s="2"/>
      <c r="N109" s="2"/>
      <c r="O109" s="2"/>
      <c r="P109" s="5"/>
      <c r="Q109" s="5"/>
      <c r="R109" s="5"/>
      <c r="S109" s="5"/>
      <c r="T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:37" ht="15" customHeight="1">
      <c r="E110" s="284" t="s">
        <v>717</v>
      </c>
      <c r="F110" s="2">
        <v>75</v>
      </c>
      <c r="G110" s="285">
        <v>5.0000000000000001E-3</v>
      </c>
      <c r="H110" s="285">
        <v>1.4999999999999999E-2</v>
      </c>
    </row>
    <row r="111" spans="1:37" ht="15" customHeight="1">
      <c r="E111" s="284" t="s">
        <v>718</v>
      </c>
      <c r="F111" s="2">
        <v>64</v>
      </c>
      <c r="G111" s="285">
        <v>5.0000000000000001E-3</v>
      </c>
      <c r="H111" s="285">
        <v>1.4999999999999999E-2</v>
      </c>
    </row>
    <row r="112" spans="1:37" ht="15" customHeight="1">
      <c r="E112" s="284"/>
    </row>
    <row r="113" spans="1:37" ht="15" customHeight="1">
      <c r="D113" s="215" t="s">
        <v>728</v>
      </c>
      <c r="E113" s="286" t="s">
        <v>722</v>
      </c>
      <c r="F113" s="215" t="s">
        <v>723</v>
      </c>
      <c r="G113" s="215" t="s">
        <v>724</v>
      </c>
      <c r="H113" s="215" t="s">
        <v>725</v>
      </c>
      <c r="I113" s="215" t="s">
        <v>719</v>
      </c>
      <c r="J113" s="215" t="s">
        <v>720</v>
      </c>
    </row>
    <row r="114" spans="1:37" s="269" customFormat="1" ht="15" customHeight="1">
      <c r="A114" s="5"/>
      <c r="B114" s="5"/>
      <c r="C114" s="2"/>
      <c r="D114" s="2"/>
      <c r="E114" s="284" t="s">
        <v>726</v>
      </c>
      <c r="F114" s="2">
        <v>6.5</v>
      </c>
      <c r="G114" s="2">
        <v>6.4</v>
      </c>
      <c r="H114" s="2"/>
      <c r="I114" s="2">
        <v>0.01</v>
      </c>
      <c r="J114" s="2">
        <v>0.03</v>
      </c>
      <c r="K114" s="2"/>
      <c r="L114" s="2"/>
      <c r="M114" s="2"/>
      <c r="N114" s="2"/>
      <c r="O114" s="2"/>
      <c r="P114" s="5"/>
      <c r="Q114" s="5"/>
      <c r="R114" s="5"/>
      <c r="S114" s="5"/>
      <c r="T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1:37" ht="15" customHeight="1">
      <c r="E115" s="284" t="s">
        <v>727</v>
      </c>
      <c r="F115" s="2">
        <v>6.5</v>
      </c>
      <c r="G115" s="2">
        <v>6.4</v>
      </c>
      <c r="H115" s="2">
        <v>6</v>
      </c>
      <c r="I115" s="215">
        <v>0.01</v>
      </c>
      <c r="J115" s="215">
        <v>0.03</v>
      </c>
    </row>
    <row r="117" spans="1:37" s="269" customFormat="1" ht="15" customHeight="1">
      <c r="A117" s="5"/>
      <c r="B117" s="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5"/>
      <c r="Q117" s="5"/>
      <c r="R117" s="5"/>
      <c r="S117" s="5"/>
      <c r="T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1:37" ht="15" customHeight="1">
      <c r="E118" s="284"/>
      <c r="F118" s="239" t="s">
        <v>649</v>
      </c>
      <c r="G118" s="273" t="s">
        <v>598</v>
      </c>
      <c r="H118" s="273" t="s">
        <v>599</v>
      </c>
      <c r="I118" s="273" t="s">
        <v>600</v>
      </c>
      <c r="J118" s="273" t="s">
        <v>601</v>
      </c>
      <c r="K118" s="273" t="s">
        <v>602</v>
      </c>
      <c r="L118" s="273" t="s">
        <v>603</v>
      </c>
      <c r="M118" s="273" t="s">
        <v>604</v>
      </c>
      <c r="N118" s="273" t="s">
        <v>605</v>
      </c>
      <c r="O118" s="273" t="s">
        <v>606</v>
      </c>
      <c r="P118" s="273" t="s">
        <v>607</v>
      </c>
      <c r="Q118" s="273" t="s">
        <v>608</v>
      </c>
      <c r="R118" s="273" t="s">
        <v>609</v>
      </c>
      <c r="S118" s="273">
        <v>7</v>
      </c>
      <c r="T118" s="239">
        <v>8</v>
      </c>
      <c r="U118" s="301"/>
      <c r="V118" s="301"/>
      <c r="W118" s="301"/>
      <c r="Y118" s="269" t="s">
        <v>730</v>
      </c>
    </row>
    <row r="119" spans="1:37" ht="15" customHeight="1">
      <c r="E119" s="284" t="s">
        <v>731</v>
      </c>
      <c r="F119" s="2">
        <v>21</v>
      </c>
      <c r="G119" s="2">
        <v>21</v>
      </c>
      <c r="H119" s="2">
        <v>12</v>
      </c>
      <c r="I119" s="2">
        <v>16</v>
      </c>
      <c r="J119" s="2">
        <v>12</v>
      </c>
      <c r="K119" s="2">
        <v>13</v>
      </c>
      <c r="L119" s="2">
        <v>18</v>
      </c>
      <c r="M119" s="2">
        <v>12</v>
      </c>
      <c r="N119" s="2">
        <v>16</v>
      </c>
      <c r="O119" s="2">
        <v>14</v>
      </c>
      <c r="P119" s="5">
        <v>12</v>
      </c>
      <c r="Q119" s="5">
        <v>13</v>
      </c>
      <c r="R119" s="5">
        <v>13</v>
      </c>
      <c r="S119" s="5">
        <v>13</v>
      </c>
      <c r="T119" s="5">
        <v>13</v>
      </c>
    </row>
    <row r="120" spans="1:37" ht="15" customHeight="1">
      <c r="E120" s="284"/>
    </row>
    <row r="121" spans="1:37" ht="15" customHeight="1">
      <c r="A121" s="269" t="s">
        <v>755</v>
      </c>
      <c r="B121" s="5">
        <v>0</v>
      </c>
      <c r="E121" s="289" t="s">
        <v>754</v>
      </c>
    </row>
    <row r="122" spans="1:37" ht="15" customHeight="1">
      <c r="B122" s="269" t="s">
        <v>749</v>
      </c>
      <c r="C122" s="5"/>
      <c r="D122" s="269" t="s">
        <v>709</v>
      </c>
      <c r="E122" s="284"/>
    </row>
    <row r="123" spans="1:37" ht="15" customHeight="1">
      <c r="A123" s="269"/>
      <c r="B123" s="80" t="s">
        <v>248</v>
      </c>
      <c r="C123" s="269"/>
      <c r="D123" s="80" t="s">
        <v>248</v>
      </c>
      <c r="E123" s="284"/>
      <c r="F123" s="215"/>
      <c r="G123" s="215"/>
      <c r="H123" s="215"/>
      <c r="I123" s="215"/>
      <c r="J123" s="215"/>
      <c r="K123" s="215"/>
      <c r="L123" s="215"/>
      <c r="M123" s="215"/>
      <c r="N123" s="215"/>
      <c r="O123" s="215"/>
      <c r="P123" s="269"/>
      <c r="Q123" s="269"/>
      <c r="R123" s="269"/>
      <c r="S123" s="269"/>
      <c r="T123" s="269"/>
      <c r="X123" s="269"/>
      <c r="Y123" s="269"/>
      <c r="Z123" s="269"/>
      <c r="AA123" s="269"/>
      <c r="AB123" s="269"/>
      <c r="AC123" s="269"/>
      <c r="AD123" s="269"/>
      <c r="AE123" s="269"/>
      <c r="AF123" s="269"/>
      <c r="AG123" s="269"/>
      <c r="AH123" s="269"/>
      <c r="AI123" s="269"/>
      <c r="AJ123" s="269"/>
      <c r="AK123" s="269"/>
    </row>
    <row r="124" spans="1:37" ht="15" customHeight="1">
      <c r="A124" s="269" t="s">
        <v>752</v>
      </c>
      <c r="B124" s="5">
        <v>0.17</v>
      </c>
      <c r="C124" s="269" t="s">
        <v>748</v>
      </c>
      <c r="D124" s="5">
        <f>B124</f>
        <v>0.17</v>
      </c>
      <c r="E124" s="284"/>
    </row>
    <row r="125" spans="1:37" ht="15" customHeight="1">
      <c r="A125" s="269" t="s">
        <v>739</v>
      </c>
      <c r="B125" s="5">
        <v>0.67</v>
      </c>
      <c r="C125" s="269" t="s">
        <v>745</v>
      </c>
      <c r="D125" s="269">
        <f>B125</f>
        <v>0.67</v>
      </c>
      <c r="E125" s="80"/>
    </row>
    <row r="126" spans="1:37" ht="15" customHeight="1">
      <c r="A126" s="269" t="s">
        <v>750</v>
      </c>
      <c r="B126" s="269">
        <v>5</v>
      </c>
      <c r="C126" s="269" t="s">
        <v>750</v>
      </c>
      <c r="D126" s="269">
        <f>B126</f>
        <v>5</v>
      </c>
      <c r="E126" s="284"/>
      <c r="F126" s="215"/>
      <c r="G126" s="215"/>
      <c r="H126" s="215"/>
      <c r="I126" s="215"/>
      <c r="J126" s="215"/>
      <c r="K126" s="215"/>
      <c r="L126" s="215"/>
      <c r="M126" s="215"/>
      <c r="N126" s="215"/>
      <c r="O126" s="215"/>
      <c r="P126" s="269"/>
      <c r="Q126" s="269"/>
      <c r="R126" s="269"/>
      <c r="S126" s="269"/>
      <c r="T126" s="269"/>
      <c r="X126" s="269"/>
      <c r="Y126" s="269"/>
      <c r="Z126" s="269"/>
      <c r="AA126" s="269"/>
      <c r="AB126" s="269"/>
      <c r="AC126" s="269"/>
      <c r="AD126" s="269"/>
      <c r="AE126" s="269"/>
      <c r="AF126" s="269"/>
      <c r="AG126" s="269"/>
      <c r="AH126" s="269"/>
      <c r="AI126" s="269"/>
      <c r="AJ126" s="269"/>
      <c r="AK126" s="269"/>
    </row>
    <row r="127" spans="1:37" ht="15" customHeight="1">
      <c r="A127" s="269" t="s">
        <v>740</v>
      </c>
      <c r="B127" s="5">
        <v>0.79</v>
      </c>
      <c r="C127" s="269" t="s">
        <v>743</v>
      </c>
      <c r="D127" s="269">
        <f>B127</f>
        <v>0.79</v>
      </c>
      <c r="E127" s="284"/>
    </row>
    <row r="128" spans="1:37" ht="15" customHeight="1">
      <c r="A128" s="269" t="s">
        <v>741</v>
      </c>
      <c r="B128" s="5">
        <v>20</v>
      </c>
      <c r="C128" s="269" t="s">
        <v>746</v>
      </c>
      <c r="D128" s="5">
        <f>0.95*5.5</f>
        <v>5.2249999999999996</v>
      </c>
      <c r="E128" s="284"/>
    </row>
    <row r="129" spans="1:37" ht="15" customHeight="1">
      <c r="A129" s="269" t="s">
        <v>742</v>
      </c>
      <c r="B129" s="5">
        <v>0.55000000000000004</v>
      </c>
      <c r="C129" s="269" t="s">
        <v>744</v>
      </c>
      <c r="D129" s="269">
        <v>0.55000000000000004</v>
      </c>
      <c r="E129" s="284"/>
    </row>
    <row r="130" spans="1:37" ht="15" customHeight="1">
      <c r="A130" s="269" t="s">
        <v>751</v>
      </c>
      <c r="B130" s="5">
        <v>0.68</v>
      </c>
      <c r="C130" s="269" t="s">
        <v>747</v>
      </c>
      <c r="D130" s="269">
        <v>0.68</v>
      </c>
      <c r="E130" s="284"/>
    </row>
    <row r="131" spans="1:37" ht="15" customHeight="1">
      <c r="A131" s="269"/>
      <c r="B131" s="269"/>
      <c r="C131" s="269"/>
      <c r="D131" s="269"/>
      <c r="E131" s="284"/>
      <c r="F131" s="215"/>
      <c r="G131" s="215"/>
      <c r="H131" s="215"/>
      <c r="I131" s="215"/>
      <c r="J131" s="215"/>
      <c r="K131" s="215"/>
      <c r="L131" s="215"/>
      <c r="M131" s="215"/>
      <c r="N131" s="215"/>
      <c r="O131" s="215"/>
      <c r="P131" s="269"/>
      <c r="Q131" s="269"/>
      <c r="R131" s="269"/>
      <c r="S131" s="269"/>
      <c r="T131" s="269"/>
      <c r="X131" s="269"/>
      <c r="Y131" s="269"/>
      <c r="Z131" s="269"/>
      <c r="AA131" s="269"/>
      <c r="AB131" s="269"/>
      <c r="AC131" s="269"/>
      <c r="AD131" s="269"/>
      <c r="AE131" s="269"/>
      <c r="AF131" s="269"/>
      <c r="AG131" s="269"/>
      <c r="AH131" s="269"/>
      <c r="AI131" s="269"/>
      <c r="AJ131" s="269"/>
      <c r="AK131" s="269"/>
    </row>
    <row r="132" spans="1:37" ht="15" customHeight="1">
      <c r="A132" s="269" t="s">
        <v>373</v>
      </c>
      <c r="B132" s="5">
        <f>IF(B121=0,SUM(B124:B130),((1-0.19)*B128)+SUM(B124:B127,B129:B130))</f>
        <v>27.86</v>
      </c>
      <c r="D132" s="269">
        <f>SUM(D124:D130)</f>
        <v>13.085000000000001</v>
      </c>
      <c r="E132" s="284"/>
    </row>
    <row r="133" spans="1:37" ht="15" customHeight="1">
      <c r="A133" s="269" t="s">
        <v>753</v>
      </c>
      <c r="B133" s="5">
        <f>1/B132</f>
        <v>3.5893754486719311E-2</v>
      </c>
      <c r="D133" s="269">
        <f>1/D132</f>
        <v>7.642338555598012E-2</v>
      </c>
      <c r="E133" s="284"/>
    </row>
    <row r="134" spans="1:37" ht="15" customHeight="1">
      <c r="A134" s="269"/>
      <c r="C134" s="215"/>
      <c r="D134" s="269"/>
      <c r="E134" s="284"/>
      <c r="F134" s="215"/>
      <c r="G134" s="215"/>
      <c r="H134" s="215"/>
      <c r="I134" s="215"/>
      <c r="J134" s="215"/>
      <c r="K134" s="215"/>
      <c r="L134" s="215"/>
      <c r="M134" s="215"/>
      <c r="N134" s="215"/>
      <c r="O134" s="215"/>
      <c r="P134" s="269"/>
      <c r="Q134" s="269"/>
      <c r="R134" s="269"/>
      <c r="S134" s="269"/>
      <c r="T134" s="269"/>
      <c r="X134" s="269"/>
      <c r="Y134" s="269"/>
      <c r="Z134" s="269"/>
      <c r="AA134" s="269"/>
      <c r="AB134" s="269"/>
      <c r="AC134" s="269"/>
      <c r="AD134" s="269"/>
      <c r="AE134" s="269"/>
      <c r="AF134" s="269"/>
      <c r="AG134" s="269"/>
      <c r="AH134" s="269"/>
      <c r="AI134" s="269"/>
      <c r="AJ134" s="269"/>
      <c r="AK134" s="269"/>
    </row>
    <row r="135" spans="1:37" ht="15" customHeight="1">
      <c r="A135" s="269" t="s">
        <v>709</v>
      </c>
      <c r="B135" s="5">
        <v>0.23</v>
      </c>
      <c r="E135" s="284"/>
    </row>
    <row r="136" spans="1:37" ht="15" customHeight="1">
      <c r="A136" s="269" t="s">
        <v>761</v>
      </c>
      <c r="B136" s="269">
        <f>(B133*(1-B135))+(D133*B135)</f>
        <v>4.5215569632649298E-2</v>
      </c>
      <c r="E136" s="284"/>
    </row>
    <row r="137" spans="1:37" s="269" customFormat="1" ht="15" customHeight="1">
      <c r="C137" s="215"/>
      <c r="D137" s="215"/>
      <c r="E137" s="284"/>
      <c r="F137" s="215"/>
      <c r="G137" s="215"/>
      <c r="H137" s="215"/>
      <c r="I137" s="215"/>
      <c r="J137" s="215"/>
      <c r="K137" s="215"/>
      <c r="L137" s="215"/>
      <c r="M137" s="215"/>
      <c r="N137" s="215"/>
      <c r="O137" s="215"/>
    </row>
    <row r="138" spans="1:37" s="269" customFormat="1" ht="15" customHeight="1">
      <c r="A138" s="269" t="s">
        <v>756</v>
      </c>
      <c r="B138" s="5">
        <v>261.39999999999998</v>
      </c>
      <c r="C138" s="215"/>
      <c r="D138" s="215"/>
      <c r="E138" s="284"/>
      <c r="F138" s="215"/>
      <c r="G138" s="215"/>
      <c r="H138" s="215"/>
      <c r="I138" s="215"/>
      <c r="J138" s="215"/>
      <c r="K138" s="215"/>
      <c r="L138" s="215"/>
      <c r="M138" s="215"/>
      <c r="N138" s="215"/>
      <c r="O138" s="215"/>
    </row>
    <row r="139" spans="1:37" ht="15" customHeight="1">
      <c r="A139" s="269" t="s">
        <v>757</v>
      </c>
      <c r="B139" s="2">
        <f>B136*B138*RvalConv</f>
        <v>67.113814548381953</v>
      </c>
      <c r="E139" s="284"/>
    </row>
    <row r="140" spans="1:37" ht="15" customHeight="1">
      <c r="E140" s="284"/>
    </row>
    <row r="141" spans="1:37" ht="15" customHeight="1">
      <c r="E141" s="284"/>
    </row>
    <row r="142" spans="1:37" ht="15" customHeight="1">
      <c r="E142" s="284"/>
    </row>
    <row r="143" spans="1:37" ht="15" customHeight="1">
      <c r="A143" s="269" t="s">
        <v>765</v>
      </c>
      <c r="B143" s="269" t="s">
        <v>766</v>
      </c>
      <c r="C143" s="269" t="s">
        <v>767</v>
      </c>
      <c r="E143" s="284"/>
    </row>
    <row r="144" spans="1:37" ht="15" customHeight="1">
      <c r="A144" s="269" t="s">
        <v>762</v>
      </c>
      <c r="B144" s="269">
        <v>8.5736552962920293E-2</v>
      </c>
      <c r="E144" s="284"/>
    </row>
    <row r="145" spans="1:5" ht="15" customHeight="1">
      <c r="A145" s="269" t="s">
        <v>759</v>
      </c>
      <c r="B145" s="5">
        <v>5.7476006036368224E-2</v>
      </c>
      <c r="E145" s="284"/>
    </row>
    <row r="146" spans="1:5" ht="15" customHeight="1">
      <c r="A146" s="269" t="s">
        <v>760</v>
      </c>
      <c r="B146" s="5">
        <v>6.2131032322258431E-2</v>
      </c>
      <c r="E146" s="284"/>
    </row>
    <row r="147" spans="1:5" ht="15" customHeight="1">
      <c r="A147" s="269" t="s">
        <v>763</v>
      </c>
      <c r="B147" s="5">
        <v>3.5893754486719311E-2</v>
      </c>
      <c r="E147" s="284"/>
    </row>
    <row r="148" spans="1:5" ht="15" customHeight="1">
      <c r="A148" s="269" t="s">
        <v>764</v>
      </c>
      <c r="B148" s="5">
        <v>4.3986404300048673E-2</v>
      </c>
      <c r="E148" s="284"/>
    </row>
    <row r="149" spans="1:5" ht="15" customHeight="1">
      <c r="E149" s="284"/>
    </row>
    <row r="150" spans="1:5" ht="15" customHeight="1">
      <c r="E150" s="284"/>
    </row>
  </sheetData>
  <mergeCells count="26">
    <mergeCell ref="D55:F55"/>
    <mergeCell ref="D56:F56"/>
    <mergeCell ref="D57:F57"/>
    <mergeCell ref="D58:F58"/>
    <mergeCell ref="D59:F59"/>
    <mergeCell ref="G55:J55"/>
    <mergeCell ref="G56:J56"/>
    <mergeCell ref="G57:J57"/>
    <mergeCell ref="G58:J58"/>
    <mergeCell ref="G59:J59"/>
    <mergeCell ref="K57:L57"/>
    <mergeCell ref="K56:L56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3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A2" sqref="A2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0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65" t="s">
        <v>882</v>
      </c>
      <c r="I1" s="78">
        <v>25</v>
      </c>
      <c r="J1" s="78">
        <v>50</v>
      </c>
      <c r="K1" s="78">
        <v>75</v>
      </c>
      <c r="L1" s="78">
        <v>100</v>
      </c>
      <c r="M1" s="266">
        <v>125</v>
      </c>
      <c r="N1" s="78">
        <v>200</v>
      </c>
      <c r="O1" s="78">
        <v>300</v>
      </c>
      <c r="R1" s="324" t="s">
        <v>835</v>
      </c>
      <c r="S1" s="345" t="s">
        <v>854</v>
      </c>
      <c r="T1" s="337" t="s">
        <v>448</v>
      </c>
      <c r="U1" s="338" t="s">
        <v>449</v>
      </c>
      <c r="V1" s="339" t="s">
        <v>450</v>
      </c>
    </row>
    <row r="2" spans="1:22" ht="15" customHeight="1" thickBot="1">
      <c r="A2" s="13" t="s">
        <v>436</v>
      </c>
      <c r="G2" s="216" t="s">
        <v>787</v>
      </c>
      <c r="H2" s="81" t="s">
        <v>585</v>
      </c>
      <c r="I2" s="48">
        <f>L2*0.25</f>
        <v>10.815875</v>
      </c>
      <c r="J2" s="48">
        <f>L2*0.5</f>
        <v>21.63175</v>
      </c>
      <c r="K2" s="48">
        <f>L2*0.75</f>
        <v>32.447625000000002</v>
      </c>
      <c r="L2" s="516">
        <f>IF(Age="existing",0.15*A_houseSI+3.5*(Nbedrooms+1)+(65/4),0.15*A_houseSI+3.5*(Nbedrooms+1))</f>
        <v>43.263500000000001</v>
      </c>
      <c r="M2" s="264">
        <f>1.25*L2</f>
        <v>54.079374999999999</v>
      </c>
      <c r="N2" s="48">
        <f>L2*2</f>
        <v>86.527000000000001</v>
      </c>
      <c r="O2" s="48">
        <f>L2*3</f>
        <v>129.79050000000001</v>
      </c>
      <c r="R2" s="346" t="s">
        <v>833</v>
      </c>
      <c r="S2" s="315">
        <v>13</v>
      </c>
      <c r="T2" s="340" t="s">
        <v>451</v>
      </c>
      <c r="U2" s="132" t="s">
        <v>452</v>
      </c>
      <c r="V2" s="341" t="s">
        <v>453</v>
      </c>
    </row>
    <row r="3" spans="1:22" ht="15" customHeight="1" thickBot="1">
      <c r="A3" s="13" t="s">
        <v>269</v>
      </c>
      <c r="B3" s="44"/>
      <c r="C3" s="201"/>
      <c r="G3" s="216" t="s">
        <v>788</v>
      </c>
      <c r="H3" s="2" t="s">
        <v>617</v>
      </c>
      <c r="I3" s="190">
        <f>L3*0.25</f>
        <v>23.25</v>
      </c>
      <c r="J3" s="48">
        <f>L3*0.5</f>
        <v>46.5</v>
      </c>
      <c r="K3" s="48">
        <f>L3*0.75</f>
        <v>69.75</v>
      </c>
      <c r="L3" s="306">
        <f>IF(Age="existing",0.03*A_houseFT+7.5*(Nbedrooms+1)+(130/4), 0.03*A_houseFT+7.5*(Nbedrooms+1))</f>
        <v>93</v>
      </c>
      <c r="M3" s="264">
        <f>1.25*L3</f>
        <v>116.25</v>
      </c>
      <c r="N3" s="48">
        <f>L3*2</f>
        <v>186</v>
      </c>
      <c r="O3" s="48">
        <f>L3*3</f>
        <v>279</v>
      </c>
      <c r="R3" s="481" t="s">
        <v>834</v>
      </c>
      <c r="S3" s="482">
        <v>17</v>
      </c>
      <c r="T3" s="340" t="s">
        <v>454</v>
      </c>
      <c r="U3" s="132" t="s">
        <v>455</v>
      </c>
      <c r="V3" s="341" t="s">
        <v>456</v>
      </c>
    </row>
    <row r="4" spans="1:22" ht="15" customHeight="1" thickBot="1">
      <c r="A4" s="13"/>
      <c r="B4" s="44"/>
      <c r="C4" s="201"/>
      <c r="H4" s="2"/>
      <c r="L4" s="216"/>
      <c r="R4" s="347" t="s">
        <v>1233</v>
      </c>
      <c r="S4" s="317">
        <v>1</v>
      </c>
      <c r="T4" s="340" t="s">
        <v>457</v>
      </c>
      <c r="U4" s="132" t="s">
        <v>455</v>
      </c>
      <c r="V4" s="341" t="s">
        <v>456</v>
      </c>
    </row>
    <row r="5" spans="1:22" ht="15" customHeight="1">
      <c r="A5" s="13" t="s">
        <v>530</v>
      </c>
      <c r="B5" s="305">
        <f>Nbedrooms</f>
        <v>3</v>
      </c>
      <c r="C5" s="201"/>
      <c r="H5" s="2"/>
      <c r="T5" s="340" t="s">
        <v>458</v>
      </c>
      <c r="U5" s="132">
        <v>3</v>
      </c>
      <c r="V5" s="341" t="s">
        <v>456</v>
      </c>
    </row>
    <row r="6" spans="1:22" ht="15" customHeight="1">
      <c r="A6" s="129" t="s">
        <v>825</v>
      </c>
      <c r="B6" s="305">
        <f>VLOOKUP(CONCATENATE(OccDensity,HomeSize),'Internal gains'!C28:F37,2,FALSE)</f>
        <v>2</v>
      </c>
      <c r="D6" s="216"/>
      <c r="E6" s="216"/>
      <c r="F6" s="216"/>
      <c r="G6" s="201" t="s">
        <v>883</v>
      </c>
      <c r="H6" s="215"/>
      <c r="I6" s="216"/>
      <c r="J6" s="216"/>
      <c r="K6" s="216"/>
      <c r="L6" s="216"/>
      <c r="M6" s="216"/>
      <c r="N6" s="216"/>
      <c r="O6" s="216"/>
      <c r="P6" s="216"/>
      <c r="Q6" s="216"/>
      <c r="T6" s="340" t="s">
        <v>459</v>
      </c>
      <c r="U6" s="132"/>
      <c r="V6" s="341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40" t="s">
        <v>460</v>
      </c>
      <c r="U7" s="132" t="s">
        <v>461</v>
      </c>
      <c r="V7" s="341" t="s">
        <v>462</v>
      </c>
    </row>
    <row r="8" spans="1:22" ht="15" customHeight="1">
      <c r="A8" s="1" t="s">
        <v>814</v>
      </c>
      <c r="B8" s="68" t="s">
        <v>649</v>
      </c>
      <c r="C8" s="68" t="s">
        <v>598</v>
      </c>
      <c r="D8" s="68" t="s">
        <v>599</v>
      </c>
      <c r="E8" s="68" t="s">
        <v>600</v>
      </c>
      <c r="F8" s="68" t="s">
        <v>601</v>
      </c>
      <c r="G8" s="68" t="s">
        <v>602</v>
      </c>
      <c r="H8" s="68" t="s">
        <v>603</v>
      </c>
      <c r="I8" s="68" t="s">
        <v>604</v>
      </c>
      <c r="J8" s="68" t="s">
        <v>605</v>
      </c>
      <c r="K8" s="68" t="s">
        <v>606</v>
      </c>
      <c r="L8" s="68" t="s">
        <v>607</v>
      </c>
      <c r="M8" s="68" t="s">
        <v>608</v>
      </c>
      <c r="N8" s="68" t="s">
        <v>609</v>
      </c>
      <c r="O8" s="68">
        <v>7</v>
      </c>
      <c r="P8" s="68">
        <v>8</v>
      </c>
      <c r="Q8" s="216" t="s">
        <v>830</v>
      </c>
      <c r="R8" s="1" t="s">
        <v>831</v>
      </c>
      <c r="T8" s="340" t="s">
        <v>463</v>
      </c>
      <c r="U8" s="132">
        <v>7</v>
      </c>
      <c r="V8" s="341" t="s">
        <v>464</v>
      </c>
    </row>
    <row r="9" spans="1:22" ht="15" customHeight="1">
      <c r="A9" s="129" t="s">
        <v>795</v>
      </c>
      <c r="B9" s="201">
        <f>IF((Leakage!H34*A_houseSI*Weather!B25)/1.44&gt;0.66666*Aeq,0.66666*Aeq,(Leakage!H34*A_houseSI*Weather!B25)/1.44)</f>
        <v>10.200123167043458</v>
      </c>
      <c r="C9" s="201">
        <f>IF((Leakage!I34*A_houseSI*Weather!C25)/1.44&gt;0.66666*Aeq,0.66666*Aeq,(Leakage!I34*A_houseSI*Weather!C25)/1.44)</f>
        <v>10.448906658922565</v>
      </c>
      <c r="D9" s="201">
        <f>IF((Leakage!J34*A_houseSI*Weather!D25)/1.44&gt;0.66666*Aeq,0.66666*Aeq,(Leakage!J34*A_houseSI*Weather!D25)/1.44)</f>
        <v>10.697690150801675</v>
      </c>
      <c r="E9" s="201">
        <f>IF((Leakage!K34*A_houseSI*Weather!E25)/1.44&gt;0.66666*Aeq,0.66666*Aeq,(Leakage!K34*A_houseSI*Weather!E25)/1.44)</f>
        <v>9.5367005220325023</v>
      </c>
      <c r="F9" s="201">
        <f>IF((Leakage!L34*A_houseSI*Weather!F25)/1.44&gt;0.66666*Aeq,0.66666*Aeq,(Leakage!L34*A_houseSI*Weather!F25)/1.44)</f>
        <v>9.9513396751643501</v>
      </c>
      <c r="G9" s="201">
        <f>IF((Leakage!M34*A_houseSI*Weather!G25)/1.44&gt;0.66666*Aeq,0.66666*Aeq,(Leakage!M34*A_houseSI*Weather!G25)/1.44)</f>
        <v>12.439174593955437</v>
      </c>
      <c r="H9" s="201">
        <f>IF((Leakage!N34*A_houseSI*Weather!H25)/1.44&gt;0.66666*Aeq,0.66666*Aeq,(Leakage!N34*A_houseSI*Weather!H25)/1.44)</f>
        <v>10.365978828296198</v>
      </c>
      <c r="I9" s="201">
        <f>IF((Leakage!O34*A_houseSI*Weather!I25)/1.44&gt;0.66666*Aeq,0.66666*Aeq,(Leakage!O34*A_houseSI*Weather!I25)/1.44)</f>
        <v>11.195257134559894</v>
      </c>
      <c r="J9" s="201">
        <f>IF((Leakage!P34*A_houseSI*Weather!J25)/1.44&gt;0.66666*Aeq,0.66666*Aeq,(Leakage!P34*A_houseSI*Weather!J25)/1.44)</f>
        <v>11.402576711125819</v>
      </c>
      <c r="K9" s="201">
        <f>IF((Leakage!Q34*A_houseSI*Weather!K25)/1.44&gt;0.66666*Aeq,0.66666*Aeq,(Leakage!Q34*A_houseSI*Weather!K25)/1.44)</f>
        <v>9.9513396751643501</v>
      </c>
      <c r="L9" s="201">
        <f>IF((Leakage!R34*A_houseSI*Weather!L25)/1.44&gt;0.66666*Aeq,0.66666*Aeq,(Leakage!R34*A_houseSI*Weather!L25)/1.44)</f>
        <v>9.2879170301533946</v>
      </c>
      <c r="M9" s="201">
        <f>IF((Leakage!S34*A_houseSI*Weather!M25)/1.44&gt;0.66666*Aeq,0.66666*Aeq,(Leakage!S34*A_houseSI*Weather!M25)/1.44)</f>
        <v>10.117195336417089</v>
      </c>
      <c r="N9" s="201">
        <f>IF((Leakage!T34*A_houseSI*Weather!N25)/1.44&gt;0.66666*Aeq,0.66666*Aeq,(Leakage!T34*A_houseSI*Weather!N25)/1.44)</f>
        <v>10.448906658922569</v>
      </c>
      <c r="O9" s="201">
        <f>IF((Leakage!U34*A_houseSI*Weather!O25)/1.44&gt;0.66666*Aeq,0.66666*Aeq,(Leakage!U34*A_houseSI*Weather!O25)/1.44)</f>
        <v>11.609896287691742</v>
      </c>
      <c r="P9" s="201">
        <f>IF((Leakage!V34*A_houseSI*Weather!P25)/1.44&gt;0.66666*Aeq,0.66666*Aeq,(Leakage!V34*A_houseSI*Weather!P25)/1.44)</f>
        <v>8.7074222157688048</v>
      </c>
      <c r="Q9" s="201">
        <f>IF((Leakage!W34*A_houseSI*Weather!Q25)/1.44&gt;0.66666*Aeq,0.66666*Aeq,(Leakage!W34*A_houseSI*Weather!Q25)/1.44)</f>
        <v>9.4537726914061331</v>
      </c>
      <c r="R9" s="201">
        <f>IF((Leakage!X34*A_houseSI*Weather!R25)/1.44&gt;0.66666*Aeq,0.66666*Aeq,(Leakage!X34*A_houseSI*Weather!R25)/1.44)</f>
        <v>8.9147417923347305</v>
      </c>
      <c r="T9" s="340" t="s">
        <v>465</v>
      </c>
      <c r="U9" s="132">
        <v>8</v>
      </c>
      <c r="V9" s="341" t="s">
        <v>466</v>
      </c>
    </row>
    <row r="10" spans="1:22" ht="15" customHeight="1">
      <c r="A10" s="1" t="s">
        <v>794</v>
      </c>
      <c r="B10" s="298">
        <f t="shared" ref="B10:R10" si="0">FanSize*IF($L$2=0,0,$L$2-(B9/$L$2)*B9)</f>
        <v>40.858643420600352</v>
      </c>
      <c r="C10" s="298">
        <f t="shared" si="0"/>
        <v>40.739902732860813</v>
      </c>
      <c r="D10" s="298">
        <f t="shared" si="0"/>
        <v>40.618300823729953</v>
      </c>
      <c r="E10" s="298">
        <f t="shared" si="0"/>
        <v>41.161297061103816</v>
      </c>
      <c r="F10" s="298">
        <f t="shared" si="0"/>
        <v>40.974522886948577</v>
      </c>
      <c r="G10" s="298">
        <f t="shared" si="0"/>
        <v>39.686973260857158</v>
      </c>
      <c r="H10" s="298">
        <f t="shared" si="0"/>
        <v>40.779800875595249</v>
      </c>
      <c r="I10" s="298">
        <f t="shared" si="0"/>
        <v>40.366513341294294</v>
      </c>
      <c r="J10" s="298">
        <f t="shared" si="0"/>
        <v>40.258224059470251</v>
      </c>
      <c r="K10" s="298">
        <f t="shared" si="0"/>
        <v>40.974522886948577</v>
      </c>
      <c r="L10" s="298">
        <f t="shared" si="0"/>
        <v>41.269546603741873</v>
      </c>
      <c r="M10" s="298">
        <f t="shared" si="0"/>
        <v>40.897587822871017</v>
      </c>
      <c r="N10" s="298">
        <f t="shared" si="0"/>
        <v>40.739902732860813</v>
      </c>
      <c r="O10" s="298">
        <f t="shared" si="0"/>
        <v>40.14794781834668</v>
      </c>
      <c r="P10" s="298">
        <f t="shared" si="0"/>
        <v>41.511001897820009</v>
      </c>
      <c r="Q10" s="298">
        <f t="shared" si="0"/>
        <v>41.197698155471095</v>
      </c>
      <c r="R10" s="298">
        <f t="shared" si="0"/>
        <v>41.426556127590246</v>
      </c>
      <c r="T10" s="340" t="s">
        <v>467</v>
      </c>
      <c r="U10" s="132"/>
      <c r="V10" s="341"/>
    </row>
    <row r="11" spans="1:22" ht="15" customHeight="1">
      <c r="A11" s="1" t="s">
        <v>815</v>
      </c>
      <c r="B11" s="216">
        <f>B10*0.4361</f>
        <v>17.818454395723812</v>
      </c>
      <c r="C11" s="216">
        <f>C10*0.4361</f>
        <v>17.766671581800601</v>
      </c>
      <c r="D11" s="216">
        <f t="shared" ref="D11:P11" si="1">D10*0.4361</f>
        <v>17.713640989228633</v>
      </c>
      <c r="E11" s="216">
        <f t="shared" si="1"/>
        <v>17.950441648347375</v>
      </c>
      <c r="F11" s="216">
        <f t="shared" si="1"/>
        <v>17.868989430998273</v>
      </c>
      <c r="G11" s="216">
        <f t="shared" si="1"/>
        <v>17.307489039059806</v>
      </c>
      <c r="H11" s="216">
        <f t="shared" si="1"/>
        <v>17.784071161847088</v>
      </c>
      <c r="I11" s="216">
        <f t="shared" si="1"/>
        <v>17.603836468138439</v>
      </c>
      <c r="J11" s="216">
        <f t="shared" si="1"/>
        <v>17.556611512334975</v>
      </c>
      <c r="K11" s="216">
        <f t="shared" si="1"/>
        <v>17.868989430998273</v>
      </c>
      <c r="L11" s="216">
        <f t="shared" si="1"/>
        <v>17.997649273891831</v>
      </c>
      <c r="M11" s="216">
        <f t="shared" si="1"/>
        <v>17.83543804955405</v>
      </c>
      <c r="N11" s="216">
        <f t="shared" si="1"/>
        <v>17.766671581800601</v>
      </c>
      <c r="O11" s="216">
        <f t="shared" si="1"/>
        <v>17.508520043580987</v>
      </c>
      <c r="P11" s="216">
        <f t="shared" si="1"/>
        <v>18.102947927639306</v>
      </c>
      <c r="Q11" s="216">
        <f>Q10*0.4361</f>
        <v>17.966316165600944</v>
      </c>
      <c r="R11" s="216">
        <f>R10*0.4361</f>
        <v>18.066121127242106</v>
      </c>
      <c r="T11" s="340" t="s">
        <v>468</v>
      </c>
      <c r="U11" s="132">
        <v>5</v>
      </c>
      <c r="V11" s="341" t="s">
        <v>469</v>
      </c>
    </row>
    <row r="12" spans="1:22" ht="15" customHeight="1">
      <c r="A12" s="84" t="s">
        <v>961</v>
      </c>
      <c r="B12" s="348">
        <f>IF(VentSystem="CFIS",0,0.566*B13*-1000)</f>
        <v>23.125992176059796</v>
      </c>
      <c r="C12" s="348">
        <f t="shared" ref="C12:R12" si="2">IF(VentSystem="CFIS",0,0.566*C13*-1000)</f>
        <v>23.058784946799218</v>
      </c>
      <c r="D12" s="348">
        <f t="shared" si="2"/>
        <v>22.989958266231152</v>
      </c>
      <c r="E12" s="348">
        <f t="shared" si="2"/>
        <v>23.297294136584757</v>
      </c>
      <c r="F12" s="348">
        <f t="shared" si="2"/>
        <v>23.191579954012894</v>
      </c>
      <c r="G12" s="348">
        <f t="shared" si="2"/>
        <v>22.462826865645148</v>
      </c>
      <c r="H12" s="348">
        <f t="shared" si="2"/>
        <v>23.081367295586908</v>
      </c>
      <c r="I12" s="348">
        <f t="shared" si="2"/>
        <v>22.847446551172567</v>
      </c>
      <c r="J12" s="348">
        <f t="shared" si="2"/>
        <v>22.786154817660162</v>
      </c>
      <c r="K12" s="348">
        <f t="shared" si="2"/>
        <v>23.191579954012894</v>
      </c>
      <c r="L12" s="348">
        <f t="shared" si="2"/>
        <v>23.358563377717896</v>
      </c>
      <c r="M12" s="348">
        <f t="shared" si="2"/>
        <v>23.148034707744994</v>
      </c>
      <c r="N12" s="348">
        <f t="shared" si="2"/>
        <v>23.058784946799218</v>
      </c>
      <c r="O12" s="348">
        <f t="shared" si="2"/>
        <v>22.723738465184219</v>
      </c>
      <c r="P12" s="348">
        <f t="shared" si="2"/>
        <v>23.495227074166124</v>
      </c>
      <c r="Q12" s="348">
        <f t="shared" si="2"/>
        <v>23.317897155996636</v>
      </c>
      <c r="R12" s="348">
        <f t="shared" si="2"/>
        <v>23.44743076821608</v>
      </c>
      <c r="T12" s="340" t="s">
        <v>470</v>
      </c>
      <c r="U12" s="132" t="s">
        <v>471</v>
      </c>
      <c r="V12" s="341" t="s">
        <v>456</v>
      </c>
    </row>
    <row r="13" spans="1:22" ht="15" customHeight="1">
      <c r="A13" s="84" t="s">
        <v>962</v>
      </c>
      <c r="B13" s="348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-4.0858643420600353E-2</v>
      </c>
      <c r="C13" s="348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-4.0739902732860815E-2</v>
      </c>
      <c r="D13" s="348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-4.0618300823729955E-2</v>
      </c>
      <c r="E13" s="348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-4.1161297061103816E-2</v>
      </c>
      <c r="F13" s="348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-4.0974522886948576E-2</v>
      </c>
      <c r="G13" s="348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-3.9686973260857156E-2</v>
      </c>
      <c r="H13" s="348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-4.0779800875595247E-2</v>
      </c>
      <c r="I13" s="348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-4.0366513341294291E-2</v>
      </c>
      <c r="J13" s="348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-4.025822405947025E-2</v>
      </c>
      <c r="K13" s="348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-4.0974522886948576E-2</v>
      </c>
      <c r="L13" s="348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-4.1269546603741873E-2</v>
      </c>
      <c r="M13" s="348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-4.089758782287102E-2</v>
      </c>
      <c r="N13" s="348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-4.0739902732860815E-2</v>
      </c>
      <c r="O13" s="348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-4.0147947818346678E-2</v>
      </c>
      <c r="P13" s="348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-4.1511001897820012E-2</v>
      </c>
      <c r="Q13" s="348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-4.1197698155471092E-2</v>
      </c>
      <c r="R13" s="348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-4.1426556127590247E-2</v>
      </c>
      <c r="T13" s="340" t="s">
        <v>472</v>
      </c>
      <c r="U13" s="132" t="s">
        <v>473</v>
      </c>
      <c r="V13" s="341" t="s">
        <v>456</v>
      </c>
    </row>
    <row r="14" spans="1:22" ht="15" customHeight="1">
      <c r="A14" s="84" t="s">
        <v>963</v>
      </c>
      <c r="B14" s="349">
        <f t="shared" ref="B14:R14" si="3">VLOOKUP(VentSystem,$R$2:$S$4,2,FALSE)</f>
        <v>1</v>
      </c>
      <c r="C14" s="349">
        <f t="shared" si="3"/>
        <v>1</v>
      </c>
      <c r="D14" s="349">
        <f t="shared" si="3"/>
        <v>1</v>
      </c>
      <c r="E14" s="349">
        <f t="shared" si="3"/>
        <v>1</v>
      </c>
      <c r="F14" s="349">
        <f t="shared" si="3"/>
        <v>1</v>
      </c>
      <c r="G14" s="349">
        <f t="shared" si="3"/>
        <v>1</v>
      </c>
      <c r="H14" s="349">
        <f t="shared" si="3"/>
        <v>1</v>
      </c>
      <c r="I14" s="349">
        <f t="shared" si="3"/>
        <v>1</v>
      </c>
      <c r="J14" s="349">
        <f t="shared" si="3"/>
        <v>1</v>
      </c>
      <c r="K14" s="349">
        <f t="shared" si="3"/>
        <v>1</v>
      </c>
      <c r="L14" s="349">
        <f t="shared" si="3"/>
        <v>1</v>
      </c>
      <c r="M14" s="349">
        <f t="shared" si="3"/>
        <v>1</v>
      </c>
      <c r="N14" s="349">
        <f t="shared" si="3"/>
        <v>1</v>
      </c>
      <c r="O14" s="349">
        <f t="shared" si="3"/>
        <v>1</v>
      </c>
      <c r="P14" s="349">
        <f t="shared" si="3"/>
        <v>1</v>
      </c>
      <c r="Q14" s="349">
        <f t="shared" si="3"/>
        <v>1</v>
      </c>
      <c r="R14" s="349">
        <f t="shared" si="3"/>
        <v>1</v>
      </c>
      <c r="T14" s="340" t="s">
        <v>474</v>
      </c>
      <c r="U14" s="132" t="s">
        <v>475</v>
      </c>
      <c r="V14" s="341" t="s">
        <v>462</v>
      </c>
    </row>
    <row r="15" spans="1:22" ht="15" customHeight="1">
      <c r="B15" s="216"/>
      <c r="C15" s="216"/>
      <c r="D15" s="216"/>
      <c r="E15" s="216"/>
      <c r="F15" s="216"/>
      <c r="G15" s="216"/>
      <c r="H15" s="215"/>
      <c r="I15" s="216"/>
      <c r="J15" s="216"/>
      <c r="K15" s="201"/>
      <c r="L15" s="216"/>
      <c r="M15" s="216"/>
      <c r="N15" s="216"/>
      <c r="O15" s="216"/>
      <c r="P15" s="216"/>
      <c r="Q15" s="216"/>
      <c r="T15" s="340" t="s">
        <v>476</v>
      </c>
      <c r="U15" s="132">
        <v>7</v>
      </c>
      <c r="V15" s="341" t="s">
        <v>462</v>
      </c>
    </row>
    <row r="16" spans="1:22" ht="15" customHeight="1">
      <c r="A16" s="88" t="s">
        <v>270</v>
      </c>
      <c r="B16" s="218" t="s">
        <v>647</v>
      </c>
      <c r="C16" s="218" t="s">
        <v>648</v>
      </c>
      <c r="D16" s="93" t="s">
        <v>127</v>
      </c>
      <c r="E16" s="93" t="s">
        <v>272</v>
      </c>
      <c r="F16" s="93" t="s">
        <v>127</v>
      </c>
      <c r="G16" s="93" t="s">
        <v>273</v>
      </c>
      <c r="H16" s="93" t="s">
        <v>518</v>
      </c>
      <c r="I16" s="93" t="s">
        <v>274</v>
      </c>
      <c r="J16" s="93"/>
      <c r="K16" s="93" t="s">
        <v>407</v>
      </c>
      <c r="L16" s="93" t="s">
        <v>408</v>
      </c>
      <c r="M16" s="93" t="s">
        <v>275</v>
      </c>
      <c r="N16" s="93"/>
      <c r="O16" s="93" t="s">
        <v>276</v>
      </c>
      <c r="P16" s="93" t="s">
        <v>277</v>
      </c>
      <c r="Q16" s="93" t="s">
        <v>278</v>
      </c>
      <c r="R16" s="93" t="s">
        <v>0</v>
      </c>
      <c r="T16" s="340" t="s">
        <v>477</v>
      </c>
      <c r="U16" s="132" t="s">
        <v>478</v>
      </c>
      <c r="V16" s="341" t="s">
        <v>462</v>
      </c>
    </row>
    <row r="17" spans="1:22" ht="15" customHeight="1">
      <c r="A17" s="97" t="s">
        <v>279</v>
      </c>
      <c r="B17" s="216">
        <v>50</v>
      </c>
      <c r="C17" s="421">
        <f>E17/1000*-1</f>
        <v>-2.3596035865974516E-2</v>
      </c>
      <c r="D17" s="7" t="s">
        <v>280</v>
      </c>
      <c r="E17" s="48">
        <f>B17/2.119</f>
        <v>23.596035865974514</v>
      </c>
      <c r="F17" s="7" t="s">
        <v>188</v>
      </c>
      <c r="G17" s="7">
        <v>1</v>
      </c>
      <c r="H17" s="48">
        <f>E17*G17</f>
        <v>23.596035865974514</v>
      </c>
      <c r="I17" s="419">
        <f>F29*G17</f>
        <v>10.199999999999999</v>
      </c>
      <c r="K17" s="41">
        <f>E17*10^-3*3600/V_houseSI</f>
        <v>0.15872131958021529</v>
      </c>
      <c r="L17" s="43">
        <f>E17*10^-3*3600/V_houseSI+10/100*A_houseSI*3600/1000/V_houseSI</f>
        <v>0.28995074478021532</v>
      </c>
      <c r="M17" s="45">
        <v>31</v>
      </c>
      <c r="N17" s="46">
        <v>0.25</v>
      </c>
      <c r="O17" s="47">
        <f t="shared" ref="O17:O23" si="4">$H$19*(1+N17)</f>
        <v>41.293062765455403</v>
      </c>
      <c r="P17" s="47">
        <f t="shared" ref="P17:P23" si="5">O17*10^-3/(0.3048^3)*60</f>
        <v>87.495044968294053</v>
      </c>
      <c r="Q17" s="47">
        <f t="shared" ref="Q17:Q23" si="6">$F$50</f>
        <v>16.2</v>
      </c>
      <c r="T17" s="340" t="s">
        <v>479</v>
      </c>
      <c r="U17" s="132">
        <v>4</v>
      </c>
      <c r="V17" s="341" t="s">
        <v>480</v>
      </c>
    </row>
    <row r="18" spans="1:22" ht="15" customHeight="1">
      <c r="A18" s="97" t="s">
        <v>281</v>
      </c>
      <c r="B18" s="216">
        <v>100</v>
      </c>
      <c r="C18" s="421">
        <f>E18/1000*-1</f>
        <v>-4.7192071731949031E-2</v>
      </c>
      <c r="D18" s="7" t="s">
        <v>280</v>
      </c>
      <c r="E18" s="48">
        <f>B18/2.119</f>
        <v>47.192071731949028</v>
      </c>
      <c r="F18" s="7" t="s">
        <v>188</v>
      </c>
      <c r="G18" s="7">
        <v>1</v>
      </c>
      <c r="H18" s="48">
        <f>E18*G18</f>
        <v>47.192071731949028</v>
      </c>
      <c r="I18" s="419">
        <f>F24*G18</f>
        <v>37.200000000000003</v>
      </c>
      <c r="K18" s="41">
        <f>E18*10^-3*3600/V_houseSI</f>
        <v>0.31744263916043058</v>
      </c>
      <c r="L18" s="43">
        <f>E18*10^-3*3600/V_houseSI+10/100*A_houseSI*3600/1000/V_houseSI</f>
        <v>0.44867206436043061</v>
      </c>
      <c r="M18" s="45">
        <v>32</v>
      </c>
      <c r="N18" s="46">
        <v>0.25</v>
      </c>
      <c r="O18" s="47">
        <f t="shared" si="4"/>
        <v>41.293062765455403</v>
      </c>
      <c r="P18" s="47">
        <f t="shared" si="5"/>
        <v>87.495044968294053</v>
      </c>
      <c r="Q18" s="47">
        <f t="shared" si="6"/>
        <v>16.2</v>
      </c>
      <c r="T18" s="340" t="s">
        <v>481</v>
      </c>
      <c r="U18" s="132">
        <v>4</v>
      </c>
      <c r="V18" s="341" t="s">
        <v>480</v>
      </c>
    </row>
    <row r="19" spans="1:22" ht="15" customHeight="1">
      <c r="A19" s="97" t="s">
        <v>282</v>
      </c>
      <c r="B19" s="215">
        <v>70</v>
      </c>
      <c r="C19" s="422">
        <f>E19/1000*-1</f>
        <v>-3.303445021236432E-2</v>
      </c>
      <c r="D19" s="2" t="s">
        <v>280</v>
      </c>
      <c r="E19" s="48">
        <f>B19/2.119</f>
        <v>33.03445021236432</v>
      </c>
      <c r="F19" s="7" t="s">
        <v>188</v>
      </c>
      <c r="G19" s="7">
        <v>1</v>
      </c>
      <c r="H19" s="48">
        <f>E19*G19</f>
        <v>33.03445021236432</v>
      </c>
      <c r="I19" s="419">
        <f>F42</f>
        <v>11.8</v>
      </c>
      <c r="K19" s="41">
        <f>E19*10^-3*3600/V_houseSI</f>
        <v>0.2222098474123014</v>
      </c>
      <c r="L19" s="43">
        <f>E19*10^-3*3600/V_houseSI+10/100*A_houseSI*3600/1000/V_houseSI</f>
        <v>0.3534392726123014</v>
      </c>
      <c r="M19" s="45">
        <v>33</v>
      </c>
      <c r="N19" s="46">
        <v>0.25</v>
      </c>
      <c r="O19" s="47">
        <f t="shared" si="4"/>
        <v>41.293062765455403</v>
      </c>
      <c r="P19" s="47">
        <f t="shared" si="5"/>
        <v>87.495044968294053</v>
      </c>
      <c r="Q19" s="47">
        <f t="shared" si="6"/>
        <v>16.2</v>
      </c>
      <c r="T19" s="340" t="s">
        <v>482</v>
      </c>
      <c r="U19" s="132">
        <v>6</v>
      </c>
      <c r="V19" s="341" t="s">
        <v>456</v>
      </c>
    </row>
    <row r="20" spans="1:22" ht="15" customHeight="1">
      <c r="A20" s="97" t="s">
        <v>55</v>
      </c>
      <c r="B20" s="216">
        <v>150</v>
      </c>
      <c r="C20" s="421">
        <f>E20/1000*-1</f>
        <v>-7.0788107597923547E-2</v>
      </c>
      <c r="D20" s="7" t="s">
        <v>280</v>
      </c>
      <c r="E20" s="48">
        <f>B20/2.119</f>
        <v>70.788107597923542</v>
      </c>
      <c r="F20" s="7" t="s">
        <v>188</v>
      </c>
      <c r="G20" s="7">
        <v>1</v>
      </c>
      <c r="H20" s="48">
        <f>E20*G20</f>
        <v>70.788107597923542</v>
      </c>
      <c r="I20" s="420">
        <v>0</v>
      </c>
      <c r="K20" s="41">
        <f>E20*10^-3*3600/V_houseSI</f>
        <v>0.47616395874064593</v>
      </c>
      <c r="L20" s="43">
        <f>E20*10^-3*3600/V_houseSI+10/100*A_houseSI*3600/1000/V_houseSI</f>
        <v>0.6073933839406459</v>
      </c>
      <c r="M20" s="45">
        <v>34</v>
      </c>
      <c r="N20" s="46">
        <v>0.25</v>
      </c>
      <c r="O20" s="47">
        <f t="shared" si="4"/>
        <v>41.293062765455403</v>
      </c>
      <c r="P20" s="47">
        <f t="shared" si="5"/>
        <v>87.495044968294053</v>
      </c>
      <c r="Q20" s="47">
        <f t="shared" si="6"/>
        <v>16.2</v>
      </c>
      <c r="T20" s="340" t="s">
        <v>489</v>
      </c>
      <c r="U20" s="132"/>
      <c r="V20" s="341"/>
    </row>
    <row r="21" spans="1:22" ht="15" customHeight="1">
      <c r="M21" s="45">
        <v>35</v>
      </c>
      <c r="N21" s="46">
        <v>0.25</v>
      </c>
      <c r="O21" s="47">
        <f t="shared" si="4"/>
        <v>41.293062765455403</v>
      </c>
      <c r="P21" s="47">
        <f t="shared" si="5"/>
        <v>87.495044968294053</v>
      </c>
      <c r="Q21" s="47">
        <f t="shared" si="6"/>
        <v>16.2</v>
      </c>
      <c r="T21" s="340" t="s">
        <v>483</v>
      </c>
      <c r="U21" s="132" t="s">
        <v>484</v>
      </c>
      <c r="V21" s="341" t="s">
        <v>485</v>
      </c>
    </row>
    <row r="22" spans="1:22" ht="15" customHeight="1">
      <c r="A22" s="4" t="s">
        <v>283</v>
      </c>
      <c r="M22" s="45">
        <v>36</v>
      </c>
      <c r="N22" s="46">
        <v>0.25</v>
      </c>
      <c r="O22" s="47">
        <f t="shared" si="4"/>
        <v>41.293062765455403</v>
      </c>
      <c r="P22" s="47">
        <f t="shared" si="5"/>
        <v>87.495044968294053</v>
      </c>
      <c r="Q22" s="45">
        <f t="shared" si="6"/>
        <v>16.2</v>
      </c>
      <c r="T22" s="340" t="s">
        <v>486</v>
      </c>
      <c r="U22" s="132" t="s">
        <v>384</v>
      </c>
      <c r="V22" s="341" t="s">
        <v>487</v>
      </c>
    </row>
    <row r="23" spans="1:22" ht="15" customHeight="1" thickBot="1">
      <c r="A23" s="94" t="s">
        <v>284</v>
      </c>
      <c r="B23" s="213" t="s">
        <v>647</v>
      </c>
      <c r="C23" s="214" t="s">
        <v>648</v>
      </c>
      <c r="D23" s="32" t="s">
        <v>285</v>
      </c>
      <c r="E23" s="32" t="s">
        <v>286</v>
      </c>
      <c r="F23" s="32" t="s">
        <v>32</v>
      </c>
      <c r="G23" s="78" t="s">
        <v>287</v>
      </c>
      <c r="H23" s="205" t="s">
        <v>188</v>
      </c>
      <c r="M23" s="45">
        <v>37</v>
      </c>
      <c r="N23" s="46">
        <v>0.25</v>
      </c>
      <c r="O23" s="47">
        <f t="shared" si="4"/>
        <v>41.293062765455403</v>
      </c>
      <c r="P23" s="47">
        <f t="shared" si="5"/>
        <v>87.495044968294053</v>
      </c>
      <c r="Q23" s="45">
        <f t="shared" si="6"/>
        <v>16.2</v>
      </c>
      <c r="T23" s="342" t="s">
        <v>488</v>
      </c>
      <c r="U23" s="343"/>
      <c r="V23" s="344"/>
    </row>
    <row r="24" spans="1:22" ht="15" customHeight="1">
      <c r="A24" s="95" t="s">
        <v>288</v>
      </c>
      <c r="B24" s="49">
        <v>100</v>
      </c>
      <c r="C24" s="203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439</v>
      </c>
      <c r="H24" s="204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289</v>
      </c>
      <c r="B25" s="50">
        <v>100</v>
      </c>
      <c r="C25" s="203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290</v>
      </c>
      <c r="H25" s="204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291</v>
      </c>
      <c r="B28" s="211" t="s">
        <v>647</v>
      </c>
      <c r="C28" s="212" t="s">
        <v>648</v>
      </c>
      <c r="D28" s="32" t="s">
        <v>285</v>
      </c>
      <c r="E28" s="32" t="s">
        <v>286</v>
      </c>
      <c r="F28" s="32" t="s">
        <v>32</v>
      </c>
      <c r="G28" s="32" t="s">
        <v>287</v>
      </c>
      <c r="H28" s="205" t="s">
        <v>188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292</v>
      </c>
      <c r="B29" s="49">
        <v>50</v>
      </c>
      <c r="C29" s="203">
        <f t="shared" ref="C29:C34" si="7">H29/1000*-1</f>
        <v>-2.3596035865974516E-2</v>
      </c>
      <c r="D29" s="49" t="s">
        <v>293</v>
      </c>
      <c r="E29" s="49">
        <v>0.25</v>
      </c>
      <c r="F29" s="49">
        <v>10.199999999999999</v>
      </c>
      <c r="G29" s="49" t="s">
        <v>294</v>
      </c>
      <c r="H29" s="204">
        <f t="shared" ref="H29:H34" si="8">B29/2.119</f>
        <v>23.596035865974514</v>
      </c>
      <c r="I29" s="48"/>
      <c r="J29" s="216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295</v>
      </c>
      <c r="B30" s="50">
        <v>50</v>
      </c>
      <c r="C30" s="203">
        <f t="shared" si="7"/>
        <v>-2.3596035865974516E-2</v>
      </c>
      <c r="D30" s="50" t="s">
        <v>293</v>
      </c>
      <c r="E30" s="50">
        <v>0.25</v>
      </c>
      <c r="F30" s="50">
        <v>10.199999999999999</v>
      </c>
      <c r="G30" s="50" t="s">
        <v>296</v>
      </c>
      <c r="H30" s="204">
        <f t="shared" si="8"/>
        <v>23.596035865974514</v>
      </c>
      <c r="I30" s="48"/>
      <c r="J30" s="216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297</v>
      </c>
      <c r="B31" s="7">
        <v>50</v>
      </c>
      <c r="C31" s="203">
        <f t="shared" si="7"/>
        <v>-2.3596035865974516E-2</v>
      </c>
      <c r="D31" s="7" t="s">
        <v>293</v>
      </c>
      <c r="E31" s="7">
        <v>0.25</v>
      </c>
      <c r="F31" s="7">
        <v>11.2</v>
      </c>
      <c r="G31" s="7" t="s">
        <v>294</v>
      </c>
      <c r="H31" s="204">
        <f t="shared" si="8"/>
        <v>23.596035865974514</v>
      </c>
      <c r="I31" s="48"/>
      <c r="J31" s="216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298</v>
      </c>
      <c r="B32" s="7">
        <v>50</v>
      </c>
      <c r="C32" s="203">
        <f t="shared" si="7"/>
        <v>-2.3596035865974516E-2</v>
      </c>
      <c r="D32" s="2" t="s">
        <v>293</v>
      </c>
      <c r="E32" s="7">
        <v>0.1</v>
      </c>
      <c r="F32" s="7">
        <v>19.7</v>
      </c>
      <c r="G32" s="2" t="s">
        <v>299</v>
      </c>
      <c r="H32" s="204">
        <f t="shared" si="8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300</v>
      </c>
      <c r="B33" s="51">
        <v>50</v>
      </c>
      <c r="C33" s="203">
        <f t="shared" si="7"/>
        <v>-2.3596035865974516E-2</v>
      </c>
      <c r="D33" s="2" t="s">
        <v>293</v>
      </c>
      <c r="E33" s="7">
        <v>0.25</v>
      </c>
      <c r="F33" s="7">
        <v>11.8</v>
      </c>
      <c r="G33" s="2" t="s">
        <v>301</v>
      </c>
      <c r="H33" s="204">
        <f t="shared" si="8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438</v>
      </c>
      <c r="B34" s="7">
        <v>50</v>
      </c>
      <c r="C34" s="203">
        <f t="shared" si="7"/>
        <v>-2.3596035865974516E-2</v>
      </c>
      <c r="F34" s="7">
        <v>55</v>
      </c>
      <c r="G34" s="7" t="s">
        <v>437</v>
      </c>
      <c r="H34" s="204">
        <f t="shared" si="8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302</v>
      </c>
      <c r="B36" s="210" t="s">
        <v>647</v>
      </c>
      <c r="C36" s="217" t="s">
        <v>648</v>
      </c>
      <c r="D36" s="32" t="s">
        <v>285</v>
      </c>
      <c r="E36" s="32" t="s">
        <v>286</v>
      </c>
      <c r="F36" s="32" t="s">
        <v>32</v>
      </c>
      <c r="G36" s="32" t="s">
        <v>287</v>
      </c>
      <c r="H36" s="205" t="s">
        <v>188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303</v>
      </c>
      <c r="B37" s="52">
        <v>70</v>
      </c>
      <c r="C37" s="203">
        <f t="shared" ref="C37:C42" si="9">H37/1000*-1</f>
        <v>-3.303445021236432E-2</v>
      </c>
      <c r="D37" s="52">
        <v>0.60000000000000009</v>
      </c>
      <c r="E37" s="52" t="s">
        <v>304</v>
      </c>
      <c r="F37" s="52">
        <v>19.399999999999999</v>
      </c>
      <c r="G37" s="52" t="s">
        <v>305</v>
      </c>
      <c r="H37" s="204">
        <f t="shared" ref="H37:H42" si="10">B37/2.119</f>
        <v>33.03445021236432</v>
      </c>
    </row>
    <row r="38" spans="1:17" ht="15" customHeight="1">
      <c r="A38" s="96" t="s">
        <v>306</v>
      </c>
      <c r="B38" s="53">
        <v>72</v>
      </c>
      <c r="C38" s="203">
        <f t="shared" si="9"/>
        <v>-3.3978291647003306E-2</v>
      </c>
      <c r="D38" s="53">
        <v>0.64</v>
      </c>
      <c r="E38" s="53" t="s">
        <v>304</v>
      </c>
      <c r="F38" s="53">
        <v>20</v>
      </c>
      <c r="G38" s="53" t="s">
        <v>307</v>
      </c>
      <c r="H38" s="204">
        <f t="shared" si="10"/>
        <v>33.978291647003303</v>
      </c>
    </row>
    <row r="39" spans="1:17" ht="15" customHeight="1">
      <c r="A39" s="96" t="s">
        <v>308</v>
      </c>
      <c r="B39" s="53">
        <v>68</v>
      </c>
      <c r="C39" s="203">
        <f t="shared" si="9"/>
        <v>-3.2090608777725335E-2</v>
      </c>
      <c r="D39" s="53">
        <v>0.9</v>
      </c>
      <c r="E39" s="53" t="s">
        <v>304</v>
      </c>
      <c r="F39" s="53">
        <v>28.3</v>
      </c>
      <c r="G39" s="53" t="s">
        <v>309</v>
      </c>
      <c r="H39" s="204">
        <f t="shared" si="10"/>
        <v>32.090608777725336</v>
      </c>
    </row>
    <row r="40" spans="1:17" ht="15" customHeight="1">
      <c r="A40" s="96" t="s">
        <v>310</v>
      </c>
      <c r="B40" s="53">
        <v>70</v>
      </c>
      <c r="C40" s="203">
        <f t="shared" si="9"/>
        <v>-3.303445021236432E-2</v>
      </c>
      <c r="D40" s="53">
        <v>0.25</v>
      </c>
      <c r="E40" s="53" t="s">
        <v>304</v>
      </c>
      <c r="F40" s="53">
        <v>24.5</v>
      </c>
      <c r="G40" s="53" t="s">
        <v>311</v>
      </c>
      <c r="H40" s="204">
        <f t="shared" si="10"/>
        <v>33.03445021236432</v>
      </c>
    </row>
    <row r="41" spans="1:17" ht="15" customHeight="1">
      <c r="A41" s="97" t="s">
        <v>312</v>
      </c>
      <c r="B41" s="2">
        <v>70</v>
      </c>
      <c r="C41" s="203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313</v>
      </c>
      <c r="H41" s="204">
        <f t="shared" si="10"/>
        <v>33.03445021236432</v>
      </c>
      <c r="J41" s="7">
        <f>F41/H41</f>
        <v>0.42380000000000007</v>
      </c>
    </row>
    <row r="42" spans="1:17" ht="15" customHeight="1">
      <c r="A42" s="97" t="s">
        <v>312</v>
      </c>
      <c r="B42" s="7">
        <v>60</v>
      </c>
      <c r="C42" s="203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313</v>
      </c>
      <c r="H42" s="204">
        <f t="shared" si="10"/>
        <v>28.315243039169417</v>
      </c>
      <c r="J42" s="216">
        <f>F42/H42</f>
        <v>0.41673666666666676</v>
      </c>
    </row>
    <row r="44" spans="1:17" ht="15" customHeight="1">
      <c r="A44" s="94" t="s">
        <v>314</v>
      </c>
      <c r="B44" s="207" t="s">
        <v>647</v>
      </c>
      <c r="C44" s="208" t="s">
        <v>648</v>
      </c>
      <c r="D44" s="32" t="s">
        <v>285</v>
      </c>
      <c r="E44" s="32" t="s">
        <v>286</v>
      </c>
      <c r="F44" s="32" t="s">
        <v>32</v>
      </c>
      <c r="G44" s="32" t="s">
        <v>287</v>
      </c>
      <c r="H44" s="205" t="s">
        <v>188</v>
      </c>
    </row>
    <row r="45" spans="1:17" ht="15" customHeight="1">
      <c r="A45" s="95" t="s">
        <v>315</v>
      </c>
      <c r="B45" s="54">
        <v>83</v>
      </c>
      <c r="C45" s="199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316</v>
      </c>
      <c r="H45" s="204">
        <f>B45/2.119</f>
        <v>39.16941953751769</v>
      </c>
    </row>
    <row r="46" spans="1:17" ht="15" customHeight="1">
      <c r="A46" s="96" t="s">
        <v>317</v>
      </c>
      <c r="B46" s="53">
        <v>80</v>
      </c>
      <c r="C46" s="199">
        <f t="shared" ref="C46:C52" si="11">H46/1000*-1</f>
        <v>-3.7753657385559219E-2</v>
      </c>
      <c r="D46" s="53">
        <v>0.7</v>
      </c>
      <c r="E46" s="53" t="s">
        <v>304</v>
      </c>
      <c r="F46" s="53">
        <v>23.6</v>
      </c>
      <c r="G46" s="53" t="s">
        <v>318</v>
      </c>
      <c r="H46" s="204">
        <f t="shared" ref="H46:H52" si="12">B46/2.119</f>
        <v>37.753657385559222</v>
      </c>
    </row>
    <row r="47" spans="1:17" ht="15" customHeight="1">
      <c r="A47" s="96" t="s">
        <v>319</v>
      </c>
      <c r="B47" s="53">
        <v>80</v>
      </c>
      <c r="C47" s="199">
        <f t="shared" si="11"/>
        <v>-3.7753657385559219E-2</v>
      </c>
      <c r="D47" s="53">
        <v>1</v>
      </c>
      <c r="E47" s="53" t="s">
        <v>304</v>
      </c>
      <c r="F47" s="53">
        <v>27.2</v>
      </c>
      <c r="G47" s="53" t="s">
        <v>320</v>
      </c>
      <c r="H47" s="204">
        <f t="shared" si="12"/>
        <v>37.753657385559222</v>
      </c>
    </row>
    <row r="48" spans="1:17" ht="15" customHeight="1">
      <c r="A48" s="97" t="s">
        <v>321</v>
      </c>
      <c r="B48" s="7">
        <v>83</v>
      </c>
      <c r="C48" s="199">
        <f t="shared" si="11"/>
        <v>-3.9169419537517687E-2</v>
      </c>
      <c r="D48" s="7">
        <v>0.7</v>
      </c>
      <c r="E48" s="2" t="s">
        <v>322</v>
      </c>
      <c r="F48" s="7">
        <v>24.11</v>
      </c>
      <c r="G48" s="2" t="s">
        <v>323</v>
      </c>
      <c r="H48" s="204">
        <f t="shared" si="12"/>
        <v>39.16941953751769</v>
      </c>
    </row>
    <row r="49" spans="1:17" ht="15" customHeight="1">
      <c r="A49" s="97" t="s">
        <v>324</v>
      </c>
      <c r="B49" s="7">
        <v>80</v>
      </c>
      <c r="C49" s="199">
        <f t="shared" si="11"/>
        <v>-3.7753657385559219E-2</v>
      </c>
      <c r="D49" s="7">
        <v>0.8</v>
      </c>
      <c r="E49" s="2" t="s">
        <v>322</v>
      </c>
      <c r="F49" s="7">
        <v>28.6</v>
      </c>
      <c r="G49" s="2" t="s">
        <v>325</v>
      </c>
      <c r="H49" s="204">
        <f t="shared" si="12"/>
        <v>37.753657385559222</v>
      </c>
    </row>
    <row r="50" spans="1:17" ht="15" customHeight="1">
      <c r="A50" s="97" t="s">
        <v>312</v>
      </c>
      <c r="B50" s="7">
        <v>80</v>
      </c>
      <c r="C50" s="199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326</v>
      </c>
      <c r="H50" s="204">
        <f t="shared" si="12"/>
        <v>37.753657385559222</v>
      </c>
      <c r="J50" s="216">
        <f>F50/H50</f>
        <v>0.42909750000000002</v>
      </c>
    </row>
    <row r="51" spans="1:17" ht="15" customHeight="1">
      <c r="A51" s="68" t="s">
        <v>620</v>
      </c>
      <c r="B51" s="193">
        <v>100</v>
      </c>
      <c r="C51" s="206">
        <f t="shared" si="11"/>
        <v>-4.7192071731949031E-2</v>
      </c>
      <c r="D51" s="193">
        <v>0.9</v>
      </c>
      <c r="E51" s="193">
        <v>0.25</v>
      </c>
      <c r="F51" s="193">
        <v>27.3</v>
      </c>
      <c r="G51" s="193" t="s">
        <v>621</v>
      </c>
      <c r="H51" s="204">
        <f t="shared" si="12"/>
        <v>47.192071731949028</v>
      </c>
    </row>
    <row r="52" spans="1:17" ht="15" customHeight="1">
      <c r="A52" s="68" t="s">
        <v>618</v>
      </c>
      <c r="B52" s="193">
        <v>150</v>
      </c>
      <c r="C52" s="206">
        <f t="shared" si="11"/>
        <v>-7.0788107597923547E-2</v>
      </c>
      <c r="D52" s="193">
        <v>0.6</v>
      </c>
      <c r="E52" s="193">
        <v>0.25</v>
      </c>
      <c r="F52" s="193">
        <v>31.4</v>
      </c>
      <c r="G52" s="193" t="s">
        <v>619</v>
      </c>
      <c r="H52" s="204">
        <f t="shared" si="12"/>
        <v>70.788107597923542</v>
      </c>
      <c r="J52" s="216">
        <f>F52/H52</f>
        <v>0.44357733333333338</v>
      </c>
    </row>
    <row r="54" spans="1:17" ht="15" customHeight="1">
      <c r="A54" s="94" t="s">
        <v>622</v>
      </c>
      <c r="B54" s="209" t="s">
        <v>647</v>
      </c>
      <c r="C54" s="217" t="s">
        <v>648</v>
      </c>
      <c r="D54" s="32" t="s">
        <v>623</v>
      </c>
      <c r="E54" s="32" t="s">
        <v>624</v>
      </c>
      <c r="F54" s="32" t="s">
        <v>32</v>
      </c>
      <c r="G54" s="32" t="s">
        <v>287</v>
      </c>
      <c r="H54" s="78" t="s">
        <v>188</v>
      </c>
      <c r="J54" s="7">
        <f>AVERAGE(J29:J31,J41:J42,J50,J52)</f>
        <v>0.43605992857142867</v>
      </c>
    </row>
    <row r="55" spans="1:17" ht="15" customHeight="1">
      <c r="A55" s="95" t="s">
        <v>625</v>
      </c>
      <c r="B55" s="194">
        <v>89</v>
      </c>
      <c r="C55" s="199">
        <f t="shared" ref="C55:C60" si="13">H55/1000*-1</f>
        <v>-4.2000943841434636E-2</v>
      </c>
      <c r="D55" s="55">
        <v>73</v>
      </c>
      <c r="E55" s="49">
        <v>84</v>
      </c>
      <c r="F55" s="49">
        <v>89</v>
      </c>
      <c r="G55" s="55" t="s">
        <v>626</v>
      </c>
      <c r="H55" s="48">
        <f>B55/2.119</f>
        <v>42.000943841434633</v>
      </c>
    </row>
    <row r="56" spans="1:17" ht="15" customHeight="1">
      <c r="A56" s="97" t="s">
        <v>627</v>
      </c>
      <c r="B56" s="7">
        <v>114</v>
      </c>
      <c r="C56" s="199">
        <f t="shared" si="13"/>
        <v>-5.3798961774421887E-2</v>
      </c>
      <c r="D56" s="7">
        <v>78</v>
      </c>
      <c r="E56" s="7">
        <v>86</v>
      </c>
      <c r="F56" s="7">
        <v>98</v>
      </c>
      <c r="G56" s="122" t="s">
        <v>628</v>
      </c>
      <c r="H56" s="48">
        <f>B56/2.119</f>
        <v>53.79896177442189</v>
      </c>
    </row>
    <row r="57" spans="1:17" ht="15" customHeight="1">
      <c r="A57" s="1" t="s">
        <v>629</v>
      </c>
      <c r="B57" s="7">
        <v>155</v>
      </c>
      <c r="C57" s="199">
        <f t="shared" si="13"/>
        <v>-7.3147711184520986E-2</v>
      </c>
      <c r="D57" s="7">
        <v>75</v>
      </c>
      <c r="E57" s="7">
        <v>82</v>
      </c>
      <c r="F57" s="7">
        <v>123</v>
      </c>
      <c r="G57" s="122" t="s">
        <v>630</v>
      </c>
      <c r="H57" s="48">
        <f>B57/2.119</f>
        <v>73.147711184520986</v>
      </c>
    </row>
    <row r="58" spans="1:17" ht="15" customHeight="1">
      <c r="A58" s="115" t="s">
        <v>631</v>
      </c>
      <c r="B58" s="195">
        <f>H58*2.119</f>
        <v>84.76</v>
      </c>
      <c r="C58" s="219">
        <f t="shared" si="13"/>
        <v>-0.04</v>
      </c>
      <c r="D58" s="193">
        <v>68</v>
      </c>
      <c r="E58" s="193">
        <v>75</v>
      </c>
      <c r="F58" s="193">
        <v>64</v>
      </c>
      <c r="G58" s="193" t="s">
        <v>632</v>
      </c>
      <c r="H58" s="195">
        <v>40</v>
      </c>
      <c r="I58" s="196">
        <v>1200</v>
      </c>
    </row>
    <row r="59" spans="1:17" ht="15" customHeight="1">
      <c r="A59" s="115" t="s">
        <v>633</v>
      </c>
      <c r="B59" s="195">
        <f>H59*2.119</f>
        <v>118.66400000000002</v>
      </c>
      <c r="C59" s="219">
        <f t="shared" si="13"/>
        <v>-5.6000000000000001E-2</v>
      </c>
      <c r="D59" s="193">
        <v>65</v>
      </c>
      <c r="E59" s="193">
        <v>75</v>
      </c>
      <c r="F59" s="193">
        <v>114</v>
      </c>
      <c r="G59" s="193" t="s">
        <v>632</v>
      </c>
      <c r="H59" s="195">
        <v>56</v>
      </c>
      <c r="I59" s="196">
        <v>2100</v>
      </c>
    </row>
    <row r="60" spans="1:17" ht="15" customHeight="1">
      <c r="A60" s="115" t="s">
        <v>634</v>
      </c>
      <c r="B60" s="195">
        <f>H60*2.119</f>
        <v>137.73500000000001</v>
      </c>
      <c r="C60" s="219">
        <f t="shared" si="13"/>
        <v>-6.5000000000000002E-2</v>
      </c>
      <c r="D60" s="193">
        <v>64</v>
      </c>
      <c r="E60" s="193">
        <v>72</v>
      </c>
      <c r="F60" s="193">
        <v>124</v>
      </c>
      <c r="G60" s="193" t="s">
        <v>632</v>
      </c>
      <c r="H60" s="195">
        <v>65</v>
      </c>
      <c r="I60" s="196">
        <v>2700</v>
      </c>
    </row>
    <row r="63" spans="1:17" ht="15" customHeight="1">
      <c r="A63" s="1" t="s">
        <v>884</v>
      </c>
    </row>
    <row r="64" spans="1:17" ht="15" customHeight="1">
      <c r="A64" s="68" t="s">
        <v>790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795</v>
      </c>
      <c r="B65" s="68"/>
      <c r="C65" s="68" t="s">
        <v>587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792</v>
      </c>
      <c r="B66" s="68" t="s">
        <v>791</v>
      </c>
      <c r="C66" s="68" t="s">
        <v>649</v>
      </c>
      <c r="D66" s="68" t="s">
        <v>598</v>
      </c>
      <c r="E66" s="68" t="s">
        <v>599</v>
      </c>
      <c r="F66" s="68" t="s">
        <v>600</v>
      </c>
      <c r="G66" s="68" t="s">
        <v>601</v>
      </c>
      <c r="H66" s="68" t="s">
        <v>602</v>
      </c>
      <c r="I66" s="68" t="s">
        <v>603</v>
      </c>
      <c r="J66" s="68" t="s">
        <v>604</v>
      </c>
      <c r="K66" s="68" t="s">
        <v>605</v>
      </c>
      <c r="L66" s="68" t="s">
        <v>606</v>
      </c>
      <c r="M66" s="68" t="s">
        <v>607</v>
      </c>
      <c r="N66" s="68" t="s">
        <v>608</v>
      </c>
      <c r="O66" s="68" t="s">
        <v>609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1.4203579675724791</v>
      </c>
      <c r="C67" s="68">
        <f>($B$67*A_houseSI*Weather!B25)/1.44</f>
        <v>78.895854664182721</v>
      </c>
      <c r="D67" s="68">
        <f>($B$67*A_houseSI*Weather!C25)/1.44</f>
        <v>80.820143802333533</v>
      </c>
      <c r="E67" s="68">
        <f>($B$67*A_houseSI*Weather!D25)/1.44</f>
        <v>82.744432940484316</v>
      </c>
      <c r="F67" s="68">
        <f>($B$67*A_houseSI*Weather!E25)/1.44</f>
        <v>88.517300354936722</v>
      </c>
      <c r="G67" s="68">
        <f>($B$67*A_houseSI*Weather!F25)/1.44</f>
        <v>92.365878631238317</v>
      </c>
      <c r="H67" s="68">
        <f>($B$67*A_houseSI*Weather!G25)/1.44</f>
        <v>115.45734828904789</v>
      </c>
      <c r="I67" s="68">
        <f>($B$67*A_houseSI*Weather!H25)/1.44</f>
        <v>96.214456907539912</v>
      </c>
      <c r="J67" s="68">
        <f>($B$67*A_houseSI*Weather!I25)/1.44</f>
        <v>103.91161346014312</v>
      </c>
      <c r="K67" s="68">
        <f>($B$67*A_houseSI*Weather!J25)/1.44</f>
        <v>105.83590259829391</v>
      </c>
      <c r="L67" s="68">
        <f>($B$67*A_houseSI*Weather!K25)/1.44</f>
        <v>115.45734828904789</v>
      </c>
      <c r="M67" s="68">
        <f>($B$67*A_houseSI*Weather!L25)/1.44</f>
        <v>107.76019173644471</v>
      </c>
      <c r="N67" s="68">
        <f>($B$67*A_houseSI*Weather!M25)/1.44</f>
        <v>117.38163742719868</v>
      </c>
      <c r="O67" s="68">
        <f>($B$67*A_houseSI*Weather!N25)/1.44</f>
        <v>121.23021570350028</v>
      </c>
      <c r="P67" s="68">
        <f>($B$67*A_houseSI*Weather!O25)/1.44</f>
        <v>134.70023967055587</v>
      </c>
      <c r="Q67" s="68">
        <f>($B$67*A_houseSI*Weather!P25)/1.44</f>
        <v>134.70023967055587</v>
      </c>
    </row>
    <row r="68" spans="1:19" ht="15" customHeight="1">
      <c r="A68" s="68">
        <v>7</v>
      </c>
      <c r="B68" s="68">
        <f>Leakage!AF12</f>
        <v>0.99425057730073518</v>
      </c>
      <c r="C68" s="68">
        <f>($B$68*A_houseSI*Weather!B25)/1.44</f>
        <v>55.227098264927896</v>
      </c>
      <c r="D68" s="68">
        <f>($B$68*A_houseSI*Weather!C25)/1.44</f>
        <v>56.574100661633459</v>
      </c>
      <c r="E68" s="68">
        <f>($B$68*A_houseSI*Weather!D25)/1.44</f>
        <v>57.921103058339021</v>
      </c>
      <c r="F68" s="68">
        <f>($B$68*A_houseSI*Weather!E25)/1.44</f>
        <v>61.962110248455701</v>
      </c>
      <c r="G68" s="68">
        <f>($B$68*A_houseSI*Weather!F25)/1.44</f>
        <v>64.656115041866798</v>
      </c>
      <c r="H68" s="68">
        <f>($B$68*A_houseSI*Weather!G25)/1.44</f>
        <v>80.820143802333504</v>
      </c>
      <c r="I68" s="68">
        <f>($B$68*A_houseSI*Weather!H25)/1.44</f>
        <v>67.350119835277923</v>
      </c>
      <c r="J68" s="68">
        <f>($B$68*A_houseSI*Weather!I25)/1.44</f>
        <v>72.738129422100158</v>
      </c>
      <c r="K68" s="68">
        <f>($B$68*A_houseSI*Weather!J25)/1.44</f>
        <v>74.085131818805721</v>
      </c>
      <c r="L68" s="68">
        <f>($B$68*A_houseSI*Weather!K25)/1.44</f>
        <v>80.820143802333504</v>
      </c>
      <c r="M68" s="68">
        <f>($B$68*A_houseSI*Weather!L25)/1.44</f>
        <v>75.432134215511283</v>
      </c>
      <c r="N68" s="68">
        <f>($B$68*A_houseSI*Weather!M25)/1.44</f>
        <v>82.167146199039067</v>
      </c>
      <c r="O68" s="68">
        <f>($B$68*A_houseSI*Weather!N25)/1.44</f>
        <v>84.861150992450192</v>
      </c>
      <c r="P68" s="68">
        <f>($B$68*A_houseSI*Weather!O25)/1.44</f>
        <v>94.290167769389086</v>
      </c>
      <c r="Q68" s="68">
        <f>($B$68*A_houseSI*Weather!P25)/1.44</f>
        <v>94.290167769389086</v>
      </c>
    </row>
    <row r="69" spans="1:19" ht="15" customHeight="1">
      <c r="A69" s="68">
        <v>5</v>
      </c>
      <c r="B69" s="68">
        <f>Leakage!AF13</f>
        <v>0.71017898378623956</v>
      </c>
      <c r="C69" s="68">
        <f>($B$69*A_houseSI*Weather!B25)/1.44</f>
        <v>39.447927332091361</v>
      </c>
      <c r="D69" s="68">
        <f>($B$69*A_houseSI*Weather!C25)/1.44</f>
        <v>40.410071901166766</v>
      </c>
      <c r="E69" s="68">
        <f>($B$69*A_houseSI*Weather!D25)/1.44</f>
        <v>41.372216470242158</v>
      </c>
      <c r="F69" s="68">
        <f>($B$69*A_houseSI*Weather!E25)/1.44</f>
        <v>44.258650177468361</v>
      </c>
      <c r="G69" s="68">
        <f>($B$69*A_houseSI*Weather!F25)/1.44</f>
        <v>46.182939315619159</v>
      </c>
      <c r="H69" s="68">
        <f>($B$69*A_houseSI*Weather!G25)/1.44</f>
        <v>57.728674144523943</v>
      </c>
      <c r="I69" s="68">
        <f>($B$69*A_houseSI*Weather!H25)/1.44</f>
        <v>48.107228453769956</v>
      </c>
      <c r="J69" s="68">
        <f>($B$69*A_houseSI*Weather!I25)/1.44</f>
        <v>51.955806730071558</v>
      </c>
      <c r="K69" s="68">
        <f>($B$69*A_houseSI*Weather!J25)/1.44</f>
        <v>52.917951299146957</v>
      </c>
      <c r="L69" s="68">
        <f>($B$69*A_houseSI*Weather!K25)/1.44</f>
        <v>57.728674144523943</v>
      </c>
      <c r="M69" s="68">
        <f>($B$69*A_houseSI*Weather!L25)/1.44</f>
        <v>53.880095868222355</v>
      </c>
      <c r="N69" s="68">
        <f>($B$69*A_houseSI*Weather!M25)/1.44</f>
        <v>58.690818713599342</v>
      </c>
      <c r="O69" s="68">
        <f>($B$69*A_houseSI*Weather!N25)/1.44</f>
        <v>60.615107851750139</v>
      </c>
      <c r="P69" s="68">
        <f>($B$69*A_houseSI*Weather!O25)/1.44</f>
        <v>67.350119835277937</v>
      </c>
      <c r="Q69" s="68">
        <f>($B$69*A_houseSI*Weather!P25)/1.44</f>
        <v>67.350119835277937</v>
      </c>
    </row>
    <row r="70" spans="1:19" ht="15" customHeight="1">
      <c r="A70" s="68">
        <v>3</v>
      </c>
      <c r="B70" s="68">
        <f>Leakage!AF14</f>
        <v>0.42610739027174366</v>
      </c>
      <c r="C70" s="68">
        <f>($B$70*A_houseSI*Weather!B25)/1.44</f>
        <v>23.668756399254814</v>
      </c>
      <c r="D70" s="68">
        <f>($B$70*A_houseSI*Weather!C25)/1.44</f>
        <v>24.246043140700056</v>
      </c>
      <c r="E70" s="68">
        <f>($B$70*A_houseSI*Weather!D25)/1.44</f>
        <v>24.823329882145295</v>
      </c>
      <c r="F70" s="68">
        <f>($B$70*A_houseSI*Weather!E25)/1.44</f>
        <v>26.555190106481014</v>
      </c>
      <c r="G70" s="68">
        <f>($B$70*A_houseSI*Weather!F25)/1.44</f>
        <v>27.709763589371491</v>
      </c>
      <c r="H70" s="68">
        <f>($B$70*A_houseSI*Weather!G25)/1.44</f>
        <v>34.63720448671436</v>
      </c>
      <c r="I70" s="68">
        <f>($B$70*A_houseSI*Weather!H25)/1.44</f>
        <v>28.864337072261971</v>
      </c>
      <c r="J70" s="68">
        <f>($B$70*A_houseSI*Weather!I25)/1.44</f>
        <v>31.173484038042933</v>
      </c>
      <c r="K70" s="68">
        <f>($B$70*A_houseSI*Weather!J25)/1.44</f>
        <v>31.750770779488171</v>
      </c>
      <c r="L70" s="68">
        <f>($B$70*A_houseSI*Weather!K25)/1.44</f>
        <v>34.63720448671436</v>
      </c>
      <c r="M70" s="68">
        <f>($B$70*A_houseSI*Weather!L25)/1.44</f>
        <v>32.328057520933413</v>
      </c>
      <c r="N70" s="68">
        <f>($B$70*A_houseSI*Weather!M25)/1.44</f>
        <v>35.214491228159602</v>
      </c>
      <c r="O70" s="68">
        <f>($B$70*A_houseSI*Weather!N25)/1.44</f>
        <v>36.369064711050079</v>
      </c>
      <c r="P70" s="68">
        <f>($B$70*A_houseSI*Weather!O25)/1.44</f>
        <v>40.410071901166759</v>
      </c>
      <c r="Q70" s="68">
        <f>($B$70*A_houseSI*Weather!P25)/1.44</f>
        <v>40.410071901166759</v>
      </c>
    </row>
    <row r="71" spans="1:19" ht="15" customHeight="1">
      <c r="A71" s="68">
        <v>1.5</v>
      </c>
      <c r="B71" s="68">
        <f>Leakage!AF15</f>
        <v>0.21305369513587183</v>
      </c>
      <c r="C71" s="68">
        <f>($B$71*A_houseSI*Weather!B25)/1.44</f>
        <v>11.834378199627407</v>
      </c>
      <c r="D71" s="68">
        <f>($B$71*A_houseSI*Weather!C25)/1.44</f>
        <v>12.123021570350028</v>
      </c>
      <c r="E71" s="68">
        <f>($B$71*A_houseSI*Weather!D25)/1.44</f>
        <v>12.411664941072647</v>
      </c>
      <c r="F71" s="68">
        <f>($B$71*A_houseSI*Weather!E25)/1.44</f>
        <v>13.277595053240507</v>
      </c>
      <c r="G71" s="68">
        <f>($B$71*A_houseSI*Weather!F25)/1.44</f>
        <v>13.854881794685745</v>
      </c>
      <c r="H71" s="68">
        <f>($B$71*A_houseSI*Weather!G25)/1.44</f>
        <v>17.31860224335718</v>
      </c>
      <c r="I71" s="68">
        <f>($B$71*A_houseSI*Weather!H25)/1.44</f>
        <v>14.432168536130986</v>
      </c>
      <c r="J71" s="68">
        <f>($B$71*A_houseSI*Weather!I25)/1.44</f>
        <v>15.586742019021466</v>
      </c>
      <c r="K71" s="68">
        <f>($B$71*A_houseSI*Weather!J25)/1.44</f>
        <v>15.875385389744086</v>
      </c>
      <c r="L71" s="68">
        <f>($B$71*A_houseSI*Weather!K25)/1.44</f>
        <v>17.31860224335718</v>
      </c>
      <c r="M71" s="68">
        <f>($B$71*A_houseSI*Weather!L25)/1.44</f>
        <v>16.164028760466707</v>
      </c>
      <c r="N71" s="68">
        <f>($B$71*A_houseSI*Weather!M25)/1.44</f>
        <v>17.607245614079801</v>
      </c>
      <c r="O71" s="68">
        <f>($B$71*A_houseSI*Weather!N25)/1.44</f>
        <v>18.18453235552504</v>
      </c>
      <c r="P71" s="68">
        <f>($B$71*A_houseSI*Weather!O25)/1.44</f>
        <v>20.20503595058338</v>
      </c>
      <c r="Q71" s="68">
        <f>($B$71*A_houseSI*Weather!P25)/1.44</f>
        <v>20.20503595058338</v>
      </c>
    </row>
    <row r="72" spans="1:19" ht="15" customHeight="1">
      <c r="A72" s="68">
        <v>0.6</v>
      </c>
      <c r="B72" s="68">
        <f>Leakage!AF16</f>
        <v>8.5221478054348723E-2</v>
      </c>
      <c r="C72" s="68">
        <f>($B$72*A_houseSI*Weather!B25)/1.44</f>
        <v>4.7337512798509627</v>
      </c>
      <c r="D72" s="68">
        <f>($B$72*A_houseSI*Weather!C25)/1.44</f>
        <v>4.8492086281400102</v>
      </c>
      <c r="E72" s="68">
        <f>($B$72*A_houseSI*Weather!D25)/1.44</f>
        <v>4.9646659764290586</v>
      </c>
      <c r="F72" s="68">
        <f>($B$72*A_houseSI*Weather!E25)/1.44</f>
        <v>5.3110380212962029</v>
      </c>
      <c r="G72" s="68">
        <f>($B$72*A_houseSI*Weather!F25)/1.44</f>
        <v>5.541952717874298</v>
      </c>
      <c r="H72" s="68">
        <f>($B$72*A_houseSI*Weather!G25)/1.44</f>
        <v>6.9274408973428727</v>
      </c>
      <c r="I72" s="68">
        <f>($B$72*A_houseSI*Weather!H25)/1.44</f>
        <v>5.7728674144523939</v>
      </c>
      <c r="J72" s="68">
        <f>($B$72*A_houseSI*Weather!I25)/1.44</f>
        <v>6.2346968076085849</v>
      </c>
      <c r="K72" s="68">
        <f>($B$72*A_houseSI*Weather!J25)/1.44</f>
        <v>6.3501541558976333</v>
      </c>
      <c r="L72" s="68">
        <f>($B$72*A_houseSI*Weather!K25)/1.44</f>
        <v>6.9274408973428727</v>
      </c>
      <c r="M72" s="68">
        <f>($B$72*A_houseSI*Weather!L25)/1.44</f>
        <v>6.4656115041866808</v>
      </c>
      <c r="N72" s="68">
        <f>($B$72*A_houseSI*Weather!M25)/1.44</f>
        <v>7.0428982456319202</v>
      </c>
      <c r="O72" s="68">
        <f>($B$72*A_houseSI*Weather!N25)/1.44</f>
        <v>7.2738129422100153</v>
      </c>
      <c r="P72" s="68">
        <f>($B$72*A_houseSI*Weather!O25)/1.44</f>
        <v>8.0820143802333497</v>
      </c>
      <c r="Q72" s="68">
        <f>($B$72*A_houseSI*Weather!P25)/1.44</f>
        <v>8.0820143802333497</v>
      </c>
    </row>
    <row r="73" spans="1:19" ht="15" customHeight="1">
      <c r="A73" s="68" t="s">
        <v>804</v>
      </c>
      <c r="B73" s="68" t="s">
        <v>667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295" t="s">
        <v>793</v>
      </c>
      <c r="B75" s="295"/>
      <c r="C75" s="295"/>
      <c r="D75" s="295"/>
      <c r="E75" s="295"/>
      <c r="F75" s="295"/>
      <c r="G75" s="295"/>
      <c r="H75" s="295"/>
      <c r="I75" s="295"/>
      <c r="J75" s="295"/>
      <c r="K75" s="295"/>
      <c r="L75" s="295"/>
      <c r="M75" s="295"/>
      <c r="N75" s="295"/>
      <c r="O75" s="295"/>
      <c r="P75" s="295"/>
      <c r="Q75" s="295"/>
    </row>
    <row r="76" spans="1:19" ht="15" customHeight="1">
      <c r="A76" s="295" t="s">
        <v>794</v>
      </c>
      <c r="B76" s="295"/>
      <c r="C76" s="295" t="s">
        <v>587</v>
      </c>
      <c r="D76" s="295"/>
      <c r="E76" s="295"/>
      <c r="F76" s="295"/>
      <c r="G76" s="295"/>
      <c r="H76" s="295"/>
      <c r="I76" s="295"/>
      <c r="J76" s="295"/>
      <c r="K76" s="295"/>
      <c r="L76" s="295"/>
      <c r="M76" s="295"/>
      <c r="N76" s="295"/>
      <c r="O76" s="295"/>
      <c r="P76" s="295"/>
      <c r="Q76" s="295"/>
    </row>
    <row r="77" spans="1:19" ht="15" customHeight="1">
      <c r="A77" s="295" t="s">
        <v>792</v>
      </c>
      <c r="B77" s="295" t="s">
        <v>791</v>
      </c>
      <c r="C77" s="295" t="s">
        <v>649</v>
      </c>
      <c r="D77" s="295" t="s">
        <v>598</v>
      </c>
      <c r="E77" s="295" t="s">
        <v>599</v>
      </c>
      <c r="F77" s="295" t="s">
        <v>600</v>
      </c>
      <c r="G77" s="295" t="s">
        <v>601</v>
      </c>
      <c r="H77" s="295" t="s">
        <v>602</v>
      </c>
      <c r="I77" s="295" t="s">
        <v>603</v>
      </c>
      <c r="J77" s="295" t="s">
        <v>604</v>
      </c>
      <c r="K77" s="295" t="s">
        <v>605</v>
      </c>
      <c r="L77" s="295" t="s">
        <v>606</v>
      </c>
      <c r="M77" s="295" t="s">
        <v>607</v>
      </c>
      <c r="N77" s="295" t="s">
        <v>608</v>
      </c>
      <c r="O77" s="295" t="s">
        <v>609</v>
      </c>
      <c r="P77" s="295">
        <v>7</v>
      </c>
      <c r="Q77" s="295">
        <v>8</v>
      </c>
      <c r="R77" s="1" t="s">
        <v>797</v>
      </c>
      <c r="S77" s="1" t="s">
        <v>796</v>
      </c>
    </row>
    <row r="78" spans="1:19" ht="15" customHeight="1">
      <c r="A78" s="295">
        <v>10</v>
      </c>
      <c r="B78" s="295">
        <f>Leakage!AF11</f>
        <v>1.4203579675724791</v>
      </c>
      <c r="C78" s="295">
        <f>IF(Age="existing",IF(Fans!$L$2-Fans!C67&lt;=0,0,Fans!$L$2-Fans!C67),IF(C67&lt;(2/3)*Fans!$L$2,Fans!$L$2-Fans!C67,(1/3)*Fans!$L$2))</f>
        <v>14.421166666666666</v>
      </c>
      <c r="D78" s="295">
        <f>IF(Age="existing",IF(Fans!$L$2-Fans!D67&lt;=0,0,Fans!$L$2-Fans!D67),IF(D67&lt;(2/3)*Fans!$L$2,Fans!$L$2-Fans!D67,(1/3)*Fans!$L$2))</f>
        <v>14.421166666666666</v>
      </c>
      <c r="E78" s="295">
        <f>IF(Age="existing",IF(Fans!$L$2-Fans!E67&lt;=0,0,Fans!$L$2-Fans!E67),IF(E67&lt;(2/3)*Fans!$L$2,Fans!$L$2-Fans!E67,(1/3)*Fans!$L$2))</f>
        <v>14.421166666666666</v>
      </c>
      <c r="F78" s="295">
        <f>IF(Age="existing",IF(Fans!$L$2-Fans!F67&lt;=0,0,Fans!$L$2-Fans!F67),IF(F67&lt;(2/3)*Fans!$L$2,Fans!$L$2-Fans!F67,(1/3)*Fans!$L$2))</f>
        <v>14.421166666666666</v>
      </c>
      <c r="G78" s="295">
        <f>IF(Age="existing",IF(Fans!$L$2-Fans!G67&lt;=0,0,Fans!$L$2-Fans!G67),IF(G67&lt;(2/3)*Fans!$L$2,Fans!$L$2-Fans!G67,(1/3)*Fans!$L$2))</f>
        <v>14.421166666666666</v>
      </c>
      <c r="H78" s="295">
        <f>IF(Age="existing",IF(Fans!$L$2-Fans!H67&lt;=0,0,Fans!$L$2-Fans!H67),IF(H67&lt;(2/3)*Fans!$L$2,Fans!$L$2-Fans!H67,(1/3)*Fans!$L$2))</f>
        <v>14.421166666666666</v>
      </c>
      <c r="I78" s="295">
        <f>IF(Age="existing",IF(Fans!$L$2-Fans!I67&lt;=0,0,Fans!$L$2-Fans!I67),IF(I67&lt;(2/3)*Fans!$L$2,Fans!$L$2-Fans!I67,(1/3)*Fans!$L$2))</f>
        <v>14.421166666666666</v>
      </c>
      <c r="J78" s="295">
        <f>IF(Age="existing",IF(Fans!$L$2-Fans!J67&lt;=0,0,Fans!$L$2-Fans!J67),IF(J67&lt;(2/3)*Fans!$L$2,Fans!$L$2-Fans!J67,(1/3)*Fans!$L$2))</f>
        <v>14.421166666666666</v>
      </c>
      <c r="K78" s="295">
        <f>IF(Age="existing",IF(Fans!$L$2-Fans!K67&lt;=0,0,Fans!$L$2-Fans!K67),IF(K67&lt;(2/3)*Fans!$L$2,Fans!$L$2-Fans!K67,(1/3)*Fans!$L$2))</f>
        <v>14.421166666666666</v>
      </c>
      <c r="L78" s="295">
        <f>IF(Age="existing",IF(Fans!$L$2-Fans!L67&lt;=0,0,Fans!$L$2-Fans!L67),IF(L67&lt;(2/3)*Fans!$L$2,Fans!$L$2-Fans!L67,(1/3)*Fans!$L$2))</f>
        <v>14.421166666666666</v>
      </c>
      <c r="M78" s="295">
        <f>IF(Age="existing",IF(Fans!$L$2-Fans!M67&lt;=0,0,Fans!$L$2-Fans!M67),IF(M67&lt;(2/3)*Fans!$L$2,Fans!$L$2-Fans!M67,(1/3)*Fans!$L$2))</f>
        <v>14.421166666666666</v>
      </c>
      <c r="N78" s="295">
        <f>IF(Age="existing",IF(Fans!$L$2-Fans!N67&lt;=0,0,Fans!$L$2-Fans!N67),IF(N67&lt;(2/3)*Fans!$L$2,Fans!$L$2-Fans!N67,(1/3)*Fans!$L$2))</f>
        <v>14.421166666666666</v>
      </c>
      <c r="O78" s="295">
        <f>IF(Age="existing",IF(Fans!$L$2-Fans!O67&lt;=0,0,Fans!$L$2-Fans!O67),IF(O67&lt;(2/3)*Fans!$L$2,Fans!$L$2-Fans!O67,(1/3)*Fans!$L$2))</f>
        <v>14.421166666666666</v>
      </c>
      <c r="P78" s="295">
        <f>IF(Age="existing",IF(Fans!$L$2-Fans!P67&lt;=0,0,Fans!$L$2-Fans!P67),IF(P67&lt;(2/3)*Fans!$L$2,Fans!$L$2-Fans!P67,(1/3)*Fans!$L$2))</f>
        <v>14.421166666666666</v>
      </c>
      <c r="Q78" s="295">
        <f>IF(Age="existing",IF(Fans!$L$2-Fans!Q67&lt;=0,0,Fans!$L$2-Fans!Q67),IF(Q67&lt;(2/3)*Fans!$L$2,Fans!$L$2-Fans!Q67,(1/3)*Fans!$L$2))</f>
        <v>14.421166666666666</v>
      </c>
      <c r="R78" s="95" t="s">
        <v>292</v>
      </c>
      <c r="S78" s="1">
        <v>50</v>
      </c>
    </row>
    <row r="79" spans="1:19" ht="15" customHeight="1">
      <c r="A79" s="295">
        <v>7</v>
      </c>
      <c r="B79" s="295">
        <f>Leakage!AF12</f>
        <v>0.99425057730073518</v>
      </c>
      <c r="C79" s="295">
        <f>IF(Age="existing",IF(Fans!$L$2-Fans!C68&lt;=0,0,Fans!$L$2-Fans!C68),IF(C68&lt;(2/3)*Fans!$L$2,Fans!$L$2-Fans!C68,(1/3)*Fans!$L$2))</f>
        <v>14.421166666666666</v>
      </c>
      <c r="D79" s="295">
        <f>IF(Age="existing",IF(Fans!$L$2-Fans!D68&lt;=0,0,Fans!$L$2-Fans!D68),IF(D68&lt;(2/3)*Fans!$L$2,Fans!$L$2-Fans!D68,(1/3)*Fans!$L$2))</f>
        <v>14.421166666666666</v>
      </c>
      <c r="E79" s="295">
        <f>IF(Age="existing",IF(Fans!$L$2-Fans!E68&lt;=0,0,Fans!$L$2-Fans!E68),IF(E68&lt;(2/3)*Fans!$L$2,Fans!$L$2-Fans!E68,(1/3)*Fans!$L$2))</f>
        <v>14.421166666666666</v>
      </c>
      <c r="F79" s="295">
        <f>IF(Age="existing",IF(Fans!$L$2-Fans!F68&lt;=0,0,Fans!$L$2-Fans!F68),IF(F68&lt;(2/3)*Fans!$L$2,Fans!$L$2-Fans!F68,(1/3)*Fans!$L$2))</f>
        <v>14.421166666666666</v>
      </c>
      <c r="G79" s="295">
        <f>IF(Age="existing",IF(Fans!$L$2-Fans!G68&lt;=0,0,Fans!$L$2-Fans!G68),IF(G68&lt;(2/3)*Fans!$L$2,Fans!$L$2-Fans!G68,(1/3)*Fans!$L$2))</f>
        <v>14.421166666666666</v>
      </c>
      <c r="H79" s="295">
        <f>IF(Age="existing",IF(Fans!$L$2-Fans!H68&lt;=0,0,Fans!$L$2-Fans!H68),IF(H68&lt;(2/3)*Fans!$L$2,Fans!$L$2-Fans!H68,(1/3)*Fans!$L$2))</f>
        <v>14.421166666666666</v>
      </c>
      <c r="I79" s="295">
        <f>IF(Age="existing",IF(Fans!$L$2-Fans!I68&lt;=0,0,Fans!$L$2-Fans!I68),IF(I68&lt;(2/3)*Fans!$L$2,Fans!$L$2-Fans!I68,(1/3)*Fans!$L$2))</f>
        <v>14.421166666666666</v>
      </c>
      <c r="J79" s="295">
        <f>IF(Age="existing",IF(Fans!$L$2-Fans!J68&lt;=0,0,Fans!$L$2-Fans!J68),IF(J68&lt;(2/3)*Fans!$L$2,Fans!$L$2-Fans!J68,(1/3)*Fans!$L$2))</f>
        <v>14.421166666666666</v>
      </c>
      <c r="K79" s="295">
        <f>IF(Age="existing",IF(Fans!$L$2-Fans!K68&lt;=0,0,Fans!$L$2-Fans!K68),IF(K68&lt;(2/3)*Fans!$L$2,Fans!$L$2-Fans!K68,(1/3)*Fans!$L$2))</f>
        <v>14.421166666666666</v>
      </c>
      <c r="L79" s="295">
        <f>IF(Age="existing",IF(Fans!$L$2-Fans!L68&lt;=0,0,Fans!$L$2-Fans!L68),IF(L68&lt;(2/3)*Fans!$L$2,Fans!$L$2-Fans!L68,(1/3)*Fans!$L$2))</f>
        <v>14.421166666666666</v>
      </c>
      <c r="M79" s="295">
        <f>IF(Age="existing",IF(Fans!$L$2-Fans!M68&lt;=0,0,Fans!$L$2-Fans!M68),IF(M68&lt;(2/3)*Fans!$L$2,Fans!$L$2-Fans!M68,(1/3)*Fans!$L$2))</f>
        <v>14.421166666666666</v>
      </c>
      <c r="N79" s="295">
        <f>IF(Age="existing",IF(Fans!$L$2-Fans!N68&lt;=0,0,Fans!$L$2-Fans!N68),IF(N68&lt;(2/3)*Fans!$L$2,Fans!$L$2-Fans!N68,(1/3)*Fans!$L$2))</f>
        <v>14.421166666666666</v>
      </c>
      <c r="O79" s="295">
        <f>IF(Age="existing",IF(Fans!$L$2-Fans!O68&lt;=0,0,Fans!$L$2-Fans!O68),IF(O68&lt;(2/3)*Fans!$L$2,Fans!$L$2-Fans!O68,(1/3)*Fans!$L$2))</f>
        <v>14.421166666666666</v>
      </c>
      <c r="P79" s="295">
        <f>IF(Age="existing",IF(Fans!$L$2-Fans!P68&lt;=0,0,Fans!$L$2-Fans!P68),IF(P68&lt;(2/3)*Fans!$L$2,Fans!$L$2-Fans!P68,(1/3)*Fans!$L$2))</f>
        <v>14.421166666666666</v>
      </c>
      <c r="Q79" s="295">
        <f>IF(Age="existing",IF(Fans!$L$2-Fans!Q68&lt;=0,0,Fans!$L$2-Fans!Q68),IF(Q68&lt;(2/3)*Fans!$L$2,Fans!$L$2-Fans!Q68,(1/3)*Fans!$L$2))</f>
        <v>14.421166666666666</v>
      </c>
      <c r="R79" s="95" t="s">
        <v>292</v>
      </c>
      <c r="S79" s="1">
        <v>50</v>
      </c>
    </row>
    <row r="80" spans="1:19" ht="15" customHeight="1">
      <c r="A80" s="295">
        <v>5</v>
      </c>
      <c r="B80" s="295">
        <f>Leakage!AF13</f>
        <v>0.71017898378623956</v>
      </c>
      <c r="C80" s="295">
        <f>IF(Age="existing",IF(Fans!$L$2-Fans!C69&lt;=0,0,Fans!$L$2-Fans!C69),IF(C69&lt;(2/3)*Fans!$L$2,Fans!$L$2-Fans!C69,(1/3)*Fans!$L$2))</f>
        <v>14.421166666666666</v>
      </c>
      <c r="D80" s="295">
        <f>IF(Age="existing",IF(Fans!$L$2-Fans!D69&lt;=0,0,Fans!$L$2-Fans!D69),IF(D69&lt;(2/3)*Fans!$L$2,Fans!$L$2-Fans!D69,(1/3)*Fans!$L$2))</f>
        <v>14.421166666666666</v>
      </c>
      <c r="E80" s="295">
        <f>IF(Age="existing",IF(Fans!$L$2-Fans!E69&lt;=0,0,Fans!$L$2-Fans!E69),IF(E69&lt;(2/3)*Fans!$L$2,Fans!$L$2-Fans!E69,(1/3)*Fans!$L$2))</f>
        <v>14.421166666666666</v>
      </c>
      <c r="F80" s="295">
        <f>IF(Age="existing",IF(Fans!$L$2-Fans!F69&lt;=0,0,Fans!$L$2-Fans!F69),IF(F69&lt;(2/3)*Fans!$L$2,Fans!$L$2-Fans!F69,(1/3)*Fans!$L$2))</f>
        <v>14.421166666666666</v>
      </c>
      <c r="G80" s="295">
        <f>IF(Age="existing",IF(Fans!$L$2-Fans!G69&lt;=0,0,Fans!$L$2-Fans!G69),IF(G69&lt;(2/3)*Fans!$L$2,Fans!$L$2-Fans!G69,(1/3)*Fans!$L$2))</f>
        <v>14.421166666666666</v>
      </c>
      <c r="H80" s="295">
        <f>IF(Age="existing",IF(Fans!$L$2-Fans!H69&lt;=0,0,Fans!$L$2-Fans!H69),IF(H69&lt;(2/3)*Fans!$L$2,Fans!$L$2-Fans!H69,(1/3)*Fans!$L$2))</f>
        <v>14.421166666666666</v>
      </c>
      <c r="I80" s="295">
        <f>IF(Age="existing",IF(Fans!$L$2-Fans!I69&lt;=0,0,Fans!$L$2-Fans!I69),IF(I69&lt;(2/3)*Fans!$L$2,Fans!$L$2-Fans!I69,(1/3)*Fans!$L$2))</f>
        <v>14.421166666666666</v>
      </c>
      <c r="J80" s="295">
        <f>IF(Age="existing",IF(Fans!$L$2-Fans!J69&lt;=0,0,Fans!$L$2-Fans!J69),IF(J69&lt;(2/3)*Fans!$L$2,Fans!$L$2-Fans!J69,(1/3)*Fans!$L$2))</f>
        <v>14.421166666666666</v>
      </c>
      <c r="K80" s="295">
        <f>IF(Age="existing",IF(Fans!$L$2-Fans!K69&lt;=0,0,Fans!$L$2-Fans!K69),IF(K69&lt;(2/3)*Fans!$L$2,Fans!$L$2-Fans!K69,(1/3)*Fans!$L$2))</f>
        <v>14.421166666666666</v>
      </c>
      <c r="L80" s="295">
        <f>IF(Age="existing",IF(Fans!$L$2-Fans!L69&lt;=0,0,Fans!$L$2-Fans!L69),IF(L69&lt;(2/3)*Fans!$L$2,Fans!$L$2-Fans!L69,(1/3)*Fans!$L$2))</f>
        <v>14.421166666666666</v>
      </c>
      <c r="M80" s="295">
        <f>IF(Age="existing",IF(Fans!$L$2-Fans!M69&lt;=0,0,Fans!$L$2-Fans!M69),IF(M69&lt;(2/3)*Fans!$L$2,Fans!$L$2-Fans!M69,(1/3)*Fans!$L$2))</f>
        <v>14.421166666666666</v>
      </c>
      <c r="N80" s="295">
        <f>IF(Age="existing",IF(Fans!$L$2-Fans!N69&lt;=0,0,Fans!$L$2-Fans!N69),IF(N69&lt;(2/3)*Fans!$L$2,Fans!$L$2-Fans!N69,(1/3)*Fans!$L$2))</f>
        <v>14.421166666666666</v>
      </c>
      <c r="O80" s="295">
        <f>IF(Age="existing",IF(Fans!$L$2-Fans!O69&lt;=0,0,Fans!$L$2-Fans!O69),IF(O69&lt;(2/3)*Fans!$L$2,Fans!$L$2-Fans!O69,(1/3)*Fans!$L$2))</f>
        <v>14.421166666666666</v>
      </c>
      <c r="P80" s="295">
        <f>IF(Age="existing",IF(Fans!$L$2-Fans!P69&lt;=0,0,Fans!$L$2-Fans!P69),IF(P69&lt;(2/3)*Fans!$L$2,Fans!$L$2-Fans!P69,(1/3)*Fans!$L$2))</f>
        <v>14.421166666666666</v>
      </c>
      <c r="Q80" s="295">
        <f>IF(Age="existing",IF(Fans!$L$2-Fans!Q69&lt;=0,0,Fans!$L$2-Fans!Q69),IF(Q69&lt;(2/3)*Fans!$L$2,Fans!$L$2-Fans!Q69,(1/3)*Fans!$L$2))</f>
        <v>14.421166666666666</v>
      </c>
      <c r="R80" s="95" t="s">
        <v>292</v>
      </c>
      <c r="S80" s="1">
        <v>50</v>
      </c>
    </row>
    <row r="81" spans="1:19" ht="15" customHeight="1">
      <c r="A81" s="295">
        <v>3</v>
      </c>
      <c r="B81" s="295">
        <f>Leakage!AF14</f>
        <v>0.42610739027174366</v>
      </c>
      <c r="C81" s="295">
        <f>IF(Age="existing",IF(Fans!$L$2-Fans!C70&lt;=0,0,Fans!$L$2-Fans!C70),IF(C70&lt;(2/3)*Fans!$L$2,Fans!$L$2-Fans!C70,(1/3)*Fans!$L$2))</f>
        <v>19.594743600745186</v>
      </c>
      <c r="D81" s="295">
        <f>IF(Age="existing",IF(Fans!$L$2-Fans!D70&lt;=0,0,Fans!$L$2-Fans!D70),IF(D70&lt;(2/3)*Fans!$L$2,Fans!$L$2-Fans!D70,(1/3)*Fans!$L$2))</f>
        <v>19.017456859299944</v>
      </c>
      <c r="E81" s="295">
        <f>IF(Age="existing",IF(Fans!$L$2-Fans!E70&lt;=0,0,Fans!$L$2-Fans!E70),IF(E70&lt;(2/3)*Fans!$L$2,Fans!$L$2-Fans!E70,(1/3)*Fans!$L$2))</f>
        <v>18.440170117854706</v>
      </c>
      <c r="F81" s="295">
        <f>IF(Age="existing",IF(Fans!$L$2-Fans!F70&lt;=0,0,Fans!$L$2-Fans!F70),IF(F70&lt;(2/3)*Fans!$L$2,Fans!$L$2-Fans!F70,(1/3)*Fans!$L$2))</f>
        <v>16.708309893518987</v>
      </c>
      <c r="G81" s="295">
        <f>IF(Age="existing",IF(Fans!$L$2-Fans!G70&lt;=0,0,Fans!$L$2-Fans!G70),IF(G70&lt;(2/3)*Fans!$L$2,Fans!$L$2-Fans!G70,(1/3)*Fans!$L$2))</f>
        <v>15.55373641062851</v>
      </c>
      <c r="H81" s="295">
        <f>IF(Age="existing",IF(Fans!$L$2-Fans!H70&lt;=0,0,Fans!$L$2-Fans!H70),IF(H70&lt;(2/3)*Fans!$L$2,Fans!$L$2-Fans!H70,(1/3)*Fans!$L$2))</f>
        <v>14.421166666666666</v>
      </c>
      <c r="I81" s="295">
        <f>IF(Age="existing",IF(Fans!$L$2-Fans!I70&lt;=0,0,Fans!$L$2-Fans!I70),IF(I70&lt;(2/3)*Fans!$L$2,Fans!$L$2-Fans!I70,(1/3)*Fans!$L$2))</f>
        <v>14.421166666666666</v>
      </c>
      <c r="J81" s="295">
        <f>IF(Age="existing",IF(Fans!$L$2-Fans!J70&lt;=0,0,Fans!$L$2-Fans!J70),IF(J70&lt;(2/3)*Fans!$L$2,Fans!$L$2-Fans!J70,(1/3)*Fans!$L$2))</f>
        <v>14.421166666666666</v>
      </c>
      <c r="K81" s="295">
        <f>IF(Age="existing",IF(Fans!$L$2-Fans!K70&lt;=0,0,Fans!$L$2-Fans!K70),IF(K70&lt;(2/3)*Fans!$L$2,Fans!$L$2-Fans!K70,(1/3)*Fans!$L$2))</f>
        <v>14.421166666666666</v>
      </c>
      <c r="L81" s="295">
        <f>IF(Age="existing",IF(Fans!$L$2-Fans!L70&lt;=0,0,Fans!$L$2-Fans!L70),IF(L70&lt;(2/3)*Fans!$L$2,Fans!$L$2-Fans!L70,(1/3)*Fans!$L$2))</f>
        <v>14.421166666666666</v>
      </c>
      <c r="M81" s="295">
        <f>IF(Age="existing",IF(Fans!$L$2-Fans!M70&lt;=0,0,Fans!$L$2-Fans!M70),IF(M70&lt;(2/3)*Fans!$L$2,Fans!$L$2-Fans!M70,(1/3)*Fans!$L$2))</f>
        <v>14.421166666666666</v>
      </c>
      <c r="N81" s="295">
        <f>IF(Age="existing",IF(Fans!$L$2-Fans!N70&lt;=0,0,Fans!$L$2-Fans!N70),IF(N70&lt;(2/3)*Fans!$L$2,Fans!$L$2-Fans!N70,(1/3)*Fans!$L$2))</f>
        <v>14.421166666666666</v>
      </c>
      <c r="O81" s="295">
        <f>IF(Age="existing",IF(Fans!$L$2-Fans!O70&lt;=0,0,Fans!$L$2-Fans!O70),IF(O70&lt;(2/3)*Fans!$L$2,Fans!$L$2-Fans!O70,(1/3)*Fans!$L$2))</f>
        <v>14.421166666666666</v>
      </c>
      <c r="P81" s="295">
        <f>IF(Age="existing",IF(Fans!$L$2-Fans!P70&lt;=0,0,Fans!$L$2-Fans!P70),IF(P70&lt;(2/3)*Fans!$L$2,Fans!$L$2-Fans!P70,(1/3)*Fans!$L$2))</f>
        <v>14.421166666666666</v>
      </c>
      <c r="Q81" s="295">
        <f>IF(Age="existing",IF(Fans!$L$2-Fans!Q70&lt;=0,0,Fans!$L$2-Fans!Q70),IF(Q70&lt;(2/3)*Fans!$L$2,Fans!$L$2-Fans!Q70,(1/3)*Fans!$L$2))</f>
        <v>14.421166666666666</v>
      </c>
      <c r="R81" s="97" t="s">
        <v>312</v>
      </c>
      <c r="S81" s="1">
        <v>70</v>
      </c>
    </row>
    <row r="82" spans="1:19" ht="15" customHeight="1">
      <c r="A82" s="295">
        <v>1.5</v>
      </c>
      <c r="B82" s="295">
        <f>Leakage!AF15</f>
        <v>0.21305369513587183</v>
      </c>
      <c r="C82" s="295">
        <f>IF(Age="existing",IF(Fans!$L$2-Fans!C71&lt;=0,0,Fans!$L$2-Fans!C71),IF(C71&lt;(2/3)*Fans!$L$2,Fans!$L$2-Fans!C71,(1/3)*Fans!$L$2))</f>
        <v>31.429121800372592</v>
      </c>
      <c r="D82" s="295">
        <f>IF(Age="existing",IF(Fans!$L$2-Fans!D71&lt;=0,0,Fans!$L$2-Fans!D71),IF(D71&lt;(2/3)*Fans!$L$2,Fans!$L$2-Fans!D71,(1/3)*Fans!$L$2))</f>
        <v>31.140478429649974</v>
      </c>
      <c r="E82" s="295">
        <f>IF(Age="existing",IF(Fans!$L$2-Fans!E71&lt;=0,0,Fans!$L$2-Fans!E71),IF(E71&lt;(2/3)*Fans!$L$2,Fans!$L$2-Fans!E71,(1/3)*Fans!$L$2))</f>
        <v>30.851835058927353</v>
      </c>
      <c r="F82" s="295">
        <f>IF(Age="existing",IF(Fans!$L$2-Fans!F71&lt;=0,0,Fans!$L$2-Fans!F71),IF(F71&lt;(2/3)*Fans!$L$2,Fans!$L$2-Fans!F71,(1/3)*Fans!$L$2))</f>
        <v>29.985904946759494</v>
      </c>
      <c r="G82" s="295">
        <f>IF(Age="existing",IF(Fans!$L$2-Fans!G71&lt;=0,0,Fans!$L$2-Fans!G71),IF(G71&lt;(2/3)*Fans!$L$2,Fans!$L$2-Fans!G71,(1/3)*Fans!$L$2))</f>
        <v>29.408618205314255</v>
      </c>
      <c r="H82" s="295">
        <f>IF(Age="existing",IF(Fans!$L$2-Fans!H71&lt;=0,0,Fans!$L$2-Fans!H71),IF(H71&lt;(2/3)*Fans!$L$2,Fans!$L$2-Fans!H71,(1/3)*Fans!$L$2))</f>
        <v>25.94489775664282</v>
      </c>
      <c r="I82" s="295">
        <f>IF(Age="existing",IF(Fans!$L$2-Fans!I71&lt;=0,0,Fans!$L$2-Fans!I71),IF(I71&lt;(2/3)*Fans!$L$2,Fans!$L$2-Fans!I71,(1/3)*Fans!$L$2))</f>
        <v>28.831331463869013</v>
      </c>
      <c r="J82" s="295">
        <f>IF(Age="existing",IF(Fans!$L$2-Fans!J71&lt;=0,0,Fans!$L$2-Fans!J71),IF(J71&lt;(2/3)*Fans!$L$2,Fans!$L$2-Fans!J71,(1/3)*Fans!$L$2))</f>
        <v>27.676757980978536</v>
      </c>
      <c r="K82" s="295">
        <f>IF(Age="existing",IF(Fans!$L$2-Fans!K71&lt;=0,0,Fans!$L$2-Fans!K71),IF(K71&lt;(2/3)*Fans!$L$2,Fans!$L$2-Fans!K71,(1/3)*Fans!$L$2))</f>
        <v>27.388114610255915</v>
      </c>
      <c r="L82" s="295">
        <f>IF(Age="existing",IF(Fans!$L$2-Fans!L71&lt;=0,0,Fans!$L$2-Fans!L71),IF(L71&lt;(2/3)*Fans!$L$2,Fans!$L$2-Fans!L71,(1/3)*Fans!$L$2))</f>
        <v>25.94489775664282</v>
      </c>
      <c r="M82" s="295">
        <f>IF(Age="existing",IF(Fans!$L$2-Fans!M71&lt;=0,0,Fans!$L$2-Fans!M71),IF(M71&lt;(2/3)*Fans!$L$2,Fans!$L$2-Fans!M71,(1/3)*Fans!$L$2))</f>
        <v>27.099471239533294</v>
      </c>
      <c r="N82" s="295">
        <f>IF(Age="existing",IF(Fans!$L$2-Fans!N71&lt;=0,0,Fans!$L$2-Fans!N71),IF(N71&lt;(2/3)*Fans!$L$2,Fans!$L$2-Fans!N71,(1/3)*Fans!$L$2))</f>
        <v>25.656254385920199</v>
      </c>
      <c r="O82" s="295">
        <f>IF(Age="existing",IF(Fans!$L$2-Fans!O71&lt;=0,0,Fans!$L$2-Fans!O71),IF(O71&lt;(2/3)*Fans!$L$2,Fans!$L$2-Fans!O71,(1/3)*Fans!$L$2))</f>
        <v>25.078967644474961</v>
      </c>
      <c r="P82" s="295">
        <f>IF(Age="existing",IF(Fans!$L$2-Fans!P71&lt;=0,0,Fans!$L$2-Fans!P71),IF(P71&lt;(2/3)*Fans!$L$2,Fans!$L$2-Fans!P71,(1/3)*Fans!$L$2))</f>
        <v>23.058464049416621</v>
      </c>
      <c r="Q82" s="295">
        <f>IF(Age="existing",IF(Fans!$L$2-Fans!Q71&lt;=0,0,Fans!$L$2-Fans!Q71),IF(Q71&lt;(2/3)*Fans!$L$2,Fans!$L$2-Fans!Q71,(1/3)*Fans!$L$2))</f>
        <v>23.058464049416621</v>
      </c>
      <c r="R82" s="97" t="s">
        <v>312</v>
      </c>
      <c r="S82" s="1">
        <v>80</v>
      </c>
    </row>
    <row r="83" spans="1:19" ht="15" customHeight="1">
      <c r="A83" s="295">
        <v>0.6</v>
      </c>
      <c r="B83" s="295">
        <f>Leakage!AF16</f>
        <v>8.5221478054348723E-2</v>
      </c>
      <c r="C83" s="295">
        <f>IF(Age="existing",IF(Fans!$L$2-Fans!C72&lt;=0,0,Fans!$L$2-Fans!C72),IF(C72&lt;(2/3)*Fans!$L$2,Fans!$L$2-Fans!C72,(1/3)*Fans!$L$2))</f>
        <v>38.529748720149037</v>
      </c>
      <c r="D83" s="295">
        <f>IF(Age="existing",IF(Fans!$L$2-Fans!D72&lt;=0,0,Fans!$L$2-Fans!D72),IF(D72&lt;(2/3)*Fans!$L$2,Fans!$L$2-Fans!D72,(1/3)*Fans!$L$2))</f>
        <v>38.414291371859989</v>
      </c>
      <c r="E83" s="295">
        <f>IF(Age="existing",IF(Fans!$L$2-Fans!E72&lt;=0,0,Fans!$L$2-Fans!E72),IF(E72&lt;(2/3)*Fans!$L$2,Fans!$L$2-Fans!E72,(1/3)*Fans!$L$2))</f>
        <v>38.29883402357094</v>
      </c>
      <c r="F83" s="295">
        <f>IF(Age="existing",IF(Fans!$L$2-Fans!F72&lt;=0,0,Fans!$L$2-Fans!F72),IF(F72&lt;(2/3)*Fans!$L$2,Fans!$L$2-Fans!F72,(1/3)*Fans!$L$2))</f>
        <v>37.952461978703795</v>
      </c>
      <c r="G83" s="295">
        <f>IF(Age="existing",IF(Fans!$L$2-Fans!G72&lt;=0,0,Fans!$L$2-Fans!G72),IF(G72&lt;(2/3)*Fans!$L$2,Fans!$L$2-Fans!G72,(1/3)*Fans!$L$2))</f>
        <v>37.721547282125705</v>
      </c>
      <c r="H83" s="295">
        <f>IF(Age="existing",IF(Fans!$L$2-Fans!H72&lt;=0,0,Fans!$L$2-Fans!H72),IF(H72&lt;(2/3)*Fans!$L$2,Fans!$L$2-Fans!H72,(1/3)*Fans!$L$2))</f>
        <v>36.336059102657131</v>
      </c>
      <c r="I83" s="295">
        <f>IF(Age="existing",IF(Fans!$L$2-Fans!I72&lt;=0,0,Fans!$L$2-Fans!I72),IF(I72&lt;(2/3)*Fans!$L$2,Fans!$L$2-Fans!I72,(1/3)*Fans!$L$2))</f>
        <v>37.490632585547608</v>
      </c>
      <c r="J83" s="295">
        <f>IF(Age="existing",IF(Fans!$L$2-Fans!J72&lt;=0,0,Fans!$L$2-Fans!J72),IF(J72&lt;(2/3)*Fans!$L$2,Fans!$L$2-Fans!J72,(1/3)*Fans!$L$2))</f>
        <v>37.028803192391415</v>
      </c>
      <c r="K83" s="295">
        <f>IF(Age="existing",IF(Fans!$L$2-Fans!K72&lt;=0,0,Fans!$L$2-Fans!K72),IF(K72&lt;(2/3)*Fans!$L$2,Fans!$L$2-Fans!K72,(1/3)*Fans!$L$2))</f>
        <v>36.913345844102366</v>
      </c>
      <c r="L83" s="295">
        <f>IF(Age="existing",IF(Fans!$L$2-Fans!L72&lt;=0,0,Fans!$L$2-Fans!L72),IF(L72&lt;(2/3)*Fans!$L$2,Fans!$L$2-Fans!L72,(1/3)*Fans!$L$2))</f>
        <v>36.336059102657131</v>
      </c>
      <c r="M83" s="295">
        <f>IF(Age="existing",IF(Fans!$L$2-Fans!M72&lt;=0,0,Fans!$L$2-Fans!M72),IF(M72&lt;(2/3)*Fans!$L$2,Fans!$L$2-Fans!M72,(1/3)*Fans!$L$2))</f>
        <v>36.797888495813318</v>
      </c>
      <c r="N83" s="295">
        <f>IF(Age="existing",IF(Fans!$L$2-Fans!N72&lt;=0,0,Fans!$L$2-Fans!N72),IF(N72&lt;(2/3)*Fans!$L$2,Fans!$L$2-Fans!N72,(1/3)*Fans!$L$2))</f>
        <v>36.220601754368083</v>
      </c>
      <c r="O83" s="295">
        <f>IF(Age="existing",IF(Fans!$L$2-Fans!O72&lt;=0,0,Fans!$L$2-Fans!O72),IF(O72&lt;(2/3)*Fans!$L$2,Fans!$L$2-Fans!O72,(1/3)*Fans!$L$2))</f>
        <v>35.989687057789986</v>
      </c>
      <c r="P83" s="295">
        <f>IF(Age="existing",IF(Fans!$L$2-Fans!P72&lt;=0,0,Fans!$L$2-Fans!P72),IF(P72&lt;(2/3)*Fans!$L$2,Fans!$L$2-Fans!P72,(1/3)*Fans!$L$2))</f>
        <v>35.181485619766647</v>
      </c>
      <c r="Q83" s="295">
        <f>IF(Age="existing",IF(Fans!$L$2-Fans!Q72&lt;=0,0,Fans!$L$2-Fans!Q72),IF(Q72&lt;(2/3)*Fans!$L$2,Fans!$L$2-Fans!Q72,(1/3)*Fans!$L$2))</f>
        <v>35.181485619766647</v>
      </c>
      <c r="R83" s="115" t="s">
        <v>631</v>
      </c>
      <c r="S83" s="1">
        <v>84.5</v>
      </c>
    </row>
    <row r="84" spans="1:19" ht="15" customHeight="1">
      <c r="A84" s="295" t="s">
        <v>804</v>
      </c>
      <c r="B84" s="295" t="s">
        <v>667</v>
      </c>
      <c r="C84" s="296">
        <f>$L$2</f>
        <v>43.263500000000001</v>
      </c>
      <c r="D84" s="296">
        <f t="shared" ref="D84:Q84" si="14">$L$2</f>
        <v>43.263500000000001</v>
      </c>
      <c r="E84" s="296">
        <f t="shared" si="14"/>
        <v>43.263500000000001</v>
      </c>
      <c r="F84" s="296">
        <f t="shared" si="14"/>
        <v>43.263500000000001</v>
      </c>
      <c r="G84" s="296">
        <f t="shared" si="14"/>
        <v>43.263500000000001</v>
      </c>
      <c r="H84" s="296">
        <f t="shared" si="14"/>
        <v>43.263500000000001</v>
      </c>
      <c r="I84" s="296">
        <f t="shared" si="14"/>
        <v>43.263500000000001</v>
      </c>
      <c r="J84" s="296">
        <f t="shared" si="14"/>
        <v>43.263500000000001</v>
      </c>
      <c r="K84" s="296">
        <f t="shared" si="14"/>
        <v>43.263500000000001</v>
      </c>
      <c r="L84" s="296">
        <f t="shared" si="14"/>
        <v>43.263500000000001</v>
      </c>
      <c r="M84" s="296">
        <f t="shared" si="14"/>
        <v>43.263500000000001</v>
      </c>
      <c r="N84" s="296">
        <f t="shared" si="14"/>
        <v>43.263500000000001</v>
      </c>
      <c r="O84" s="296">
        <f t="shared" si="14"/>
        <v>43.263500000000001</v>
      </c>
      <c r="P84" s="296">
        <f t="shared" si="14"/>
        <v>43.263500000000001</v>
      </c>
      <c r="Q84" s="296">
        <f t="shared" si="14"/>
        <v>43.263500000000001</v>
      </c>
      <c r="R84" s="294"/>
    </row>
    <row r="85" spans="1:19" ht="15" customHeight="1">
      <c r="A85" s="295"/>
      <c r="B85" s="297"/>
      <c r="C85" s="297"/>
      <c r="D85" s="297"/>
      <c r="E85" s="297"/>
      <c r="F85" s="297"/>
      <c r="G85" s="297"/>
      <c r="H85" s="297"/>
      <c r="I85" s="297"/>
      <c r="J85" s="297"/>
      <c r="K85" s="297"/>
      <c r="L85" s="297"/>
      <c r="M85" s="297"/>
      <c r="N85" s="297"/>
      <c r="O85" s="297"/>
      <c r="P85" s="297"/>
      <c r="Q85" s="297"/>
    </row>
    <row r="86" spans="1:19" ht="15" customHeight="1">
      <c r="A86" s="68" t="s">
        <v>805</v>
      </c>
      <c r="B86" s="193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</row>
    <row r="87" spans="1:19" ht="15" customHeight="1">
      <c r="A87" s="68" t="s">
        <v>794</v>
      </c>
      <c r="B87" s="68"/>
      <c r="C87" s="68" t="s">
        <v>587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792</v>
      </c>
      <c r="B88" s="68" t="s">
        <v>791</v>
      </c>
      <c r="C88" s="68" t="s">
        <v>649</v>
      </c>
      <c r="D88" s="68" t="s">
        <v>598</v>
      </c>
      <c r="E88" s="68" t="s">
        <v>599</v>
      </c>
      <c r="F88" s="68" t="s">
        <v>600</v>
      </c>
      <c r="G88" s="68" t="s">
        <v>601</v>
      </c>
      <c r="H88" s="68" t="s">
        <v>602</v>
      </c>
      <c r="I88" s="68" t="s">
        <v>603</v>
      </c>
      <c r="J88" s="68" t="s">
        <v>604</v>
      </c>
      <c r="K88" s="68" t="s">
        <v>605</v>
      </c>
      <c r="L88" s="68" t="s">
        <v>606</v>
      </c>
      <c r="M88" s="68" t="s">
        <v>607</v>
      </c>
      <c r="N88" s="68" t="s">
        <v>608</v>
      </c>
      <c r="O88" s="68" t="s">
        <v>609</v>
      </c>
      <c r="P88" s="68">
        <v>7</v>
      </c>
      <c r="Q88" s="68">
        <v>8</v>
      </c>
    </row>
    <row r="89" spans="1:19" ht="15" customHeight="1">
      <c r="A89" s="68">
        <v>10</v>
      </c>
      <c r="B89" s="193">
        <f>Leakage!AF11</f>
        <v>1.4203579675724791</v>
      </c>
      <c r="C89" s="193">
        <f>1.1*C78</f>
        <v>15.863283333333333</v>
      </c>
      <c r="D89" s="193">
        <f t="shared" ref="D89:Q89" si="15">1.1*D78</f>
        <v>15.863283333333333</v>
      </c>
      <c r="E89" s="193">
        <f t="shared" si="15"/>
        <v>15.863283333333333</v>
      </c>
      <c r="F89" s="193">
        <f t="shared" si="15"/>
        <v>15.863283333333333</v>
      </c>
      <c r="G89" s="193">
        <f t="shared" si="15"/>
        <v>15.863283333333333</v>
      </c>
      <c r="H89" s="193">
        <f t="shared" si="15"/>
        <v>15.863283333333333</v>
      </c>
      <c r="I89" s="193">
        <f t="shared" si="15"/>
        <v>15.863283333333333</v>
      </c>
      <c r="J89" s="193">
        <f t="shared" si="15"/>
        <v>15.863283333333333</v>
      </c>
      <c r="K89" s="193">
        <f t="shared" si="15"/>
        <v>15.863283333333333</v>
      </c>
      <c r="L89" s="193">
        <f t="shared" si="15"/>
        <v>15.863283333333333</v>
      </c>
      <c r="M89" s="193">
        <f t="shared" si="15"/>
        <v>15.863283333333333</v>
      </c>
      <c r="N89" s="193">
        <f t="shared" si="15"/>
        <v>15.863283333333333</v>
      </c>
      <c r="O89" s="193">
        <f t="shared" si="15"/>
        <v>15.863283333333333</v>
      </c>
      <c r="P89" s="193">
        <f t="shared" si="15"/>
        <v>15.863283333333333</v>
      </c>
      <c r="Q89" s="193">
        <f t="shared" si="15"/>
        <v>15.863283333333333</v>
      </c>
    </row>
    <row r="90" spans="1:19" ht="15" customHeight="1">
      <c r="A90" s="68">
        <v>7</v>
      </c>
      <c r="B90" s="193">
        <f>Leakage!AF12</f>
        <v>0.99425057730073518</v>
      </c>
      <c r="C90" s="193">
        <f t="shared" ref="C90:Q90" si="16">1.1*C79</f>
        <v>15.863283333333333</v>
      </c>
      <c r="D90" s="193">
        <f t="shared" si="16"/>
        <v>15.863283333333333</v>
      </c>
      <c r="E90" s="193">
        <f t="shared" si="16"/>
        <v>15.863283333333333</v>
      </c>
      <c r="F90" s="193">
        <f t="shared" si="16"/>
        <v>15.863283333333333</v>
      </c>
      <c r="G90" s="193">
        <f t="shared" si="16"/>
        <v>15.863283333333333</v>
      </c>
      <c r="H90" s="193">
        <f t="shared" si="16"/>
        <v>15.863283333333333</v>
      </c>
      <c r="I90" s="193">
        <f t="shared" si="16"/>
        <v>15.863283333333333</v>
      </c>
      <c r="J90" s="193">
        <f t="shared" si="16"/>
        <v>15.863283333333333</v>
      </c>
      <c r="K90" s="193">
        <f t="shared" si="16"/>
        <v>15.863283333333333</v>
      </c>
      <c r="L90" s="193">
        <f t="shared" si="16"/>
        <v>15.863283333333333</v>
      </c>
      <c r="M90" s="193">
        <f t="shared" si="16"/>
        <v>15.863283333333333</v>
      </c>
      <c r="N90" s="193">
        <f t="shared" si="16"/>
        <v>15.863283333333333</v>
      </c>
      <c r="O90" s="193">
        <f t="shared" si="16"/>
        <v>15.863283333333333</v>
      </c>
      <c r="P90" s="193">
        <f t="shared" si="16"/>
        <v>15.863283333333333</v>
      </c>
      <c r="Q90" s="193">
        <f t="shared" si="16"/>
        <v>15.863283333333333</v>
      </c>
    </row>
    <row r="91" spans="1:19" ht="15" customHeight="1">
      <c r="A91" s="68">
        <v>5</v>
      </c>
      <c r="B91" s="193">
        <f>Leakage!AF13</f>
        <v>0.71017898378623956</v>
      </c>
      <c r="C91" s="193">
        <f t="shared" ref="C91:Q91" si="17">1.1*C80</f>
        <v>15.863283333333333</v>
      </c>
      <c r="D91" s="193">
        <f t="shared" si="17"/>
        <v>15.863283333333333</v>
      </c>
      <c r="E91" s="193">
        <f t="shared" si="17"/>
        <v>15.863283333333333</v>
      </c>
      <c r="F91" s="193">
        <f t="shared" si="17"/>
        <v>15.863283333333333</v>
      </c>
      <c r="G91" s="193">
        <f t="shared" si="17"/>
        <v>15.863283333333333</v>
      </c>
      <c r="H91" s="193">
        <f t="shared" si="17"/>
        <v>15.863283333333333</v>
      </c>
      <c r="I91" s="193">
        <f t="shared" si="17"/>
        <v>15.863283333333333</v>
      </c>
      <c r="J91" s="193">
        <f t="shared" si="17"/>
        <v>15.863283333333333</v>
      </c>
      <c r="K91" s="193">
        <f t="shared" si="17"/>
        <v>15.863283333333333</v>
      </c>
      <c r="L91" s="193">
        <f t="shared" si="17"/>
        <v>15.863283333333333</v>
      </c>
      <c r="M91" s="193">
        <f t="shared" si="17"/>
        <v>15.863283333333333</v>
      </c>
      <c r="N91" s="193">
        <f t="shared" si="17"/>
        <v>15.863283333333333</v>
      </c>
      <c r="O91" s="193">
        <f t="shared" si="17"/>
        <v>15.863283333333333</v>
      </c>
      <c r="P91" s="193">
        <f t="shared" si="17"/>
        <v>15.863283333333333</v>
      </c>
      <c r="Q91" s="193">
        <f t="shared" si="17"/>
        <v>15.863283333333333</v>
      </c>
    </row>
    <row r="92" spans="1:19" ht="15" customHeight="1">
      <c r="A92" s="68">
        <v>3</v>
      </c>
      <c r="B92" s="193">
        <f>Leakage!AF14</f>
        <v>0.42610739027174366</v>
      </c>
      <c r="C92" s="193">
        <f t="shared" ref="C92:Q92" si="18">1.1*C81</f>
        <v>21.554217960819706</v>
      </c>
      <c r="D92" s="193">
        <f t="shared" si="18"/>
        <v>20.91920254522994</v>
      </c>
      <c r="E92" s="193">
        <f t="shared" si="18"/>
        <v>20.284187129640177</v>
      </c>
      <c r="F92" s="193">
        <f t="shared" si="18"/>
        <v>18.379140882870885</v>
      </c>
      <c r="G92" s="193">
        <f t="shared" si="18"/>
        <v>17.109110051691363</v>
      </c>
      <c r="H92" s="193">
        <f t="shared" si="18"/>
        <v>15.863283333333333</v>
      </c>
      <c r="I92" s="193">
        <f t="shared" si="18"/>
        <v>15.863283333333333</v>
      </c>
      <c r="J92" s="193">
        <f t="shared" si="18"/>
        <v>15.863283333333333</v>
      </c>
      <c r="K92" s="193">
        <f t="shared" si="18"/>
        <v>15.863283333333333</v>
      </c>
      <c r="L92" s="193">
        <f t="shared" si="18"/>
        <v>15.863283333333333</v>
      </c>
      <c r="M92" s="193">
        <f t="shared" si="18"/>
        <v>15.863283333333333</v>
      </c>
      <c r="N92" s="193">
        <f t="shared" si="18"/>
        <v>15.863283333333333</v>
      </c>
      <c r="O92" s="193">
        <f t="shared" si="18"/>
        <v>15.863283333333333</v>
      </c>
      <c r="P92" s="193">
        <f t="shared" si="18"/>
        <v>15.863283333333333</v>
      </c>
      <c r="Q92" s="193">
        <f t="shared" si="18"/>
        <v>15.863283333333333</v>
      </c>
    </row>
    <row r="93" spans="1:19" ht="15" customHeight="1">
      <c r="A93" s="68">
        <v>1.5</v>
      </c>
      <c r="B93" s="193">
        <f>Leakage!AF15</f>
        <v>0.21305369513587183</v>
      </c>
      <c r="C93" s="193">
        <f t="shared" ref="C93:Q93" si="19">1.1*C82</f>
        <v>34.572033980409856</v>
      </c>
      <c r="D93" s="193">
        <f t="shared" si="19"/>
        <v>34.254526272614974</v>
      </c>
      <c r="E93" s="193">
        <f t="shared" si="19"/>
        <v>33.937018564820093</v>
      </c>
      <c r="F93" s="193">
        <f t="shared" si="19"/>
        <v>32.984495441435449</v>
      </c>
      <c r="G93" s="193">
        <f t="shared" si="19"/>
        <v>32.349480025845686</v>
      </c>
      <c r="H93" s="193">
        <f t="shared" si="19"/>
        <v>28.539387532307106</v>
      </c>
      <c r="I93" s="193">
        <f t="shared" si="19"/>
        <v>31.714464610255916</v>
      </c>
      <c r="J93" s="193">
        <f t="shared" si="19"/>
        <v>30.444433779076391</v>
      </c>
      <c r="K93" s="193">
        <f t="shared" si="19"/>
        <v>30.12692607128151</v>
      </c>
      <c r="L93" s="193">
        <f t="shared" si="19"/>
        <v>28.539387532307106</v>
      </c>
      <c r="M93" s="193">
        <f t="shared" si="19"/>
        <v>29.809418363486625</v>
      </c>
      <c r="N93" s="193">
        <f t="shared" si="19"/>
        <v>28.221879824512222</v>
      </c>
      <c r="O93" s="193">
        <f t="shared" si="19"/>
        <v>27.586864408922459</v>
      </c>
      <c r="P93" s="193">
        <f t="shared" si="19"/>
        <v>25.364310454358286</v>
      </c>
      <c r="Q93" s="193">
        <f t="shared" si="19"/>
        <v>25.364310454358286</v>
      </c>
    </row>
    <row r="94" spans="1:19" ht="15" customHeight="1">
      <c r="A94" s="68">
        <v>0.6</v>
      </c>
      <c r="B94" s="193">
        <f>Leakage!AF16</f>
        <v>8.5221478054348723E-2</v>
      </c>
      <c r="C94" s="193">
        <f t="shared" ref="C94:Q94" si="20">1.1*C83</f>
        <v>42.382723592163941</v>
      </c>
      <c r="D94" s="193">
        <f t="shared" si="20"/>
        <v>42.255720509045993</v>
      </c>
      <c r="E94" s="193">
        <f t="shared" si="20"/>
        <v>42.128717425928038</v>
      </c>
      <c r="F94" s="193">
        <f t="shared" si="20"/>
        <v>41.747708176574179</v>
      </c>
      <c r="G94" s="193">
        <f t="shared" si="20"/>
        <v>41.493702010338282</v>
      </c>
      <c r="H94" s="193">
        <f t="shared" si="20"/>
        <v>39.969665012922846</v>
      </c>
      <c r="I94" s="193">
        <f t="shared" si="20"/>
        <v>41.239695844102371</v>
      </c>
      <c r="J94" s="193">
        <f t="shared" si="20"/>
        <v>40.731683511630557</v>
      </c>
      <c r="K94" s="193">
        <f t="shared" si="20"/>
        <v>40.604680428512609</v>
      </c>
      <c r="L94" s="193">
        <f t="shared" si="20"/>
        <v>39.969665012922846</v>
      </c>
      <c r="M94" s="193">
        <f t="shared" si="20"/>
        <v>40.477677345394653</v>
      </c>
      <c r="N94" s="193">
        <f t="shared" si="20"/>
        <v>39.842661929804898</v>
      </c>
      <c r="O94" s="193">
        <f t="shared" si="20"/>
        <v>39.588655763568987</v>
      </c>
      <c r="P94" s="193">
        <f t="shared" si="20"/>
        <v>38.699634181743313</v>
      </c>
      <c r="Q94" s="193">
        <f t="shared" si="20"/>
        <v>38.699634181743313</v>
      </c>
    </row>
    <row r="95" spans="1:19" ht="15" customHeight="1">
      <c r="A95" s="68"/>
      <c r="B95" s="193"/>
      <c r="C95" s="193"/>
      <c r="D95" s="193"/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3"/>
      <c r="P95" s="193"/>
      <c r="Q95" s="193"/>
    </row>
    <row r="96" spans="1:19" ht="15" customHeight="1">
      <c r="A96" s="295" t="s">
        <v>799</v>
      </c>
      <c r="B96" s="297"/>
      <c r="C96" s="297"/>
      <c r="D96" s="297"/>
      <c r="E96" s="297"/>
      <c r="F96" s="297"/>
      <c r="G96" s="297"/>
      <c r="H96" s="297"/>
      <c r="I96" s="297"/>
      <c r="J96" s="297"/>
      <c r="K96" s="297"/>
      <c r="L96" s="297"/>
      <c r="M96" s="297"/>
      <c r="N96" s="297"/>
      <c r="O96" s="297"/>
      <c r="P96" s="297"/>
      <c r="Q96" s="297"/>
    </row>
    <row r="97" spans="1:17" ht="15" customHeight="1">
      <c r="A97" s="295" t="s">
        <v>800</v>
      </c>
      <c r="B97" s="297"/>
      <c r="C97" s="295" t="s">
        <v>587</v>
      </c>
      <c r="D97" s="295"/>
      <c r="E97" s="295"/>
      <c r="F97" s="295"/>
      <c r="G97" s="295"/>
      <c r="H97" s="295"/>
      <c r="I97" s="295"/>
      <c r="J97" s="295"/>
      <c r="K97" s="295"/>
      <c r="L97" s="295"/>
      <c r="M97" s="295"/>
      <c r="N97" s="295"/>
      <c r="O97" s="295"/>
      <c r="P97" s="295"/>
      <c r="Q97" s="295"/>
    </row>
    <row r="98" spans="1:17" ht="15" customHeight="1">
      <c r="A98" s="295" t="s">
        <v>792</v>
      </c>
      <c r="B98" s="297"/>
      <c r="C98" s="295" t="s">
        <v>649</v>
      </c>
      <c r="D98" s="295" t="s">
        <v>598</v>
      </c>
      <c r="E98" s="295" t="s">
        <v>599</v>
      </c>
      <c r="F98" s="295" t="s">
        <v>600</v>
      </c>
      <c r="G98" s="295" t="s">
        <v>601</v>
      </c>
      <c r="H98" s="295" t="s">
        <v>602</v>
      </c>
      <c r="I98" s="295" t="s">
        <v>603</v>
      </c>
      <c r="J98" s="295" t="s">
        <v>604</v>
      </c>
      <c r="K98" s="295" t="s">
        <v>605</v>
      </c>
      <c r="L98" s="295" t="s">
        <v>606</v>
      </c>
      <c r="M98" s="295" t="s">
        <v>607</v>
      </c>
      <c r="N98" s="295" t="s">
        <v>608</v>
      </c>
      <c r="O98" s="295" t="s">
        <v>609</v>
      </c>
      <c r="P98" s="295">
        <v>7</v>
      </c>
      <c r="Q98" s="295">
        <v>8</v>
      </c>
    </row>
    <row r="99" spans="1:17" ht="15" customHeight="1">
      <c r="A99" s="295">
        <v>10</v>
      </c>
      <c r="B99" s="297">
        <f>Leakage!AF11</f>
        <v>1.4203579675724791</v>
      </c>
      <c r="C99" s="297">
        <f>C78*0.4361</f>
        <v>6.289070783333333</v>
      </c>
      <c r="D99" s="297">
        <f t="shared" ref="D99:Q99" si="21">D78*0.4361</f>
        <v>6.289070783333333</v>
      </c>
      <c r="E99" s="297">
        <f t="shared" si="21"/>
        <v>6.289070783333333</v>
      </c>
      <c r="F99" s="297">
        <f t="shared" si="21"/>
        <v>6.289070783333333</v>
      </c>
      <c r="G99" s="297">
        <f t="shared" si="21"/>
        <v>6.289070783333333</v>
      </c>
      <c r="H99" s="297">
        <f t="shared" si="21"/>
        <v>6.289070783333333</v>
      </c>
      <c r="I99" s="297">
        <f t="shared" si="21"/>
        <v>6.289070783333333</v>
      </c>
      <c r="J99" s="297">
        <f t="shared" si="21"/>
        <v>6.289070783333333</v>
      </c>
      <c r="K99" s="297">
        <f t="shared" si="21"/>
        <v>6.289070783333333</v>
      </c>
      <c r="L99" s="297">
        <f t="shared" si="21"/>
        <v>6.289070783333333</v>
      </c>
      <c r="M99" s="297">
        <f t="shared" si="21"/>
        <v>6.289070783333333</v>
      </c>
      <c r="N99" s="297">
        <f t="shared" si="21"/>
        <v>6.289070783333333</v>
      </c>
      <c r="O99" s="297">
        <f t="shared" si="21"/>
        <v>6.289070783333333</v>
      </c>
      <c r="P99" s="297">
        <f t="shared" si="21"/>
        <v>6.289070783333333</v>
      </c>
      <c r="Q99" s="297">
        <f t="shared" si="21"/>
        <v>6.289070783333333</v>
      </c>
    </row>
    <row r="100" spans="1:17" ht="15" customHeight="1">
      <c r="A100" s="295">
        <v>7</v>
      </c>
      <c r="B100" s="297">
        <f>Leakage!AF12</f>
        <v>0.99425057730073518</v>
      </c>
      <c r="C100" s="297">
        <f t="shared" ref="C100:Q100" si="22">C79*0.4361</f>
        <v>6.289070783333333</v>
      </c>
      <c r="D100" s="297">
        <f t="shared" si="22"/>
        <v>6.289070783333333</v>
      </c>
      <c r="E100" s="297">
        <f t="shared" si="22"/>
        <v>6.289070783333333</v>
      </c>
      <c r="F100" s="297">
        <f t="shared" si="22"/>
        <v>6.289070783333333</v>
      </c>
      <c r="G100" s="297">
        <f t="shared" si="22"/>
        <v>6.289070783333333</v>
      </c>
      <c r="H100" s="297">
        <f t="shared" si="22"/>
        <v>6.289070783333333</v>
      </c>
      <c r="I100" s="297">
        <f t="shared" si="22"/>
        <v>6.289070783333333</v>
      </c>
      <c r="J100" s="297">
        <f t="shared" si="22"/>
        <v>6.289070783333333</v>
      </c>
      <c r="K100" s="297">
        <f t="shared" si="22"/>
        <v>6.289070783333333</v>
      </c>
      <c r="L100" s="297">
        <f t="shared" si="22"/>
        <v>6.289070783333333</v>
      </c>
      <c r="M100" s="297">
        <f t="shared" si="22"/>
        <v>6.289070783333333</v>
      </c>
      <c r="N100" s="297">
        <f t="shared" si="22"/>
        <v>6.289070783333333</v>
      </c>
      <c r="O100" s="297">
        <f t="shared" si="22"/>
        <v>6.289070783333333</v>
      </c>
      <c r="P100" s="297">
        <f t="shared" si="22"/>
        <v>6.289070783333333</v>
      </c>
      <c r="Q100" s="297">
        <f t="shared" si="22"/>
        <v>6.289070783333333</v>
      </c>
    </row>
    <row r="101" spans="1:17" ht="15" customHeight="1">
      <c r="A101" s="295">
        <v>5</v>
      </c>
      <c r="B101" s="297">
        <f>Leakage!AF13</f>
        <v>0.71017898378623956</v>
      </c>
      <c r="C101" s="297">
        <f t="shared" ref="C101:Q101" si="23">C80*0.4361</f>
        <v>6.289070783333333</v>
      </c>
      <c r="D101" s="297">
        <f t="shared" si="23"/>
        <v>6.289070783333333</v>
      </c>
      <c r="E101" s="297">
        <f t="shared" si="23"/>
        <v>6.289070783333333</v>
      </c>
      <c r="F101" s="297">
        <f t="shared" si="23"/>
        <v>6.289070783333333</v>
      </c>
      <c r="G101" s="297">
        <f t="shared" si="23"/>
        <v>6.289070783333333</v>
      </c>
      <c r="H101" s="297">
        <f t="shared" si="23"/>
        <v>6.289070783333333</v>
      </c>
      <c r="I101" s="297">
        <f t="shared" si="23"/>
        <v>6.289070783333333</v>
      </c>
      <c r="J101" s="297">
        <f t="shared" si="23"/>
        <v>6.289070783333333</v>
      </c>
      <c r="K101" s="297">
        <f t="shared" si="23"/>
        <v>6.289070783333333</v>
      </c>
      <c r="L101" s="297">
        <f t="shared" si="23"/>
        <v>6.289070783333333</v>
      </c>
      <c r="M101" s="297">
        <f t="shared" si="23"/>
        <v>6.289070783333333</v>
      </c>
      <c r="N101" s="297">
        <f t="shared" si="23"/>
        <v>6.289070783333333</v>
      </c>
      <c r="O101" s="297">
        <f t="shared" si="23"/>
        <v>6.289070783333333</v>
      </c>
      <c r="P101" s="297">
        <f t="shared" si="23"/>
        <v>6.289070783333333</v>
      </c>
      <c r="Q101" s="297">
        <f t="shared" si="23"/>
        <v>6.289070783333333</v>
      </c>
    </row>
    <row r="102" spans="1:17" ht="15" customHeight="1">
      <c r="A102" s="295">
        <v>3</v>
      </c>
      <c r="B102" s="297">
        <f>Leakage!AF14</f>
        <v>0.42610739027174366</v>
      </c>
      <c r="C102" s="297">
        <f t="shared" ref="C102:Q102" si="24">C81*0.4361</f>
        <v>8.5452676842849762</v>
      </c>
      <c r="D102" s="297">
        <f t="shared" si="24"/>
        <v>8.2935129363407061</v>
      </c>
      <c r="E102" s="297">
        <f t="shared" si="24"/>
        <v>8.0417581883964377</v>
      </c>
      <c r="F102" s="297">
        <f t="shared" si="24"/>
        <v>7.2864939445636301</v>
      </c>
      <c r="G102" s="297">
        <f t="shared" si="24"/>
        <v>6.7829844486750925</v>
      </c>
      <c r="H102" s="297">
        <f t="shared" si="24"/>
        <v>6.289070783333333</v>
      </c>
      <c r="I102" s="297">
        <f t="shared" si="24"/>
        <v>6.289070783333333</v>
      </c>
      <c r="J102" s="297">
        <f t="shared" si="24"/>
        <v>6.289070783333333</v>
      </c>
      <c r="K102" s="297">
        <f t="shared" si="24"/>
        <v>6.289070783333333</v>
      </c>
      <c r="L102" s="297">
        <f t="shared" si="24"/>
        <v>6.289070783333333</v>
      </c>
      <c r="M102" s="297">
        <f t="shared" si="24"/>
        <v>6.289070783333333</v>
      </c>
      <c r="N102" s="297">
        <f t="shared" si="24"/>
        <v>6.289070783333333</v>
      </c>
      <c r="O102" s="297">
        <f t="shared" si="24"/>
        <v>6.289070783333333</v>
      </c>
      <c r="P102" s="297">
        <f t="shared" si="24"/>
        <v>6.289070783333333</v>
      </c>
      <c r="Q102" s="297">
        <f t="shared" si="24"/>
        <v>6.289070783333333</v>
      </c>
    </row>
    <row r="103" spans="1:17" ht="15" customHeight="1">
      <c r="A103" s="295">
        <v>1.5</v>
      </c>
      <c r="B103" s="297">
        <f>Leakage!AF15</f>
        <v>0.21305369513587183</v>
      </c>
      <c r="C103" s="297">
        <f t="shared" ref="C103:Q103" si="25">C82*0.4361</f>
        <v>13.706240017142488</v>
      </c>
      <c r="D103" s="297">
        <f t="shared" si="25"/>
        <v>13.580362643170353</v>
      </c>
      <c r="E103" s="297">
        <f t="shared" si="25"/>
        <v>13.454485269198218</v>
      </c>
      <c r="F103" s="297">
        <f t="shared" si="25"/>
        <v>13.076853147281815</v>
      </c>
      <c r="G103" s="297">
        <f t="shared" si="25"/>
        <v>12.825098399337547</v>
      </c>
      <c r="H103" s="297">
        <f t="shared" si="25"/>
        <v>11.314569911671933</v>
      </c>
      <c r="I103" s="297">
        <f t="shared" si="25"/>
        <v>12.573343651393277</v>
      </c>
      <c r="J103" s="297">
        <f t="shared" si="25"/>
        <v>12.06983415550474</v>
      </c>
      <c r="K103" s="297">
        <f t="shared" si="25"/>
        <v>11.943956781532604</v>
      </c>
      <c r="L103" s="297">
        <f t="shared" si="25"/>
        <v>11.314569911671933</v>
      </c>
      <c r="M103" s="297">
        <f t="shared" si="25"/>
        <v>11.81807940756047</v>
      </c>
      <c r="N103" s="297">
        <f t="shared" si="25"/>
        <v>11.188692537699799</v>
      </c>
      <c r="O103" s="297">
        <f t="shared" si="25"/>
        <v>10.936937789755531</v>
      </c>
      <c r="P103" s="297">
        <f t="shared" si="25"/>
        <v>10.055796171950588</v>
      </c>
      <c r="Q103" s="297">
        <f t="shared" si="25"/>
        <v>10.055796171950588</v>
      </c>
    </row>
    <row r="104" spans="1:17" ht="15" customHeight="1">
      <c r="A104" s="295">
        <v>0.6</v>
      </c>
      <c r="B104" s="297">
        <f>Leakage!AF16</f>
        <v>8.5221478054348723E-2</v>
      </c>
      <c r="C104" s="297">
        <f t="shared" ref="C104:Q104" si="26">C83*0.4361</f>
        <v>16.802823416856995</v>
      </c>
      <c r="D104" s="297">
        <f t="shared" si="26"/>
        <v>16.752472467268142</v>
      </c>
      <c r="E104" s="297">
        <f t="shared" si="26"/>
        <v>16.702121517679288</v>
      </c>
      <c r="F104" s="297">
        <f t="shared" si="26"/>
        <v>16.551068668912723</v>
      </c>
      <c r="G104" s="297">
        <f t="shared" si="26"/>
        <v>16.45036676973502</v>
      </c>
      <c r="H104" s="297">
        <f t="shared" si="26"/>
        <v>15.846155374668774</v>
      </c>
      <c r="I104" s="297">
        <f t="shared" si="26"/>
        <v>16.349664870557312</v>
      </c>
      <c r="J104" s="297">
        <f t="shared" si="26"/>
        <v>16.148261072201894</v>
      </c>
      <c r="K104" s="297">
        <f t="shared" si="26"/>
        <v>16.09791012261304</v>
      </c>
      <c r="L104" s="297">
        <f t="shared" si="26"/>
        <v>15.846155374668774</v>
      </c>
      <c r="M104" s="297">
        <f t="shared" si="26"/>
        <v>16.047559173024187</v>
      </c>
      <c r="N104" s="297">
        <f t="shared" si="26"/>
        <v>15.79580442507992</v>
      </c>
      <c r="O104" s="297">
        <f t="shared" si="26"/>
        <v>15.695102525902213</v>
      </c>
      <c r="P104" s="297">
        <f t="shared" si="26"/>
        <v>15.342645878780234</v>
      </c>
      <c r="Q104" s="297">
        <f t="shared" si="26"/>
        <v>15.342645878780234</v>
      </c>
    </row>
    <row r="105" spans="1:17" ht="15" customHeight="1">
      <c r="A105" s="295" t="s">
        <v>804</v>
      </c>
      <c r="B105" s="297" t="s">
        <v>667</v>
      </c>
      <c r="C105" s="297">
        <f t="shared" ref="C105:Q105" si="27">C84*0.4361</f>
        <v>18.867212349999999</v>
      </c>
      <c r="D105" s="297">
        <f t="shared" si="27"/>
        <v>18.867212349999999</v>
      </c>
      <c r="E105" s="297">
        <f t="shared" si="27"/>
        <v>18.867212349999999</v>
      </c>
      <c r="F105" s="297">
        <f t="shared" si="27"/>
        <v>18.867212349999999</v>
      </c>
      <c r="G105" s="297">
        <f t="shared" si="27"/>
        <v>18.867212349999999</v>
      </c>
      <c r="H105" s="297">
        <f t="shared" si="27"/>
        <v>18.867212349999999</v>
      </c>
      <c r="I105" s="297">
        <f t="shared" si="27"/>
        <v>18.867212349999999</v>
      </c>
      <c r="J105" s="297">
        <f t="shared" si="27"/>
        <v>18.867212349999999</v>
      </c>
      <c r="K105" s="297">
        <f t="shared" si="27"/>
        <v>18.867212349999999</v>
      </c>
      <c r="L105" s="297">
        <f t="shared" si="27"/>
        <v>18.867212349999999</v>
      </c>
      <c r="M105" s="297">
        <f t="shared" si="27"/>
        <v>18.867212349999999</v>
      </c>
      <c r="N105" s="297">
        <f t="shared" si="27"/>
        <v>18.867212349999999</v>
      </c>
      <c r="O105" s="297">
        <f t="shared" si="27"/>
        <v>18.867212349999999</v>
      </c>
      <c r="P105" s="297">
        <f t="shared" si="27"/>
        <v>18.867212349999999</v>
      </c>
      <c r="Q105" s="297">
        <f t="shared" si="27"/>
        <v>18.867212349999999</v>
      </c>
    </row>
    <row r="106" spans="1:17" ht="15" customHeight="1">
      <c r="A106" s="295"/>
      <c r="B106" s="297"/>
      <c r="C106" s="297"/>
      <c r="D106" s="297"/>
      <c r="E106" s="297"/>
      <c r="F106" s="297"/>
      <c r="G106" s="297"/>
      <c r="H106" s="297"/>
      <c r="I106" s="297"/>
      <c r="J106" s="297"/>
      <c r="K106" s="297"/>
      <c r="L106" s="297"/>
      <c r="M106" s="297"/>
      <c r="N106" s="297"/>
      <c r="O106" s="297"/>
      <c r="P106" s="297"/>
      <c r="Q106" s="297"/>
    </row>
    <row r="107" spans="1:17" ht="15" customHeight="1">
      <c r="A107" s="295"/>
      <c r="B107" s="297"/>
      <c r="C107" s="297"/>
      <c r="D107" s="297"/>
      <c r="E107" s="297"/>
      <c r="F107" s="297"/>
      <c r="G107" s="297">
        <f>43.3*0.4361</f>
        <v>18.883129999999998</v>
      </c>
      <c r="H107" s="297"/>
      <c r="I107" s="297"/>
      <c r="J107" s="297"/>
      <c r="K107" s="297"/>
      <c r="L107" s="297"/>
      <c r="M107" s="297"/>
      <c r="N107" s="297"/>
      <c r="O107" s="297"/>
      <c r="P107" s="297"/>
      <c r="Q107" s="297"/>
    </row>
    <row r="108" spans="1:17" ht="15" customHeight="1">
      <c r="A108" s="68" t="s">
        <v>806</v>
      </c>
      <c r="B108" s="193"/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  <c r="M108" s="193"/>
      <c r="N108" s="193"/>
      <c r="O108" s="193"/>
      <c r="P108" s="193"/>
      <c r="Q108" s="193"/>
    </row>
    <row r="109" spans="1:17" ht="15" customHeight="1">
      <c r="A109" s="68" t="s">
        <v>800</v>
      </c>
      <c r="B109" s="193"/>
      <c r="C109" s="68" t="s">
        <v>587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792</v>
      </c>
      <c r="B110" s="193"/>
      <c r="C110" s="68" t="s">
        <v>649</v>
      </c>
      <c r="D110" s="68" t="s">
        <v>598</v>
      </c>
      <c r="E110" s="68" t="s">
        <v>599</v>
      </c>
      <c r="F110" s="68" t="s">
        <v>600</v>
      </c>
      <c r="G110" s="68" t="s">
        <v>601</v>
      </c>
      <c r="H110" s="68" t="s">
        <v>602</v>
      </c>
      <c r="I110" s="68" t="s">
        <v>603</v>
      </c>
      <c r="J110" s="68" t="s">
        <v>604</v>
      </c>
      <c r="K110" s="68" t="s">
        <v>605</v>
      </c>
      <c r="L110" s="68" t="s">
        <v>606</v>
      </c>
      <c r="M110" s="68" t="s">
        <v>607</v>
      </c>
      <c r="N110" s="68" t="s">
        <v>608</v>
      </c>
      <c r="O110" s="68" t="s">
        <v>609</v>
      </c>
      <c r="P110" s="68">
        <v>7</v>
      </c>
      <c r="Q110" s="68">
        <v>8</v>
      </c>
    </row>
    <row r="111" spans="1:17" ht="15" customHeight="1">
      <c r="A111" s="68">
        <v>10</v>
      </c>
      <c r="B111" s="193">
        <f>Leakage!AF11</f>
        <v>1.4203579675724791</v>
      </c>
      <c r="C111" s="193">
        <f>C99*1.1</f>
        <v>6.9179778616666665</v>
      </c>
      <c r="D111" s="193">
        <f t="shared" ref="D111:Q111" si="28">D99*1.1</f>
        <v>6.9179778616666665</v>
      </c>
      <c r="E111" s="193">
        <f t="shared" si="28"/>
        <v>6.9179778616666665</v>
      </c>
      <c r="F111" s="193">
        <f t="shared" si="28"/>
        <v>6.9179778616666665</v>
      </c>
      <c r="G111" s="193">
        <f t="shared" si="28"/>
        <v>6.9179778616666665</v>
      </c>
      <c r="H111" s="193">
        <f t="shared" si="28"/>
        <v>6.9179778616666665</v>
      </c>
      <c r="I111" s="193">
        <f t="shared" si="28"/>
        <v>6.9179778616666665</v>
      </c>
      <c r="J111" s="193">
        <f t="shared" si="28"/>
        <v>6.9179778616666665</v>
      </c>
      <c r="K111" s="193">
        <f t="shared" si="28"/>
        <v>6.9179778616666665</v>
      </c>
      <c r="L111" s="193">
        <f t="shared" si="28"/>
        <v>6.9179778616666665</v>
      </c>
      <c r="M111" s="193">
        <f t="shared" si="28"/>
        <v>6.9179778616666665</v>
      </c>
      <c r="N111" s="193">
        <f t="shared" si="28"/>
        <v>6.9179778616666665</v>
      </c>
      <c r="O111" s="193">
        <f t="shared" si="28"/>
        <v>6.9179778616666665</v>
      </c>
      <c r="P111" s="193">
        <f t="shared" si="28"/>
        <v>6.9179778616666665</v>
      </c>
      <c r="Q111" s="193">
        <f t="shared" si="28"/>
        <v>6.9179778616666665</v>
      </c>
    </row>
    <row r="112" spans="1:17" ht="15" customHeight="1">
      <c r="A112" s="68">
        <v>7</v>
      </c>
      <c r="B112" s="193">
        <f>Leakage!AF12</f>
        <v>0.99425057730073518</v>
      </c>
      <c r="C112" s="193">
        <f t="shared" ref="C112:Q112" si="29">C100*1.1</f>
        <v>6.9179778616666665</v>
      </c>
      <c r="D112" s="193">
        <f t="shared" si="29"/>
        <v>6.9179778616666665</v>
      </c>
      <c r="E112" s="193">
        <f t="shared" si="29"/>
        <v>6.9179778616666665</v>
      </c>
      <c r="F112" s="193">
        <f t="shared" si="29"/>
        <v>6.9179778616666665</v>
      </c>
      <c r="G112" s="193">
        <f t="shared" si="29"/>
        <v>6.9179778616666665</v>
      </c>
      <c r="H112" s="193">
        <f t="shared" si="29"/>
        <v>6.9179778616666665</v>
      </c>
      <c r="I112" s="193">
        <f t="shared" si="29"/>
        <v>6.9179778616666665</v>
      </c>
      <c r="J112" s="193">
        <f t="shared" si="29"/>
        <v>6.9179778616666665</v>
      </c>
      <c r="K112" s="193">
        <f t="shared" si="29"/>
        <v>6.9179778616666665</v>
      </c>
      <c r="L112" s="193">
        <f t="shared" si="29"/>
        <v>6.9179778616666665</v>
      </c>
      <c r="M112" s="193">
        <f t="shared" si="29"/>
        <v>6.9179778616666665</v>
      </c>
      <c r="N112" s="193">
        <f t="shared" si="29"/>
        <v>6.9179778616666665</v>
      </c>
      <c r="O112" s="193">
        <f t="shared" si="29"/>
        <v>6.9179778616666665</v>
      </c>
      <c r="P112" s="193">
        <f t="shared" si="29"/>
        <v>6.9179778616666665</v>
      </c>
      <c r="Q112" s="193">
        <f t="shared" si="29"/>
        <v>6.9179778616666665</v>
      </c>
    </row>
    <row r="113" spans="1:17" ht="15" customHeight="1">
      <c r="A113" s="68">
        <v>5</v>
      </c>
      <c r="B113" s="193">
        <f>Leakage!AF13</f>
        <v>0.71017898378623956</v>
      </c>
      <c r="C113" s="193">
        <f t="shared" ref="C113:Q113" si="30">C101*1.1</f>
        <v>6.9179778616666665</v>
      </c>
      <c r="D113" s="193">
        <f t="shared" si="30"/>
        <v>6.9179778616666665</v>
      </c>
      <c r="E113" s="193">
        <f t="shared" si="30"/>
        <v>6.9179778616666665</v>
      </c>
      <c r="F113" s="193">
        <f t="shared" si="30"/>
        <v>6.9179778616666665</v>
      </c>
      <c r="G113" s="193">
        <f t="shared" si="30"/>
        <v>6.9179778616666665</v>
      </c>
      <c r="H113" s="193">
        <f t="shared" si="30"/>
        <v>6.9179778616666665</v>
      </c>
      <c r="I113" s="193">
        <f t="shared" si="30"/>
        <v>6.9179778616666665</v>
      </c>
      <c r="J113" s="193">
        <f t="shared" si="30"/>
        <v>6.9179778616666665</v>
      </c>
      <c r="K113" s="193">
        <f t="shared" si="30"/>
        <v>6.9179778616666665</v>
      </c>
      <c r="L113" s="193">
        <f t="shared" si="30"/>
        <v>6.9179778616666665</v>
      </c>
      <c r="M113" s="193">
        <f t="shared" si="30"/>
        <v>6.9179778616666665</v>
      </c>
      <c r="N113" s="193">
        <f t="shared" si="30"/>
        <v>6.9179778616666665</v>
      </c>
      <c r="O113" s="193">
        <f t="shared" si="30"/>
        <v>6.9179778616666665</v>
      </c>
      <c r="P113" s="193">
        <f t="shared" si="30"/>
        <v>6.9179778616666665</v>
      </c>
      <c r="Q113" s="193">
        <f t="shared" si="30"/>
        <v>6.9179778616666665</v>
      </c>
    </row>
    <row r="114" spans="1:17" ht="15" customHeight="1">
      <c r="A114" s="68">
        <v>3</v>
      </c>
      <c r="B114" s="193">
        <f>Leakage!AF14</f>
        <v>0.42610739027174366</v>
      </c>
      <c r="C114" s="193">
        <f t="shared" ref="C114:Q114" si="31">C102*1.1</f>
        <v>9.3997944527134738</v>
      </c>
      <c r="D114" s="193">
        <f t="shared" si="31"/>
        <v>9.1228642299747769</v>
      </c>
      <c r="E114" s="193">
        <f t="shared" si="31"/>
        <v>8.8459340072360817</v>
      </c>
      <c r="F114" s="193">
        <f t="shared" si="31"/>
        <v>8.0151433390199944</v>
      </c>
      <c r="G114" s="193">
        <f t="shared" si="31"/>
        <v>7.4612828935426023</v>
      </c>
      <c r="H114" s="193">
        <f t="shared" si="31"/>
        <v>6.9179778616666665</v>
      </c>
      <c r="I114" s="193">
        <f t="shared" si="31"/>
        <v>6.9179778616666665</v>
      </c>
      <c r="J114" s="193">
        <f t="shared" si="31"/>
        <v>6.9179778616666665</v>
      </c>
      <c r="K114" s="193">
        <f t="shared" si="31"/>
        <v>6.9179778616666665</v>
      </c>
      <c r="L114" s="193">
        <f t="shared" si="31"/>
        <v>6.9179778616666665</v>
      </c>
      <c r="M114" s="193">
        <f t="shared" si="31"/>
        <v>6.9179778616666665</v>
      </c>
      <c r="N114" s="193">
        <f t="shared" si="31"/>
        <v>6.9179778616666665</v>
      </c>
      <c r="O114" s="193">
        <f t="shared" si="31"/>
        <v>6.9179778616666665</v>
      </c>
      <c r="P114" s="193">
        <f t="shared" si="31"/>
        <v>6.9179778616666665</v>
      </c>
      <c r="Q114" s="193">
        <f t="shared" si="31"/>
        <v>6.9179778616666665</v>
      </c>
    </row>
    <row r="115" spans="1:17" ht="15" customHeight="1">
      <c r="A115" s="68">
        <v>1.5</v>
      </c>
      <c r="B115" s="193">
        <f>Leakage!AF15</f>
        <v>0.21305369513587183</v>
      </c>
      <c r="C115" s="193">
        <f t="shared" ref="C115:Q115" si="32">C103*1.1</f>
        <v>15.076864018856737</v>
      </c>
      <c r="D115" s="193">
        <f t="shared" si="32"/>
        <v>14.93839890748739</v>
      </c>
      <c r="E115" s="193">
        <f t="shared" si="32"/>
        <v>14.79993379611804</v>
      </c>
      <c r="F115" s="193">
        <f t="shared" si="32"/>
        <v>14.384538462009997</v>
      </c>
      <c r="G115" s="193">
        <f t="shared" si="32"/>
        <v>14.107608239271302</v>
      </c>
      <c r="H115" s="193">
        <f t="shared" si="32"/>
        <v>12.446026902839128</v>
      </c>
      <c r="I115" s="193">
        <f t="shared" si="32"/>
        <v>13.830678016532605</v>
      </c>
      <c r="J115" s="193">
        <f t="shared" si="32"/>
        <v>13.276817571055215</v>
      </c>
      <c r="K115" s="193">
        <f t="shared" si="32"/>
        <v>13.138352459685866</v>
      </c>
      <c r="L115" s="193">
        <f t="shared" si="32"/>
        <v>12.446026902839128</v>
      </c>
      <c r="M115" s="193">
        <f t="shared" si="32"/>
        <v>12.999887348316518</v>
      </c>
      <c r="N115" s="193">
        <f t="shared" si="32"/>
        <v>12.30756179146978</v>
      </c>
      <c r="O115" s="193">
        <f t="shared" si="32"/>
        <v>12.030631568731085</v>
      </c>
      <c r="P115" s="193">
        <f t="shared" si="32"/>
        <v>11.061375789145648</v>
      </c>
      <c r="Q115" s="193">
        <f t="shared" si="32"/>
        <v>11.061375789145648</v>
      </c>
    </row>
    <row r="116" spans="1:17" ht="15" customHeight="1">
      <c r="A116" s="68">
        <v>0.6</v>
      </c>
      <c r="B116" s="193">
        <f>Leakage!AF16</f>
        <v>8.5221478054348723E-2</v>
      </c>
      <c r="C116" s="193">
        <f t="shared" ref="C116:Q116" si="33">C104*1.1</f>
        <v>18.483105758542695</v>
      </c>
      <c r="D116" s="193">
        <f t="shared" si="33"/>
        <v>18.427719713994957</v>
      </c>
      <c r="E116" s="193">
        <f t="shared" si="33"/>
        <v>18.372333669447219</v>
      </c>
      <c r="F116" s="193">
        <f t="shared" si="33"/>
        <v>18.206175535803997</v>
      </c>
      <c r="G116" s="193">
        <f t="shared" si="33"/>
        <v>18.095403446708524</v>
      </c>
      <c r="H116" s="193">
        <f t="shared" si="33"/>
        <v>17.430770912135653</v>
      </c>
      <c r="I116" s="193">
        <f t="shared" si="33"/>
        <v>17.984631357613043</v>
      </c>
      <c r="J116" s="193">
        <f t="shared" si="33"/>
        <v>17.763087179422087</v>
      </c>
      <c r="K116" s="193">
        <f t="shared" si="33"/>
        <v>17.707701134874345</v>
      </c>
      <c r="L116" s="193">
        <f t="shared" si="33"/>
        <v>17.430770912135653</v>
      </c>
      <c r="M116" s="193">
        <f t="shared" si="33"/>
        <v>17.652315090326606</v>
      </c>
      <c r="N116" s="193">
        <f t="shared" si="33"/>
        <v>17.375384867587915</v>
      </c>
      <c r="O116" s="193">
        <f t="shared" si="33"/>
        <v>17.264612778492435</v>
      </c>
      <c r="P116" s="193">
        <f t="shared" si="33"/>
        <v>16.876910466658259</v>
      </c>
      <c r="Q116" s="193">
        <f t="shared" si="33"/>
        <v>16.876910466658259</v>
      </c>
    </row>
    <row r="117" spans="1:17" ht="15" customHeight="1">
      <c r="A117" s="68"/>
      <c r="B117" s="193"/>
      <c r="C117" s="193"/>
      <c r="D117" s="193"/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327</v>
      </c>
      <c r="B1" s="4"/>
      <c r="C1" s="4"/>
      <c r="D1" s="4"/>
      <c r="E1" s="4"/>
      <c r="G1" s="5" t="s">
        <v>539</v>
      </c>
      <c r="O1" s="532" t="s">
        <v>522</v>
      </c>
      <c r="P1" s="143" t="s">
        <v>545</v>
      </c>
      <c r="Q1" s="143" t="s">
        <v>547</v>
      </c>
      <c r="R1" s="138" t="s">
        <v>548</v>
      </c>
    </row>
    <row r="2" spans="1:19" ht="15" customHeight="1">
      <c r="A2" s="13" t="s">
        <v>496</v>
      </c>
      <c r="G2" s="56" t="s">
        <v>538</v>
      </c>
      <c r="O2" s="533"/>
      <c r="P2" s="144" t="s">
        <v>546</v>
      </c>
      <c r="Q2" s="144" t="s">
        <v>546</v>
      </c>
      <c r="R2" s="142" t="s">
        <v>549</v>
      </c>
    </row>
    <row r="3" spans="1:19" ht="15" customHeight="1">
      <c r="G3" s="5" t="s">
        <v>540</v>
      </c>
      <c r="O3" s="140">
        <v>2</v>
      </c>
      <c r="P3" s="145">
        <v>7.8</v>
      </c>
      <c r="Q3" s="145">
        <v>3.2</v>
      </c>
      <c r="R3" s="139" t="s">
        <v>550</v>
      </c>
    </row>
    <row r="4" spans="1:19" ht="15" customHeight="1">
      <c r="A4" s="104" t="s">
        <v>440</v>
      </c>
      <c r="B4" s="105" t="s">
        <v>271</v>
      </c>
      <c r="C4" s="105" t="s">
        <v>127</v>
      </c>
      <c r="D4" s="105" t="s">
        <v>328</v>
      </c>
      <c r="E4" s="105" t="s">
        <v>127</v>
      </c>
      <c r="G4" s="5" t="s">
        <v>410</v>
      </c>
      <c r="O4" s="140">
        <v>3</v>
      </c>
      <c r="P4" s="145">
        <v>12.1</v>
      </c>
      <c r="Q4" s="145">
        <v>3.6</v>
      </c>
      <c r="R4" s="139" t="s">
        <v>551</v>
      </c>
    </row>
    <row r="5" spans="1:19" ht="15" customHeight="1">
      <c r="A5" s="80" t="s">
        <v>329</v>
      </c>
      <c r="B5" s="302">
        <f>SUM(A40:A43,A45,A47:A51)+SUM(B40:B41)*A_houseFT+SUM(C40:C43,C45,C47:C51)*Nbedrooms</f>
        <v>63441</v>
      </c>
      <c r="C5" s="5" t="s">
        <v>330</v>
      </c>
      <c r="D5" s="463">
        <f>B5/24/3412</f>
        <v>0.77472889800703404</v>
      </c>
      <c r="E5" s="5" t="s">
        <v>503</v>
      </c>
      <c r="O5" s="140">
        <v>4</v>
      </c>
      <c r="P5" s="145">
        <v>13.8</v>
      </c>
      <c r="Q5" s="145">
        <v>4</v>
      </c>
      <c r="R5" s="139" t="s">
        <v>552</v>
      </c>
    </row>
    <row r="6" spans="1:19" ht="15" customHeight="1">
      <c r="D6" s="280">
        <f>1000*D5</f>
        <v>774.72889800703399</v>
      </c>
      <c r="E6" s="5" t="s">
        <v>32</v>
      </c>
      <c r="G6" s="269"/>
      <c r="O6" s="141">
        <v>5</v>
      </c>
      <c r="P6" s="144">
        <v>14.7</v>
      </c>
      <c r="Q6" s="144">
        <v>4.4000000000000004</v>
      </c>
      <c r="R6" s="142" t="s">
        <v>553</v>
      </c>
    </row>
    <row r="7" spans="1:19" ht="15" customHeight="1">
      <c r="O7" s="137" t="s">
        <v>561</v>
      </c>
      <c r="P7" s="19"/>
      <c r="Q7" s="19"/>
      <c r="R7" s="19"/>
    </row>
    <row r="8" spans="1:19" s="126" customFormat="1" ht="15" customHeight="1">
      <c r="O8" s="137"/>
      <c r="P8" s="19"/>
      <c r="Q8" s="19"/>
      <c r="R8" s="19"/>
    </row>
    <row r="9" spans="1:19" ht="45" customHeight="1">
      <c r="O9" s="532" t="s">
        <v>554</v>
      </c>
      <c r="P9" s="534" t="s">
        <v>522</v>
      </c>
      <c r="Q9" s="143" t="s">
        <v>440</v>
      </c>
      <c r="R9" s="138" t="s">
        <v>556</v>
      </c>
      <c r="S9" s="138" t="s">
        <v>556</v>
      </c>
    </row>
    <row r="10" spans="1:19" ht="15" customHeight="1">
      <c r="A10" s="106" t="s">
        <v>441</v>
      </c>
      <c r="B10" s="107" t="s">
        <v>271</v>
      </c>
      <c r="C10" s="107" t="s">
        <v>127</v>
      </c>
      <c r="D10" s="107" t="s">
        <v>128</v>
      </c>
      <c r="E10" s="107" t="s">
        <v>127</v>
      </c>
      <c r="G10" s="5" t="s">
        <v>529</v>
      </c>
      <c r="O10" s="533"/>
      <c r="P10" s="535"/>
      <c r="Q10" s="144" t="s">
        <v>555</v>
      </c>
      <c r="R10" s="142" t="s">
        <v>546</v>
      </c>
      <c r="S10" s="142" t="s">
        <v>555</v>
      </c>
    </row>
    <row r="11" spans="1:19" ht="15" customHeight="1">
      <c r="A11" s="102" t="s">
        <v>329</v>
      </c>
      <c r="B11" s="67"/>
      <c r="C11" s="67"/>
      <c r="D11" s="67">
        <f>VLOOKUP(OccDensity,A29:F37,6,FALSE)</f>
        <v>6.5</v>
      </c>
      <c r="E11" s="67" t="s">
        <v>331</v>
      </c>
      <c r="G11" s="5" t="s">
        <v>523</v>
      </c>
      <c r="O11" s="140" t="s">
        <v>557</v>
      </c>
      <c r="P11" s="145">
        <v>4</v>
      </c>
      <c r="Q11" s="145">
        <v>464</v>
      </c>
      <c r="R11" s="139">
        <v>9.8000000000000007</v>
      </c>
      <c r="S11" s="139">
        <v>277</v>
      </c>
    </row>
    <row r="12" spans="1:19" ht="15" customHeight="1">
      <c r="A12" s="103"/>
      <c r="B12" s="67"/>
      <c r="C12" s="67"/>
      <c r="D12" s="427">
        <f>D11/24/60/60</f>
        <v>7.5231481481481474E-5</v>
      </c>
      <c r="E12" s="67" t="s">
        <v>332</v>
      </c>
      <c r="G12" s="5" t="s">
        <v>524</v>
      </c>
      <c r="O12" s="140" t="s">
        <v>558</v>
      </c>
      <c r="P12" s="145">
        <v>4</v>
      </c>
      <c r="Q12" s="145">
        <v>628.9</v>
      </c>
      <c r="R12" s="139">
        <v>9.8000000000000007</v>
      </c>
      <c r="S12" s="139">
        <v>277</v>
      </c>
    </row>
    <row r="13" spans="1:19" ht="15" customHeight="1">
      <c r="G13" s="5" t="s">
        <v>525</v>
      </c>
      <c r="O13" s="146" t="s">
        <v>559</v>
      </c>
      <c r="P13" s="144">
        <v>5</v>
      </c>
      <c r="Q13" s="144">
        <v>738.8</v>
      </c>
      <c r="R13" s="142">
        <v>10.3</v>
      </c>
      <c r="S13" s="142">
        <v>291</v>
      </c>
    </row>
    <row r="14" spans="1:19" ht="15" customHeight="1">
      <c r="G14" s="5" t="s">
        <v>526</v>
      </c>
      <c r="O14" s="136" t="s">
        <v>560</v>
      </c>
    </row>
    <row r="15" spans="1:19" ht="15" customHeight="1">
      <c r="A15" s="4" t="s">
        <v>497</v>
      </c>
      <c r="G15" s="5" t="s">
        <v>527</v>
      </c>
    </row>
    <row r="16" spans="1:19" ht="15" customHeight="1">
      <c r="A16" s="13" t="s">
        <v>498</v>
      </c>
      <c r="G16" s="5" t="s">
        <v>528</v>
      </c>
      <c r="Q16" s="269" t="s">
        <v>732</v>
      </c>
      <c r="R16" s="269" t="s">
        <v>733</v>
      </c>
      <c r="S16" s="269" t="s">
        <v>734</v>
      </c>
    </row>
    <row r="17" spans="1:18" ht="15" customHeight="1">
      <c r="P17" s="269" t="s">
        <v>330</v>
      </c>
      <c r="Q17" s="287">
        <v>43316</v>
      </c>
      <c r="R17" s="287">
        <v>4687</v>
      </c>
    </row>
    <row r="18" spans="1:18" ht="15" customHeight="1">
      <c r="A18" s="104" t="s">
        <v>499</v>
      </c>
      <c r="B18" s="78" t="s">
        <v>32</v>
      </c>
      <c r="C18" s="78" t="s">
        <v>503</v>
      </c>
      <c r="P18" s="269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500</v>
      </c>
      <c r="B19" s="14">
        <f>136+2.2*A_houseSI+22*B22</f>
        <v>653.19800000000009</v>
      </c>
      <c r="C19" s="16">
        <f>B19/1000</f>
        <v>0.65319800000000006</v>
      </c>
      <c r="Q19" s="269" t="s">
        <v>735</v>
      </c>
    </row>
    <row r="20" spans="1:18" ht="15" customHeight="1">
      <c r="A20" s="91" t="s">
        <v>501</v>
      </c>
      <c r="B20" s="14">
        <f>20+0.22*A_houseSI+12*'Internal gains'!B22</f>
        <v>110.91980000000001</v>
      </c>
      <c r="C20" s="16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59" t="s">
        <v>1063</v>
      </c>
      <c r="B22" s="354">
        <f>VLOOKUP(CONCATENATE(OccDensity,HomeSize),C28:G37,5,FALSE)</f>
        <v>4</v>
      </c>
      <c r="F22" s="269"/>
      <c r="G22" s="269"/>
    </row>
    <row r="23" spans="1:18" ht="15" customHeight="1">
      <c r="A23" s="259" t="s">
        <v>1062</v>
      </c>
      <c r="B23" s="354">
        <f>Noccupants-1</f>
        <v>3</v>
      </c>
      <c r="F23" s="269"/>
      <c r="G23" s="269"/>
      <c r="H23" s="269"/>
    </row>
    <row r="24" spans="1:18" ht="15" customHeight="1">
      <c r="A24" s="259" t="s">
        <v>885</v>
      </c>
      <c r="B24" s="288" t="str">
        <f>CONCATENATE("sched", VLOOKUP(CONCATENATE(OccDensity,HomeSize),C28:F37,3,FALSE), ".txt")</f>
        <v>sched1.txt</v>
      </c>
    </row>
    <row r="28" spans="1:18" ht="15" customHeight="1">
      <c r="A28" s="269" t="s">
        <v>816</v>
      </c>
      <c r="B28" s="269" t="s">
        <v>822</v>
      </c>
      <c r="C28" s="269" t="s">
        <v>823</v>
      </c>
      <c r="D28" s="269" t="s">
        <v>820</v>
      </c>
      <c r="E28" s="269" t="s">
        <v>821</v>
      </c>
      <c r="F28" s="269" t="s">
        <v>441</v>
      </c>
      <c r="G28" s="269" t="s">
        <v>824</v>
      </c>
      <c r="H28" s="269" t="s">
        <v>836</v>
      </c>
      <c r="O28" s="269"/>
    </row>
    <row r="29" spans="1:18" ht="15" customHeight="1">
      <c r="A29" s="269" t="s">
        <v>818</v>
      </c>
      <c r="B29" s="269" t="s">
        <v>812</v>
      </c>
      <c r="C29" s="5" t="str">
        <f>CONCATENATE(A29,B29)</f>
        <v>LowSmall</v>
      </c>
      <c r="D29" s="269">
        <v>1</v>
      </c>
      <c r="E29" s="5">
        <v>1</v>
      </c>
      <c r="F29" s="5">
        <v>3</v>
      </c>
      <c r="G29" s="269">
        <v>2</v>
      </c>
      <c r="H29" s="269">
        <f>29200</f>
        <v>29200</v>
      </c>
      <c r="J29" s="269"/>
      <c r="K29" s="269"/>
    </row>
    <row r="30" spans="1:18" ht="15" customHeight="1">
      <c r="A30" s="269" t="s">
        <v>817</v>
      </c>
      <c r="B30" s="269" t="s">
        <v>812</v>
      </c>
      <c r="C30" s="269" t="str">
        <f t="shared" ref="C30:C37" si="0">CONCATENATE(A30,B30)</f>
        <v>MedSmall</v>
      </c>
      <c r="D30" s="269">
        <v>2</v>
      </c>
      <c r="E30" s="5">
        <v>1</v>
      </c>
      <c r="F30" s="5">
        <v>6.5</v>
      </c>
      <c r="G30" s="269">
        <v>4</v>
      </c>
      <c r="H30" s="269">
        <f>2*29200</f>
        <v>58400</v>
      </c>
      <c r="J30" s="269"/>
      <c r="K30" s="269"/>
    </row>
    <row r="31" spans="1:18" ht="15" customHeight="1">
      <c r="A31" s="269" t="s">
        <v>819</v>
      </c>
      <c r="B31" s="269" t="s">
        <v>812</v>
      </c>
      <c r="C31" s="269" t="str">
        <f t="shared" si="0"/>
        <v>HighSmall</v>
      </c>
      <c r="D31" s="269">
        <v>3</v>
      </c>
      <c r="E31" s="5">
        <v>3</v>
      </c>
      <c r="F31" s="5">
        <v>11.8</v>
      </c>
      <c r="G31" s="269">
        <v>6</v>
      </c>
      <c r="H31" s="269">
        <f>3*29200</f>
        <v>87600</v>
      </c>
      <c r="J31" s="269"/>
      <c r="K31" s="269"/>
    </row>
    <row r="32" spans="1:18" ht="15" customHeight="1">
      <c r="A32" s="269" t="s">
        <v>818</v>
      </c>
      <c r="B32" s="269" t="s">
        <v>817</v>
      </c>
      <c r="C32" s="269" t="str">
        <f t="shared" si="0"/>
        <v>LowMed</v>
      </c>
      <c r="D32" s="269">
        <v>1</v>
      </c>
      <c r="E32" s="5">
        <v>1</v>
      </c>
      <c r="F32" s="269">
        <v>3</v>
      </c>
      <c r="G32" s="269">
        <v>2</v>
      </c>
      <c r="H32" s="269">
        <f>29200</f>
        <v>29200</v>
      </c>
      <c r="J32" s="269"/>
      <c r="K32" s="269"/>
    </row>
    <row r="33" spans="1:11" ht="15" customHeight="1">
      <c r="A33" s="269" t="s">
        <v>817</v>
      </c>
      <c r="B33" s="269" t="s">
        <v>817</v>
      </c>
      <c r="C33" s="269" t="str">
        <f t="shared" si="0"/>
        <v>MedMed</v>
      </c>
      <c r="D33" s="269">
        <v>2</v>
      </c>
      <c r="E33" s="5">
        <v>1</v>
      </c>
      <c r="F33" s="269">
        <v>6.5</v>
      </c>
      <c r="G33" s="269">
        <v>4</v>
      </c>
      <c r="H33" s="269">
        <f>2*29200</f>
        <v>58400</v>
      </c>
      <c r="J33" s="269"/>
      <c r="K33" s="269"/>
    </row>
    <row r="34" spans="1:11" ht="15" customHeight="1">
      <c r="A34" s="269" t="s">
        <v>819</v>
      </c>
      <c r="B34" s="269" t="s">
        <v>817</v>
      </c>
      <c r="C34" s="269" t="str">
        <f t="shared" si="0"/>
        <v>HighMed</v>
      </c>
      <c r="D34" s="269">
        <v>3</v>
      </c>
      <c r="E34" s="5">
        <v>3</v>
      </c>
      <c r="F34" s="269">
        <v>11.8</v>
      </c>
      <c r="G34" s="269">
        <v>6</v>
      </c>
      <c r="H34" s="269">
        <f>3*29200</f>
        <v>87600</v>
      </c>
      <c r="J34" s="269"/>
      <c r="K34" s="269"/>
    </row>
    <row r="35" spans="1:11" ht="15" customHeight="1">
      <c r="A35" s="269" t="s">
        <v>818</v>
      </c>
      <c r="B35" s="269" t="s">
        <v>813</v>
      </c>
      <c r="C35" s="269" t="str">
        <f t="shared" si="0"/>
        <v>LowLarge</v>
      </c>
      <c r="D35" s="269">
        <v>1</v>
      </c>
      <c r="E35" s="5">
        <v>1</v>
      </c>
      <c r="F35" s="269">
        <v>3</v>
      </c>
      <c r="G35" s="269">
        <v>2</v>
      </c>
      <c r="H35" s="269">
        <f>29200</f>
        <v>29200</v>
      </c>
      <c r="J35" s="269"/>
      <c r="K35" s="269"/>
    </row>
    <row r="36" spans="1:11" ht="15" customHeight="1">
      <c r="A36" s="269" t="s">
        <v>817</v>
      </c>
      <c r="B36" s="269" t="s">
        <v>813</v>
      </c>
      <c r="C36" s="269" t="str">
        <f t="shared" si="0"/>
        <v>MedLarge</v>
      </c>
      <c r="D36" s="269">
        <v>2</v>
      </c>
      <c r="E36" s="5">
        <v>1</v>
      </c>
      <c r="F36" s="269">
        <v>6.5</v>
      </c>
      <c r="G36" s="269">
        <v>4</v>
      </c>
      <c r="H36" s="269">
        <f>2*29200</f>
        <v>58400</v>
      </c>
      <c r="J36" s="269"/>
      <c r="K36" s="269"/>
    </row>
    <row r="37" spans="1:11" ht="15" customHeight="1">
      <c r="A37" s="269" t="s">
        <v>819</v>
      </c>
      <c r="B37" s="269" t="s">
        <v>813</v>
      </c>
      <c r="C37" s="269" t="str">
        <f t="shared" si="0"/>
        <v>HighLarge</v>
      </c>
      <c r="D37" s="269">
        <v>3</v>
      </c>
      <c r="E37" s="5">
        <v>3</v>
      </c>
      <c r="F37" s="269">
        <v>11.8</v>
      </c>
      <c r="G37" s="269">
        <v>6</v>
      </c>
      <c r="H37" s="269">
        <f>3*29200</f>
        <v>87600</v>
      </c>
      <c r="J37" s="269"/>
      <c r="K37" s="269"/>
    </row>
    <row r="39" spans="1:11" ht="15" customHeight="1">
      <c r="A39" s="269" t="s">
        <v>837</v>
      </c>
      <c r="B39" s="269" t="s">
        <v>838</v>
      </c>
      <c r="C39" s="269" t="s">
        <v>217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870</v>
      </c>
      <c r="E40" s="269" t="s">
        <v>839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871</v>
      </c>
      <c r="E41" s="5" t="s">
        <v>934</v>
      </c>
    </row>
    <row r="42" spans="1:11" ht="15" customHeight="1">
      <c r="A42" s="269">
        <v>5955</v>
      </c>
      <c r="B42" s="269">
        <v>0</v>
      </c>
      <c r="C42" s="269">
        <v>168</v>
      </c>
      <c r="D42" s="5" t="s">
        <v>872</v>
      </c>
    </row>
    <row r="43" spans="1:11" ht="15" customHeight="1">
      <c r="A43" s="5">
        <v>3861</v>
      </c>
      <c r="B43" s="269">
        <v>0</v>
      </c>
      <c r="C43" s="5">
        <v>645</v>
      </c>
      <c r="D43" s="5" t="s">
        <v>873</v>
      </c>
    </row>
    <row r="44" spans="1:11" ht="15" customHeight="1">
      <c r="A44" s="269">
        <v>2228</v>
      </c>
      <c r="B44" s="269">
        <v>0</v>
      </c>
      <c r="C44" s="269">
        <v>262</v>
      </c>
      <c r="D44" s="5" t="s">
        <v>874</v>
      </c>
    </row>
    <row r="45" spans="1:11" ht="15" customHeight="1">
      <c r="A45" s="269">
        <v>3934</v>
      </c>
      <c r="B45" s="269">
        <v>0</v>
      </c>
      <c r="C45" s="269">
        <v>470</v>
      </c>
      <c r="D45" s="5" t="s">
        <v>875</v>
      </c>
    </row>
    <row r="46" spans="1:11" ht="15" customHeight="1">
      <c r="A46" s="5">
        <v>661</v>
      </c>
      <c r="B46" s="269">
        <v>0</v>
      </c>
      <c r="C46" s="269">
        <v>188</v>
      </c>
      <c r="D46" s="5" t="s">
        <v>876</v>
      </c>
    </row>
    <row r="47" spans="1:11" ht="15" customHeight="1">
      <c r="A47" s="269">
        <v>685</v>
      </c>
      <c r="B47" s="269">
        <v>0</v>
      </c>
      <c r="C47" s="269">
        <v>194</v>
      </c>
      <c r="D47" s="5" t="s">
        <v>877</v>
      </c>
    </row>
    <row r="48" spans="1:11" ht="15" customHeight="1">
      <c r="A48" s="269">
        <v>219</v>
      </c>
      <c r="B48" s="269">
        <v>0</v>
      </c>
      <c r="C48" s="269">
        <v>87</v>
      </c>
      <c r="D48" s="5" t="s">
        <v>878</v>
      </c>
    </row>
    <row r="49" spans="1:4" ht="15" customHeight="1">
      <c r="A49" s="5">
        <v>95</v>
      </c>
      <c r="B49" s="269">
        <v>0</v>
      </c>
      <c r="C49" s="269">
        <v>26</v>
      </c>
      <c r="D49" s="5" t="s">
        <v>879</v>
      </c>
    </row>
    <row r="50" spans="1:4" ht="15" customHeight="1">
      <c r="A50" s="269">
        <v>-1227</v>
      </c>
      <c r="B50" s="269">
        <v>0</v>
      </c>
      <c r="C50" s="269">
        <v>-409</v>
      </c>
      <c r="D50" s="5" t="s">
        <v>880</v>
      </c>
    </row>
    <row r="51" spans="1:4" ht="15" customHeight="1">
      <c r="A51" s="269">
        <v>0</v>
      </c>
      <c r="B51" s="269">
        <v>0</v>
      </c>
      <c r="C51" s="269">
        <v>3716</v>
      </c>
      <c r="D51" s="5" t="s">
        <v>502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333</v>
      </c>
      <c r="G1" s="4"/>
    </row>
    <row r="2" spans="1:7" ht="15" customHeight="1">
      <c r="A2" s="129" t="s">
        <v>513</v>
      </c>
    </row>
    <row r="3" spans="1:7" ht="15" customHeight="1">
      <c r="A3" s="13" t="s">
        <v>334</v>
      </c>
    </row>
    <row r="4" spans="1:7" ht="15" customHeight="1">
      <c r="A4" s="13" t="s">
        <v>335</v>
      </c>
    </row>
    <row r="5" spans="1:7" ht="15" customHeight="1">
      <c r="A5" s="13" t="s">
        <v>336</v>
      </c>
    </row>
    <row r="6" spans="1:7" ht="15" customHeight="1">
      <c r="A6" s="13" t="s">
        <v>1174</v>
      </c>
    </row>
    <row r="7" spans="1:7" ht="15" customHeight="1">
      <c r="A7" s="13"/>
    </row>
    <row r="9" spans="1:7" ht="15" customHeight="1">
      <c r="A9" s="112"/>
      <c r="B9" s="105" t="s">
        <v>271</v>
      </c>
      <c r="C9" s="105" t="s">
        <v>127</v>
      </c>
      <c r="D9" s="105" t="s">
        <v>272</v>
      </c>
      <c r="E9" s="105" t="s">
        <v>127</v>
      </c>
      <c r="F9" s="105" t="s">
        <v>1</v>
      </c>
    </row>
    <row r="10" spans="1:7" ht="15" customHeight="1">
      <c r="A10" s="97" t="s">
        <v>337</v>
      </c>
      <c r="B10" s="17"/>
      <c r="C10" s="1" t="s">
        <v>134</v>
      </c>
      <c r="D10" s="24">
        <f>IF( A_2nd_floor &gt;0,A_2nd_floor/300, A_ceilingSI/300)</f>
        <v>0.65029999999999999</v>
      </c>
      <c r="E10" s="1" t="s">
        <v>135</v>
      </c>
      <c r="F10" s="13" t="s">
        <v>338</v>
      </c>
      <c r="G10" s="1" t="s">
        <v>737</v>
      </c>
    </row>
    <row r="11" spans="1:7" ht="15" customHeight="1">
      <c r="A11" s="115" t="s">
        <v>339</v>
      </c>
      <c r="D11" s="24">
        <f>IF(A_2nd_floor&gt;0,0.003*A_2nd_floor,0.003*A_ceilingSI)</f>
        <v>0.58527000000000007</v>
      </c>
      <c r="E11" s="1" t="s">
        <v>135</v>
      </c>
      <c r="F11" s="13" t="s">
        <v>1173</v>
      </c>
    </row>
    <row r="12" spans="1:7" ht="15" customHeight="1">
      <c r="A12" s="97" t="s">
        <v>340</v>
      </c>
      <c r="D12" s="433">
        <f>D10-(D11*2/3)</f>
        <v>0.26011999999999996</v>
      </c>
      <c r="E12" s="1" t="s">
        <v>135</v>
      </c>
      <c r="F12" s="13" t="s">
        <v>341</v>
      </c>
    </row>
    <row r="13" spans="1:7" ht="15" customHeight="1">
      <c r="A13" s="97" t="s">
        <v>342</v>
      </c>
      <c r="D13" s="1">
        <v>0.6</v>
      </c>
      <c r="F13"/>
    </row>
    <row r="14" spans="1:7" ht="15" customHeight="1">
      <c r="A14" s="97" t="s">
        <v>1144</v>
      </c>
      <c r="D14" s="416">
        <v>0.65</v>
      </c>
      <c r="F14" s="259"/>
    </row>
    <row r="15" spans="1:7" ht="15" customHeight="1">
      <c r="A15" s="429" t="s">
        <v>343</v>
      </c>
      <c r="B15" s="430"/>
      <c r="C15" s="430"/>
      <c r="D15" s="431">
        <f>D11*D13/(SQRT(1.2/2)*4^(D14-0.5))</f>
        <v>0.36823315582877392</v>
      </c>
      <c r="E15" s="430" t="s">
        <v>1120</v>
      </c>
    </row>
    <row r="18" spans="1:11" ht="15" customHeight="1">
      <c r="A18" s="104" t="s">
        <v>344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75</v>
      </c>
      <c r="C19" s="2"/>
      <c r="D19" s="432">
        <v>0.35</v>
      </c>
      <c r="E19" s="1" t="s">
        <v>11</v>
      </c>
      <c r="F19" s="5" t="s">
        <v>345</v>
      </c>
      <c r="K19" s="1" t="s">
        <v>411</v>
      </c>
    </row>
    <row r="20" spans="1:11" ht="15" customHeight="1">
      <c r="A20" s="97" t="s">
        <v>346</v>
      </c>
      <c r="C20" s="2"/>
      <c r="D20" s="432">
        <v>0.35</v>
      </c>
      <c r="E20" s="1" t="s">
        <v>11</v>
      </c>
      <c r="F20" s="5" t="s">
        <v>347</v>
      </c>
      <c r="K20" s="1" t="s">
        <v>412</v>
      </c>
    </row>
    <row r="21" spans="1:11" ht="15" customHeight="1">
      <c r="A21" s="97" t="s">
        <v>348</v>
      </c>
      <c r="C21" s="2"/>
      <c r="D21" s="432">
        <v>0.1</v>
      </c>
      <c r="E21" s="1" t="s">
        <v>11</v>
      </c>
      <c r="F21" s="5" t="s">
        <v>349</v>
      </c>
    </row>
    <row r="22" spans="1:11" ht="15" customHeight="1">
      <c r="A22" s="97" t="s">
        <v>350</v>
      </c>
      <c r="C22" s="2"/>
      <c r="D22" s="432">
        <v>0.1</v>
      </c>
      <c r="E22" s="1" t="s">
        <v>11</v>
      </c>
      <c r="F22" s="5" t="s">
        <v>351</v>
      </c>
    </row>
    <row r="23" spans="1:11" ht="15" customHeight="1">
      <c r="A23" s="97" t="s">
        <v>352</v>
      </c>
      <c r="C23" s="2"/>
      <c r="D23" s="432">
        <v>0.1</v>
      </c>
      <c r="E23" s="1" t="s">
        <v>11</v>
      </c>
      <c r="F23" s="5" t="s">
        <v>353</v>
      </c>
    </row>
    <row r="24" spans="1:11" ht="15" customHeight="1">
      <c r="A24" s="97" t="s">
        <v>354</v>
      </c>
      <c r="D24" s="1">
        <f>SUM(D19:D23)</f>
        <v>0.99999999999999989</v>
      </c>
    </row>
    <row r="26" spans="1:11" ht="15" customHeight="1">
      <c r="A26" s="104" t="s">
        <v>521</v>
      </c>
      <c r="B26" s="105"/>
      <c r="C26" s="105"/>
    </row>
    <row r="27" spans="1:11" ht="15" customHeight="1">
      <c r="A27" s="97" t="s">
        <v>415</v>
      </c>
      <c r="B27" s="13"/>
      <c r="C27" s="17">
        <f>W_houseSI/2</f>
        <v>7.0103997756672074</v>
      </c>
    </row>
    <row r="28" spans="1:11" ht="15" customHeight="1">
      <c r="A28" s="97" t="s">
        <v>416</v>
      </c>
      <c r="C28" s="17">
        <f>L_houseSI</f>
        <v>15.239999512320015</v>
      </c>
    </row>
    <row r="29" spans="1:11" ht="15" customHeight="1">
      <c r="A29" s="97" t="s">
        <v>417</v>
      </c>
      <c r="C29" s="24" t="e">
        <f>C27*Geometry!#REF!</f>
        <v>#REF!</v>
      </c>
    </row>
    <row r="30" spans="1:11" ht="15" customHeight="1">
      <c r="A30" s="97" t="s">
        <v>418</v>
      </c>
      <c r="C30" s="24" t="e">
        <f>SQRT(C27^2+Geometry!#REF!^2)*Attic!C28</f>
        <v>#REF!</v>
      </c>
    </row>
    <row r="31" spans="1:11" ht="15" customHeight="1">
      <c r="A31" s="97" t="s">
        <v>419</v>
      </c>
      <c r="B31" s="19"/>
      <c r="C31" s="133" t="e">
        <f>C29/(C29*2+C30*2)</f>
        <v>#REF!</v>
      </c>
    </row>
    <row r="32" spans="1:11" ht="15" customHeight="1">
      <c r="A32" s="97" t="s">
        <v>420</v>
      </c>
      <c r="C32" s="24" t="e">
        <f>C30/(2*(C29+C30))</f>
        <v>#REF!</v>
      </c>
    </row>
    <row r="35" spans="1:4" ht="15" customHeight="1">
      <c r="A35" s="1" t="s">
        <v>1165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1166</v>
      </c>
      <c r="B36" s="1" t="e">
        <f>1*B35*SQRT(2/1.20411)*4^(0.5-0.65)</f>
        <v>#REF!</v>
      </c>
    </row>
    <row r="37" spans="1:4" ht="15" customHeight="1">
      <c r="A37" s="1" t="s">
        <v>1171</v>
      </c>
      <c r="B37" s="1" t="e">
        <f>B36*Leakage!H14</f>
        <v>#REF!</v>
      </c>
    </row>
    <row r="38" spans="1:4" ht="15" customHeight="1">
      <c r="A38" s="1" t="s">
        <v>1167</v>
      </c>
      <c r="B38" s="1">
        <f>Leakage!H32</f>
        <v>3.3449243516156163E-2</v>
      </c>
    </row>
    <row r="39" spans="1:4" ht="15" customHeight="1">
      <c r="A39" s="1" t="s">
        <v>1172</v>
      </c>
      <c r="B39" s="1">
        <f>B38*Leakage!H14</f>
        <v>8.3623108790390407E-3</v>
      </c>
    </row>
    <row r="40" spans="1:4" ht="15" customHeight="1">
      <c r="A40" s="1" t="s">
        <v>1168</v>
      </c>
      <c r="B40" s="1">
        <f>D15 * SQRT(1.20411 / 2) * 4^(D14 - 0.5)</f>
        <v>0.35176285088619824</v>
      </c>
    </row>
    <row r="41" spans="1:4" ht="15" customHeight="1">
      <c r="A41" s="1" t="s">
        <v>1169</v>
      </c>
      <c r="B41" s="1">
        <f>B39 * SQRT(1.20411 / 2) * 4^(D14 - 0.5)</f>
        <v>7.9882820659833396E-3</v>
      </c>
    </row>
    <row r="42" spans="1:4" ht="15" customHeight="1">
      <c r="A42" s="1" t="s">
        <v>1170</v>
      </c>
      <c r="B42" s="1" t="e">
        <f>B37 * SQRT(1.20411 / 2) * 4^(D14 - 0.5)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355</v>
      </c>
    </row>
    <row r="2" spans="1:43" ht="15" customHeight="1">
      <c r="A2" s="13" t="s">
        <v>586</v>
      </c>
      <c r="G2" s="13" t="s">
        <v>356</v>
      </c>
    </row>
    <row r="4" spans="1:43" ht="15" customHeight="1">
      <c r="A4" s="104" t="s">
        <v>1162</v>
      </c>
      <c r="B4" s="105" t="s">
        <v>271</v>
      </c>
      <c r="C4" s="105" t="s">
        <v>127</v>
      </c>
      <c r="D4" s="105" t="s">
        <v>272</v>
      </c>
      <c r="E4" s="105" t="s">
        <v>127</v>
      </c>
      <c r="G4" s="5" t="s">
        <v>359</v>
      </c>
      <c r="P4" s="16"/>
    </row>
    <row r="5" spans="1:43" ht="15" customHeight="1">
      <c r="A5" s="108" t="s">
        <v>358</v>
      </c>
      <c r="B5" s="5">
        <v>1</v>
      </c>
      <c r="C5" s="5" t="s">
        <v>11</v>
      </c>
      <c r="G5" s="269" t="s">
        <v>373</v>
      </c>
      <c r="H5" s="101"/>
      <c r="I5" s="101"/>
      <c r="J5" s="104" t="s">
        <v>357</v>
      </c>
      <c r="K5" s="101"/>
      <c r="P5" s="16"/>
    </row>
    <row r="6" spans="1:43" ht="15" customHeight="1">
      <c r="A6" s="91" t="s">
        <v>360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131</v>
      </c>
      <c r="P6" s="16"/>
    </row>
    <row r="7" spans="1:43" ht="15" customHeight="1">
      <c r="A7" s="91" t="s">
        <v>361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91" t="s">
        <v>362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131</v>
      </c>
      <c r="P8" s="16"/>
    </row>
    <row r="9" spans="1:43" ht="15" customHeight="1">
      <c r="A9" s="91" t="s">
        <v>363</v>
      </c>
      <c r="B9" s="5">
        <f>0.27*A_houseFT*IF(Stories=1,B5,B6)</f>
        <v>567</v>
      </c>
      <c r="C9" s="5" t="s">
        <v>506</v>
      </c>
      <c r="D9" s="16">
        <f>B9*0.3048^2</f>
        <v>52.67602368</v>
      </c>
      <c r="E9" s="5" t="s">
        <v>505</v>
      </c>
      <c r="G9" s="91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91" t="s">
        <v>364</v>
      </c>
      <c r="B10" s="5">
        <f>A_houseFT*IF(Stories=1,B7,B8)</f>
        <v>105</v>
      </c>
      <c r="C10" s="126" t="s">
        <v>506</v>
      </c>
      <c r="D10" s="16">
        <f>B10*0.3048^2</f>
        <v>9.7548192</v>
      </c>
      <c r="E10" s="126" t="s">
        <v>505</v>
      </c>
      <c r="P10" s="16"/>
    </row>
    <row r="11" spans="1:43" ht="15" customHeight="1">
      <c r="A11" s="22" t="s">
        <v>365</v>
      </c>
      <c r="G11" s="4" t="s">
        <v>240</v>
      </c>
      <c r="P11" s="16"/>
      <c r="Z11" s="4" t="s">
        <v>241</v>
      </c>
      <c r="AI11" s="16"/>
    </row>
    <row r="12" spans="1:43" ht="15" customHeight="1">
      <c r="A12" s="434" t="s">
        <v>366</v>
      </c>
      <c r="B12" s="435">
        <f>D12/(0.3048/12)</f>
        <v>9.8425196850393686</v>
      </c>
      <c r="C12" s="436" t="s">
        <v>213</v>
      </c>
      <c r="D12" s="440">
        <v>0.25</v>
      </c>
      <c r="E12" s="436" t="s">
        <v>131</v>
      </c>
      <c r="F12"/>
      <c r="G12" s="105" t="s">
        <v>367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367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34" t="s">
        <v>368</v>
      </c>
      <c r="B13" s="435">
        <f>D13/(0.3048/12)</f>
        <v>17.716535433070867</v>
      </c>
      <c r="C13" s="436" t="s">
        <v>213</v>
      </c>
      <c r="D13" s="440">
        <v>0.45</v>
      </c>
      <c r="E13" s="436" t="s">
        <v>131</v>
      </c>
      <c r="F13"/>
      <c r="G13" s="5" t="s">
        <v>15</v>
      </c>
      <c r="H13" s="80" t="s">
        <v>537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69">
        <v>8</v>
      </c>
      <c r="Z13" s="5" t="s">
        <v>15</v>
      </c>
      <c r="AA13" s="80" t="s">
        <v>537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37" t="s">
        <v>369</v>
      </c>
      <c r="B14" s="438">
        <f>D14/(0.3048/12)</f>
        <v>30.921187535332606</v>
      </c>
      <c r="C14" s="439" t="s">
        <v>213</v>
      </c>
      <c r="D14" s="438">
        <f>PI()*D12</f>
        <v>0.78539816339744828</v>
      </c>
      <c r="E14" s="439" t="s">
        <v>131</v>
      </c>
      <c r="F14"/>
      <c r="G14" s="57" t="s">
        <v>357</v>
      </c>
      <c r="H14" s="83" t="s">
        <v>131</v>
      </c>
      <c r="I14" s="431">
        <f>VLOOKUP(I13,$G$6:$J$9,4,FALSE)</f>
        <v>0.05</v>
      </c>
      <c r="J14" s="431">
        <f t="shared" ref="J14:X14" si="1">VLOOKUP(J13,$G$6:$J$9,4,FALSE)</f>
        <v>0.05</v>
      </c>
      <c r="K14" s="431">
        <f t="shared" si="1"/>
        <v>0.05</v>
      </c>
      <c r="L14" s="431">
        <f t="shared" si="1"/>
        <v>0.05</v>
      </c>
      <c r="M14" s="431">
        <f t="shared" si="1"/>
        <v>0.05</v>
      </c>
      <c r="N14" s="431">
        <f t="shared" si="1"/>
        <v>0.05</v>
      </c>
      <c r="O14" s="431">
        <f t="shared" si="1"/>
        <v>0.05</v>
      </c>
      <c r="P14" s="431">
        <f t="shared" si="1"/>
        <v>0.05</v>
      </c>
      <c r="Q14" s="431">
        <f t="shared" si="1"/>
        <v>0.05</v>
      </c>
      <c r="R14" s="431">
        <f t="shared" si="1"/>
        <v>0.05</v>
      </c>
      <c r="S14" s="431">
        <f t="shared" si="1"/>
        <v>0.05</v>
      </c>
      <c r="T14" s="431">
        <f t="shared" si="1"/>
        <v>0.05</v>
      </c>
      <c r="U14" s="431">
        <f t="shared" si="1"/>
        <v>0.05</v>
      </c>
      <c r="V14" s="431">
        <f t="shared" si="1"/>
        <v>0.05</v>
      </c>
      <c r="W14" s="431">
        <f t="shared" si="1"/>
        <v>0.05</v>
      </c>
      <c r="X14" s="431">
        <f t="shared" si="1"/>
        <v>0.05</v>
      </c>
      <c r="Y14" s="263">
        <f>VLOOKUP(Y13,$G$6:$J$9,4,FALSE)</f>
        <v>0.05</v>
      </c>
      <c r="Z14" s="57" t="s">
        <v>357</v>
      </c>
      <c r="AA14" s="83" t="s">
        <v>131</v>
      </c>
      <c r="AB14" s="263">
        <f>VLOOKUP(AB13,$G$6:$J$9,4,FALSE)</f>
        <v>0.05</v>
      </c>
      <c r="AC14" s="263">
        <f t="shared" ref="AC14:AQ14" si="2">VLOOKUP(AC13,$G$6:$J$9,4,FALSE)</f>
        <v>0.05</v>
      </c>
      <c r="AD14" s="263">
        <f t="shared" si="2"/>
        <v>0.05</v>
      </c>
      <c r="AE14" s="263">
        <f t="shared" si="2"/>
        <v>0.05</v>
      </c>
      <c r="AF14" s="263">
        <f t="shared" si="2"/>
        <v>0.05</v>
      </c>
      <c r="AG14" s="263">
        <f t="shared" si="2"/>
        <v>0.05</v>
      </c>
      <c r="AH14" s="263">
        <f t="shared" si="2"/>
        <v>0.05</v>
      </c>
      <c r="AI14" s="263">
        <f t="shared" si="2"/>
        <v>0.05</v>
      </c>
      <c r="AJ14" s="263">
        <f t="shared" si="2"/>
        <v>0.05</v>
      </c>
      <c r="AK14" s="263">
        <f t="shared" si="2"/>
        <v>0.05</v>
      </c>
      <c r="AL14" s="263">
        <f t="shared" si="2"/>
        <v>0.05</v>
      </c>
      <c r="AM14" s="263">
        <f t="shared" si="2"/>
        <v>0.05</v>
      </c>
      <c r="AN14" s="263">
        <f t="shared" si="2"/>
        <v>0.05</v>
      </c>
      <c r="AO14" s="263">
        <f t="shared" si="2"/>
        <v>0.05</v>
      </c>
      <c r="AP14" s="263">
        <f t="shared" si="2"/>
        <v>0.05</v>
      </c>
      <c r="AQ14" s="263">
        <f t="shared" si="2"/>
        <v>0.05</v>
      </c>
    </row>
    <row r="15" spans="1:43" ht="15" customHeight="1">
      <c r="A15" s="437" t="s">
        <v>370</v>
      </c>
      <c r="B15" s="438">
        <f>D15/(0.3048/12)</f>
        <v>55.658137563598693</v>
      </c>
      <c r="C15" s="439" t="s">
        <v>213</v>
      </c>
      <c r="D15" s="438">
        <f>PI()*D13</f>
        <v>1.4137166941154069</v>
      </c>
      <c r="E15" s="439" t="s">
        <v>131</v>
      </c>
      <c r="G15" s="5" t="s">
        <v>371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69">
        <v>0.7</v>
      </c>
      <c r="Z15" s="5" t="s">
        <v>371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34" t="s">
        <v>372</v>
      </c>
      <c r="B16" s="435">
        <f>D16/0.3048</f>
        <v>220.04329530440239</v>
      </c>
      <c r="C16" s="436" t="s">
        <v>130</v>
      </c>
      <c r="D16" s="441">
        <f>D9/D14</f>
        <v>67.069196408781849</v>
      </c>
      <c r="E16" s="436" t="s">
        <v>131</v>
      </c>
      <c r="G16" s="57" t="s">
        <v>373</v>
      </c>
      <c r="H16" s="83" t="s">
        <v>536</v>
      </c>
      <c r="I16" s="431">
        <f t="shared" ref="I16:X16" si="3">(I13+I15)/5.678</f>
        <v>1.5322296583303978</v>
      </c>
      <c r="J16" s="431">
        <f t="shared" si="3"/>
        <v>1.5322296583303978</v>
      </c>
      <c r="K16" s="431">
        <f t="shared" si="3"/>
        <v>1.5322296583303978</v>
      </c>
      <c r="L16" s="431">
        <f t="shared" si="3"/>
        <v>1.5322296583303978</v>
      </c>
      <c r="M16" s="431">
        <f t="shared" si="3"/>
        <v>1.5322296583303978</v>
      </c>
      <c r="N16" s="431">
        <f t="shared" si="3"/>
        <v>1.5322296583303978</v>
      </c>
      <c r="O16" s="431">
        <f t="shared" si="3"/>
        <v>1.5322296583303978</v>
      </c>
      <c r="P16" s="431">
        <f t="shared" si="3"/>
        <v>1.5322296583303978</v>
      </c>
      <c r="Q16" s="431">
        <f t="shared" si="3"/>
        <v>1.5322296583303978</v>
      </c>
      <c r="R16" s="431">
        <f t="shared" si="3"/>
        <v>1.5322296583303978</v>
      </c>
      <c r="S16" s="431">
        <f t="shared" si="3"/>
        <v>1.5322296583303978</v>
      </c>
      <c r="T16" s="431">
        <f t="shared" si="3"/>
        <v>1.5322296583303978</v>
      </c>
      <c r="U16" s="431">
        <f t="shared" si="3"/>
        <v>1.5322296583303978</v>
      </c>
      <c r="V16" s="431">
        <f t="shared" si="3"/>
        <v>1.5322296583303978</v>
      </c>
      <c r="W16" s="431">
        <f t="shared" si="3"/>
        <v>1.5322296583303978</v>
      </c>
      <c r="X16" s="431">
        <f t="shared" si="3"/>
        <v>1.5322296583303978</v>
      </c>
      <c r="Y16" s="263">
        <f>(Y13+Y15)/5.678</f>
        <v>1.5322296583303978</v>
      </c>
      <c r="Z16" s="57" t="s">
        <v>373</v>
      </c>
      <c r="AA16" s="83" t="s">
        <v>536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34" t="s">
        <v>374</v>
      </c>
      <c r="B17" s="435">
        <f>D17/0.3048</f>
        <v>22.638199105391191</v>
      </c>
      <c r="C17" s="436" t="s">
        <v>130</v>
      </c>
      <c r="D17" s="441">
        <f>D10/D15</f>
        <v>6.9001230873232355</v>
      </c>
      <c r="E17" s="436" t="s">
        <v>131</v>
      </c>
    </row>
    <row r="18" spans="1:6" ht="15" customHeight="1">
      <c r="A18" s="259" t="s">
        <v>1180</v>
      </c>
      <c r="D18" s="279">
        <v>0</v>
      </c>
      <c r="F18" s="272" t="s">
        <v>1182</v>
      </c>
    </row>
    <row r="19" spans="1:6" ht="15" customHeight="1">
      <c r="A19" s="259" t="s">
        <v>1181</v>
      </c>
      <c r="D19" s="279">
        <v>0</v>
      </c>
      <c r="F19" s="272" t="s">
        <v>1184</v>
      </c>
    </row>
    <row r="20" spans="1:6" ht="15" customHeight="1">
      <c r="A20" s="259" t="s">
        <v>110</v>
      </c>
      <c r="D20" s="279">
        <v>0.6</v>
      </c>
      <c r="F20" s="269" t="s">
        <v>111</v>
      </c>
    </row>
    <row r="21" spans="1:6" ht="15" customHeight="1">
      <c r="A21" s="259" t="s">
        <v>112</v>
      </c>
      <c r="D21" s="279">
        <v>0.6</v>
      </c>
      <c r="F21" s="269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69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375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376</v>
      </c>
      <c r="H2" s="259"/>
      <c r="J2" s="5" t="s">
        <v>652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377</v>
      </c>
      <c r="H3" s="259"/>
      <c r="J3" s="5" t="s">
        <v>653</v>
      </c>
      <c r="N3" s="5" t="s">
        <v>655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378</v>
      </c>
      <c r="H4" s="259"/>
      <c r="I4" s="59"/>
      <c r="J4" s="59" t="s">
        <v>654</v>
      </c>
      <c r="K4" s="59"/>
      <c r="L4" s="59"/>
      <c r="M4" s="59"/>
      <c r="N4" s="59" t="s">
        <v>656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657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69" customFormat="1" ht="15" customHeight="1">
      <c r="I7" s="272"/>
      <c r="J7" s="272"/>
      <c r="K7" s="272"/>
      <c r="L7" s="272"/>
      <c r="M7" s="61"/>
      <c r="N7" s="62"/>
      <c r="O7" s="272"/>
      <c r="P7" s="256"/>
      <c r="Q7" s="60"/>
      <c r="R7" s="60"/>
      <c r="S7" s="261"/>
      <c r="Y7" s="84"/>
      <c r="Z7" s="110"/>
      <c r="AA7" s="110"/>
      <c r="AB7" s="84"/>
      <c r="AC7" s="84"/>
      <c r="AD7" s="84"/>
      <c r="AE7" s="84"/>
    </row>
    <row r="8" spans="1:31" s="269" customFormat="1" ht="15" customHeight="1">
      <c r="C8" s="239" t="s">
        <v>649</v>
      </c>
      <c r="D8" s="273" t="s">
        <v>598</v>
      </c>
      <c r="E8" s="273" t="s">
        <v>599</v>
      </c>
      <c r="F8" s="273" t="s">
        <v>600</v>
      </c>
      <c r="G8" s="273" t="s">
        <v>601</v>
      </c>
      <c r="H8" s="273" t="s">
        <v>602</v>
      </c>
      <c r="I8" s="273" t="s">
        <v>603</v>
      </c>
      <c r="J8" s="273" t="s">
        <v>604</v>
      </c>
      <c r="K8" s="273" t="s">
        <v>605</v>
      </c>
      <c r="L8" s="273" t="s">
        <v>606</v>
      </c>
      <c r="M8" s="273" t="s">
        <v>607</v>
      </c>
      <c r="N8" s="273" t="s">
        <v>608</v>
      </c>
      <c r="O8" s="273" t="s">
        <v>609</v>
      </c>
      <c r="P8" s="273">
        <v>7</v>
      </c>
      <c r="Q8" s="239">
        <v>8</v>
      </c>
      <c r="R8" s="269" t="s">
        <v>830</v>
      </c>
      <c r="S8" s="269" t="s">
        <v>831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379</v>
      </c>
      <c r="B9" s="67">
        <v>13</v>
      </c>
      <c r="C9" s="5">
        <v>18</v>
      </c>
      <c r="D9" s="269">
        <v>18</v>
      </c>
      <c r="E9" s="269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72">
        <v>13</v>
      </c>
      <c r="M9" s="272">
        <v>13</v>
      </c>
      <c r="N9" s="272">
        <v>13</v>
      </c>
      <c r="O9" s="272">
        <v>13</v>
      </c>
      <c r="P9" s="272">
        <v>13</v>
      </c>
      <c r="Q9" s="272">
        <v>13</v>
      </c>
      <c r="R9" s="5">
        <f>D9</f>
        <v>18</v>
      </c>
      <c r="S9" s="5">
        <f>F9</f>
        <v>15</v>
      </c>
      <c r="T9" s="67" t="s">
        <v>11</v>
      </c>
      <c r="U9" s="71" t="s">
        <v>380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377</v>
      </c>
      <c r="B10" s="428">
        <v>11</v>
      </c>
      <c r="C10" s="279">
        <v>15.2</v>
      </c>
      <c r="D10" s="279">
        <v>15.2</v>
      </c>
      <c r="E10" s="279">
        <v>15.2</v>
      </c>
      <c r="F10" s="279">
        <v>13</v>
      </c>
      <c r="G10" s="279">
        <v>13</v>
      </c>
      <c r="H10" s="279">
        <v>13</v>
      </c>
      <c r="I10" s="279">
        <v>13</v>
      </c>
      <c r="J10" s="279">
        <v>13</v>
      </c>
      <c r="K10" s="279">
        <v>11.1</v>
      </c>
      <c r="L10" s="279">
        <v>11.1</v>
      </c>
      <c r="M10" s="279">
        <v>11.1</v>
      </c>
      <c r="N10" s="279">
        <v>11.1</v>
      </c>
      <c r="O10" s="279">
        <v>11.1</v>
      </c>
      <c r="P10" s="279">
        <v>11.1</v>
      </c>
      <c r="Q10" s="279">
        <v>11.1</v>
      </c>
      <c r="R10" s="279">
        <f>D10</f>
        <v>15.2</v>
      </c>
      <c r="S10" s="279">
        <f>F10</f>
        <v>13</v>
      </c>
      <c r="T10" s="57" t="s">
        <v>11</v>
      </c>
      <c r="U10" s="16" t="s">
        <v>381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382</v>
      </c>
      <c r="C13" s="239" t="s">
        <v>649</v>
      </c>
      <c r="D13" s="273" t="s">
        <v>598</v>
      </c>
      <c r="E13" s="273" t="s">
        <v>599</v>
      </c>
      <c r="F13" s="273" t="s">
        <v>600</v>
      </c>
      <c r="G13" s="273" t="s">
        <v>601</v>
      </c>
      <c r="H13" s="273" t="s">
        <v>602</v>
      </c>
      <c r="I13" s="273" t="s">
        <v>603</v>
      </c>
      <c r="J13" s="273" t="s">
        <v>604</v>
      </c>
      <c r="K13" s="273" t="s">
        <v>605</v>
      </c>
      <c r="L13" s="273" t="s">
        <v>606</v>
      </c>
      <c r="M13" s="273" t="s">
        <v>607</v>
      </c>
      <c r="N13" s="273" t="s">
        <v>608</v>
      </c>
      <c r="O13" s="273" t="s">
        <v>609</v>
      </c>
      <c r="P13" s="273">
        <v>7</v>
      </c>
      <c r="Q13" s="239">
        <v>8</v>
      </c>
      <c r="R13" s="269" t="s">
        <v>830</v>
      </c>
      <c r="S13" s="269" t="s">
        <v>831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383</v>
      </c>
      <c r="B14" s="299">
        <v>0.8</v>
      </c>
      <c r="C14" s="442">
        <v>0.8</v>
      </c>
      <c r="D14" s="442">
        <v>0.8</v>
      </c>
      <c r="E14" s="442">
        <v>0.8</v>
      </c>
      <c r="F14" s="442">
        <v>0.9</v>
      </c>
      <c r="G14" s="442">
        <v>0.9</v>
      </c>
      <c r="H14" s="442">
        <v>0.9</v>
      </c>
      <c r="I14" s="442">
        <v>0.9</v>
      </c>
      <c r="J14" s="442">
        <v>0.9</v>
      </c>
      <c r="K14" s="442">
        <v>0.94</v>
      </c>
      <c r="L14" s="442">
        <v>0.94</v>
      </c>
      <c r="M14" s="442">
        <v>0.94</v>
      </c>
      <c r="N14" s="442">
        <v>0.94</v>
      </c>
      <c r="O14" s="442">
        <v>0.94</v>
      </c>
      <c r="P14" s="442">
        <v>0.94</v>
      </c>
      <c r="Q14" s="442">
        <v>0.94</v>
      </c>
      <c r="R14" s="443">
        <f>D14</f>
        <v>0.8</v>
      </c>
      <c r="S14" s="443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367</v>
      </c>
      <c r="B16" s="104"/>
      <c r="C16" s="239" t="s">
        <v>649</v>
      </c>
      <c r="D16" s="270" t="s">
        <v>598</v>
      </c>
      <c r="E16" s="270" t="s">
        <v>599</v>
      </c>
      <c r="F16" s="270" t="s">
        <v>600</v>
      </c>
      <c r="G16" s="270" t="s">
        <v>601</v>
      </c>
      <c r="H16" s="270" t="s">
        <v>602</v>
      </c>
      <c r="I16" s="270" t="s">
        <v>603</v>
      </c>
      <c r="J16" s="270" t="s">
        <v>604</v>
      </c>
      <c r="K16" s="270" t="s">
        <v>605</v>
      </c>
      <c r="L16" s="270" t="s">
        <v>606</v>
      </c>
      <c r="M16" s="270" t="s">
        <v>607</v>
      </c>
      <c r="N16" s="270" t="s">
        <v>608</v>
      </c>
      <c r="O16" s="270" t="s">
        <v>609</v>
      </c>
      <c r="P16" s="270">
        <v>7</v>
      </c>
      <c r="Q16" s="239">
        <v>8</v>
      </c>
      <c r="R16" s="269" t="s">
        <v>830</v>
      </c>
      <c r="S16" s="269" t="s">
        <v>831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08" t="s">
        <v>1337</v>
      </c>
    </row>
    <row r="19" spans="1:20" ht="15" customHeight="1">
      <c r="A19" s="5" t="s">
        <v>1336</v>
      </c>
    </row>
    <row r="20" spans="1:20" s="269" customFormat="1" ht="15" customHeight="1"/>
    <row r="21" spans="1:20" ht="15" customHeight="1">
      <c r="A21" s="484" t="s">
        <v>1243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485" t="s">
        <v>1315</v>
      </c>
      <c r="B22" s="84">
        <v>70</v>
      </c>
      <c r="C22" s="84" t="s">
        <v>1316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2"/>
    </row>
    <row r="23" spans="1:20" ht="15" customHeight="1">
      <c r="A23" s="485" t="s">
        <v>1307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2">
        <f>$B$22-Weather!R28</f>
        <v>42</v>
      </c>
      <c r="S23" s="269"/>
      <c r="T23" s="269"/>
    </row>
    <row r="24" spans="1:20" s="269" customFormat="1" ht="15" customHeight="1">
      <c r="A24" s="485" t="s">
        <v>1308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2">
        <f>Weather!R29-$D$22</f>
        <v>17</v>
      </c>
    </row>
    <row r="25" spans="1:20" s="269" customFormat="1" ht="15" customHeight="1">
      <c r="A25" s="486" t="s">
        <v>1317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69" customFormat="1" ht="15" customHeight="1"/>
    <row r="27" spans="1:20" s="269" customFormat="1" ht="15" customHeight="1">
      <c r="A27" s="484" t="s">
        <v>1271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69" customFormat="1" ht="15" customHeight="1">
      <c r="A28" s="485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2"/>
    </row>
    <row r="29" spans="1:20" ht="15" customHeight="1">
      <c r="A29" s="487" t="s">
        <v>253</v>
      </c>
      <c r="B29" s="84">
        <f>(1/UA!F6)*UA!$B$6*UA!$C$6*10.7639+(1/UA!F9*UA!$B$9*UA!$C$9*10.7639)</f>
        <v>108.61172536307691</v>
      </c>
      <c r="C29" s="84">
        <f>(1/UA!G6)*UA!$B$6*UA!$C$6*10.7639+(1/UA!G9*UA!$B$9*UA!$C$9*10.7639)</f>
        <v>108.61172536307691</v>
      </c>
      <c r="D29" s="84">
        <f>(1/UA!H6)*UA!$B$6*UA!$C$6*10.7639+(1/UA!H9*UA!$B$9*UA!$C$9*10.7639)</f>
        <v>108.61172536307691</v>
      </c>
      <c r="E29" s="84">
        <f>(1/UA!I6)*UA!$B$6*UA!$C$6*10.7639+(1/UA!I9*UA!$B$9*UA!$C$9*10.7639)</f>
        <v>73.397527153999988</v>
      </c>
      <c r="F29" s="84">
        <f>(1/UA!J6)*UA!$B$6*UA!$C$6*10.7639+(1/UA!J9*UA!$B$9*UA!$C$9*10.7639)</f>
        <v>73.397527153999988</v>
      </c>
      <c r="G29" s="84">
        <f>(1/UA!K6)*UA!$B$6*UA!$C$6*10.7639+(1/UA!K9*UA!$B$9*UA!$C$9*10.7639)</f>
        <v>73.397527153999988</v>
      </c>
      <c r="H29" s="84">
        <f>(1/UA!L6)*UA!$B$6*UA!$C$6*10.7639+(1/UA!L9*UA!$B$9*UA!$C$9*10.7639)</f>
        <v>73.397527153999988</v>
      </c>
      <c r="I29" s="84">
        <f>(1/UA!M6)*UA!$B$6*UA!$C$6*10.7639+(1/UA!M9*UA!$B$9*UA!$C$9*10.7639)</f>
        <v>73.397527153999988</v>
      </c>
      <c r="J29" s="84">
        <f>(1/UA!N6)*UA!$B$6*UA!$C$6*10.7639+(1/UA!N9*UA!$B$9*UA!$C$9*10.7639)</f>
        <v>73.397527153999988</v>
      </c>
      <c r="K29" s="84">
        <f>(1/UA!O6)*UA!$B$6*UA!$C$6*10.7639+(1/UA!O9*UA!$B$9*UA!$C$9*10.7639)</f>
        <v>73.397527153999988</v>
      </c>
      <c r="L29" s="84">
        <f>(1/UA!P6)*UA!$B$6*UA!$C$6*10.7639+(1/UA!P9*UA!$B$9*UA!$C$9*10.7639)</f>
        <v>73.397527153999988</v>
      </c>
      <c r="M29" s="84">
        <f>(1/UA!Q6)*UA!$B$6*UA!$C$6*10.7639+(1/UA!Q9*UA!$B$9*UA!$C$9*10.7639)</f>
        <v>60.3179678192</v>
      </c>
      <c r="N29" s="84">
        <f>(1/UA!R6)*UA!$B$6*UA!$C$6*10.7639+(1/UA!R9*UA!$B$9*UA!$C$9*10.7639)</f>
        <v>60.3179678192</v>
      </c>
      <c r="O29" s="84">
        <f>(1/UA!S6)*UA!$B$6*UA!$C$6*10.7639+(1/UA!S9*UA!$B$9*UA!$C$9*10.7639)</f>
        <v>60.3179678192</v>
      </c>
      <c r="P29" s="84">
        <f>(1/UA!T6)*UA!$B$6*UA!$C$6*10.7639+(1/UA!T9*UA!$B$9*UA!$C$9*10.7639)</f>
        <v>60.3179678192</v>
      </c>
      <c r="Q29" s="84">
        <f>(1/UA!U6)*UA!$B$6*UA!$C$6*10.7639+(1/UA!U9*UA!$B$9*UA!$C$9*10.7639)</f>
        <v>108.61172536307691</v>
      </c>
      <c r="R29" s="202">
        <f>(1/UA!V6)*UA!$B$6*UA!$C$6*10.7639+(1/UA!V9*UA!$B$9*UA!$C$9*10.7639)</f>
        <v>73.397527153999988</v>
      </c>
    </row>
    <row r="30" spans="1:20" ht="15" customHeight="1">
      <c r="A30" s="487" t="s">
        <v>255</v>
      </c>
      <c r="B30" s="84">
        <f>(1/UA!F7)*UA!$B$7*UA!$C$7*10.7639</f>
        <v>167.99434008</v>
      </c>
      <c r="C30" s="84">
        <f>(1/UA!G7)*UA!$B$7*UA!$C$7*10.7639</f>
        <v>167.99434008</v>
      </c>
      <c r="D30" s="84">
        <f>(1/UA!H7)*UA!$B$7*UA!$C$7*10.7639</f>
        <v>167.99434008</v>
      </c>
      <c r="E30" s="84">
        <f>(1/UA!I7)*UA!$B$7*UA!$C$7*10.7639</f>
        <v>125.99575505999998</v>
      </c>
      <c r="F30" s="84">
        <f>(1/UA!J7)*UA!$B$7*UA!$C$7*10.7639</f>
        <v>125.99575505999998</v>
      </c>
      <c r="G30" s="84">
        <f>(1/UA!K7)*UA!$B$7*UA!$C$7*10.7639</f>
        <v>125.99575505999998</v>
      </c>
      <c r="H30" s="84">
        <f>(1/UA!L7)*UA!$B$7*UA!$C$7*10.7639</f>
        <v>125.99575505999998</v>
      </c>
      <c r="I30" s="84">
        <f>(1/UA!M7)*UA!$B$7*UA!$C$7*10.7639</f>
        <v>125.99575505999998</v>
      </c>
      <c r="J30" s="84">
        <f>(1/UA!N7)*UA!$B$7*UA!$C$7*10.7639</f>
        <v>113.396179554</v>
      </c>
      <c r="K30" s="84">
        <f>(1/UA!O7)*UA!$B$7*UA!$C$7*10.7639</f>
        <v>113.396179554</v>
      </c>
      <c r="L30" s="84">
        <f>(1/UA!P7)*UA!$B$7*UA!$C$7*10.7639</f>
        <v>113.396179554</v>
      </c>
      <c r="M30" s="84">
        <f>(1/UA!Q7)*UA!$B$7*UA!$C$7*10.7639</f>
        <v>113.396179554</v>
      </c>
      <c r="N30" s="84">
        <f>(1/UA!R7)*UA!$B$7*UA!$C$7*10.7639</f>
        <v>113.396179554</v>
      </c>
      <c r="O30" s="84">
        <f>(1/UA!S7)*UA!$B$7*UA!$C$7*10.7639</f>
        <v>113.396179554</v>
      </c>
      <c r="P30" s="84">
        <f>(1/UA!T7)*UA!$B$7*UA!$C$7*10.7639</f>
        <v>113.396179554</v>
      </c>
      <c r="Q30" s="84">
        <f>(1/UA!U7)*UA!$B$7*UA!$C$7*10.7639</f>
        <v>167.99434008</v>
      </c>
      <c r="R30" s="202">
        <f>(1/UA!V7)*UA!$B$7*UA!$C$7*10.7639</f>
        <v>125.99575505999998</v>
      </c>
    </row>
    <row r="31" spans="1:20" ht="15" customHeight="1">
      <c r="A31" s="487" t="s">
        <v>256</v>
      </c>
      <c r="B31" s="84">
        <f>(1/UA!F8)*UA!$B$8*UA!$C$8*10.7639</f>
        <v>161.53301930769231</v>
      </c>
      <c r="C31" s="84">
        <f>(1/UA!G8)*UA!$B$8*UA!$C$8*10.7639</f>
        <v>161.53301930769231</v>
      </c>
      <c r="D31" s="84">
        <f>(1/UA!H8)*UA!$B$8*UA!$C$8*10.7639</f>
        <v>161.53301930769231</v>
      </c>
      <c r="E31" s="84">
        <f>(1/UA!I8)*UA!$B$8*UA!$C$8*10.7639</f>
        <v>110.52259215789474</v>
      </c>
      <c r="F31" s="84">
        <f>(1/UA!J8)*UA!$B$8*UA!$C$8*10.7639</f>
        <v>110.52259215789474</v>
      </c>
      <c r="G31" s="84">
        <f>(1/UA!K8)*UA!$B$8*UA!$C$8*10.7639</f>
        <v>110.52259215789474</v>
      </c>
      <c r="H31" s="84">
        <f>(1/UA!L8)*UA!$B$8*UA!$C$8*10.7639</f>
        <v>110.52259215789474</v>
      </c>
      <c r="I31" s="84">
        <f>(1/UA!M8)*UA!$B$8*UA!$C$8*10.7639</f>
        <v>110.52259215789474</v>
      </c>
      <c r="J31" s="84">
        <f>(1/UA!N8)*UA!$B$8*UA!$C$8*10.7639</f>
        <v>69.997641700000003</v>
      </c>
      <c r="K31" s="84">
        <f>(1/UA!O8)*UA!$B$8*UA!$C$8*10.7639</f>
        <v>69.997641700000003</v>
      </c>
      <c r="L31" s="84">
        <f>(1/UA!P8)*UA!$B$8*UA!$C$8*10.7639</f>
        <v>69.997641700000003</v>
      </c>
      <c r="M31" s="84">
        <f>(1/UA!Q8)*UA!$B$8*UA!$C$8*10.7639</f>
        <v>69.997641700000003</v>
      </c>
      <c r="N31" s="84">
        <f>(1/UA!R8)*UA!$B$8*UA!$C$8*10.7639</f>
        <v>69.997641700000003</v>
      </c>
      <c r="O31" s="84">
        <f>(1/UA!S8)*UA!$B$8*UA!$C$8*10.7639</f>
        <v>55.261296078947368</v>
      </c>
      <c r="P31" s="84">
        <f>(1/UA!T8)*UA!$B$8*UA!$C$8*10.7639</f>
        <v>55.261296078947368</v>
      </c>
      <c r="Q31" s="84">
        <f>(1/UA!U8)*UA!$B$8*UA!$C$8*10.7639</f>
        <v>161.53301930769231</v>
      </c>
      <c r="R31" s="202">
        <f>(1/UA!V8)*UA!$B$8*UA!$C$8*10.7639</f>
        <v>110.52259215789474</v>
      </c>
    </row>
    <row r="32" spans="1:20" ht="15" customHeight="1">
      <c r="A32" s="488" t="s">
        <v>1244</v>
      </c>
      <c r="B32" s="84">
        <f>(1/UA!F20+UA!$B$20)*planareaSI*10.7639</f>
        <v>69.997641700000003</v>
      </c>
      <c r="C32" s="84">
        <f>(1/UA!G20+UA!$B$20)*planareaSI*10.7639</f>
        <v>55.261296078947368</v>
      </c>
      <c r="D32" s="84">
        <f>(1/UA!H20+UA!$B$20)*planareaSI*10.7639</f>
        <v>55.261296078947368</v>
      </c>
      <c r="E32" s="84">
        <f>(1/UA!I20+UA!$B$20)*planareaSI*10.7639</f>
        <v>55.261296078947368</v>
      </c>
      <c r="F32" s="84">
        <f>(1/UA!J20+UA!$B$20)*planareaSI*10.7639</f>
        <v>55.261296078947368</v>
      </c>
      <c r="G32" s="84">
        <f>(1/UA!K20+UA!$B$20)*planareaSI*10.7639</f>
        <v>55.261296078947368</v>
      </c>
      <c r="H32" s="84">
        <f>(1/UA!L20+UA!$B$20)*planareaSI*10.7639</f>
        <v>42.855698999999994</v>
      </c>
      <c r="I32" s="84">
        <f>(1/UA!M20+UA!$B$20)*planareaSI*10.7639</f>
        <v>42.855698999999994</v>
      </c>
      <c r="J32" s="84">
        <f>(1/UA!N20+UA!$B$20)*planareaSI*10.7639</f>
        <v>42.855698999999994</v>
      </c>
      <c r="K32" s="84">
        <f>(1/UA!O20+UA!$B$20)*planareaSI*10.7639</f>
        <v>42.855698999999994</v>
      </c>
      <c r="L32" s="84">
        <f>(1/UA!P20+UA!$B$20)*planareaSI*10.7639</f>
        <v>42.855698999999994</v>
      </c>
      <c r="M32" s="84">
        <f>(1/UA!Q20+UA!$B$20)*planareaSI*10.7639</f>
        <v>42.855698999999994</v>
      </c>
      <c r="N32" s="84">
        <f>(1/UA!R20+UA!$B$20)*planareaSI*10.7639</f>
        <v>42.855698999999994</v>
      </c>
      <c r="O32" s="84">
        <f>(1/UA!S20+UA!$B$20)*planareaSI*10.7639</f>
        <v>42.855698999999994</v>
      </c>
      <c r="P32" s="84">
        <f>(1/UA!T20+UA!$B$20)*planareaSI*10.7639</f>
        <v>42.855698999999994</v>
      </c>
      <c r="Q32" s="84">
        <f>(1/UA!U20+UA!$B$20)*planareaSI*10.7639</f>
        <v>55.261296078947368</v>
      </c>
      <c r="R32" s="202">
        <f>(1/UA!V20+UA!$B$20)*planareaSI*10.7639</f>
        <v>55.261296078947368</v>
      </c>
    </row>
    <row r="33" spans="1:18" ht="15" customHeight="1">
      <c r="A33" s="488" t="s">
        <v>1257</v>
      </c>
      <c r="B33" s="84">
        <f>SUM(B29:B32)</f>
        <v>508.13672645076917</v>
      </c>
      <c r="C33" s="84">
        <f t="shared" ref="C33:M33" si="0">SUM(C29:C32)</f>
        <v>493.4003808297166</v>
      </c>
      <c r="D33" s="84">
        <f t="shared" si="0"/>
        <v>493.4003808297166</v>
      </c>
      <c r="E33" s="84">
        <f t="shared" si="0"/>
        <v>365.17717045084203</v>
      </c>
      <c r="F33" s="84">
        <f t="shared" si="0"/>
        <v>365.17717045084203</v>
      </c>
      <c r="G33" s="84">
        <f t="shared" si="0"/>
        <v>365.17717045084203</v>
      </c>
      <c r="H33" s="84">
        <f t="shared" si="0"/>
        <v>352.7715733718947</v>
      </c>
      <c r="I33" s="84">
        <f t="shared" si="0"/>
        <v>352.7715733718947</v>
      </c>
      <c r="J33" s="84">
        <f t="shared" si="0"/>
        <v>299.64704740799999</v>
      </c>
      <c r="K33" s="84">
        <f t="shared" si="0"/>
        <v>299.64704740799999</v>
      </c>
      <c r="L33" s="84">
        <f t="shared" si="0"/>
        <v>299.64704740799999</v>
      </c>
      <c r="M33" s="84">
        <f t="shared" si="0"/>
        <v>286.56748807320002</v>
      </c>
      <c r="N33" s="84">
        <f t="shared" ref="N33" si="1">SUM(N29:N32)</f>
        <v>286.56748807320002</v>
      </c>
      <c r="O33" s="84">
        <f t="shared" ref="O33" si="2">SUM(O29:O32)</f>
        <v>271.83114245214739</v>
      </c>
      <c r="P33" s="84">
        <f t="shared" ref="P33" si="3">SUM(P29:P32)</f>
        <v>271.83114245214739</v>
      </c>
      <c r="Q33" s="84">
        <f t="shared" ref="Q33" si="4">SUM(Q29:Q32)</f>
        <v>493.4003808297166</v>
      </c>
      <c r="R33" s="202">
        <f t="shared" ref="R33" si="5">SUM(R29:R32)</f>
        <v>365.17717045084203</v>
      </c>
    </row>
    <row r="34" spans="1:18" s="269" customFormat="1" ht="15" customHeight="1">
      <c r="A34" s="489" t="s">
        <v>1294</v>
      </c>
      <c r="B34" s="498">
        <f>B33*B23</f>
        <v>11687.14470836769</v>
      </c>
      <c r="C34" s="498">
        <f t="shared" ref="C34:M34" si="6">C33*C23</f>
        <v>18749.214471529231</v>
      </c>
      <c r="D34" s="498">
        <f t="shared" si="6"/>
        <v>17762.413709869797</v>
      </c>
      <c r="E34" s="498">
        <f t="shared" si="6"/>
        <v>18989.212863443787</v>
      </c>
      <c r="F34" s="498">
        <f t="shared" si="6"/>
        <v>16798.149840738733</v>
      </c>
      <c r="G34" s="498">
        <f t="shared" si="6"/>
        <v>11685.669454426945</v>
      </c>
      <c r="H34" s="498">
        <f t="shared" si="6"/>
        <v>20107.979682197998</v>
      </c>
      <c r="I34" s="498">
        <f t="shared" si="6"/>
        <v>19049.664962082315</v>
      </c>
      <c r="J34" s="498">
        <f t="shared" si="6"/>
        <v>14083.411228175999</v>
      </c>
      <c r="K34" s="498">
        <f t="shared" si="6"/>
        <v>20975.293318559998</v>
      </c>
      <c r="L34" s="498">
        <f t="shared" si="6"/>
        <v>17978.822844480001</v>
      </c>
      <c r="M34" s="498">
        <f t="shared" si="6"/>
        <v>22065.696581636403</v>
      </c>
      <c r="N34" s="498">
        <f t="shared" ref="N34" si="7">N33*N23</f>
        <v>24644.803974295202</v>
      </c>
      <c r="O34" s="498">
        <f t="shared" ref="O34" si="8">O33*O23</f>
        <v>23377.478250884677</v>
      </c>
      <c r="P34" s="498">
        <f t="shared" ref="P34" si="9">P33*P23</f>
        <v>31804.243666901246</v>
      </c>
      <c r="Q34" s="498">
        <f t="shared" ref="Q34" si="10">Q33*Q23</f>
        <v>15788.812186550931</v>
      </c>
      <c r="R34" s="499">
        <f t="shared" ref="R34" si="11">R33*R23</f>
        <v>15337.441158935366</v>
      </c>
    </row>
    <row r="35" spans="1:18" s="269" customFormat="1" ht="15" customHeight="1"/>
    <row r="36" spans="1:18" s="269" customFormat="1" ht="15" customHeight="1"/>
    <row r="37" spans="1:18" s="269" customFormat="1" ht="15" customHeight="1">
      <c r="A37" s="484" t="s">
        <v>1245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69" customFormat="1" ht="15" customHeight="1">
      <c r="A38" s="485" t="s">
        <v>1319</v>
      </c>
      <c r="B38" s="84">
        <f>Fans!B10*2.11888</f>
        <v>86.574562371041665</v>
      </c>
      <c r="C38" s="84">
        <f>Fans!C10*2.11888</f>
        <v>86.322965102604115</v>
      </c>
      <c r="D38" s="84">
        <f>Fans!D10*2.11888</f>
        <v>86.06530524938492</v>
      </c>
      <c r="E38" s="84">
        <f>Fans!E10*2.11888</f>
        <v>87.215849116831649</v>
      </c>
      <c r="F38" s="84">
        <f>Fans!F10*2.11888</f>
        <v>86.820097054697598</v>
      </c>
      <c r="G38" s="84">
        <f>Fans!G10*2.11888</f>
        <v>84.09193390296501</v>
      </c>
      <c r="H38" s="84">
        <f>Fans!H10*2.11888</f>
        <v>86.407504479281258</v>
      </c>
      <c r="I38" s="84">
        <f>Fans!I10*2.11888</f>
        <v>85.531797788601651</v>
      </c>
      <c r="J38" s="84">
        <f>Fans!J10*2.11888</f>
        <v>85.302345795130321</v>
      </c>
      <c r="K38" s="84">
        <f>Fans!K10*2.11888</f>
        <v>86.820097054697598</v>
      </c>
      <c r="L38" s="84">
        <f>Fans!L10*2.11888</f>
        <v>87.44521690773658</v>
      </c>
      <c r="M38" s="84">
        <f>Fans!M10*2.11888</f>
        <v>86.65708088612493</v>
      </c>
      <c r="N38" s="84">
        <f>Fans!N10*2.11888</f>
        <v>86.322965102604115</v>
      </c>
      <c r="O38" s="84">
        <f>Fans!O10*2.11888</f>
        <v>85.068683673338413</v>
      </c>
      <c r="P38" s="84">
        <f>Fans!P10*2.11888</f>
        <v>87.956831701252852</v>
      </c>
      <c r="Q38" s="84">
        <f>Fans!Q10*2.11888</f>
        <v>87.292978667664585</v>
      </c>
      <c r="R38" s="84">
        <f>Fans!R10*2.11888</f>
        <v>87.777901247628421</v>
      </c>
    </row>
    <row r="39" spans="1:18" ht="15" customHeight="1">
      <c r="A39" s="485" t="s">
        <v>1318</v>
      </c>
      <c r="B39" s="84">
        <f>2.11888*Fans!B9</f>
        <v>21.61283697618504</v>
      </c>
      <c r="C39" s="84">
        <f>2.11888*Fans!C9</f>
        <v>22.139979341457845</v>
      </c>
      <c r="D39" s="84">
        <f>2.11888*Fans!D9</f>
        <v>22.667121706730651</v>
      </c>
      <c r="E39" s="84">
        <f>2.11888*Fans!E9</f>
        <v>20.207124002124228</v>
      </c>
      <c r="F39" s="84">
        <f>2.11888*Fans!F9</f>
        <v>21.085694610912238</v>
      </c>
      <c r="G39" s="84">
        <f>2.11888*Fans!G9</f>
        <v>26.357118263640295</v>
      </c>
      <c r="H39" s="84">
        <f>2.11888*Fans!H9</f>
        <v>21.964265219700248</v>
      </c>
      <c r="I39" s="84">
        <f>2.11888*Fans!I9</f>
        <v>23.721406437276265</v>
      </c>
      <c r="J39" s="84">
        <f>2.11888*Fans!J9</f>
        <v>24.160691741670274</v>
      </c>
      <c r="K39" s="84">
        <f>2.11888*Fans!K9</f>
        <v>21.085694610912238</v>
      </c>
      <c r="L39" s="84">
        <f>2.11888*Fans!L9</f>
        <v>19.679981636851423</v>
      </c>
      <c r="M39" s="84">
        <f>2.11888*Fans!M9</f>
        <v>21.437122854427439</v>
      </c>
      <c r="N39" s="84">
        <f>2.11888*Fans!N9</f>
        <v>22.139979341457853</v>
      </c>
      <c r="O39" s="84">
        <f>2.11888*Fans!O9</f>
        <v>24.599977046064275</v>
      </c>
      <c r="P39" s="84">
        <f>2.11888*Fans!P9</f>
        <v>18.449982784548205</v>
      </c>
      <c r="Q39" s="84">
        <f>2.11888*Fans!Q9</f>
        <v>20.031409880366628</v>
      </c>
      <c r="R39" s="202">
        <f>2.11888*Fans!R9</f>
        <v>18.889268088942213</v>
      </c>
    </row>
    <row r="40" spans="1:18" ht="15" customHeight="1">
      <c r="A40" s="485" t="s">
        <v>1258</v>
      </c>
      <c r="B40" s="84">
        <f>B39/(B39+B38)</f>
        <v>0.1997722203009871</v>
      </c>
      <c r="C40" s="84">
        <f>C39/(C39+C38)</f>
        <v>0.20412482304383861</v>
      </c>
      <c r="D40" s="84">
        <f t="shared" ref="D40:R40" si="12">D39/(D39+D38)</f>
        <v>0.20846698948308315</v>
      </c>
      <c r="E40" s="84">
        <f t="shared" si="12"/>
        <v>0.18810803141472981</v>
      </c>
      <c r="F40" s="84">
        <f t="shared" si="12"/>
        <v>0.19540836766440559</v>
      </c>
      <c r="G40" s="84">
        <f t="shared" si="12"/>
        <v>0.23863598416292678</v>
      </c>
      <c r="H40" s="84">
        <f t="shared" si="12"/>
        <v>0.20267515498463501</v>
      </c>
      <c r="I40" s="84">
        <f t="shared" si="12"/>
        <v>0.21712321030175855</v>
      </c>
      <c r="J40" s="84">
        <f t="shared" si="12"/>
        <v>0.2207200922370498</v>
      </c>
      <c r="K40" s="84">
        <f t="shared" si="12"/>
        <v>0.19540836766440559</v>
      </c>
      <c r="L40" s="84">
        <f t="shared" si="12"/>
        <v>0.18371010653165937</v>
      </c>
      <c r="M40" s="84">
        <f t="shared" si="12"/>
        <v>0.19831889326721722</v>
      </c>
      <c r="N40" s="84">
        <f t="shared" si="12"/>
        <v>0.20412482304383864</v>
      </c>
      <c r="O40" s="84">
        <f t="shared" si="12"/>
        <v>0.22431182148750381</v>
      </c>
      <c r="P40" s="84">
        <f t="shared" si="12"/>
        <v>0.17339098885447957</v>
      </c>
      <c r="Q40" s="84">
        <f t="shared" si="12"/>
        <v>0.18664359658943605</v>
      </c>
      <c r="R40" s="84">
        <f t="shared" si="12"/>
        <v>0.17708605381043016</v>
      </c>
    </row>
    <row r="41" spans="1:18" ht="15" customHeight="1">
      <c r="A41" s="485" t="s">
        <v>1259</v>
      </c>
      <c r="B41" s="84">
        <f>(B38)+(HVAC!B40*HVAC!B39)</f>
        <v>90.892206800777416</v>
      </c>
      <c r="C41" s="84">
        <f>(C38)+(HVAC!C40*HVAC!C39)</f>
        <v>90.842284467873441</v>
      </c>
      <c r="D41" s="84">
        <f>(D38)+(HVAC!D40*HVAC!D39)</f>
        <v>90.790651871833703</v>
      </c>
      <c r="E41" s="84">
        <f>(E38)+(HVAC!E40*HVAC!E39)</f>
        <v>91.016971433424573</v>
      </c>
      <c r="F41" s="84">
        <f>(F38)+(HVAC!F40*HVAC!F39)</f>
        <v>90.940418219686109</v>
      </c>
      <c r="G41" s="84">
        <f>(G38)+(HVAC!G40*HVAC!G39)</f>
        <v>90.381690759507464</v>
      </c>
      <c r="H41" s="84">
        <f>(H38)+(HVAC!H40*HVAC!H39)</f>
        <v>90.859115336807633</v>
      </c>
      <c r="I41" s="84">
        <f>(I38)+(HVAC!I40*HVAC!I39)</f>
        <v>90.682265707135869</v>
      </c>
      <c r="J41" s="84">
        <f>(J38)+(HVAC!J40*HVAC!J39)</f>
        <v>90.635095904862709</v>
      </c>
      <c r="K41" s="84">
        <f>(K38)+(HVAC!K40*HVAC!K39)</f>
        <v>90.940418219686109</v>
      </c>
      <c r="L41" s="84">
        <f>(L38)+(HVAC!L40*HVAC!L39)</f>
        <v>91.060628430783652</v>
      </c>
      <c r="M41" s="84">
        <f>(M38)+(HVAC!M40*HVAC!M39)</f>
        <v>90.908467365448345</v>
      </c>
      <c r="N41" s="84">
        <f>(N38)+(HVAC!N40*HVAC!N39)</f>
        <v>90.842284467873441</v>
      </c>
      <c r="O41" s="84">
        <f>(O38)+(HVAC!O40*HVAC!O39)</f>
        <v>90.586749333091873</v>
      </c>
      <c r="P41" s="84">
        <f>(P38)+(HVAC!P40*HVAC!P39)</f>
        <v>91.155892460613785</v>
      </c>
      <c r="Q41" s="84">
        <f>(Q38)+(HVAC!Q40*HVAC!Q39)</f>
        <v>91.031713052493373</v>
      </c>
      <c r="R41" s="84">
        <f>(R38)+(HVAC!R40*HVAC!R39)</f>
        <v>91.122927192866484</v>
      </c>
    </row>
    <row r="42" spans="1:18" ht="15" customHeight="1">
      <c r="A42" s="485" t="s">
        <v>1260</v>
      </c>
      <c r="B42" s="84">
        <f t="shared" ref="B42:R42" si="13">B41*60/(V_houseSI*35.3147)</f>
        <v>0.28854668825643626</v>
      </c>
      <c r="C42" s="84">
        <f t="shared" si="13"/>
        <v>0.28838820465991566</v>
      </c>
      <c r="D42" s="84">
        <f t="shared" si="13"/>
        <v>0.28822429165661495</v>
      </c>
      <c r="E42" s="84">
        <f t="shared" si="13"/>
        <v>0.28894276645531614</v>
      </c>
      <c r="F42" s="84">
        <f t="shared" si="13"/>
        <v>0.28869974037995588</v>
      </c>
      <c r="G42" s="84">
        <f t="shared" si="13"/>
        <v>0.28692600241113481</v>
      </c>
      <c r="H42" s="84">
        <f t="shared" si="13"/>
        <v>0.2884416359898655</v>
      </c>
      <c r="I42" s="84">
        <f t="shared" si="13"/>
        <v>0.28788020859408209</v>
      </c>
      <c r="J42" s="84">
        <f t="shared" si="13"/>
        <v>0.28773046319004036</v>
      </c>
      <c r="K42" s="84">
        <f t="shared" si="13"/>
        <v>0.28869974037995588</v>
      </c>
      <c r="L42" s="84">
        <f t="shared" si="13"/>
        <v>0.28908136009772589</v>
      </c>
      <c r="M42" s="84">
        <f t="shared" si="13"/>
        <v>0.2885983090966614</v>
      </c>
      <c r="N42" s="84">
        <f t="shared" si="13"/>
        <v>0.28838820465991566</v>
      </c>
      <c r="O42" s="84">
        <f t="shared" si="13"/>
        <v>0.28757698200981546</v>
      </c>
      <c r="P42" s="84">
        <f t="shared" si="13"/>
        <v>0.2893837855892501</v>
      </c>
      <c r="Q42" s="84">
        <f t="shared" si="13"/>
        <v>0.28898956524601072</v>
      </c>
      <c r="R42" s="202">
        <f t="shared" si="13"/>
        <v>0.28927913394560789</v>
      </c>
    </row>
    <row r="43" spans="1:18" s="269" customFormat="1" ht="15" customHeight="1">
      <c r="A43" s="485" t="s">
        <v>1261</v>
      </c>
      <c r="B43" s="496">
        <f>1.1*B41*B23</f>
        <v>2299.5728320596686</v>
      </c>
      <c r="C43" s="496">
        <f t="shared" ref="C43:R43" si="14">1.1*C41*C23</f>
        <v>3797.20749075711</v>
      </c>
      <c r="D43" s="496">
        <f t="shared" si="14"/>
        <v>3595.3098141246146</v>
      </c>
      <c r="E43" s="496">
        <f t="shared" si="14"/>
        <v>5206.1707659918857</v>
      </c>
      <c r="F43" s="496">
        <f t="shared" si="14"/>
        <v>4601.5851619161176</v>
      </c>
      <c r="G43" s="496">
        <f t="shared" si="14"/>
        <v>3181.4355147346628</v>
      </c>
      <c r="H43" s="496">
        <f t="shared" si="14"/>
        <v>5696.8665316178394</v>
      </c>
      <c r="I43" s="496">
        <f t="shared" si="14"/>
        <v>5386.5265830038707</v>
      </c>
      <c r="J43" s="496">
        <f t="shared" si="14"/>
        <v>4685.8344582814025</v>
      </c>
      <c r="K43" s="496">
        <f t="shared" si="14"/>
        <v>7002.4122029158307</v>
      </c>
      <c r="L43" s="496">
        <f t="shared" si="14"/>
        <v>6010.001476431722</v>
      </c>
      <c r="M43" s="496">
        <f t="shared" si="14"/>
        <v>7699.9471858534762</v>
      </c>
      <c r="N43" s="496">
        <f t="shared" si="14"/>
        <v>8593.6801106608273</v>
      </c>
      <c r="O43" s="496">
        <f t="shared" si="14"/>
        <v>8569.5064869104917</v>
      </c>
      <c r="P43" s="496">
        <f t="shared" si="14"/>
        <v>11731.763359680996</v>
      </c>
      <c r="Q43" s="496">
        <f t="shared" si="14"/>
        <v>3204.3162994477671</v>
      </c>
      <c r="R43" s="497">
        <f t="shared" si="14"/>
        <v>4209.8792363104321</v>
      </c>
    </row>
    <row r="44" spans="1:18" ht="15" customHeight="1">
      <c r="A44" s="485" t="s">
        <v>1245</v>
      </c>
      <c r="B44" s="84">
        <f>2.11888*Fans!B9</f>
        <v>21.61283697618504</v>
      </c>
      <c r="C44" s="84">
        <f>2.11888*Fans!C9</f>
        <v>22.139979341457845</v>
      </c>
      <c r="D44" s="84">
        <f>2.11888*Fans!D9</f>
        <v>22.667121706730651</v>
      </c>
      <c r="E44" s="84">
        <f>2.11888*Fans!E9</f>
        <v>20.207124002124228</v>
      </c>
      <c r="F44" s="84">
        <f>2.11888*Fans!F9</f>
        <v>21.085694610912238</v>
      </c>
      <c r="G44" s="84">
        <f>2.11888*Fans!G9</f>
        <v>26.357118263640295</v>
      </c>
      <c r="H44" s="84">
        <f>2.11888*Fans!H9</f>
        <v>21.964265219700248</v>
      </c>
      <c r="I44" s="84">
        <f>2.11888*Fans!I9</f>
        <v>23.721406437276265</v>
      </c>
      <c r="J44" s="84">
        <f>2.11888*Fans!J9</f>
        <v>24.160691741670274</v>
      </c>
      <c r="K44" s="84">
        <f>2.11888*Fans!K9</f>
        <v>21.085694610912238</v>
      </c>
      <c r="L44" s="84">
        <f>2.11888*Fans!L9</f>
        <v>19.679981636851423</v>
      </c>
      <c r="M44" s="84">
        <f>2.11888*Fans!M9</f>
        <v>21.437122854427439</v>
      </c>
      <c r="N44" s="84">
        <f>2.11888*Fans!N9</f>
        <v>22.139979341457853</v>
      </c>
      <c r="O44" s="84">
        <f>2.11888*Fans!O9</f>
        <v>24.599977046064275</v>
      </c>
      <c r="P44" s="84">
        <f>2.11888*Fans!P9</f>
        <v>18.449982784548205</v>
      </c>
      <c r="Q44" s="84">
        <f>2.11888*Fans!Q9</f>
        <v>20.031409880366628</v>
      </c>
      <c r="R44" s="84">
        <f>2.11888*Fans!R9</f>
        <v>18.889268088942213</v>
      </c>
    </row>
    <row r="45" spans="1:18" ht="15" customHeight="1">
      <c r="A45" s="485" t="s">
        <v>1258</v>
      </c>
      <c r="B45" s="84">
        <f>B44/(B44+B38)</f>
        <v>0.1997722203009871</v>
      </c>
      <c r="C45" s="84">
        <f t="shared" ref="C45:R45" si="15">C44/(C44+C38)</f>
        <v>0.20412482304383861</v>
      </c>
      <c r="D45" s="84">
        <f t="shared" si="15"/>
        <v>0.20846698948308315</v>
      </c>
      <c r="E45" s="84">
        <f t="shared" si="15"/>
        <v>0.18810803141472981</v>
      </c>
      <c r="F45" s="84">
        <f t="shared" si="15"/>
        <v>0.19540836766440559</v>
      </c>
      <c r="G45" s="84">
        <f t="shared" si="15"/>
        <v>0.23863598416292678</v>
      </c>
      <c r="H45" s="84">
        <f t="shared" si="15"/>
        <v>0.20267515498463501</v>
      </c>
      <c r="I45" s="84">
        <f t="shared" si="15"/>
        <v>0.21712321030175855</v>
      </c>
      <c r="J45" s="84">
        <f t="shared" si="15"/>
        <v>0.2207200922370498</v>
      </c>
      <c r="K45" s="84">
        <f t="shared" si="15"/>
        <v>0.19540836766440559</v>
      </c>
      <c r="L45" s="84">
        <f t="shared" si="15"/>
        <v>0.18371010653165937</v>
      </c>
      <c r="M45" s="84">
        <f t="shared" si="15"/>
        <v>0.19831889326721722</v>
      </c>
      <c r="N45" s="84">
        <f t="shared" si="15"/>
        <v>0.20412482304383864</v>
      </c>
      <c r="O45" s="84">
        <f t="shared" si="15"/>
        <v>0.22431182148750381</v>
      </c>
      <c r="P45" s="84">
        <f t="shared" si="15"/>
        <v>0.17339098885447957</v>
      </c>
      <c r="Q45" s="84">
        <f t="shared" si="15"/>
        <v>0.18664359658943605</v>
      </c>
      <c r="R45" s="84">
        <f t="shared" si="15"/>
        <v>0.17708605381043016</v>
      </c>
    </row>
    <row r="46" spans="1:18" ht="15" customHeight="1">
      <c r="A46" s="485" t="s">
        <v>1259</v>
      </c>
      <c r="B46" s="84">
        <f>(B38)+(HVAC!B45*HVAC!B44)</f>
        <v>90.892206800777416</v>
      </c>
      <c r="C46" s="84">
        <f>(C38)+(HVAC!C45*HVAC!C44)</f>
        <v>90.842284467873441</v>
      </c>
      <c r="D46" s="84">
        <f>(D38)+(HVAC!D45*HVAC!D44)</f>
        <v>90.790651871833703</v>
      </c>
      <c r="E46" s="84">
        <f>(E38)+(HVAC!E45*HVAC!E44)</f>
        <v>91.016971433424573</v>
      </c>
      <c r="F46" s="84">
        <f>(F38)+(HVAC!F45*HVAC!F44)</f>
        <v>90.940418219686109</v>
      </c>
      <c r="G46" s="84">
        <f>(G38)+(HVAC!G45*HVAC!G44)</f>
        <v>90.381690759507464</v>
      </c>
      <c r="H46" s="84">
        <f>(H38)+(HVAC!H45*HVAC!H44)</f>
        <v>90.859115336807633</v>
      </c>
      <c r="I46" s="84">
        <f>(I38)+(HVAC!I45*HVAC!I44)</f>
        <v>90.682265707135869</v>
      </c>
      <c r="J46" s="84">
        <f>(J38)+(HVAC!J45*HVAC!J44)</f>
        <v>90.635095904862709</v>
      </c>
      <c r="K46" s="84">
        <f>(K38)+(HVAC!K45*HVAC!K44)</f>
        <v>90.940418219686109</v>
      </c>
      <c r="L46" s="84">
        <f>(L38)+(HVAC!L45*HVAC!L44)</f>
        <v>91.060628430783652</v>
      </c>
      <c r="M46" s="84">
        <f>(M38)+(HVAC!M45*HVAC!M44)</f>
        <v>90.908467365448345</v>
      </c>
      <c r="N46" s="84">
        <f>(N38)+(HVAC!N45*HVAC!N44)</f>
        <v>90.842284467873441</v>
      </c>
      <c r="O46" s="84">
        <f>(O38)+(HVAC!O45*HVAC!O44)</f>
        <v>90.586749333091873</v>
      </c>
      <c r="P46" s="84">
        <f>(P38)+(HVAC!P45*HVAC!P44)</f>
        <v>91.155892460613785</v>
      </c>
      <c r="Q46" s="84">
        <f>(Q38)+(HVAC!Q45*HVAC!Q44)</f>
        <v>91.031713052493373</v>
      </c>
      <c r="R46" s="84">
        <f>(R38)+(HVAC!R45*HVAC!R44)</f>
        <v>91.122927192866484</v>
      </c>
    </row>
    <row r="47" spans="1:18" ht="15" customHeight="1">
      <c r="A47" s="485" t="s">
        <v>1260</v>
      </c>
      <c r="B47" s="84">
        <f t="shared" ref="B47:R47" si="16">B46*60/(V_houseSI*35.3147)</f>
        <v>0.28854668825643626</v>
      </c>
      <c r="C47" s="84">
        <f t="shared" si="16"/>
        <v>0.28838820465991566</v>
      </c>
      <c r="D47" s="84">
        <f t="shared" si="16"/>
        <v>0.28822429165661495</v>
      </c>
      <c r="E47" s="84">
        <f t="shared" si="16"/>
        <v>0.28894276645531614</v>
      </c>
      <c r="F47" s="84">
        <f t="shared" si="16"/>
        <v>0.28869974037995588</v>
      </c>
      <c r="G47" s="84">
        <f t="shared" si="16"/>
        <v>0.28692600241113481</v>
      </c>
      <c r="H47" s="84">
        <f t="shared" si="16"/>
        <v>0.2884416359898655</v>
      </c>
      <c r="I47" s="84">
        <f t="shared" si="16"/>
        <v>0.28788020859408209</v>
      </c>
      <c r="J47" s="84">
        <f t="shared" si="16"/>
        <v>0.28773046319004036</v>
      </c>
      <c r="K47" s="84">
        <f t="shared" si="16"/>
        <v>0.28869974037995588</v>
      </c>
      <c r="L47" s="84">
        <f t="shared" si="16"/>
        <v>0.28908136009772589</v>
      </c>
      <c r="M47" s="84">
        <f t="shared" si="16"/>
        <v>0.2885983090966614</v>
      </c>
      <c r="N47" s="84">
        <f t="shared" si="16"/>
        <v>0.28838820465991566</v>
      </c>
      <c r="O47" s="84">
        <f t="shared" si="16"/>
        <v>0.28757698200981546</v>
      </c>
      <c r="P47" s="84">
        <f t="shared" si="16"/>
        <v>0.2893837855892501</v>
      </c>
      <c r="Q47" s="84">
        <f t="shared" si="16"/>
        <v>0.28898956524601072</v>
      </c>
      <c r="R47" s="202">
        <f t="shared" si="16"/>
        <v>0.28927913394560789</v>
      </c>
    </row>
    <row r="48" spans="1:18" ht="15" customHeight="1">
      <c r="A48" s="485" t="s">
        <v>1262</v>
      </c>
      <c r="B48" s="496">
        <f t="shared" ref="B48:R48" si="17">1.1*B46*B24</f>
        <v>1499.7214122128273</v>
      </c>
      <c r="C48" s="496">
        <f t="shared" si="17"/>
        <v>1898.603745378555</v>
      </c>
      <c r="D48" s="496">
        <f t="shared" si="17"/>
        <v>3195.8309458885465</v>
      </c>
      <c r="E48" s="496">
        <f t="shared" si="17"/>
        <v>2002.3733715353408</v>
      </c>
      <c r="F48" s="496">
        <f t="shared" si="17"/>
        <v>2300.7925809580588</v>
      </c>
      <c r="G48" s="496">
        <f t="shared" si="17"/>
        <v>198.83971967091642</v>
      </c>
      <c r="H48" s="496">
        <f t="shared" si="17"/>
        <v>1599.1204299278145</v>
      </c>
      <c r="I48" s="496">
        <f t="shared" si="17"/>
        <v>1895.2593532791398</v>
      </c>
      <c r="J48" s="496">
        <f t="shared" si="17"/>
        <v>1296.0818714395368</v>
      </c>
      <c r="K48" s="496">
        <f t="shared" si="17"/>
        <v>1600.5513606664756</v>
      </c>
      <c r="L48" s="496">
        <f t="shared" si="17"/>
        <v>1903.1671342033785</v>
      </c>
      <c r="M48" s="496">
        <f t="shared" si="17"/>
        <v>999.99314101993195</v>
      </c>
      <c r="N48" s="496">
        <f t="shared" si="17"/>
        <v>1299.0446678905903</v>
      </c>
      <c r="O48" s="496">
        <f t="shared" si="17"/>
        <v>697.51796986480747</v>
      </c>
      <c r="P48" s="496">
        <f t="shared" si="17"/>
        <v>300.81444512002554</v>
      </c>
      <c r="Q48" s="496">
        <f t="shared" si="17"/>
        <v>1802.427918439369</v>
      </c>
      <c r="R48" s="497">
        <f t="shared" si="17"/>
        <v>1703.9987385066033</v>
      </c>
    </row>
    <row r="49" spans="1:21" ht="15" customHeight="1">
      <c r="A49" s="486" t="s">
        <v>1263</v>
      </c>
      <c r="B49" s="498">
        <f>0.68*B46*Weather!B31</f>
        <v>3028.5283306019037</v>
      </c>
      <c r="C49" s="498">
        <f>0.68*C46*Weather!C31</f>
        <v>2594.4556444024656</v>
      </c>
      <c r="D49" s="498">
        <f>0.68*D46*Weather!D31</f>
        <v>0</v>
      </c>
      <c r="E49" s="498">
        <f>0.68*E46*Weather!E31</f>
        <v>2042.4208389660475</v>
      </c>
      <c r="F49" s="498">
        <f>0.68*F46*Weather!F31</f>
        <v>0</v>
      </c>
      <c r="G49" s="498">
        <f>0.68*G46*Weather!G31</f>
        <v>0</v>
      </c>
      <c r="H49" s="498">
        <f>0.68*H46*Weather!H31</f>
        <v>2162.4469450160218</v>
      </c>
      <c r="I49" s="498">
        <f>0.68*I46*Weather!I31</f>
        <v>0</v>
      </c>
      <c r="J49" s="498">
        <f>0.68*J46*Weather!J31</f>
        <v>0</v>
      </c>
      <c r="K49" s="498">
        <f>0.68*K46*Weather!K31</f>
        <v>1422.3081409558908</v>
      </c>
      <c r="L49" s="498">
        <f>0.68*L46*Weather!L31</f>
        <v>0</v>
      </c>
      <c r="M49" s="498">
        <f>0.68*M46*Weather!M31</f>
        <v>927.26636712757318</v>
      </c>
      <c r="N49" s="498">
        <f>0.68*N46*Weather!N31</f>
        <v>0</v>
      </c>
      <c r="O49" s="498">
        <f>0.68*O46*Weather!O31</f>
        <v>615.9898954650248</v>
      </c>
      <c r="P49" s="498">
        <f>0.68*P46*Weather!P31</f>
        <v>0</v>
      </c>
      <c r="Q49" s="498">
        <f>0.68*Q46*Weather!Q31</f>
        <v>2290.3579004007333</v>
      </c>
      <c r="R49" s="499">
        <f>0.68*R46*Weather!R31</f>
        <v>3160.1431150486096</v>
      </c>
    </row>
    <row r="51" spans="1:21" s="269" customFormat="1" ht="15" customHeight="1">
      <c r="A51" s="484" t="s">
        <v>1295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485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2"/>
    </row>
    <row r="53" spans="1:21" ht="15" customHeight="1">
      <c r="A53" s="494" t="s">
        <v>1264</v>
      </c>
      <c r="B53" s="495" t="s">
        <v>1265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2"/>
    </row>
    <row r="54" spans="1:21" ht="15" customHeight="1">
      <c r="A54" s="485" t="s">
        <v>1266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2"/>
    </row>
    <row r="55" spans="1:21" ht="15" customHeight="1">
      <c r="A55" s="485" t="s">
        <v>1267</v>
      </c>
      <c r="B55" s="84" t="s">
        <v>226</v>
      </c>
      <c r="C55" s="84" t="s">
        <v>1255</v>
      </c>
      <c r="D55" s="84" t="s">
        <v>226</v>
      </c>
      <c r="E55" s="84" t="s">
        <v>1255</v>
      </c>
      <c r="F55" s="84" t="s">
        <v>1256</v>
      </c>
      <c r="G55" s="84" t="s">
        <v>226</v>
      </c>
      <c r="H55" s="84" t="s">
        <v>1255</v>
      </c>
      <c r="I55" s="84" t="s">
        <v>1256</v>
      </c>
      <c r="J55" s="84" t="s">
        <v>1255</v>
      </c>
      <c r="K55" s="84" t="s">
        <v>1256</v>
      </c>
      <c r="L55" s="84" t="s">
        <v>1256</v>
      </c>
      <c r="M55" s="84" t="s">
        <v>1256</v>
      </c>
      <c r="N55" s="84"/>
      <c r="O55" s="84"/>
      <c r="P55" s="84"/>
      <c r="Q55" s="84"/>
      <c r="R55" s="202"/>
    </row>
    <row r="56" spans="1:21" ht="15" customHeight="1">
      <c r="A56" s="485" t="s">
        <v>1268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2"/>
    </row>
    <row r="57" spans="1:21" ht="15" customHeight="1">
      <c r="A57" s="485" t="s">
        <v>1269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2"/>
    </row>
    <row r="58" spans="1:21" ht="15" customHeight="1">
      <c r="A58" s="485" t="s">
        <v>1270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2"/>
    </row>
    <row r="59" spans="1:21" ht="15" customHeight="1">
      <c r="A59" s="485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2"/>
    </row>
    <row r="60" spans="1:21" ht="15" customHeight="1">
      <c r="A60" s="485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2"/>
    </row>
    <row r="61" spans="1:21" ht="15" customHeight="1">
      <c r="A61" s="485" t="s">
        <v>1272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2"/>
      <c r="S61" s="269"/>
      <c r="T61" s="269"/>
      <c r="U61" s="269"/>
    </row>
    <row r="62" spans="1:21" ht="15" customHeight="1">
      <c r="A62" s="485" t="s">
        <v>226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2">
        <f t="shared" si="18"/>
        <v>24.6</v>
      </c>
      <c r="S62" s="269"/>
      <c r="T62" s="269"/>
      <c r="U62" s="269"/>
    </row>
    <row r="63" spans="1:21" ht="15" customHeight="1">
      <c r="A63" s="485" t="s">
        <v>1255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2">
        <f t="shared" si="19"/>
        <v>20.6</v>
      </c>
      <c r="S63" s="269"/>
      <c r="T63" s="269"/>
      <c r="U63" s="269"/>
    </row>
    <row r="64" spans="1:21" ht="15" customHeight="1">
      <c r="A64" s="485" t="s">
        <v>1256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2">
        <f t="shared" si="20"/>
        <v>15.6</v>
      </c>
      <c r="S64" s="269"/>
      <c r="T64" s="269"/>
      <c r="U64" s="269"/>
    </row>
    <row r="65" spans="1:21" ht="15" customHeight="1">
      <c r="A65" s="485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2"/>
      <c r="S65" s="269"/>
      <c r="T65" s="269"/>
      <c r="U65" s="269"/>
    </row>
    <row r="66" spans="1:21" ht="15" customHeight="1">
      <c r="A66" s="485" t="s">
        <v>1269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2"/>
      <c r="S66" s="269"/>
      <c r="T66" s="269"/>
      <c r="U66" s="269"/>
    </row>
    <row r="67" spans="1:21" ht="15" customHeight="1">
      <c r="A67" s="485" t="s">
        <v>226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2">
        <f t="shared" si="21"/>
        <v>45</v>
      </c>
      <c r="S67" s="269"/>
      <c r="T67" s="269"/>
      <c r="U67" s="269"/>
    </row>
    <row r="68" spans="1:21" ht="15" customHeight="1">
      <c r="A68" s="485" t="s">
        <v>1255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2">
        <f t="shared" si="22"/>
        <v>41</v>
      </c>
      <c r="S68" s="269"/>
      <c r="T68" s="269"/>
      <c r="U68" s="269"/>
    </row>
    <row r="69" spans="1:21" ht="15" customHeight="1">
      <c r="A69" s="485" t="s">
        <v>1256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2">
        <f t="shared" si="23"/>
        <v>36</v>
      </c>
      <c r="S69" s="269"/>
      <c r="T69" s="269"/>
      <c r="U69" s="269"/>
    </row>
    <row r="70" spans="1:21" ht="15" customHeight="1">
      <c r="A70" s="485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2"/>
      <c r="S70" s="269"/>
      <c r="T70" s="269"/>
      <c r="U70" s="269"/>
    </row>
    <row r="71" spans="1:21" ht="15" customHeight="1">
      <c r="A71" s="485" t="s">
        <v>1270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2"/>
      <c r="S71" s="269"/>
      <c r="T71" s="269"/>
      <c r="U71" s="269"/>
    </row>
    <row r="72" spans="1:21" ht="15" customHeight="1">
      <c r="A72" s="485" t="s">
        <v>226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2">
        <f t="shared" si="24"/>
        <v>37</v>
      </c>
      <c r="S72" s="269"/>
      <c r="T72" s="269"/>
      <c r="U72" s="269"/>
    </row>
    <row r="73" spans="1:21" ht="15" customHeight="1">
      <c r="A73" s="485" t="s">
        <v>1255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2">
        <f t="shared" si="25"/>
        <v>33</v>
      </c>
      <c r="S73" s="269"/>
      <c r="T73" s="269"/>
      <c r="U73" s="269"/>
    </row>
    <row r="74" spans="1:21" ht="15" customHeight="1">
      <c r="A74" s="485" t="s">
        <v>1256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2">
        <f t="shared" si="26"/>
        <v>28</v>
      </c>
      <c r="S74" s="269"/>
      <c r="T74" s="269"/>
      <c r="U74" s="269"/>
    </row>
    <row r="75" spans="1:21" ht="15" customHeight="1">
      <c r="A75" s="485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2"/>
    </row>
    <row r="76" spans="1:21" ht="15" customHeight="1">
      <c r="A76" s="485" t="s">
        <v>1272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2">
        <f>VLOOKUP(Weather!R33,HVAC!$A$62:$R$64,Weather!R34,FALSE)</f>
        <v>24.6</v>
      </c>
    </row>
    <row r="77" spans="1:21" ht="15" customHeight="1">
      <c r="A77" s="485" t="s">
        <v>1269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2">
        <f>VLOOKUP(Weather!R33,HVAC!$A$67:$R$69,Weather!R34,FALSE)</f>
        <v>45</v>
      </c>
    </row>
    <row r="78" spans="1:21" ht="15" customHeight="1">
      <c r="A78" s="485" t="s">
        <v>1270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2">
        <f>VLOOKUP(Weather!R33,HVAC!$A$72:$R$74,Weather!R34,FALSE)</f>
        <v>37</v>
      </c>
    </row>
    <row r="79" spans="1:21" ht="15" customHeight="1">
      <c r="A79" s="485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2"/>
    </row>
    <row r="80" spans="1:21" ht="15" customHeight="1">
      <c r="A80" s="485" t="s">
        <v>1272</v>
      </c>
      <c r="B80" s="496">
        <f t="shared" ref="B80:R80" si="27">B29*B76</f>
        <v>2454.6249932055384</v>
      </c>
      <c r="C80" s="496">
        <f t="shared" si="27"/>
        <v>2454.6249932055384</v>
      </c>
      <c r="D80" s="496">
        <f t="shared" si="27"/>
        <v>3323.5187961101537</v>
      </c>
      <c r="E80" s="496">
        <f t="shared" si="27"/>
        <v>1732.1816408343998</v>
      </c>
      <c r="F80" s="496">
        <f t="shared" si="27"/>
        <v>1585.3865865263999</v>
      </c>
      <c r="G80" s="496">
        <f t="shared" si="27"/>
        <v>411.02615206240006</v>
      </c>
      <c r="H80" s="496">
        <f t="shared" si="27"/>
        <v>1438.5915322183998</v>
      </c>
      <c r="I80" s="496">
        <f t="shared" si="27"/>
        <v>1291.7964779104</v>
      </c>
      <c r="J80" s="496">
        <f t="shared" si="27"/>
        <v>851.41131498639982</v>
      </c>
      <c r="K80" s="496">
        <f t="shared" si="27"/>
        <v>1438.5915322183998</v>
      </c>
      <c r="L80" s="496">
        <f t="shared" si="27"/>
        <v>1291.7964779104</v>
      </c>
      <c r="M80" s="496">
        <f t="shared" si="27"/>
        <v>820.32436234112004</v>
      </c>
      <c r="N80" s="496">
        <f t="shared" si="27"/>
        <v>699.68842670271999</v>
      </c>
      <c r="O80" s="496">
        <f t="shared" si="27"/>
        <v>639.37045888352009</v>
      </c>
      <c r="P80" s="496">
        <f t="shared" si="27"/>
        <v>398.09858760672006</v>
      </c>
      <c r="Q80" s="496">
        <f t="shared" si="27"/>
        <v>2346.0132678424616</v>
      </c>
      <c r="R80" s="497">
        <f t="shared" si="27"/>
        <v>1805.5791679883998</v>
      </c>
    </row>
    <row r="81" spans="1:18" ht="15" customHeight="1">
      <c r="A81" s="485" t="s">
        <v>1269</v>
      </c>
      <c r="B81" s="496">
        <f t="shared" ref="B81:R81" si="28">B32*B77</f>
        <v>3009.8985931000002</v>
      </c>
      <c r="C81" s="496">
        <f t="shared" si="28"/>
        <v>2376.2357313947368</v>
      </c>
      <c r="D81" s="496">
        <f t="shared" si="28"/>
        <v>2818.3261000263155</v>
      </c>
      <c r="E81" s="496">
        <f t="shared" si="28"/>
        <v>2431.4970274736843</v>
      </c>
      <c r="F81" s="496">
        <f t="shared" si="28"/>
        <v>2320.9744353157894</v>
      </c>
      <c r="G81" s="496">
        <f t="shared" si="28"/>
        <v>1436.7936980526315</v>
      </c>
      <c r="H81" s="496">
        <f t="shared" si="28"/>
        <v>1714.2279599999997</v>
      </c>
      <c r="I81" s="496">
        <f t="shared" si="28"/>
        <v>1628.5165619999998</v>
      </c>
      <c r="J81" s="496">
        <f t="shared" si="28"/>
        <v>1371.3823679999998</v>
      </c>
      <c r="K81" s="496">
        <f t="shared" si="28"/>
        <v>1714.2279599999997</v>
      </c>
      <c r="L81" s="496">
        <f t="shared" si="28"/>
        <v>1628.5165619999998</v>
      </c>
      <c r="M81" s="496">
        <f t="shared" si="28"/>
        <v>1457.0937659999997</v>
      </c>
      <c r="N81" s="496">
        <f t="shared" si="28"/>
        <v>1371.3823679999998</v>
      </c>
      <c r="O81" s="496">
        <f t="shared" si="28"/>
        <v>1328.5266689999999</v>
      </c>
      <c r="P81" s="496">
        <f t="shared" si="28"/>
        <v>1157.1038729999998</v>
      </c>
      <c r="Q81" s="496">
        <f t="shared" si="28"/>
        <v>2320.9744353157894</v>
      </c>
      <c r="R81" s="497">
        <f t="shared" si="28"/>
        <v>2486.7583235526317</v>
      </c>
    </row>
    <row r="82" spans="1:18" ht="15" customHeight="1">
      <c r="A82" s="486" t="s">
        <v>1270</v>
      </c>
      <c r="B82" s="498">
        <f t="shared" ref="B82:R82" si="29">B32*B78</f>
        <v>2449.9174594999999</v>
      </c>
      <c r="C82" s="498">
        <f t="shared" si="29"/>
        <v>1934.1453627631579</v>
      </c>
      <c r="D82" s="498">
        <f t="shared" si="29"/>
        <v>2376.2357313947368</v>
      </c>
      <c r="E82" s="498">
        <f t="shared" si="29"/>
        <v>1989.4066588421051</v>
      </c>
      <c r="F82" s="498">
        <f t="shared" si="29"/>
        <v>1878.8840666842104</v>
      </c>
      <c r="G82" s="498">
        <f t="shared" si="29"/>
        <v>994.70332942105256</v>
      </c>
      <c r="H82" s="498">
        <f t="shared" si="29"/>
        <v>1371.3823679999998</v>
      </c>
      <c r="I82" s="498">
        <f t="shared" si="29"/>
        <v>1285.6709699999999</v>
      </c>
      <c r="J82" s="498">
        <f t="shared" si="29"/>
        <v>1028.5367759999999</v>
      </c>
      <c r="K82" s="498">
        <f t="shared" si="29"/>
        <v>1371.3823679999998</v>
      </c>
      <c r="L82" s="498">
        <f t="shared" si="29"/>
        <v>1285.6709699999999</v>
      </c>
      <c r="M82" s="498">
        <f t="shared" si="29"/>
        <v>1114.2481739999998</v>
      </c>
      <c r="N82" s="498">
        <f t="shared" si="29"/>
        <v>1028.5367759999999</v>
      </c>
      <c r="O82" s="498">
        <f t="shared" si="29"/>
        <v>985.68107699999985</v>
      </c>
      <c r="P82" s="498">
        <f t="shared" si="29"/>
        <v>814.2582809999999</v>
      </c>
      <c r="Q82" s="498">
        <f t="shared" si="29"/>
        <v>1878.8840666842104</v>
      </c>
      <c r="R82" s="499">
        <f t="shared" si="29"/>
        <v>2044.6679549210526</v>
      </c>
    </row>
    <row r="85" spans="1:18" ht="15" customHeight="1">
      <c r="A85" s="484" t="s">
        <v>1309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485" t="s">
        <v>1273</v>
      </c>
      <c r="B86" s="84" t="s">
        <v>1298</v>
      </c>
      <c r="C86" s="84"/>
      <c r="D86" s="84"/>
      <c r="E86" s="84"/>
      <c r="F86" s="84"/>
      <c r="G86" s="84"/>
      <c r="H86" s="84"/>
      <c r="I86" s="84" t="s">
        <v>1299</v>
      </c>
      <c r="J86" s="84"/>
      <c r="K86" s="84"/>
      <c r="L86" s="84"/>
      <c r="M86" s="84"/>
      <c r="N86" s="84"/>
      <c r="O86" s="84"/>
      <c r="P86" s="84"/>
      <c r="Q86" s="84"/>
      <c r="R86" s="202"/>
    </row>
    <row r="87" spans="1:18" ht="15" customHeight="1">
      <c r="A87" s="485"/>
      <c r="B87" s="84" t="s">
        <v>1277</v>
      </c>
      <c r="C87" s="84" t="s">
        <v>1297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2"/>
    </row>
    <row r="88" spans="1:18" s="269" customFormat="1" ht="15" customHeight="1">
      <c r="A88" s="485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2"/>
    </row>
    <row r="89" spans="1:18" ht="15" customHeight="1">
      <c r="A89" s="485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2"/>
    </row>
    <row r="90" spans="1:18" ht="15" customHeight="1">
      <c r="A90" s="485" t="s">
        <v>1274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2"/>
    </row>
    <row r="91" spans="1:18" ht="15" customHeight="1">
      <c r="A91" s="485" t="s">
        <v>1275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2"/>
    </row>
    <row r="92" spans="1:18" ht="15" customHeight="1">
      <c r="A92" s="485" t="s">
        <v>1276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2"/>
    </row>
    <row r="93" spans="1:18" ht="15" customHeight="1">
      <c r="A93" s="485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2"/>
    </row>
    <row r="94" spans="1:18" ht="15" customHeight="1">
      <c r="A94" s="485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2"/>
    </row>
    <row r="95" spans="1:18" ht="15" customHeight="1">
      <c r="A95" s="485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2">
        <f t="shared" si="30"/>
        <v>18.399999999999999</v>
      </c>
    </row>
    <row r="96" spans="1:18" ht="15" customHeight="1">
      <c r="A96" s="485" t="s">
        <v>1274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2">
        <f t="shared" si="31"/>
        <v>25.4</v>
      </c>
    </row>
    <row r="97" spans="1:18" ht="15" customHeight="1">
      <c r="A97" s="485" t="s">
        <v>1275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2">
        <f t="shared" si="32"/>
        <v>29.4</v>
      </c>
    </row>
    <row r="98" spans="1:18" ht="15" customHeight="1">
      <c r="A98" s="485" t="s">
        <v>1276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2">
        <f t="shared" si="33"/>
        <v>27.4</v>
      </c>
    </row>
    <row r="99" spans="1:18" ht="15" customHeight="1">
      <c r="A99" s="485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2">
        <f t="shared" si="34"/>
        <v>21.4</v>
      </c>
    </row>
    <row r="100" spans="1:18" ht="15" customHeight="1">
      <c r="A100" s="485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2"/>
    </row>
    <row r="101" spans="1:18" ht="15" customHeight="1">
      <c r="A101" s="485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2"/>
    </row>
    <row r="102" spans="1:18" ht="15" customHeight="1">
      <c r="A102" s="485"/>
      <c r="B102" s="84" t="s">
        <v>1278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2"/>
    </row>
    <row r="103" spans="1:18" ht="15" customHeight="1">
      <c r="A103" s="485" t="s">
        <v>28</v>
      </c>
      <c r="B103" s="496">
        <f t="shared" ref="B103:R103" si="35">A_windowSI*(1/0.0929)/4*B95</f>
        <v>1890.0000000000002</v>
      </c>
      <c r="C103" s="496">
        <f t="shared" si="35"/>
        <v>1974.0000000000005</v>
      </c>
      <c r="D103" s="496">
        <f t="shared" si="35"/>
        <v>2247</v>
      </c>
      <c r="E103" s="496">
        <f t="shared" si="35"/>
        <v>1995.0000000000002</v>
      </c>
      <c r="F103" s="496">
        <f t="shared" si="35"/>
        <v>2058.0000000000005</v>
      </c>
      <c r="G103" s="496">
        <f t="shared" si="35"/>
        <v>1617.0000000000002</v>
      </c>
      <c r="H103" s="496">
        <f t="shared" si="35"/>
        <v>1911.0000000000002</v>
      </c>
      <c r="I103" s="496">
        <f t="shared" si="35"/>
        <v>1974.0000000000005</v>
      </c>
      <c r="J103" s="496">
        <f t="shared" si="35"/>
        <v>1848.0000000000005</v>
      </c>
      <c r="K103" s="496">
        <f t="shared" si="35"/>
        <v>1911.0000000000002</v>
      </c>
      <c r="L103" s="496">
        <f t="shared" si="35"/>
        <v>1974.0000000000005</v>
      </c>
      <c r="M103" s="496">
        <f t="shared" si="35"/>
        <v>1785.0000000000002</v>
      </c>
      <c r="N103" s="496">
        <f t="shared" si="35"/>
        <v>1848.0000000000005</v>
      </c>
      <c r="O103" s="496">
        <f t="shared" si="35"/>
        <v>1722</v>
      </c>
      <c r="P103" s="496">
        <f t="shared" si="35"/>
        <v>1638.0000000000002</v>
      </c>
      <c r="Q103" s="496">
        <f t="shared" si="35"/>
        <v>1953.0000000000005</v>
      </c>
      <c r="R103" s="497">
        <f t="shared" si="35"/>
        <v>1932</v>
      </c>
    </row>
    <row r="104" spans="1:18" ht="15" customHeight="1">
      <c r="A104" s="485" t="s">
        <v>1274</v>
      </c>
      <c r="B104" s="496">
        <v>0</v>
      </c>
      <c r="C104" s="496">
        <v>0</v>
      </c>
      <c r="D104" s="496">
        <v>0</v>
      </c>
      <c r="E104" s="496">
        <v>0</v>
      </c>
      <c r="F104" s="496">
        <v>0</v>
      </c>
      <c r="G104" s="496">
        <v>0</v>
      </c>
      <c r="H104" s="496">
        <v>0</v>
      </c>
      <c r="I104" s="496">
        <v>0</v>
      </c>
      <c r="J104" s="496">
        <v>0</v>
      </c>
      <c r="K104" s="496">
        <v>0</v>
      </c>
      <c r="L104" s="496">
        <v>0</v>
      </c>
      <c r="M104" s="496">
        <v>0</v>
      </c>
      <c r="N104" s="496">
        <v>0</v>
      </c>
      <c r="O104" s="496">
        <v>0</v>
      </c>
      <c r="P104" s="496">
        <v>0</v>
      </c>
      <c r="Q104" s="496">
        <v>0</v>
      </c>
      <c r="R104" s="497">
        <v>0</v>
      </c>
    </row>
    <row r="105" spans="1:18" ht="15" customHeight="1">
      <c r="A105" s="485" t="s">
        <v>1275</v>
      </c>
      <c r="B105" s="496">
        <f t="shared" ref="B105:R105" si="36">A_windowSI*(1/0.0929)/2*B97</f>
        <v>6090.0000000000009</v>
      </c>
      <c r="C105" s="496">
        <f t="shared" si="36"/>
        <v>6258.0000000000009</v>
      </c>
      <c r="D105" s="496">
        <f t="shared" si="36"/>
        <v>6804.0000000000009</v>
      </c>
      <c r="E105" s="496">
        <f t="shared" si="36"/>
        <v>6300.0000000000009</v>
      </c>
      <c r="F105" s="496">
        <f t="shared" si="36"/>
        <v>6426.0000000000009</v>
      </c>
      <c r="G105" s="496">
        <f t="shared" si="36"/>
        <v>5544</v>
      </c>
      <c r="H105" s="496">
        <f t="shared" si="36"/>
        <v>6132.0000000000009</v>
      </c>
      <c r="I105" s="496">
        <f t="shared" si="36"/>
        <v>6258.0000000000009</v>
      </c>
      <c r="J105" s="496">
        <f t="shared" si="36"/>
        <v>6006.0000000000009</v>
      </c>
      <c r="K105" s="496">
        <f t="shared" si="36"/>
        <v>6132.0000000000009</v>
      </c>
      <c r="L105" s="496">
        <f t="shared" si="36"/>
        <v>6258.0000000000009</v>
      </c>
      <c r="M105" s="496">
        <f t="shared" si="36"/>
        <v>5880.0000000000009</v>
      </c>
      <c r="N105" s="496">
        <f t="shared" si="36"/>
        <v>6006.0000000000009</v>
      </c>
      <c r="O105" s="496">
        <f t="shared" si="36"/>
        <v>5754.0000000000009</v>
      </c>
      <c r="P105" s="496">
        <f t="shared" si="36"/>
        <v>5586.0000000000009</v>
      </c>
      <c r="Q105" s="496">
        <f t="shared" si="36"/>
        <v>6216.0000000000009</v>
      </c>
      <c r="R105" s="497">
        <f t="shared" si="36"/>
        <v>6174.0000000000009</v>
      </c>
    </row>
    <row r="106" spans="1:18" ht="15" customHeight="1">
      <c r="A106" s="485" t="s">
        <v>1276</v>
      </c>
      <c r="B106" s="496">
        <v>0</v>
      </c>
      <c r="C106" s="496">
        <v>0</v>
      </c>
      <c r="D106" s="496">
        <v>0</v>
      </c>
      <c r="E106" s="496">
        <v>0</v>
      </c>
      <c r="F106" s="496">
        <v>0</v>
      </c>
      <c r="G106" s="496">
        <v>0</v>
      </c>
      <c r="H106" s="496">
        <v>0</v>
      </c>
      <c r="I106" s="496">
        <v>0</v>
      </c>
      <c r="J106" s="496">
        <v>0</v>
      </c>
      <c r="K106" s="496">
        <v>0</v>
      </c>
      <c r="L106" s="496">
        <v>0</v>
      </c>
      <c r="M106" s="496">
        <v>0</v>
      </c>
      <c r="N106" s="496">
        <v>0</v>
      </c>
      <c r="O106" s="496">
        <v>0</v>
      </c>
      <c r="P106" s="496">
        <v>0</v>
      </c>
      <c r="Q106" s="496">
        <v>0</v>
      </c>
      <c r="R106" s="497">
        <v>0</v>
      </c>
    </row>
    <row r="107" spans="1:18" ht="15" customHeight="1">
      <c r="A107" s="486" t="s">
        <v>30</v>
      </c>
      <c r="B107" s="498">
        <f t="shared" ref="B107:R107" si="37">A_windowSI*(1/0.0929)/4*B99</f>
        <v>2205.0000000000005</v>
      </c>
      <c r="C107" s="498">
        <f t="shared" si="37"/>
        <v>2289.0000000000005</v>
      </c>
      <c r="D107" s="498">
        <f t="shared" si="37"/>
        <v>2562</v>
      </c>
      <c r="E107" s="498">
        <f t="shared" si="37"/>
        <v>2310.0000000000005</v>
      </c>
      <c r="F107" s="498">
        <f t="shared" si="37"/>
        <v>2373.0000000000005</v>
      </c>
      <c r="G107" s="498">
        <f t="shared" si="37"/>
        <v>1932</v>
      </c>
      <c r="H107" s="498">
        <f t="shared" si="37"/>
        <v>2226</v>
      </c>
      <c r="I107" s="498">
        <f t="shared" si="37"/>
        <v>2289.0000000000005</v>
      </c>
      <c r="J107" s="498">
        <f t="shared" si="37"/>
        <v>2163.0000000000005</v>
      </c>
      <c r="K107" s="498">
        <f t="shared" si="37"/>
        <v>2226</v>
      </c>
      <c r="L107" s="498">
        <f t="shared" si="37"/>
        <v>2289.0000000000005</v>
      </c>
      <c r="M107" s="498">
        <f t="shared" si="37"/>
        <v>2100.0000000000005</v>
      </c>
      <c r="N107" s="498">
        <f t="shared" si="37"/>
        <v>2163.0000000000005</v>
      </c>
      <c r="O107" s="498">
        <f t="shared" si="37"/>
        <v>2037.0000000000002</v>
      </c>
      <c r="P107" s="498">
        <f t="shared" si="37"/>
        <v>1953.0000000000005</v>
      </c>
      <c r="Q107" s="498">
        <f t="shared" si="37"/>
        <v>2268.0000000000005</v>
      </c>
      <c r="R107" s="499">
        <f t="shared" si="37"/>
        <v>2247</v>
      </c>
    </row>
    <row r="108" spans="1:18" ht="15" customHeight="1">
      <c r="B108" s="269"/>
    </row>
    <row r="109" spans="1:18" s="269" customFormat="1" ht="15" customHeight="1">
      <c r="A109" s="484" t="s">
        <v>1296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485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2"/>
    </row>
    <row r="111" spans="1:18" ht="15" customHeight="1">
      <c r="A111" s="485" t="s">
        <v>1301</v>
      </c>
      <c r="B111" s="496">
        <f t="shared" ref="B111:R111" si="38">Noccupants*300</f>
        <v>1200</v>
      </c>
      <c r="C111" s="496">
        <f t="shared" si="38"/>
        <v>1200</v>
      </c>
      <c r="D111" s="496">
        <f t="shared" si="38"/>
        <v>1200</v>
      </c>
      <c r="E111" s="496">
        <f t="shared" si="38"/>
        <v>1200</v>
      </c>
      <c r="F111" s="496">
        <f t="shared" si="38"/>
        <v>1200</v>
      </c>
      <c r="G111" s="496">
        <f t="shared" si="38"/>
        <v>1200</v>
      </c>
      <c r="H111" s="496">
        <f t="shared" si="38"/>
        <v>1200</v>
      </c>
      <c r="I111" s="496">
        <f t="shared" si="38"/>
        <v>1200</v>
      </c>
      <c r="J111" s="496">
        <f t="shared" si="38"/>
        <v>1200</v>
      </c>
      <c r="K111" s="496">
        <f t="shared" si="38"/>
        <v>1200</v>
      </c>
      <c r="L111" s="496">
        <f t="shared" si="38"/>
        <v>1200</v>
      </c>
      <c r="M111" s="496">
        <f t="shared" si="38"/>
        <v>1200</v>
      </c>
      <c r="N111" s="496">
        <f t="shared" si="38"/>
        <v>1200</v>
      </c>
      <c r="O111" s="496">
        <f t="shared" si="38"/>
        <v>1200</v>
      </c>
      <c r="P111" s="496">
        <f t="shared" si="38"/>
        <v>1200</v>
      </c>
      <c r="Q111" s="496">
        <f t="shared" si="38"/>
        <v>1200</v>
      </c>
      <c r="R111" s="497">
        <f t="shared" si="38"/>
        <v>1200</v>
      </c>
    </row>
    <row r="112" spans="1:18" s="269" customFormat="1" ht="15" customHeight="1">
      <c r="A112" s="485" t="s">
        <v>1302</v>
      </c>
      <c r="B112" s="496">
        <f t="shared" ref="B112:R112" si="39">Noccupants*230</f>
        <v>920</v>
      </c>
      <c r="C112" s="496">
        <f t="shared" si="39"/>
        <v>920</v>
      </c>
      <c r="D112" s="496">
        <f t="shared" si="39"/>
        <v>920</v>
      </c>
      <c r="E112" s="496">
        <f t="shared" si="39"/>
        <v>920</v>
      </c>
      <c r="F112" s="496">
        <f t="shared" si="39"/>
        <v>920</v>
      </c>
      <c r="G112" s="496">
        <f t="shared" si="39"/>
        <v>920</v>
      </c>
      <c r="H112" s="496">
        <f t="shared" si="39"/>
        <v>920</v>
      </c>
      <c r="I112" s="496">
        <f t="shared" si="39"/>
        <v>920</v>
      </c>
      <c r="J112" s="496">
        <f t="shared" si="39"/>
        <v>920</v>
      </c>
      <c r="K112" s="496">
        <f t="shared" si="39"/>
        <v>920</v>
      </c>
      <c r="L112" s="496">
        <f t="shared" si="39"/>
        <v>920</v>
      </c>
      <c r="M112" s="496">
        <f t="shared" si="39"/>
        <v>920</v>
      </c>
      <c r="N112" s="496">
        <f t="shared" si="39"/>
        <v>920</v>
      </c>
      <c r="O112" s="496">
        <f t="shared" si="39"/>
        <v>920</v>
      </c>
      <c r="P112" s="496">
        <f t="shared" si="39"/>
        <v>920</v>
      </c>
      <c r="Q112" s="496">
        <f t="shared" si="39"/>
        <v>920</v>
      </c>
      <c r="R112" s="497">
        <f t="shared" si="39"/>
        <v>920</v>
      </c>
    </row>
    <row r="113" spans="1:18" ht="15" customHeight="1">
      <c r="A113" s="486" t="s">
        <v>1279</v>
      </c>
      <c r="B113" s="498">
        <v>1200</v>
      </c>
      <c r="C113" s="498">
        <v>1200</v>
      </c>
      <c r="D113" s="498">
        <v>1200</v>
      </c>
      <c r="E113" s="498">
        <v>1200</v>
      </c>
      <c r="F113" s="498">
        <v>1200</v>
      </c>
      <c r="G113" s="498">
        <v>1200</v>
      </c>
      <c r="H113" s="498">
        <v>1200</v>
      </c>
      <c r="I113" s="498">
        <v>1200</v>
      </c>
      <c r="J113" s="498">
        <v>1200</v>
      </c>
      <c r="K113" s="498">
        <v>1200</v>
      </c>
      <c r="L113" s="498">
        <v>1200</v>
      </c>
      <c r="M113" s="498">
        <v>1200</v>
      </c>
      <c r="N113" s="498">
        <v>1200</v>
      </c>
      <c r="O113" s="498">
        <v>1200</v>
      </c>
      <c r="P113" s="498">
        <v>1200</v>
      </c>
      <c r="Q113" s="498">
        <v>1200</v>
      </c>
      <c r="R113" s="499">
        <v>1200</v>
      </c>
    </row>
    <row r="114" spans="1:18" s="269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69" customFormat="1" ht="15" customHeight="1">
      <c r="A115" s="484" t="s">
        <v>1327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485"/>
      <c r="B116" s="493"/>
      <c r="C116" s="493"/>
      <c r="D116" s="493"/>
      <c r="E116" s="493"/>
      <c r="F116" s="493"/>
      <c r="G116" s="493"/>
      <c r="H116" s="493"/>
      <c r="I116" s="493"/>
      <c r="J116" s="493"/>
      <c r="K116" s="493"/>
      <c r="L116" s="493"/>
      <c r="M116" s="493"/>
      <c r="N116" s="493"/>
      <c r="O116" s="493"/>
      <c r="P116" s="493"/>
      <c r="Q116" s="493"/>
      <c r="R116" s="274"/>
    </row>
    <row r="117" spans="1:18" s="269" customFormat="1" ht="15" customHeight="1">
      <c r="A117" s="485" t="s">
        <v>1310</v>
      </c>
      <c r="B117" s="500">
        <f>SUM(B48,B80,IF(Inputs!$C$112=1,B81, B82),B103:B107,B111:B113)</f>
        <v>20469.244998518367</v>
      </c>
      <c r="C117" s="500">
        <f>SUM(C48,C80,IF(Inputs!$C$112=1,C81, C82),C103:C107,C111:C113)</f>
        <v>20570.464469978833</v>
      </c>
      <c r="D117" s="500">
        <f>SUM(D48,D80,IF(Inputs!$C$112=1,D81, D82),D103:D107,D111:D113)</f>
        <v>24270.675842025015</v>
      </c>
      <c r="E117" s="500">
        <f>SUM(E48,E80,IF(Inputs!$C$112=1,E81, E82),E103:E107,E111:E113)</f>
        <v>20091.052039843427</v>
      </c>
      <c r="F117" s="500">
        <f>SUM(F48,F80,IF(Inputs!$C$112=1,F81, F82),F103:F107,F111:F113)</f>
        <v>20384.153602800248</v>
      </c>
      <c r="G117" s="500">
        <f>SUM(G48,G80,IF(Inputs!$C$112=1,G81, G82),G103:G107,G111:G113)</f>
        <v>14459.659569785948</v>
      </c>
      <c r="H117" s="500">
        <f>SUM(H48,H80,IF(Inputs!$C$112=1,H81, H82),H103:H107,H111:H113)</f>
        <v>18340.939922146215</v>
      </c>
      <c r="I117" s="500">
        <f>SUM(I48,I80,IF(Inputs!$C$112=1,I81, I82),I103:I107,I111:I113)</f>
        <v>18656.572393189541</v>
      </c>
      <c r="J117" s="500">
        <f>SUM(J48,J80,IF(Inputs!$C$112=1,J81, J82),J103:J107,J111:J113)</f>
        <v>16855.875554425937</v>
      </c>
      <c r="K117" s="500">
        <f>SUM(K48,K80,IF(Inputs!$C$112=1,K81, K82),K103:K107,K111:K113)</f>
        <v>18342.370852884877</v>
      </c>
      <c r="L117" s="500">
        <f>SUM(L48,L80,IF(Inputs!$C$112=1,L81, L82),L103:L107,L111:L113)</f>
        <v>18664.480174113778</v>
      </c>
      <c r="M117" s="500">
        <f>SUM(M48,M80,IF(Inputs!$C$112=1,M81, M82),M103:M107,M111:M113)</f>
        <v>16362.411269361051</v>
      </c>
      <c r="N117" s="500">
        <f>SUM(N48,N80,IF(Inputs!$C$112=1,N81, N82),N103:N107,N111:N113)</f>
        <v>16707.115462593312</v>
      </c>
      <c r="O117" s="500">
        <f>SUM(O48,O80,IF(Inputs!$C$112=1,O81, O82),O103:O107,O111:O113)</f>
        <v>15498.41509774833</v>
      </c>
      <c r="P117" s="500">
        <f>SUM(P48,P80,IF(Inputs!$C$112=1,P81, P82),P103:P107,P111:P113)</f>
        <v>14353.016905726747</v>
      </c>
      <c r="Q117" s="500">
        <f>SUM(Q48,Q80,IF(Inputs!$C$112=1,Q81, Q82),Q103:Q107,Q111:Q113)</f>
        <v>20226.415621597622</v>
      </c>
      <c r="R117" s="501">
        <f>SUM(R48,R80,IF(Inputs!$C$112=1,R81, R82),R103:R107,R111:R113)</f>
        <v>19669.336230047636</v>
      </c>
    </row>
    <row r="118" spans="1:18" s="269" customFormat="1" ht="15" customHeight="1">
      <c r="A118" s="485" t="s">
        <v>1311</v>
      </c>
      <c r="B118" s="500">
        <f>SUM(B34,B43)</f>
        <v>13986.717540427358</v>
      </c>
      <c r="C118" s="500">
        <f t="shared" ref="C118:R118" si="40">SUM(C34,C43)</f>
        <v>22546.421962286342</v>
      </c>
      <c r="D118" s="500">
        <f t="shared" si="40"/>
        <v>21357.723523994413</v>
      </c>
      <c r="E118" s="500">
        <f t="shared" si="40"/>
        <v>24195.383629435673</v>
      </c>
      <c r="F118" s="500">
        <f t="shared" si="40"/>
        <v>21399.735002654852</v>
      </c>
      <c r="G118" s="500">
        <f t="shared" si="40"/>
        <v>14867.104969161608</v>
      </c>
      <c r="H118" s="500">
        <f t="shared" si="40"/>
        <v>25804.846213815836</v>
      </c>
      <c r="I118" s="500">
        <f t="shared" si="40"/>
        <v>24436.191545086185</v>
      </c>
      <c r="J118" s="500">
        <f t="shared" si="40"/>
        <v>18769.245686457401</v>
      </c>
      <c r="K118" s="500">
        <f t="shared" si="40"/>
        <v>27977.705521475829</v>
      </c>
      <c r="L118" s="500">
        <f t="shared" si="40"/>
        <v>23988.824320911721</v>
      </c>
      <c r="M118" s="500">
        <f t="shared" si="40"/>
        <v>29765.643767489877</v>
      </c>
      <c r="N118" s="500">
        <f t="shared" si="40"/>
        <v>33238.484084956028</v>
      </c>
      <c r="O118" s="500">
        <f t="shared" si="40"/>
        <v>31946.984737795166</v>
      </c>
      <c r="P118" s="500">
        <f t="shared" si="40"/>
        <v>43536.007026582243</v>
      </c>
      <c r="Q118" s="500">
        <f t="shared" si="40"/>
        <v>18993.128485998699</v>
      </c>
      <c r="R118" s="501">
        <f t="shared" si="40"/>
        <v>19547.320395245799</v>
      </c>
    </row>
    <row r="119" spans="1:18" s="269" customFormat="1" ht="15" customHeight="1">
      <c r="A119" s="485"/>
      <c r="B119" s="492"/>
      <c r="C119" s="492"/>
      <c r="D119" s="492"/>
      <c r="E119" s="492"/>
      <c r="F119" s="492"/>
      <c r="G119" s="492"/>
      <c r="H119" s="492"/>
      <c r="I119" s="492"/>
      <c r="J119" s="492"/>
      <c r="K119" s="492"/>
      <c r="L119" s="492"/>
      <c r="M119" s="492"/>
      <c r="N119" s="492"/>
      <c r="O119" s="492"/>
      <c r="P119" s="492"/>
      <c r="Q119" s="492"/>
      <c r="R119" s="173"/>
    </row>
    <row r="120" spans="1:18" s="269" customFormat="1" ht="15" customHeight="1">
      <c r="A120" s="485" t="s">
        <v>1312</v>
      </c>
      <c r="B120" s="492">
        <f t="shared" ref="B120:R120" si="41">SUM(B49,B112)</f>
        <v>3948.5283306019037</v>
      </c>
      <c r="C120" s="492">
        <f t="shared" si="41"/>
        <v>3514.4556444024656</v>
      </c>
      <c r="D120" s="492">
        <f t="shared" si="41"/>
        <v>920</v>
      </c>
      <c r="E120" s="492">
        <f t="shared" si="41"/>
        <v>2962.4208389660475</v>
      </c>
      <c r="F120" s="492">
        <f t="shared" si="41"/>
        <v>920</v>
      </c>
      <c r="G120" s="492">
        <f t="shared" si="41"/>
        <v>920</v>
      </c>
      <c r="H120" s="492">
        <f t="shared" si="41"/>
        <v>3082.4469450160218</v>
      </c>
      <c r="I120" s="492">
        <f t="shared" si="41"/>
        <v>920</v>
      </c>
      <c r="J120" s="492">
        <f t="shared" si="41"/>
        <v>920</v>
      </c>
      <c r="K120" s="492">
        <f t="shared" si="41"/>
        <v>2342.3081409558908</v>
      </c>
      <c r="L120" s="492">
        <f t="shared" si="41"/>
        <v>920</v>
      </c>
      <c r="M120" s="492">
        <f t="shared" si="41"/>
        <v>1847.2663671275732</v>
      </c>
      <c r="N120" s="492">
        <f t="shared" si="41"/>
        <v>920</v>
      </c>
      <c r="O120" s="492">
        <f t="shared" si="41"/>
        <v>1535.9898954650248</v>
      </c>
      <c r="P120" s="492">
        <f t="shared" si="41"/>
        <v>920</v>
      </c>
      <c r="Q120" s="492">
        <f t="shared" si="41"/>
        <v>3210.3579004007333</v>
      </c>
      <c r="R120" s="173">
        <f t="shared" si="41"/>
        <v>4080.1431150486096</v>
      </c>
    </row>
    <row r="121" spans="1:18" s="269" customFormat="1" ht="15" customHeight="1">
      <c r="A121" s="485" t="s">
        <v>1303</v>
      </c>
      <c r="B121" s="492">
        <f>B117/SUM(B117,B120)</f>
        <v>0.83829285834622158</v>
      </c>
      <c r="C121" s="492">
        <f t="shared" ref="C121:R121" si="42">C117/SUM(C117,C120)</f>
        <v>0.85408066010964456</v>
      </c>
      <c r="D121" s="492">
        <f t="shared" si="42"/>
        <v>0.9634785503267369</v>
      </c>
      <c r="E121" s="492">
        <f t="shared" si="42"/>
        <v>0.87149784960646526</v>
      </c>
      <c r="F121" s="492">
        <f t="shared" si="42"/>
        <v>0.95681593283860511</v>
      </c>
      <c r="G121" s="492">
        <f t="shared" si="42"/>
        <v>0.9401807305405262</v>
      </c>
      <c r="H121" s="492">
        <f t="shared" si="42"/>
        <v>0.85611766411496792</v>
      </c>
      <c r="I121" s="492">
        <f t="shared" si="42"/>
        <v>0.95300505208357833</v>
      </c>
      <c r="J121" s="492">
        <f t="shared" si="42"/>
        <v>0.94824446215416192</v>
      </c>
      <c r="K121" s="492">
        <f t="shared" si="42"/>
        <v>0.88676120419111382</v>
      </c>
      <c r="L121" s="492">
        <f t="shared" si="42"/>
        <v>0.95302402760651106</v>
      </c>
      <c r="M121" s="492">
        <f t="shared" si="42"/>
        <v>0.89855578972875316</v>
      </c>
      <c r="N121" s="492">
        <f t="shared" si="42"/>
        <v>0.94780768288763173</v>
      </c>
      <c r="O121" s="492">
        <f t="shared" si="42"/>
        <v>0.90983014105412108</v>
      </c>
      <c r="P121" s="492">
        <f t="shared" si="42"/>
        <v>0.9397630470994216</v>
      </c>
      <c r="Q121" s="492">
        <f t="shared" si="42"/>
        <v>0.86302048371174434</v>
      </c>
      <c r="R121" s="173">
        <f t="shared" si="42"/>
        <v>0.82820073418194451</v>
      </c>
    </row>
    <row r="122" spans="1:18" s="269" customFormat="1" ht="15" customHeight="1">
      <c r="A122" s="485"/>
      <c r="B122" s="492"/>
      <c r="C122" s="492"/>
      <c r="D122" s="492"/>
      <c r="E122" s="492"/>
      <c r="F122" s="492"/>
      <c r="G122" s="492"/>
      <c r="H122" s="492"/>
      <c r="I122" s="492"/>
      <c r="J122" s="492"/>
      <c r="K122" s="492"/>
      <c r="L122" s="492"/>
      <c r="M122" s="492"/>
      <c r="N122" s="492"/>
      <c r="O122" s="492"/>
      <c r="P122" s="492"/>
      <c r="Q122" s="492"/>
      <c r="R122" s="492"/>
    </row>
    <row r="123" spans="1:18" s="269" customFormat="1" ht="15" customHeight="1">
      <c r="A123" s="485" t="s">
        <v>1313</v>
      </c>
      <c r="B123" s="504">
        <f>SUM(B117,B120)</f>
        <v>24417.773329120271</v>
      </c>
      <c r="C123" s="505">
        <f t="shared" ref="C123:R123" si="43">SUM(C117,C120)</f>
        <v>24084.920114381297</v>
      </c>
      <c r="D123" s="505">
        <f t="shared" si="43"/>
        <v>25190.675842025015</v>
      </c>
      <c r="E123" s="505">
        <f t="shared" si="43"/>
        <v>23053.472878809476</v>
      </c>
      <c r="F123" s="505">
        <f t="shared" si="43"/>
        <v>21304.153602800248</v>
      </c>
      <c r="G123" s="505">
        <f t="shared" si="43"/>
        <v>15379.659569785948</v>
      </c>
      <c r="H123" s="505">
        <f t="shared" si="43"/>
        <v>21423.386867162237</v>
      </c>
      <c r="I123" s="505">
        <f t="shared" si="43"/>
        <v>19576.572393189541</v>
      </c>
      <c r="J123" s="505">
        <f t="shared" si="43"/>
        <v>17775.875554425937</v>
      </c>
      <c r="K123" s="505">
        <f t="shared" si="43"/>
        <v>20684.678993840767</v>
      </c>
      <c r="L123" s="505">
        <f t="shared" si="43"/>
        <v>19584.480174113778</v>
      </c>
      <c r="M123" s="505">
        <f t="shared" si="43"/>
        <v>18209.677636488625</v>
      </c>
      <c r="N123" s="505">
        <f t="shared" si="43"/>
        <v>17627.115462593312</v>
      </c>
      <c r="O123" s="505">
        <f t="shared" si="43"/>
        <v>17034.404993213353</v>
      </c>
      <c r="P123" s="505">
        <f t="shared" si="43"/>
        <v>15273.016905726747</v>
      </c>
      <c r="Q123" s="505">
        <f t="shared" si="43"/>
        <v>23436.773521998355</v>
      </c>
      <c r="R123" s="506">
        <f t="shared" si="43"/>
        <v>23749.479345096246</v>
      </c>
    </row>
    <row r="124" spans="1:18" s="269" customFormat="1" ht="15" customHeight="1">
      <c r="A124" s="486" t="s">
        <v>1314</v>
      </c>
      <c r="B124" s="507">
        <f>B118</f>
        <v>13986.717540427358</v>
      </c>
      <c r="C124" s="502">
        <f t="shared" ref="C124:R124" si="44">C118</f>
        <v>22546.421962286342</v>
      </c>
      <c r="D124" s="502">
        <f t="shared" si="44"/>
        <v>21357.723523994413</v>
      </c>
      <c r="E124" s="502">
        <f t="shared" si="44"/>
        <v>24195.383629435673</v>
      </c>
      <c r="F124" s="502">
        <f t="shared" si="44"/>
        <v>21399.735002654852</v>
      </c>
      <c r="G124" s="502">
        <f t="shared" si="44"/>
        <v>14867.104969161608</v>
      </c>
      <c r="H124" s="502">
        <f t="shared" si="44"/>
        <v>25804.846213815836</v>
      </c>
      <c r="I124" s="502">
        <f t="shared" si="44"/>
        <v>24436.191545086185</v>
      </c>
      <c r="J124" s="502">
        <f t="shared" si="44"/>
        <v>18769.245686457401</v>
      </c>
      <c r="K124" s="502">
        <f t="shared" si="44"/>
        <v>27977.705521475829</v>
      </c>
      <c r="L124" s="502">
        <f t="shared" si="44"/>
        <v>23988.824320911721</v>
      </c>
      <c r="M124" s="502">
        <f t="shared" si="44"/>
        <v>29765.643767489877</v>
      </c>
      <c r="N124" s="502">
        <f t="shared" si="44"/>
        <v>33238.484084956028</v>
      </c>
      <c r="O124" s="502">
        <f t="shared" si="44"/>
        <v>31946.984737795166</v>
      </c>
      <c r="P124" s="502">
        <f t="shared" si="44"/>
        <v>43536.007026582243</v>
      </c>
      <c r="Q124" s="502">
        <f t="shared" si="44"/>
        <v>18993.128485998699</v>
      </c>
      <c r="R124" s="503">
        <f t="shared" si="44"/>
        <v>19547.320395245799</v>
      </c>
    </row>
    <row r="125" spans="1:18" s="269" customFormat="1" ht="15" customHeight="1"/>
    <row r="126" spans="1:18" s="269" customFormat="1" ht="15" customHeight="1"/>
    <row r="127" spans="1:18" s="269" customFormat="1" ht="15" customHeight="1">
      <c r="A127" s="484" t="s">
        <v>1326</v>
      </c>
      <c r="B127" s="490"/>
      <c r="C127" s="490"/>
      <c r="D127" s="490"/>
      <c r="E127" s="490"/>
      <c r="F127" s="490"/>
      <c r="G127" s="490"/>
      <c r="H127" s="490"/>
      <c r="I127" s="490"/>
      <c r="J127" s="490"/>
      <c r="K127" s="490"/>
      <c r="L127" s="490"/>
      <c r="M127" s="490"/>
      <c r="N127" s="490"/>
      <c r="O127" s="490"/>
      <c r="P127" s="490"/>
      <c r="Q127" s="490"/>
      <c r="R127" s="491"/>
    </row>
    <row r="128" spans="1:18" s="269" customFormat="1" ht="15" customHeight="1">
      <c r="A128" s="509" t="s">
        <v>1328</v>
      </c>
      <c r="B128" s="492">
        <f t="shared" ref="B128:R128" si="45">CEILING((B123/12000), 0.5)</f>
        <v>2.5</v>
      </c>
      <c r="C128" s="492">
        <f t="shared" si="45"/>
        <v>2.5</v>
      </c>
      <c r="D128" s="492">
        <f t="shared" si="45"/>
        <v>2.5</v>
      </c>
      <c r="E128" s="492">
        <f t="shared" si="45"/>
        <v>2</v>
      </c>
      <c r="F128" s="492">
        <f t="shared" si="45"/>
        <v>2</v>
      </c>
      <c r="G128" s="492">
        <f t="shared" si="45"/>
        <v>1.5</v>
      </c>
      <c r="H128" s="492">
        <f t="shared" si="45"/>
        <v>2</v>
      </c>
      <c r="I128" s="492">
        <f t="shared" si="45"/>
        <v>2</v>
      </c>
      <c r="J128" s="492">
        <f t="shared" si="45"/>
        <v>1.5</v>
      </c>
      <c r="K128" s="492">
        <f t="shared" si="45"/>
        <v>2</v>
      </c>
      <c r="L128" s="492">
        <f t="shared" si="45"/>
        <v>2</v>
      </c>
      <c r="M128" s="492">
        <f t="shared" si="45"/>
        <v>2</v>
      </c>
      <c r="N128" s="492">
        <f t="shared" si="45"/>
        <v>1.5</v>
      </c>
      <c r="O128" s="492">
        <f t="shared" si="45"/>
        <v>1.5</v>
      </c>
      <c r="P128" s="492">
        <f t="shared" si="45"/>
        <v>1.5</v>
      </c>
      <c r="Q128" s="492">
        <f t="shared" si="45"/>
        <v>2</v>
      </c>
      <c r="R128" s="173">
        <f t="shared" si="45"/>
        <v>2</v>
      </c>
    </row>
    <row r="129" spans="1:19" s="269" customFormat="1" ht="15" customHeight="1">
      <c r="A129" s="509" t="s">
        <v>1329</v>
      </c>
      <c r="B129" s="492">
        <f t="shared" ref="B129:R129" si="46">CEILING((B124/12000),0.5)</f>
        <v>1.5</v>
      </c>
      <c r="C129" s="492">
        <f t="shared" si="46"/>
        <v>2</v>
      </c>
      <c r="D129" s="492">
        <f t="shared" si="46"/>
        <v>2</v>
      </c>
      <c r="E129" s="492">
        <f t="shared" si="46"/>
        <v>2.5</v>
      </c>
      <c r="F129" s="492">
        <f t="shared" si="46"/>
        <v>2</v>
      </c>
      <c r="G129" s="492">
        <f t="shared" si="46"/>
        <v>1.5</v>
      </c>
      <c r="H129" s="492">
        <f t="shared" si="46"/>
        <v>2.5</v>
      </c>
      <c r="I129" s="492">
        <f t="shared" si="46"/>
        <v>2.5</v>
      </c>
      <c r="J129" s="492">
        <f t="shared" si="46"/>
        <v>2</v>
      </c>
      <c r="K129" s="492">
        <f t="shared" si="46"/>
        <v>2.5</v>
      </c>
      <c r="L129" s="492">
        <f t="shared" si="46"/>
        <v>2</v>
      </c>
      <c r="M129" s="492">
        <f t="shared" si="46"/>
        <v>2.5</v>
      </c>
      <c r="N129" s="492">
        <f t="shared" si="46"/>
        <v>3</v>
      </c>
      <c r="O129" s="492">
        <f t="shared" si="46"/>
        <v>3</v>
      </c>
      <c r="P129" s="492">
        <f t="shared" si="46"/>
        <v>4</v>
      </c>
      <c r="Q129" s="492">
        <f t="shared" si="46"/>
        <v>2</v>
      </c>
      <c r="R129" s="173">
        <f t="shared" si="46"/>
        <v>2</v>
      </c>
    </row>
    <row r="130" spans="1:19" s="269" customFormat="1" ht="15" customHeight="1">
      <c r="A130" s="485" t="s">
        <v>1330</v>
      </c>
      <c r="B130" s="492">
        <f t="shared" ref="B130:R130" si="47">400*B128</f>
        <v>1000</v>
      </c>
      <c r="C130" s="492">
        <f t="shared" si="47"/>
        <v>1000</v>
      </c>
      <c r="D130" s="492">
        <f t="shared" si="47"/>
        <v>1000</v>
      </c>
      <c r="E130" s="492">
        <f t="shared" si="47"/>
        <v>800</v>
      </c>
      <c r="F130" s="492">
        <f t="shared" si="47"/>
        <v>800</v>
      </c>
      <c r="G130" s="492">
        <f t="shared" si="47"/>
        <v>600</v>
      </c>
      <c r="H130" s="492">
        <f t="shared" si="47"/>
        <v>800</v>
      </c>
      <c r="I130" s="492">
        <f t="shared" si="47"/>
        <v>800</v>
      </c>
      <c r="J130" s="492">
        <f t="shared" si="47"/>
        <v>600</v>
      </c>
      <c r="K130" s="492">
        <f t="shared" si="47"/>
        <v>800</v>
      </c>
      <c r="L130" s="492">
        <f t="shared" si="47"/>
        <v>800</v>
      </c>
      <c r="M130" s="492">
        <f t="shared" si="47"/>
        <v>800</v>
      </c>
      <c r="N130" s="492">
        <f t="shared" si="47"/>
        <v>600</v>
      </c>
      <c r="O130" s="492">
        <f t="shared" si="47"/>
        <v>600</v>
      </c>
      <c r="P130" s="492">
        <f t="shared" si="47"/>
        <v>600</v>
      </c>
      <c r="Q130" s="492">
        <f t="shared" si="47"/>
        <v>800</v>
      </c>
      <c r="R130" s="173">
        <f t="shared" si="47"/>
        <v>800</v>
      </c>
      <c r="S130" s="269" t="s">
        <v>1304</v>
      </c>
    </row>
    <row r="131" spans="1:19" s="269" customFormat="1" ht="15" customHeight="1">
      <c r="A131" s="485" t="s">
        <v>1331</v>
      </c>
      <c r="B131" s="492">
        <f t="shared" ref="B131:R131" si="48">B129*12000/1000*16.8</f>
        <v>302.40000000000003</v>
      </c>
      <c r="C131" s="492">
        <f t="shared" si="48"/>
        <v>403.20000000000005</v>
      </c>
      <c r="D131" s="492">
        <f t="shared" si="48"/>
        <v>403.20000000000005</v>
      </c>
      <c r="E131" s="492">
        <f t="shared" si="48"/>
        <v>504</v>
      </c>
      <c r="F131" s="492">
        <f t="shared" si="48"/>
        <v>403.20000000000005</v>
      </c>
      <c r="G131" s="492">
        <f t="shared" si="48"/>
        <v>302.40000000000003</v>
      </c>
      <c r="H131" s="492">
        <f t="shared" si="48"/>
        <v>504</v>
      </c>
      <c r="I131" s="492">
        <f t="shared" si="48"/>
        <v>504</v>
      </c>
      <c r="J131" s="492">
        <f t="shared" si="48"/>
        <v>403.20000000000005</v>
      </c>
      <c r="K131" s="492">
        <f t="shared" si="48"/>
        <v>504</v>
      </c>
      <c r="L131" s="492">
        <f t="shared" si="48"/>
        <v>403.20000000000005</v>
      </c>
      <c r="M131" s="492">
        <f t="shared" si="48"/>
        <v>504</v>
      </c>
      <c r="N131" s="492">
        <f t="shared" si="48"/>
        <v>604.80000000000007</v>
      </c>
      <c r="O131" s="492">
        <f t="shared" si="48"/>
        <v>604.80000000000007</v>
      </c>
      <c r="P131" s="492">
        <f t="shared" si="48"/>
        <v>806.40000000000009</v>
      </c>
      <c r="Q131" s="492">
        <f t="shared" si="48"/>
        <v>403.20000000000005</v>
      </c>
      <c r="R131" s="173">
        <f t="shared" si="48"/>
        <v>403.20000000000005</v>
      </c>
      <c r="S131" s="269" t="s">
        <v>1305</v>
      </c>
    </row>
    <row r="132" spans="1:19" s="269" customFormat="1" ht="15" customHeight="1">
      <c r="A132" s="485" t="s">
        <v>1306</v>
      </c>
      <c r="B132" s="492">
        <f>IF(B131/B130&lt;0.5,0.5*B130/B131,IF(B131/B130&gt;1.5,1.5*B130/B131,1))</f>
        <v>1.6534391534391533</v>
      </c>
      <c r="C132" s="492">
        <f t="shared" ref="C132:R132" si="49">IF(C131/C130&lt;0.5,0.5*C130/C131,IF(C131/C130&gt;1.5,1.5*C130/C131,1))</f>
        <v>1.2400793650793649</v>
      </c>
      <c r="D132" s="492">
        <f t="shared" si="49"/>
        <v>1.2400793650793649</v>
      </c>
      <c r="E132" s="492">
        <f t="shared" si="49"/>
        <v>1</v>
      </c>
      <c r="F132" s="492">
        <f t="shared" si="49"/>
        <v>1</v>
      </c>
      <c r="G132" s="492">
        <f t="shared" si="49"/>
        <v>1</v>
      </c>
      <c r="H132" s="492">
        <f t="shared" si="49"/>
        <v>1</v>
      </c>
      <c r="I132" s="492">
        <f t="shared" si="49"/>
        <v>1</v>
      </c>
      <c r="J132" s="492">
        <f t="shared" si="49"/>
        <v>1</v>
      </c>
      <c r="K132" s="492">
        <f t="shared" si="49"/>
        <v>1</v>
      </c>
      <c r="L132" s="492">
        <f t="shared" si="49"/>
        <v>1</v>
      </c>
      <c r="M132" s="492">
        <f t="shared" si="49"/>
        <v>1</v>
      </c>
      <c r="N132" s="492">
        <f t="shared" si="49"/>
        <v>1</v>
      </c>
      <c r="O132" s="492">
        <f t="shared" si="49"/>
        <v>1</v>
      </c>
      <c r="P132" s="492">
        <f t="shared" si="49"/>
        <v>1</v>
      </c>
      <c r="Q132" s="492">
        <f t="shared" si="49"/>
        <v>1</v>
      </c>
      <c r="R132" s="173">
        <f t="shared" si="49"/>
        <v>1</v>
      </c>
    </row>
    <row r="133" spans="1:19" s="269" customFormat="1" ht="15" customHeight="1">
      <c r="A133" s="485" t="s">
        <v>1332</v>
      </c>
      <c r="B133" s="492">
        <f t="shared" ref="B133:R133" si="50">CEILING(IF(B130&gt;B131,B128,B128*B132), 0.5)</f>
        <v>2.5</v>
      </c>
      <c r="C133" s="492">
        <f t="shared" si="50"/>
        <v>2.5</v>
      </c>
      <c r="D133" s="492">
        <f t="shared" si="50"/>
        <v>2.5</v>
      </c>
      <c r="E133" s="492">
        <f t="shared" si="50"/>
        <v>2</v>
      </c>
      <c r="F133" s="492">
        <f t="shared" si="50"/>
        <v>2</v>
      </c>
      <c r="G133" s="492">
        <f t="shared" si="50"/>
        <v>1.5</v>
      </c>
      <c r="H133" s="492">
        <f t="shared" si="50"/>
        <v>2</v>
      </c>
      <c r="I133" s="492">
        <f t="shared" si="50"/>
        <v>2</v>
      </c>
      <c r="J133" s="492">
        <f t="shared" si="50"/>
        <v>1.5</v>
      </c>
      <c r="K133" s="492">
        <f t="shared" si="50"/>
        <v>2</v>
      </c>
      <c r="L133" s="492">
        <f t="shared" si="50"/>
        <v>2</v>
      </c>
      <c r="M133" s="492">
        <f t="shared" si="50"/>
        <v>2</v>
      </c>
      <c r="N133" s="492">
        <f t="shared" si="50"/>
        <v>1.5</v>
      </c>
      <c r="O133" s="492">
        <f t="shared" si="50"/>
        <v>1.5</v>
      </c>
      <c r="P133" s="492">
        <f t="shared" si="50"/>
        <v>1.5</v>
      </c>
      <c r="Q133" s="492">
        <f t="shared" si="50"/>
        <v>2</v>
      </c>
      <c r="R133" s="173">
        <f t="shared" si="50"/>
        <v>2</v>
      </c>
    </row>
    <row r="134" spans="1:19" s="269" customFormat="1" ht="15" customHeight="1">
      <c r="A134" s="485" t="s">
        <v>1322</v>
      </c>
      <c r="B134" s="492">
        <f>400*B133</f>
        <v>1000</v>
      </c>
      <c r="C134" s="492">
        <f t="shared" ref="C134:R134" si="51">400*C133</f>
        <v>1000</v>
      </c>
      <c r="D134" s="492">
        <f t="shared" si="51"/>
        <v>1000</v>
      </c>
      <c r="E134" s="492">
        <f t="shared" si="51"/>
        <v>800</v>
      </c>
      <c r="F134" s="492">
        <f t="shared" si="51"/>
        <v>800</v>
      </c>
      <c r="G134" s="492">
        <f t="shared" si="51"/>
        <v>600</v>
      </c>
      <c r="H134" s="492">
        <f t="shared" si="51"/>
        <v>800</v>
      </c>
      <c r="I134" s="492">
        <f t="shared" si="51"/>
        <v>800</v>
      </c>
      <c r="J134" s="492">
        <f t="shared" si="51"/>
        <v>600</v>
      </c>
      <c r="K134" s="492">
        <f t="shared" si="51"/>
        <v>800</v>
      </c>
      <c r="L134" s="492">
        <f t="shared" si="51"/>
        <v>800</v>
      </c>
      <c r="M134" s="492">
        <f t="shared" si="51"/>
        <v>800</v>
      </c>
      <c r="N134" s="492">
        <f t="shared" si="51"/>
        <v>600</v>
      </c>
      <c r="O134" s="492">
        <f t="shared" si="51"/>
        <v>600</v>
      </c>
      <c r="P134" s="492">
        <f t="shared" si="51"/>
        <v>600</v>
      </c>
      <c r="Q134" s="492">
        <f t="shared" si="51"/>
        <v>800</v>
      </c>
      <c r="R134" s="173">
        <f t="shared" si="51"/>
        <v>800</v>
      </c>
    </row>
    <row r="135" spans="1:19" s="269" customFormat="1" ht="15" customHeight="1">
      <c r="A135" s="485" t="s">
        <v>1323</v>
      </c>
      <c r="B135" s="492">
        <f>0.000472*B134</f>
        <v>0.47199999999999998</v>
      </c>
      <c r="C135" s="492">
        <f t="shared" ref="C135:R135" si="52">0.000472*C134</f>
        <v>0.47199999999999998</v>
      </c>
      <c r="D135" s="492">
        <f t="shared" si="52"/>
        <v>0.47199999999999998</v>
      </c>
      <c r="E135" s="492">
        <f t="shared" si="52"/>
        <v>0.37759999999999999</v>
      </c>
      <c r="F135" s="492">
        <f t="shared" si="52"/>
        <v>0.37759999999999999</v>
      </c>
      <c r="G135" s="492">
        <f t="shared" si="52"/>
        <v>0.28320000000000001</v>
      </c>
      <c r="H135" s="492">
        <f t="shared" si="52"/>
        <v>0.37759999999999999</v>
      </c>
      <c r="I135" s="492">
        <f t="shared" si="52"/>
        <v>0.37759999999999999</v>
      </c>
      <c r="J135" s="492">
        <f t="shared" si="52"/>
        <v>0.28320000000000001</v>
      </c>
      <c r="K135" s="492">
        <f t="shared" si="52"/>
        <v>0.37759999999999999</v>
      </c>
      <c r="L135" s="492">
        <f t="shared" si="52"/>
        <v>0.37759999999999999</v>
      </c>
      <c r="M135" s="492">
        <f t="shared" si="52"/>
        <v>0.37759999999999999</v>
      </c>
      <c r="N135" s="492">
        <f t="shared" si="52"/>
        <v>0.28320000000000001</v>
      </c>
      <c r="O135" s="492">
        <f t="shared" si="52"/>
        <v>0.28320000000000001</v>
      </c>
      <c r="P135" s="492">
        <f t="shared" si="52"/>
        <v>0.28320000000000001</v>
      </c>
      <c r="Q135" s="492">
        <f t="shared" si="52"/>
        <v>0.37759999999999999</v>
      </c>
      <c r="R135" s="173">
        <f t="shared" si="52"/>
        <v>0.37759999999999999</v>
      </c>
    </row>
    <row r="136" spans="1:19" s="269" customFormat="1" ht="15" customHeight="1">
      <c r="A136" s="485" t="s">
        <v>1320</v>
      </c>
      <c r="B136" s="492">
        <f>B134/2.5</f>
        <v>400</v>
      </c>
      <c r="C136" s="492">
        <f t="shared" ref="C136:R136" si="53">C134/2.5</f>
        <v>400</v>
      </c>
      <c r="D136" s="492">
        <f t="shared" si="53"/>
        <v>400</v>
      </c>
      <c r="E136" s="492">
        <f t="shared" si="53"/>
        <v>320</v>
      </c>
      <c r="F136" s="492">
        <f t="shared" si="53"/>
        <v>320</v>
      </c>
      <c r="G136" s="492">
        <f t="shared" si="53"/>
        <v>240</v>
      </c>
      <c r="H136" s="492">
        <f t="shared" si="53"/>
        <v>320</v>
      </c>
      <c r="I136" s="492">
        <f t="shared" si="53"/>
        <v>320</v>
      </c>
      <c r="J136" s="492">
        <f t="shared" si="53"/>
        <v>240</v>
      </c>
      <c r="K136" s="492">
        <f t="shared" si="53"/>
        <v>320</v>
      </c>
      <c r="L136" s="492">
        <f t="shared" si="53"/>
        <v>320</v>
      </c>
      <c r="M136" s="492">
        <f t="shared" si="53"/>
        <v>320</v>
      </c>
      <c r="N136" s="492">
        <f t="shared" si="53"/>
        <v>240</v>
      </c>
      <c r="O136" s="492">
        <f t="shared" si="53"/>
        <v>240</v>
      </c>
      <c r="P136" s="492">
        <f t="shared" si="53"/>
        <v>240</v>
      </c>
      <c r="Q136" s="492">
        <f t="shared" si="53"/>
        <v>320</v>
      </c>
      <c r="R136" s="173">
        <f t="shared" si="53"/>
        <v>320</v>
      </c>
    </row>
    <row r="137" spans="1:19" s="269" customFormat="1" ht="15" customHeight="1">
      <c r="A137" s="485" t="s">
        <v>1333</v>
      </c>
      <c r="B137" s="492">
        <f t="shared" ref="B137:R137" si="54">CEILING(IF(AND(B131&lt;B130, B132&lt;&gt;1),B129*B132,B129), 0.5)</f>
        <v>2.5</v>
      </c>
      <c r="C137" s="492">
        <f t="shared" si="54"/>
        <v>2.5</v>
      </c>
      <c r="D137" s="492">
        <f t="shared" si="54"/>
        <v>2.5</v>
      </c>
      <c r="E137" s="492">
        <f t="shared" si="54"/>
        <v>2.5</v>
      </c>
      <c r="F137" s="492">
        <f t="shared" si="54"/>
        <v>2</v>
      </c>
      <c r="G137" s="492">
        <f t="shared" si="54"/>
        <v>1.5</v>
      </c>
      <c r="H137" s="492">
        <f t="shared" si="54"/>
        <v>2.5</v>
      </c>
      <c r="I137" s="492">
        <f t="shared" si="54"/>
        <v>2.5</v>
      </c>
      <c r="J137" s="492">
        <f t="shared" si="54"/>
        <v>2</v>
      </c>
      <c r="K137" s="492">
        <f t="shared" si="54"/>
        <v>2.5</v>
      </c>
      <c r="L137" s="492">
        <f t="shared" si="54"/>
        <v>2</v>
      </c>
      <c r="M137" s="492">
        <f t="shared" si="54"/>
        <v>2.5</v>
      </c>
      <c r="N137" s="492">
        <f t="shared" si="54"/>
        <v>3</v>
      </c>
      <c r="O137" s="492">
        <f t="shared" si="54"/>
        <v>3</v>
      </c>
      <c r="P137" s="492">
        <f t="shared" si="54"/>
        <v>4</v>
      </c>
      <c r="Q137" s="492">
        <f t="shared" si="54"/>
        <v>2</v>
      </c>
      <c r="R137" s="173">
        <f t="shared" si="54"/>
        <v>2</v>
      </c>
    </row>
    <row r="138" spans="1:19" s="269" customFormat="1" ht="15" customHeight="1">
      <c r="A138" s="485" t="s">
        <v>1324</v>
      </c>
      <c r="B138" s="492">
        <f>16.8*B137*12000/1000</f>
        <v>504</v>
      </c>
      <c r="C138" s="492">
        <f t="shared" ref="C138:R138" si="55">16.8*C137*12000/1000</f>
        <v>504</v>
      </c>
      <c r="D138" s="492">
        <f t="shared" si="55"/>
        <v>504</v>
      </c>
      <c r="E138" s="492">
        <f t="shared" si="55"/>
        <v>504</v>
      </c>
      <c r="F138" s="492">
        <f t="shared" si="55"/>
        <v>403.2</v>
      </c>
      <c r="G138" s="492">
        <f t="shared" si="55"/>
        <v>302.40000000000003</v>
      </c>
      <c r="H138" s="492">
        <f t="shared" si="55"/>
        <v>504</v>
      </c>
      <c r="I138" s="492">
        <f t="shared" si="55"/>
        <v>504</v>
      </c>
      <c r="J138" s="492">
        <f t="shared" si="55"/>
        <v>403.2</v>
      </c>
      <c r="K138" s="492">
        <f t="shared" si="55"/>
        <v>504</v>
      </c>
      <c r="L138" s="492">
        <f t="shared" si="55"/>
        <v>403.2</v>
      </c>
      <c r="M138" s="492">
        <f t="shared" si="55"/>
        <v>504</v>
      </c>
      <c r="N138" s="492">
        <f t="shared" si="55"/>
        <v>604.80000000000007</v>
      </c>
      <c r="O138" s="492">
        <f t="shared" si="55"/>
        <v>604.80000000000007</v>
      </c>
      <c r="P138" s="492">
        <f t="shared" si="55"/>
        <v>806.4</v>
      </c>
      <c r="Q138" s="492">
        <f t="shared" si="55"/>
        <v>403.2</v>
      </c>
      <c r="R138" s="173">
        <f t="shared" si="55"/>
        <v>403.2</v>
      </c>
    </row>
    <row r="139" spans="1:19" s="269" customFormat="1" ht="15" customHeight="1">
      <c r="A139" s="485" t="s">
        <v>1325</v>
      </c>
      <c r="B139" s="492">
        <f>0.000472*B138</f>
        <v>0.23788799999999999</v>
      </c>
      <c r="C139" s="492">
        <f t="shared" ref="C139:R139" si="56">0.000472*C138</f>
        <v>0.23788799999999999</v>
      </c>
      <c r="D139" s="492">
        <f t="shared" si="56"/>
        <v>0.23788799999999999</v>
      </c>
      <c r="E139" s="492">
        <f t="shared" si="56"/>
        <v>0.23788799999999999</v>
      </c>
      <c r="F139" s="492">
        <f t="shared" si="56"/>
        <v>0.19031039999999999</v>
      </c>
      <c r="G139" s="492">
        <f t="shared" si="56"/>
        <v>0.14273280000000002</v>
      </c>
      <c r="H139" s="492">
        <f t="shared" si="56"/>
        <v>0.23788799999999999</v>
      </c>
      <c r="I139" s="492">
        <f t="shared" si="56"/>
        <v>0.23788799999999999</v>
      </c>
      <c r="J139" s="492">
        <f t="shared" si="56"/>
        <v>0.19031039999999999</v>
      </c>
      <c r="K139" s="492">
        <f t="shared" si="56"/>
        <v>0.23788799999999999</v>
      </c>
      <c r="L139" s="492">
        <f t="shared" si="56"/>
        <v>0.19031039999999999</v>
      </c>
      <c r="M139" s="492">
        <f t="shared" si="56"/>
        <v>0.23788799999999999</v>
      </c>
      <c r="N139" s="492">
        <f t="shared" si="56"/>
        <v>0.28546560000000004</v>
      </c>
      <c r="O139" s="492">
        <f t="shared" si="56"/>
        <v>0.28546560000000004</v>
      </c>
      <c r="P139" s="492">
        <f t="shared" si="56"/>
        <v>0.38062079999999998</v>
      </c>
      <c r="Q139" s="492">
        <f t="shared" si="56"/>
        <v>0.19031039999999999</v>
      </c>
      <c r="R139" s="173">
        <f t="shared" si="56"/>
        <v>0.19031039999999999</v>
      </c>
    </row>
    <row r="140" spans="1:19" s="269" customFormat="1" ht="15" customHeight="1">
      <c r="A140" s="485" t="s">
        <v>1321</v>
      </c>
      <c r="B140" s="492">
        <f>B138/2.5</f>
        <v>201.6</v>
      </c>
      <c r="C140" s="492">
        <f t="shared" ref="C140:R140" si="57">C138/2.5</f>
        <v>201.6</v>
      </c>
      <c r="D140" s="492">
        <f t="shared" si="57"/>
        <v>201.6</v>
      </c>
      <c r="E140" s="492">
        <f t="shared" si="57"/>
        <v>201.6</v>
      </c>
      <c r="F140" s="492">
        <f t="shared" si="57"/>
        <v>161.28</v>
      </c>
      <c r="G140" s="492">
        <f t="shared" si="57"/>
        <v>120.96000000000001</v>
      </c>
      <c r="H140" s="492">
        <f t="shared" si="57"/>
        <v>201.6</v>
      </c>
      <c r="I140" s="492">
        <f t="shared" si="57"/>
        <v>201.6</v>
      </c>
      <c r="J140" s="492">
        <f t="shared" si="57"/>
        <v>161.28</v>
      </c>
      <c r="K140" s="492">
        <f t="shared" si="57"/>
        <v>201.6</v>
      </c>
      <c r="L140" s="492">
        <f t="shared" si="57"/>
        <v>161.28</v>
      </c>
      <c r="M140" s="492">
        <f t="shared" si="57"/>
        <v>201.6</v>
      </c>
      <c r="N140" s="492">
        <f t="shared" si="57"/>
        <v>241.92000000000002</v>
      </c>
      <c r="O140" s="492">
        <f t="shared" si="57"/>
        <v>241.92000000000002</v>
      </c>
      <c r="P140" s="492">
        <f t="shared" si="57"/>
        <v>322.56</v>
      </c>
      <c r="Q140" s="492">
        <f t="shared" si="57"/>
        <v>161.28</v>
      </c>
      <c r="R140" s="173">
        <f t="shared" si="57"/>
        <v>161.28</v>
      </c>
    </row>
    <row r="141" spans="1:19" s="269" customFormat="1" ht="15" customHeight="1">
      <c r="A141" s="511" t="s">
        <v>1334</v>
      </c>
      <c r="B141" s="510">
        <f>IF(B135&gt;B139,B135,B139)*Ducts!$D$18/(25^Ducts!$D$20)</f>
        <v>0</v>
      </c>
      <c r="C141" s="510">
        <f>IF(C135&gt;C139,C135,C139)*Ducts!$D$18/(25^Ducts!$D$20)</f>
        <v>0</v>
      </c>
      <c r="D141" s="510">
        <f>IF(D135&gt;D139,D135,D139)*Ducts!$D$18/(25^Ducts!$D$20)</f>
        <v>0</v>
      </c>
      <c r="E141" s="510">
        <f>IF(E135&gt;E139,E135,E139)*Ducts!$D$18/(25^Ducts!$D$20)</f>
        <v>0</v>
      </c>
      <c r="F141" s="510">
        <f>IF(F135&gt;F139,F135,F139)*Ducts!$D$18/(25^Ducts!$D$20)</f>
        <v>0</v>
      </c>
      <c r="G141" s="510">
        <f>IF(G135&gt;G139,G135,G139)*Ducts!$D$18/(25^Ducts!$D$20)</f>
        <v>0</v>
      </c>
      <c r="H141" s="510">
        <f>IF(H135&gt;H139,H135,H139)*Ducts!$D$18/(25^Ducts!$D$20)</f>
        <v>0</v>
      </c>
      <c r="I141" s="510">
        <f>IF(I135&gt;I139,I135,I139)*Ducts!$D$18/(25^Ducts!$D$20)</f>
        <v>0</v>
      </c>
      <c r="J141" s="510">
        <f>IF(J135&gt;J139,J135,J139)*Ducts!$D$18/(25^Ducts!$D$20)</f>
        <v>0</v>
      </c>
      <c r="K141" s="510">
        <f>IF(K135&gt;K139,K135,K139)*Ducts!$D$18/(25^Ducts!$D$20)</f>
        <v>0</v>
      </c>
      <c r="L141" s="510">
        <f>IF(L135&gt;L139,L135,L139)*Ducts!$D$18/(25^Ducts!$D$20)</f>
        <v>0</v>
      </c>
      <c r="M141" s="510">
        <f>IF(M135&gt;M139,M135,M139)*Ducts!$D$18/(25^Ducts!$D$20)</f>
        <v>0</v>
      </c>
      <c r="N141" s="510">
        <f>IF(N135&gt;N139,N135,N139)*Ducts!$D$18/(25^Ducts!$D$20)</f>
        <v>0</v>
      </c>
      <c r="O141" s="510">
        <f>IF(O135&gt;O139,O135,O139)*Ducts!$D$18/(25^Ducts!$D$20)</f>
        <v>0</v>
      </c>
      <c r="P141" s="510">
        <f>IF(P135&gt;P139,P135,P139)*Ducts!$D$18/(25^Ducts!$D$20)</f>
        <v>0</v>
      </c>
      <c r="Q141" s="510">
        <f>IF(Q135&gt;Q139,Q135,Q139)*Ducts!$D$18/(25^Ducts!$D$20)</f>
        <v>0</v>
      </c>
      <c r="R141" s="512">
        <f>IF(R135&gt;R139,R135,R139)*Ducts!$D$18/(25^Ducts!$D$20)</f>
        <v>0</v>
      </c>
    </row>
    <row r="142" spans="1:19" ht="15" customHeight="1">
      <c r="A142" s="513" t="s">
        <v>1335</v>
      </c>
      <c r="B142" s="514">
        <f>IF(B135&gt;B139,B135,B139)*Ducts!$D$19/(25^Ducts!$D$21)</f>
        <v>0</v>
      </c>
      <c r="C142" s="514">
        <f>IF(C135&gt;C139,C135,C139)*Ducts!$D$19/(25^Ducts!$D$21)</f>
        <v>0</v>
      </c>
      <c r="D142" s="514">
        <f>IF(D135&gt;D139,D135,D139)*Ducts!$D$19/(25^Ducts!$D$21)</f>
        <v>0</v>
      </c>
      <c r="E142" s="514">
        <f>IF(E135&gt;E139,E135,E139)*Ducts!$D$19/(25^Ducts!$D$21)</f>
        <v>0</v>
      </c>
      <c r="F142" s="514">
        <f>IF(F135&gt;F139,F135,F139)*Ducts!$D$19/(25^Ducts!$D$21)</f>
        <v>0</v>
      </c>
      <c r="G142" s="514">
        <f>IF(G135&gt;G139,G135,G139)*Ducts!$D$19/(25^Ducts!$D$21)</f>
        <v>0</v>
      </c>
      <c r="H142" s="514">
        <f>IF(H135&gt;H139,H135,H139)*Ducts!$D$19/(25^Ducts!$D$21)</f>
        <v>0</v>
      </c>
      <c r="I142" s="514">
        <f>IF(I135&gt;I139,I135,I139)*Ducts!$D$19/(25^Ducts!$D$21)</f>
        <v>0</v>
      </c>
      <c r="J142" s="514">
        <f>IF(J135&gt;J139,J135,J139)*Ducts!$D$19/(25^Ducts!$D$21)</f>
        <v>0</v>
      </c>
      <c r="K142" s="514">
        <f>IF(K135&gt;K139,K135,K139)*Ducts!$D$19/(25^Ducts!$D$21)</f>
        <v>0</v>
      </c>
      <c r="L142" s="514">
        <f>IF(L135&gt;L139,L135,L139)*Ducts!$D$19/(25^Ducts!$D$21)</f>
        <v>0</v>
      </c>
      <c r="M142" s="514">
        <f>IF(M135&gt;M139,M135,M139)*Ducts!$D$19/(25^Ducts!$D$21)</f>
        <v>0</v>
      </c>
      <c r="N142" s="514">
        <f>IF(N135&gt;N139,N135,N139)*Ducts!$D$19/(25^Ducts!$D$21)</f>
        <v>0</v>
      </c>
      <c r="O142" s="514">
        <f>IF(O135&gt;O139,O135,O139)*Ducts!$D$19/(25^Ducts!$D$21)</f>
        <v>0</v>
      </c>
      <c r="P142" s="514">
        <f>IF(P135&gt;P139,P135,P139)*Ducts!$D$19/(25^Ducts!$D$21)</f>
        <v>0</v>
      </c>
      <c r="Q142" s="514">
        <f>IF(Q135&gt;Q139,Q135,Q139)*Ducts!$D$19/(25^Ducts!$D$21)</f>
        <v>0</v>
      </c>
      <c r="R142" s="515">
        <f>IF(R135&gt;R139,R135,R139)*Ducts!$D$19/(25^Ducts!$D$21)</f>
        <v>0</v>
      </c>
    </row>
    <row r="143" spans="1:19" s="269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1280</v>
      </c>
    </row>
    <row r="145" spans="1:19" ht="15" customHeight="1">
      <c r="A145" s="269" t="s">
        <v>1293</v>
      </c>
      <c r="B145" s="269">
        <v>0</v>
      </c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  <c r="Q145" s="269"/>
      <c r="R145" s="269"/>
      <c r="S145" s="269"/>
    </row>
    <row r="146" spans="1:19" ht="15" customHeight="1">
      <c r="A146" s="5" t="s">
        <v>1281</v>
      </c>
      <c r="B146" s="5" t="s">
        <v>1292</v>
      </c>
    </row>
    <row r="147" spans="1:19" ht="15" customHeight="1">
      <c r="A147" s="5" t="s">
        <v>1282</v>
      </c>
      <c r="B147" s="5">
        <v>0.3</v>
      </c>
    </row>
    <row r="148" spans="1:19" ht="15" customHeight="1">
      <c r="A148" s="5" t="s">
        <v>1283</v>
      </c>
      <c r="B148" s="5">
        <v>0.2</v>
      </c>
    </row>
    <row r="149" spans="1:19" ht="15" customHeight="1">
      <c r="A149" s="5" t="s">
        <v>1284</v>
      </c>
      <c r="B149" s="5">
        <v>0.15</v>
      </c>
    </row>
    <row r="150" spans="1:19" ht="15" customHeight="1">
      <c r="A150" s="5" t="s">
        <v>1285</v>
      </c>
      <c r="B150" s="5">
        <v>0.1</v>
      </c>
    </row>
    <row r="151" spans="1:19" ht="15" customHeight="1">
      <c r="A151" s="5" t="s">
        <v>1286</v>
      </c>
    </row>
    <row r="152" spans="1:19" ht="15" customHeight="1">
      <c r="A152" s="269" t="s">
        <v>1282</v>
      </c>
      <c r="B152" s="5">
        <v>0.15</v>
      </c>
    </row>
    <row r="153" spans="1:19" ht="15" customHeight="1">
      <c r="A153" s="269" t="s">
        <v>1283</v>
      </c>
      <c r="B153" s="5">
        <v>0.1</v>
      </c>
    </row>
    <row r="154" spans="1:19" ht="15" customHeight="1">
      <c r="A154" s="269" t="s">
        <v>1284</v>
      </c>
      <c r="B154" s="5">
        <v>0.05</v>
      </c>
    </row>
    <row r="155" spans="1:19" ht="15" customHeight="1">
      <c r="A155" s="269" t="s">
        <v>1285</v>
      </c>
      <c r="B155" s="5">
        <v>0</v>
      </c>
    </row>
    <row r="156" spans="1:19" ht="15" customHeight="1">
      <c r="A156" s="5" t="s">
        <v>1287</v>
      </c>
    </row>
    <row r="157" spans="1:19" ht="15" customHeight="1">
      <c r="A157" s="5" t="s">
        <v>1288</v>
      </c>
      <c r="B157" s="5">
        <v>0.1</v>
      </c>
    </row>
    <row r="158" spans="1:19" ht="15" customHeight="1">
      <c r="A158" s="5" t="s">
        <v>1289</v>
      </c>
      <c r="B158" s="5">
        <v>0.05</v>
      </c>
    </row>
    <row r="159" spans="1:19" ht="15" customHeight="1">
      <c r="A159" s="5" t="s">
        <v>1290</v>
      </c>
      <c r="B159" s="5">
        <v>0</v>
      </c>
    </row>
    <row r="160" spans="1:19" ht="15" customHeight="1">
      <c r="A160" s="5" t="s">
        <v>1291</v>
      </c>
      <c r="B160" s="5">
        <v>0</v>
      </c>
    </row>
    <row r="167" spans="1:19" ht="15" customHeight="1">
      <c r="A167" s="283" t="s">
        <v>694</v>
      </c>
      <c r="B167" s="215" t="s">
        <v>690</v>
      </c>
      <c r="C167" s="215">
        <v>0.8</v>
      </c>
      <c r="D167" s="215">
        <v>0.8</v>
      </c>
      <c r="E167" s="215">
        <v>0.8</v>
      </c>
      <c r="F167" s="215">
        <v>0.9</v>
      </c>
      <c r="G167" s="215">
        <v>0.9</v>
      </c>
      <c r="H167" s="215">
        <v>0.9</v>
      </c>
      <c r="I167" s="215">
        <v>0.9</v>
      </c>
      <c r="J167" s="215">
        <v>0.9</v>
      </c>
      <c r="K167" s="215">
        <v>0.94</v>
      </c>
      <c r="L167" s="215">
        <v>0.94</v>
      </c>
      <c r="M167" s="215">
        <v>0.94</v>
      </c>
      <c r="N167" s="215">
        <v>0.94</v>
      </c>
      <c r="O167" s="215">
        <v>0.94</v>
      </c>
      <c r="P167" s="215">
        <v>0.94</v>
      </c>
      <c r="Q167" s="215">
        <v>0.94</v>
      </c>
      <c r="R167" s="269"/>
      <c r="S167" s="269" t="s">
        <v>696</v>
      </c>
    </row>
    <row r="168" spans="1:19" ht="15" customHeight="1">
      <c r="A168" s="215"/>
      <c r="B168" s="215" t="s">
        <v>691</v>
      </c>
      <c r="C168" s="215">
        <v>18</v>
      </c>
      <c r="D168" s="215">
        <v>18</v>
      </c>
      <c r="E168" s="215">
        <v>18</v>
      </c>
      <c r="F168" s="215">
        <v>15</v>
      </c>
      <c r="G168" s="215">
        <v>15</v>
      </c>
      <c r="H168" s="215">
        <v>15</v>
      </c>
      <c r="I168" s="215">
        <v>15</v>
      </c>
      <c r="J168" s="215">
        <v>15</v>
      </c>
      <c r="K168" s="215">
        <v>13</v>
      </c>
      <c r="L168" s="215">
        <v>13</v>
      </c>
      <c r="M168" s="215">
        <v>13</v>
      </c>
      <c r="N168" s="215">
        <v>13</v>
      </c>
      <c r="O168" s="215">
        <v>13</v>
      </c>
      <c r="P168" s="215">
        <v>13</v>
      </c>
      <c r="Q168" s="215">
        <v>13</v>
      </c>
      <c r="R168" s="269"/>
      <c r="S168" s="269"/>
    </row>
    <row r="169" spans="1:19" ht="15" customHeight="1">
      <c r="A169" s="215"/>
      <c r="B169" s="215" t="s">
        <v>692</v>
      </c>
      <c r="C169" s="215">
        <v>8.1999999999999993</v>
      </c>
      <c r="D169" s="215">
        <v>8.1999999999999993</v>
      </c>
      <c r="E169" s="215">
        <v>8.1999999999999993</v>
      </c>
      <c r="F169" s="215">
        <v>9</v>
      </c>
      <c r="G169" s="215">
        <v>9</v>
      </c>
      <c r="H169" s="215">
        <v>9</v>
      </c>
      <c r="I169" s="215">
        <v>9</v>
      </c>
      <c r="J169" s="215">
        <v>9</v>
      </c>
      <c r="K169" s="215">
        <v>10</v>
      </c>
      <c r="L169" s="215">
        <v>10</v>
      </c>
      <c r="M169" s="215">
        <v>10</v>
      </c>
      <c r="N169" s="215">
        <v>10</v>
      </c>
      <c r="O169" s="215">
        <v>10</v>
      </c>
      <c r="P169" s="215">
        <v>10</v>
      </c>
      <c r="Q169" s="215">
        <v>10</v>
      </c>
      <c r="R169" s="269"/>
      <c r="S169" s="269"/>
    </row>
    <row r="172" spans="1:19" ht="15" customHeight="1">
      <c r="C172" s="457" t="s">
        <v>721</v>
      </c>
      <c r="D172" s="458" t="s">
        <v>713</v>
      </c>
      <c r="E172" s="457" t="s">
        <v>383</v>
      </c>
      <c r="F172" s="457" t="s">
        <v>719</v>
      </c>
      <c r="G172" s="457" t="s">
        <v>720</v>
      </c>
      <c r="H172" s="215"/>
      <c r="I172" s="246" t="s">
        <v>729</v>
      </c>
      <c r="J172" s="215"/>
      <c r="K172" s="215"/>
      <c r="S172" s="269" t="s">
        <v>700</v>
      </c>
    </row>
    <row r="173" spans="1:19" ht="15" customHeight="1">
      <c r="C173" s="215"/>
      <c r="D173" s="248" t="s">
        <v>714</v>
      </c>
      <c r="E173" s="215">
        <v>90</v>
      </c>
      <c r="F173" s="285">
        <v>5.0000000000000001E-3</v>
      </c>
      <c r="G173" s="285">
        <v>1.4999999999999999E-2</v>
      </c>
      <c r="H173" s="215"/>
      <c r="I173" s="215"/>
      <c r="J173" s="215"/>
      <c r="K173" s="215"/>
    </row>
    <row r="174" spans="1:19" ht="15" customHeight="1">
      <c r="C174" s="215"/>
      <c r="D174" s="248" t="s">
        <v>715</v>
      </c>
      <c r="E174" s="215">
        <v>80</v>
      </c>
      <c r="F174" s="285">
        <v>5.0000000000000001E-3</v>
      </c>
      <c r="G174" s="285">
        <v>1.4999999999999999E-2</v>
      </c>
      <c r="H174" s="215"/>
      <c r="I174" s="215"/>
      <c r="J174" s="215"/>
      <c r="K174" s="215"/>
    </row>
    <row r="175" spans="1:19" ht="15" customHeight="1">
      <c r="C175" s="215"/>
      <c r="D175" s="248" t="s">
        <v>716</v>
      </c>
      <c r="E175" s="215">
        <v>78</v>
      </c>
      <c r="F175" s="285">
        <v>5.0000000000000001E-3</v>
      </c>
      <c r="G175" s="285">
        <v>1.4999999999999999E-2</v>
      </c>
      <c r="H175" s="215"/>
      <c r="I175" s="215"/>
      <c r="J175" s="215"/>
      <c r="K175" s="215"/>
    </row>
    <row r="176" spans="1:19" ht="15" customHeight="1">
      <c r="C176" s="215"/>
      <c r="D176" s="459" t="s">
        <v>717</v>
      </c>
      <c r="E176" s="215">
        <v>75</v>
      </c>
      <c r="F176" s="285">
        <v>5.0000000000000001E-3</v>
      </c>
      <c r="G176" s="285">
        <v>1.4999999999999999E-2</v>
      </c>
      <c r="H176" s="215"/>
      <c r="I176" s="215"/>
      <c r="J176" s="215"/>
      <c r="K176" s="215"/>
      <c r="R176" s="269"/>
    </row>
    <row r="177" spans="3:18" ht="15" customHeight="1">
      <c r="C177" s="215"/>
      <c r="D177" s="459" t="s">
        <v>718</v>
      </c>
      <c r="E177" s="215">
        <v>64</v>
      </c>
      <c r="F177" s="285">
        <v>5.0000000000000001E-3</v>
      </c>
      <c r="G177" s="285">
        <v>1.4999999999999999E-2</v>
      </c>
      <c r="H177" s="215"/>
      <c r="I177" s="215"/>
      <c r="J177" s="215"/>
      <c r="K177" s="215"/>
      <c r="R177" s="269"/>
    </row>
    <row r="178" spans="3:18" ht="15" customHeight="1">
      <c r="C178" s="215"/>
      <c r="D178" s="284"/>
      <c r="E178" s="215"/>
      <c r="F178" s="215"/>
      <c r="G178" s="215"/>
      <c r="H178" s="215"/>
      <c r="I178" s="215"/>
      <c r="J178" s="215"/>
      <c r="K178" s="215"/>
      <c r="R178" s="269"/>
    </row>
    <row r="179" spans="3:18" ht="15" customHeight="1">
      <c r="C179" s="460" t="s">
        <v>728</v>
      </c>
      <c r="D179" s="461" t="s">
        <v>722</v>
      </c>
      <c r="E179" s="460" t="s">
        <v>723</v>
      </c>
      <c r="F179" s="460" t="s">
        <v>724</v>
      </c>
      <c r="G179" s="460" t="s">
        <v>725</v>
      </c>
      <c r="H179" s="460" t="s">
        <v>719</v>
      </c>
      <c r="I179" s="460" t="s">
        <v>720</v>
      </c>
      <c r="J179" s="215"/>
      <c r="K179" s="215"/>
    </row>
    <row r="180" spans="3:18" ht="15" customHeight="1">
      <c r="C180" s="215"/>
      <c r="D180" s="248" t="s">
        <v>726</v>
      </c>
      <c r="E180" s="215">
        <v>6.5</v>
      </c>
      <c r="F180" s="215">
        <v>6.4</v>
      </c>
      <c r="G180" s="215"/>
      <c r="H180" s="215">
        <v>0.01</v>
      </c>
      <c r="I180" s="215">
        <v>0.03</v>
      </c>
      <c r="J180" s="215"/>
      <c r="K180" s="215"/>
    </row>
    <row r="181" spans="3:18" ht="15" customHeight="1">
      <c r="C181" s="215"/>
      <c r="D181" s="248" t="s">
        <v>727</v>
      </c>
      <c r="E181" s="215">
        <v>6.5</v>
      </c>
      <c r="F181" s="215">
        <v>6.4</v>
      </c>
      <c r="G181" s="215">
        <v>6</v>
      </c>
      <c r="H181" s="215">
        <v>0.01</v>
      </c>
      <c r="I181" s="215">
        <v>0.03</v>
      </c>
      <c r="J181" s="215"/>
      <c r="K181" s="215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6" sqref="B26"/>
    </sheetView>
  </sheetViews>
  <sheetFormatPr baseColWidth="10" defaultColWidth="8.83203125" defaultRowHeight="14" x14ac:dyDescent="0"/>
  <sheetData>
    <row r="1" spans="1:22">
      <c r="A1" s="125" t="s">
        <v>596</v>
      </c>
      <c r="B1" s="180">
        <v>0.37901531243731801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</row>
    <row r="2" spans="1:22">
      <c r="A2" s="125"/>
      <c r="B2" s="180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</row>
    <row r="3" spans="1:22">
      <c r="A3" s="181" t="s">
        <v>597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</row>
    <row r="4" spans="1:22">
      <c r="A4" s="170" t="s">
        <v>587</v>
      </c>
      <c r="B4" s="239" t="s">
        <v>649</v>
      </c>
      <c r="C4" s="273" t="s">
        <v>598</v>
      </c>
      <c r="D4" s="273" t="s">
        <v>599</v>
      </c>
      <c r="E4" s="273" t="s">
        <v>600</v>
      </c>
      <c r="F4" s="273" t="s">
        <v>601</v>
      </c>
      <c r="G4" s="273" t="s">
        <v>602</v>
      </c>
      <c r="H4" s="273" t="s">
        <v>603</v>
      </c>
      <c r="I4" s="273" t="s">
        <v>604</v>
      </c>
      <c r="J4" s="273" t="s">
        <v>605</v>
      </c>
      <c r="K4" s="273" t="s">
        <v>606</v>
      </c>
      <c r="L4" s="273" t="s">
        <v>607</v>
      </c>
      <c r="M4" s="273" t="s">
        <v>608</v>
      </c>
      <c r="N4" s="273" t="s">
        <v>609</v>
      </c>
      <c r="O4" s="273">
        <v>7</v>
      </c>
      <c r="P4" s="239">
        <v>8</v>
      </c>
      <c r="Q4" s="171">
        <v>16</v>
      </c>
    </row>
    <row r="5" spans="1:22">
      <c r="A5" s="182" t="s">
        <v>611</v>
      </c>
      <c r="B5" s="183">
        <f>B11*Inputs!$C$139^Weather!$B$1</f>
        <v>0.43</v>
      </c>
      <c r="C5" s="276">
        <f>C11*Inputs!$C$139^Weather!$B$1</f>
        <v>0.44</v>
      </c>
      <c r="D5" s="276">
        <f>D11*Inputs!$C$139^Weather!$B$1</f>
        <v>0.46</v>
      </c>
      <c r="E5" s="276">
        <f>E11*Inputs!$C$139^Weather!$B$1</f>
        <v>0.48</v>
      </c>
      <c r="F5" s="276">
        <f>F11*Inputs!$C$139^Weather!$B$1</f>
        <v>0.6</v>
      </c>
      <c r="G5" s="276">
        <f>G11*Inputs!$C$139^Weather!$B$1</f>
        <v>0.49</v>
      </c>
      <c r="H5" s="276">
        <f>H11*Inputs!$C$139^Weather!$B$1</f>
        <v>0.55000000000000004</v>
      </c>
      <c r="I5" s="276">
        <f>I11*Inputs!$C$139^Weather!$B$1</f>
        <v>0.55000000000000004</v>
      </c>
      <c r="J5" s="276">
        <f>J11*Inputs!$C$139^Weather!$B$1</f>
        <v>0.6</v>
      </c>
      <c r="K5" s="276">
        <f>K11*Inputs!$C$139^Weather!$B$1</f>
        <v>0.56000000000000005</v>
      </c>
      <c r="L5" s="276">
        <f>L11*Inputs!$C$139^Weather!$B$1</f>
        <v>0.53</v>
      </c>
      <c r="M5" s="276">
        <f>M11*Inputs!$C$139^Weather!$B$1</f>
        <v>0.62</v>
      </c>
      <c r="N5" s="276">
        <f>N11*Inputs!$C$139^Weather!$B$1</f>
        <v>0.71</v>
      </c>
      <c r="O5" s="276">
        <f>O11*Inputs!$C$139^Weather!$B$1</f>
        <v>0</v>
      </c>
      <c r="P5" s="276">
        <f>P11*Inputs!$C$139^Weather!$B$1</f>
        <v>0</v>
      </c>
      <c r="Q5" s="276">
        <f>Q11*Inputs!$C$139^Weather!$B$1</f>
        <v>0</v>
      </c>
    </row>
    <row r="6" spans="1:22">
      <c r="A6" s="184"/>
      <c r="B6" s="185"/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25"/>
      <c r="P6" s="125"/>
      <c r="Q6" s="125"/>
    </row>
    <row r="7" spans="1:22">
      <c r="A7" s="184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25"/>
      <c r="P7" s="125"/>
      <c r="Q7" s="125"/>
    </row>
    <row r="8" spans="1:22">
      <c r="A8" s="125"/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</row>
    <row r="9" spans="1:22">
      <c r="A9" s="181" t="s">
        <v>612</v>
      </c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1:22">
      <c r="A10" s="170" t="s">
        <v>587</v>
      </c>
      <c r="B10" s="171" t="s">
        <v>598</v>
      </c>
      <c r="C10" s="171" t="s">
        <v>599</v>
      </c>
      <c r="D10" s="171" t="s">
        <v>600</v>
      </c>
      <c r="E10" s="171" t="s">
        <v>601</v>
      </c>
      <c r="F10" s="171" t="s">
        <v>602</v>
      </c>
      <c r="G10" s="171" t="s">
        <v>603</v>
      </c>
      <c r="H10" s="171" t="s">
        <v>604</v>
      </c>
      <c r="I10" s="171" t="s">
        <v>605</v>
      </c>
      <c r="J10" s="171" t="s">
        <v>606</v>
      </c>
      <c r="K10" s="171" t="s">
        <v>607</v>
      </c>
      <c r="L10" s="171" t="s">
        <v>608</v>
      </c>
      <c r="M10" s="171" t="s">
        <v>609</v>
      </c>
      <c r="N10" s="171" t="s">
        <v>610</v>
      </c>
      <c r="O10" s="125"/>
      <c r="P10" s="125"/>
      <c r="Q10" s="125"/>
    </row>
    <row r="11" spans="1:22">
      <c r="A11" s="169" t="s">
        <v>168</v>
      </c>
      <c r="B11" s="147">
        <v>0.43</v>
      </c>
      <c r="C11" s="147">
        <v>0.44</v>
      </c>
      <c r="D11" s="147">
        <v>0.46</v>
      </c>
      <c r="E11" s="147">
        <v>0.48</v>
      </c>
      <c r="F11" s="147">
        <v>0.6</v>
      </c>
      <c r="G11" s="147">
        <v>0.49</v>
      </c>
      <c r="H11" s="147">
        <v>0.55000000000000004</v>
      </c>
      <c r="I11" s="147">
        <v>0.55000000000000004</v>
      </c>
      <c r="J11" s="147">
        <v>0.6</v>
      </c>
      <c r="K11" s="147">
        <v>0.56000000000000005</v>
      </c>
      <c r="L11" s="147">
        <v>0.53</v>
      </c>
      <c r="M11" s="147">
        <v>0.62</v>
      </c>
      <c r="N11" s="147">
        <v>0.71</v>
      </c>
      <c r="O11" s="125"/>
      <c r="P11" s="125"/>
      <c r="Q11" s="125"/>
    </row>
    <row r="12" spans="1:22">
      <c r="A12" s="169" t="s">
        <v>167</v>
      </c>
      <c r="B12" s="183">
        <v>0.55919519815510799</v>
      </c>
      <c r="C12" s="183">
        <v>0.5721997376470872</v>
      </c>
      <c r="D12" s="183">
        <v>0.59820881663104575</v>
      </c>
      <c r="E12" s="183">
        <v>0.62421789561500418</v>
      </c>
      <c r="F12" s="183">
        <v>0.78027236951875523</v>
      </c>
      <c r="G12" s="183">
        <v>0.63722243510698351</v>
      </c>
      <c r="H12" s="183">
        <v>0.71524967205885903</v>
      </c>
      <c r="I12" s="183">
        <v>0.71524967205885903</v>
      </c>
      <c r="J12" s="183">
        <v>0.78027236951875523</v>
      </c>
      <c r="K12" s="183">
        <v>0.72825421155083836</v>
      </c>
      <c r="L12" s="183">
        <v>0.68924059307490049</v>
      </c>
      <c r="M12" s="183">
        <v>0.80628144850271377</v>
      </c>
      <c r="N12" s="183">
        <v>0.92332230393052706</v>
      </c>
      <c r="O12" s="125"/>
      <c r="P12" s="180"/>
      <c r="Q12" s="180"/>
      <c r="R12" s="180"/>
      <c r="S12" s="180"/>
      <c r="T12" s="180"/>
      <c r="U12" s="180"/>
      <c r="V12" s="180"/>
    </row>
    <row r="13" spans="1:22">
      <c r="A13" s="169" t="s">
        <v>650</v>
      </c>
      <c r="B13" s="183">
        <v>0.65208576098168169</v>
      </c>
      <c r="C13" s="183">
        <v>0.6672505461207906</v>
      </c>
      <c r="D13" s="183">
        <v>0.6975801163990083</v>
      </c>
      <c r="E13" s="183">
        <v>0.727909686677226</v>
      </c>
      <c r="F13" s="183">
        <v>0.90988710834653252</v>
      </c>
      <c r="G13" s="183">
        <v>0.7430744718163349</v>
      </c>
      <c r="H13" s="183">
        <v>0.83406318265098822</v>
      </c>
      <c r="I13" s="183">
        <v>0.83406318265098822</v>
      </c>
      <c r="J13" s="183">
        <v>0.90988710834653252</v>
      </c>
      <c r="K13" s="183">
        <v>0.84922796779009713</v>
      </c>
      <c r="L13" s="183">
        <v>0.80373361237277052</v>
      </c>
      <c r="M13" s="183">
        <v>0.94021667862475033</v>
      </c>
      <c r="N13" s="183">
        <v>1.0766997448767301</v>
      </c>
      <c r="O13" s="125"/>
      <c r="P13" s="180"/>
      <c r="Q13" s="180"/>
      <c r="R13" s="180"/>
      <c r="S13" s="180"/>
      <c r="T13" s="180"/>
      <c r="U13" s="180"/>
      <c r="V13" s="180"/>
    </row>
    <row r="14" spans="1:22">
      <c r="A14" s="125"/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</row>
    <row r="15" spans="1:22">
      <c r="A15" s="189" t="s">
        <v>613</v>
      </c>
      <c r="B15" s="168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</row>
    <row r="16" spans="1:22">
      <c r="A16" s="170" t="s">
        <v>587</v>
      </c>
      <c r="B16" s="171">
        <v>1</v>
      </c>
      <c r="C16" s="171">
        <v>2</v>
      </c>
      <c r="D16" s="171">
        <v>3</v>
      </c>
      <c r="E16" s="171">
        <v>4</v>
      </c>
      <c r="F16" s="171">
        <v>5</v>
      </c>
      <c r="G16" s="171">
        <v>6</v>
      </c>
      <c r="H16" s="171">
        <v>7</v>
      </c>
      <c r="I16" s="171">
        <v>8</v>
      </c>
      <c r="J16" s="171">
        <v>9</v>
      </c>
      <c r="K16" s="171">
        <v>10</v>
      </c>
      <c r="L16" s="171">
        <v>11</v>
      </c>
      <c r="M16" s="171">
        <v>12</v>
      </c>
      <c r="N16" s="171">
        <v>13</v>
      </c>
      <c r="O16" s="171">
        <v>14</v>
      </c>
      <c r="P16" s="171">
        <v>15</v>
      </c>
      <c r="Q16" s="171">
        <v>16</v>
      </c>
    </row>
    <row r="17" spans="1:26">
      <c r="A17" s="169" t="s">
        <v>168</v>
      </c>
      <c r="B17" s="186">
        <v>0.56360936165894659</v>
      </c>
      <c r="C17" s="186">
        <v>0.48885549567600978</v>
      </c>
      <c r="D17" s="186">
        <v>0.54208232257462774</v>
      </c>
      <c r="E17" s="186">
        <v>0.47845929296058437</v>
      </c>
      <c r="F17" s="186">
        <v>0.51837365623999176</v>
      </c>
      <c r="G17" s="186">
        <v>0.41788661831438195</v>
      </c>
      <c r="H17" s="186">
        <v>0.37942235442668815</v>
      </c>
      <c r="I17" s="186">
        <v>0.34136734806535374</v>
      </c>
      <c r="J17" s="186">
        <v>0.39317637879534129</v>
      </c>
      <c r="K17" s="186">
        <v>0.42189478941889719</v>
      </c>
      <c r="L17" s="186">
        <v>0.50187001587391433</v>
      </c>
      <c r="M17" s="186">
        <v>0.50766953254479896</v>
      </c>
      <c r="N17" s="186">
        <v>0.45543655021096829</v>
      </c>
      <c r="O17" s="186">
        <v>0.52458293514912235</v>
      </c>
      <c r="P17" s="186">
        <v>0.45040732320028565</v>
      </c>
      <c r="Q17" s="186">
        <v>0.43796184671932231</v>
      </c>
    </row>
    <row r="18" spans="1:26">
      <c r="A18" s="275" t="s">
        <v>167</v>
      </c>
      <c r="B18" s="186">
        <v>0.7248166367358726</v>
      </c>
      <c r="C18" s="186">
        <v>0.62708326118835933</v>
      </c>
      <c r="D18" s="186">
        <v>0.69538709992486236</v>
      </c>
      <c r="E18" s="186">
        <v>0.61315971250841084</v>
      </c>
      <c r="F18" s="186">
        <v>0.66503797395079167</v>
      </c>
      <c r="G18" s="186">
        <v>0.53477302293826767</v>
      </c>
      <c r="H18" s="186">
        <v>0.48590439299190807</v>
      </c>
      <c r="I18" s="186">
        <v>0.43641684175739326</v>
      </c>
      <c r="J18" s="186">
        <v>0.50195133557344052</v>
      </c>
      <c r="K18" s="186">
        <v>0.53767567995907639</v>
      </c>
      <c r="L18" s="186">
        <v>0.63882702592755691</v>
      </c>
      <c r="M18" s="186">
        <v>0.6488752632127025</v>
      </c>
      <c r="N18" s="186">
        <v>0.58043957001106339</v>
      </c>
      <c r="O18" s="186">
        <v>0.66580229679831271</v>
      </c>
      <c r="P18" s="186">
        <v>0.57161146797379636</v>
      </c>
      <c r="Q18" s="186">
        <v>0.56152742625436514</v>
      </c>
      <c r="S18" s="180"/>
      <c r="T18" s="180"/>
      <c r="U18" s="180"/>
      <c r="V18" s="180"/>
      <c r="W18" s="180"/>
      <c r="X18" s="180"/>
      <c r="Y18" s="180"/>
      <c r="Z18" s="180"/>
    </row>
    <row r="19" spans="1:26">
      <c r="A19" s="275" t="s">
        <v>650</v>
      </c>
      <c r="B19" s="186">
        <v>0.86834031138810353</v>
      </c>
      <c r="C19" s="186">
        <v>0.74939759949679141</v>
      </c>
      <c r="D19" s="186">
        <v>0.83049656710313591</v>
      </c>
      <c r="E19" s="186">
        <v>0.73175387031078654</v>
      </c>
      <c r="F19" s="186">
        <v>0.79456350692969679</v>
      </c>
      <c r="G19" s="186">
        <v>0.63704978044323324</v>
      </c>
      <c r="H19" s="186">
        <v>0.57887972226628115</v>
      </c>
      <c r="I19" s="186">
        <v>0.51976073261794775</v>
      </c>
      <c r="J19" s="186">
        <v>0.59712354608454088</v>
      </c>
      <c r="K19" s="186">
        <v>0.63902949563231792</v>
      </c>
      <c r="L19" s="186">
        <v>0.75846002934376988</v>
      </c>
      <c r="M19" s="186">
        <v>0.77292624267172982</v>
      </c>
      <c r="N19" s="186">
        <v>0.68982480549315572</v>
      </c>
      <c r="O19" s="186">
        <v>0.78911231419216588</v>
      </c>
      <c r="P19" s="186">
        <v>0.67708889855316245</v>
      </c>
      <c r="Q19" s="186">
        <v>0.67077337182535413</v>
      </c>
      <c r="S19" s="180"/>
      <c r="T19" s="180"/>
      <c r="U19" s="180"/>
      <c r="V19" s="180"/>
      <c r="W19" s="180"/>
      <c r="X19" s="180"/>
      <c r="Y19" s="180"/>
      <c r="Z19" s="180"/>
    </row>
    <row r="20" spans="1:26" s="259" customFormat="1">
      <c r="A20" s="172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</row>
    <row r="21" spans="1:26">
      <c r="A21" s="184" t="s">
        <v>786</v>
      </c>
    </row>
    <row r="22" spans="1:26">
      <c r="A22" s="184" t="s">
        <v>587</v>
      </c>
      <c r="B22" s="259" t="s">
        <v>649</v>
      </c>
      <c r="C22" s="259" t="s">
        <v>598</v>
      </c>
      <c r="D22" s="259" t="s">
        <v>599</v>
      </c>
      <c r="E22" s="259" t="s">
        <v>600</v>
      </c>
      <c r="F22" s="259" t="s">
        <v>601</v>
      </c>
      <c r="G22" s="259" t="s">
        <v>602</v>
      </c>
      <c r="H22" s="259" t="s">
        <v>603</v>
      </c>
      <c r="I22" s="259" t="s">
        <v>604</v>
      </c>
      <c r="J22" s="259" t="s">
        <v>605</v>
      </c>
      <c r="K22" s="259" t="s">
        <v>606</v>
      </c>
      <c r="L22" s="259" t="s">
        <v>607</v>
      </c>
      <c r="M22" s="259" t="s">
        <v>608</v>
      </c>
      <c r="N22" s="259" t="s">
        <v>609</v>
      </c>
      <c r="O22" s="291">
        <v>7</v>
      </c>
      <c r="P22" s="291">
        <v>8</v>
      </c>
      <c r="Q22" s="291" t="s">
        <v>1138</v>
      </c>
      <c r="R22" s="291" t="s">
        <v>1139</v>
      </c>
    </row>
    <row r="23" spans="1:26">
      <c r="A23" s="184" t="s">
        <v>784</v>
      </c>
      <c r="B23" s="259" t="s">
        <v>769</v>
      </c>
      <c r="C23" s="259" t="s">
        <v>770</v>
      </c>
      <c r="D23" s="259" t="s">
        <v>771</v>
      </c>
      <c r="E23" s="259" t="s">
        <v>772</v>
      </c>
      <c r="F23" s="259" t="s">
        <v>773</v>
      </c>
      <c r="G23" s="259" t="s">
        <v>774</v>
      </c>
      <c r="H23" s="259" t="s">
        <v>775</v>
      </c>
      <c r="I23" s="259" t="s">
        <v>776</v>
      </c>
      <c r="J23" s="259" t="s">
        <v>777</v>
      </c>
      <c r="K23" s="259" t="s">
        <v>778</v>
      </c>
      <c r="L23" s="259" t="s">
        <v>779</v>
      </c>
      <c r="M23" s="259" t="s">
        <v>780</v>
      </c>
      <c r="N23" s="259" t="s">
        <v>781</v>
      </c>
      <c r="O23" s="259" t="s">
        <v>782</v>
      </c>
      <c r="P23" s="259" t="s">
        <v>783</v>
      </c>
      <c r="Q23" s="259" t="s">
        <v>829</v>
      </c>
      <c r="R23" s="259" t="s">
        <v>828</v>
      </c>
    </row>
    <row r="24" spans="1:26">
      <c r="A24" s="184" t="s">
        <v>785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4" t="s">
        <v>611</v>
      </c>
      <c r="B25" s="278">
        <v>0.41</v>
      </c>
      <c r="C25" s="278">
        <v>0.42</v>
      </c>
      <c r="D25" s="278">
        <v>0.43</v>
      </c>
      <c r="E25" s="278">
        <v>0.46</v>
      </c>
      <c r="F25" s="278">
        <v>0.48</v>
      </c>
      <c r="G25" s="278">
        <v>0.6</v>
      </c>
      <c r="H25" s="278">
        <v>0.5</v>
      </c>
      <c r="I25" s="278">
        <v>0.54</v>
      </c>
      <c r="J25" s="278">
        <v>0.55000000000000004</v>
      </c>
      <c r="K25" s="278">
        <v>0.6</v>
      </c>
      <c r="L25" s="278">
        <v>0.56000000000000005</v>
      </c>
      <c r="M25" s="278">
        <v>0.61</v>
      </c>
      <c r="N25" s="278">
        <v>0.63</v>
      </c>
      <c r="O25" s="278">
        <v>0.7</v>
      </c>
      <c r="P25" s="278">
        <v>0.7</v>
      </c>
      <c r="Q25" s="278">
        <v>0.38</v>
      </c>
      <c r="R25" s="278">
        <v>0.43</v>
      </c>
    </row>
    <row r="26" spans="1:26">
      <c r="B26" t="str">
        <f>CONCATENATE(B24,"TYA.CSV")</f>
        <v>722020TYA.CSV</v>
      </c>
      <c r="C26" s="259" t="str">
        <f t="shared" ref="C26:R26" si="0">CONCATENATE(C24,"TYA.CSV")</f>
        <v>722430TYA.CSV</v>
      </c>
      <c r="D26" s="259" t="str">
        <f t="shared" si="0"/>
        <v>722780TYA.CSV</v>
      </c>
      <c r="E26" s="259" t="str">
        <f t="shared" si="0"/>
        <v>723340TYA.CSV</v>
      </c>
      <c r="F26" s="259" t="str">
        <f t="shared" si="0"/>
        <v>722700TYA.CSV</v>
      </c>
      <c r="G26" s="259" t="str">
        <f t="shared" si="0"/>
        <v>724940TYA.CSV</v>
      </c>
      <c r="H26" s="259" t="str">
        <f t="shared" si="0"/>
        <v>724060TYA.CSV</v>
      </c>
      <c r="I26" s="259" t="str">
        <f t="shared" si="0"/>
        <v>723650TYA.CSV</v>
      </c>
      <c r="J26" s="259" t="str">
        <f t="shared" si="0"/>
        <v>726940TYA.CSV</v>
      </c>
      <c r="K26" s="259" t="str">
        <f t="shared" si="0"/>
        <v>725300TYA.CSV</v>
      </c>
      <c r="L26" s="259" t="str">
        <f t="shared" si="0"/>
        <v>726810TYA.CSV</v>
      </c>
      <c r="M26" s="259" t="str">
        <f t="shared" si="0"/>
        <v>726170TYA.CSV</v>
      </c>
      <c r="N26" s="259" t="str">
        <f t="shared" si="0"/>
        <v>727720TYA.CSV</v>
      </c>
      <c r="O26" s="259" t="str">
        <f t="shared" si="0"/>
        <v>727450TYA.CSV</v>
      </c>
      <c r="P26" s="259" t="str">
        <f t="shared" si="0"/>
        <v>702610TYA.CSV</v>
      </c>
      <c r="Q26" s="259" t="str">
        <f t="shared" si="0"/>
        <v>722050TYA.CSV</v>
      </c>
      <c r="R26" s="259" t="str">
        <f t="shared" si="0"/>
        <v>722080TYA.CSV</v>
      </c>
    </row>
    <row r="27" spans="1:26">
      <c r="A27" s="184" t="s">
        <v>1249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83" t="s">
        <v>1251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83" t="s">
        <v>1252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1253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1254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1250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226</v>
      </c>
      <c r="C33" t="s">
        <v>1255</v>
      </c>
      <c r="D33" t="s">
        <v>1256</v>
      </c>
      <c r="E33" t="s">
        <v>1255</v>
      </c>
      <c r="F33" t="s">
        <v>1256</v>
      </c>
      <c r="G33" t="s">
        <v>1255</v>
      </c>
      <c r="H33" t="s">
        <v>1255</v>
      </c>
      <c r="I33" t="s">
        <v>1256</v>
      </c>
      <c r="J33" t="s">
        <v>1256</v>
      </c>
      <c r="K33" t="s">
        <v>1255</v>
      </c>
      <c r="L33" t="s">
        <v>1256</v>
      </c>
      <c r="M33" t="s">
        <v>1255</v>
      </c>
      <c r="N33" t="s">
        <v>1256</v>
      </c>
      <c r="O33" t="s">
        <v>1255</v>
      </c>
      <c r="P33" t="s">
        <v>1255</v>
      </c>
      <c r="Q33" t="s">
        <v>1255</v>
      </c>
      <c r="R33" t="s">
        <v>226</v>
      </c>
    </row>
    <row r="34" spans="2:18">
      <c r="B34">
        <v>2</v>
      </c>
      <c r="C34">
        <v>3</v>
      </c>
      <c r="D34" s="259">
        <v>4</v>
      </c>
      <c r="E34" s="259">
        <v>5</v>
      </c>
      <c r="F34" s="259">
        <v>6</v>
      </c>
      <c r="G34" s="259">
        <v>7</v>
      </c>
      <c r="H34" s="259">
        <v>8</v>
      </c>
      <c r="I34" s="259">
        <v>9</v>
      </c>
      <c r="J34" s="259">
        <v>10</v>
      </c>
      <c r="K34" s="259">
        <v>11</v>
      </c>
      <c r="L34" s="259">
        <v>12</v>
      </c>
      <c r="M34" s="259">
        <v>13</v>
      </c>
      <c r="N34" s="259">
        <v>14</v>
      </c>
      <c r="O34" s="259">
        <v>15</v>
      </c>
      <c r="P34" s="259">
        <v>16</v>
      </c>
      <c r="Q34" s="259">
        <v>17</v>
      </c>
      <c r="R34" s="259">
        <v>18</v>
      </c>
    </row>
    <row r="36" spans="2:18">
      <c r="B36" t="s">
        <v>1246</v>
      </c>
    </row>
    <row r="37" spans="2:18">
      <c r="B37" t="s">
        <v>1247</v>
      </c>
    </row>
    <row r="38" spans="2:18">
      <c r="B38" t="s">
        <v>1248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59" customFormat="1">
      <c r="A1" s="184" t="s">
        <v>964</v>
      </c>
      <c r="B1" s="259">
        <v>1</v>
      </c>
      <c r="C1" s="259">
        <v>2</v>
      </c>
      <c r="D1" s="259">
        <v>3</v>
      </c>
      <c r="E1" s="259">
        <v>4</v>
      </c>
      <c r="F1" s="259">
        <v>5</v>
      </c>
      <c r="G1" s="259">
        <v>6</v>
      </c>
      <c r="H1" s="259">
        <v>7</v>
      </c>
      <c r="I1" s="259">
        <v>8</v>
      </c>
      <c r="J1" s="259">
        <v>9</v>
      </c>
      <c r="K1" s="259">
        <v>10</v>
      </c>
      <c r="L1" s="259">
        <v>11</v>
      </c>
      <c r="M1" s="259">
        <v>12</v>
      </c>
      <c r="N1" s="259">
        <v>13</v>
      </c>
      <c r="O1" s="259">
        <v>14</v>
      </c>
      <c r="P1" s="259">
        <v>15</v>
      </c>
      <c r="Q1" s="259" t="s">
        <v>829</v>
      </c>
      <c r="R1" s="259" t="s">
        <v>828</v>
      </c>
    </row>
    <row r="2" spans="1:18">
      <c r="A2" s="184" t="s">
        <v>587</v>
      </c>
      <c r="B2" s="259" t="s">
        <v>649</v>
      </c>
      <c r="C2" s="259" t="s">
        <v>598</v>
      </c>
      <c r="D2" s="259" t="s">
        <v>599</v>
      </c>
      <c r="E2" s="259" t="s">
        <v>600</v>
      </c>
      <c r="F2" s="259" t="s">
        <v>601</v>
      </c>
      <c r="G2" s="259" t="s">
        <v>602</v>
      </c>
      <c r="H2" s="259" t="s">
        <v>603</v>
      </c>
      <c r="I2" s="259" t="s">
        <v>604</v>
      </c>
      <c r="J2" s="259" t="s">
        <v>605</v>
      </c>
      <c r="K2" s="259" t="s">
        <v>606</v>
      </c>
      <c r="L2" s="259" t="s">
        <v>607</v>
      </c>
      <c r="M2" s="259" t="s">
        <v>608</v>
      </c>
      <c r="N2" s="259" t="s">
        <v>609</v>
      </c>
      <c r="O2" s="291">
        <v>7</v>
      </c>
      <c r="P2" s="291">
        <v>8</v>
      </c>
      <c r="Q2" s="291" t="s">
        <v>1138</v>
      </c>
      <c r="R2" s="291" t="s">
        <v>1139</v>
      </c>
    </row>
    <row r="3" spans="1:18">
      <c r="A3" s="184" t="s">
        <v>784</v>
      </c>
      <c r="B3" s="259" t="s">
        <v>769</v>
      </c>
      <c r="C3" s="259" t="s">
        <v>770</v>
      </c>
      <c r="D3" s="259" t="s">
        <v>771</v>
      </c>
      <c r="E3" s="259" t="s">
        <v>772</v>
      </c>
      <c r="F3" s="259" t="s">
        <v>773</v>
      </c>
      <c r="G3" s="259" t="s">
        <v>774</v>
      </c>
      <c r="H3" s="259" t="s">
        <v>775</v>
      </c>
      <c r="I3" s="259" t="s">
        <v>776</v>
      </c>
      <c r="J3" s="259" t="s">
        <v>777</v>
      </c>
      <c r="K3" s="259" t="s">
        <v>778</v>
      </c>
      <c r="L3" s="259" t="s">
        <v>779</v>
      </c>
      <c r="M3" s="259" t="s">
        <v>780</v>
      </c>
      <c r="N3" s="259" t="s">
        <v>781</v>
      </c>
      <c r="O3" s="259" t="s">
        <v>782</v>
      </c>
      <c r="P3" s="259" t="s">
        <v>783</v>
      </c>
      <c r="Q3" s="259" t="s">
        <v>827</v>
      </c>
      <c r="R3" s="259" t="s">
        <v>828</v>
      </c>
    </row>
    <row r="4" spans="1:18" s="259" customFormat="1"/>
    <row r="5" spans="1:18" s="259" customFormat="1">
      <c r="A5" s="269" t="s">
        <v>842</v>
      </c>
      <c r="B5" s="351">
        <f t="shared" ref="B5:R5" si="0">IF(HumControl=13, VLOOKUP(B1,$A$96:$B$101,2,FALSE),B23)</f>
        <v>1.8143650428724283E-2</v>
      </c>
      <c r="C5" s="351">
        <f t="shared" si="0"/>
        <v>1.8093565104086943E-2</v>
      </c>
      <c r="D5" s="351" t="str">
        <f t="shared" si="0"/>
        <v>NA</v>
      </c>
      <c r="E5" s="351">
        <f t="shared" si="0"/>
        <v>1.6457918085888881E-2</v>
      </c>
      <c r="F5" s="351" t="str">
        <f t="shared" si="0"/>
        <v>NA</v>
      </c>
      <c r="G5" s="351" t="str">
        <f t="shared" si="0"/>
        <v>NA</v>
      </c>
      <c r="H5" s="351">
        <f t="shared" si="0"/>
        <v>1.4623221193902717E-2</v>
      </c>
      <c r="I5" s="351" t="str">
        <f t="shared" si="0"/>
        <v>NA</v>
      </c>
      <c r="J5" s="351" t="str">
        <f t="shared" si="0"/>
        <v>NA</v>
      </c>
      <c r="K5" s="351" t="str">
        <f t="shared" si="0"/>
        <v>NA</v>
      </c>
      <c r="L5" s="351" t="str">
        <f t="shared" si="0"/>
        <v>NA</v>
      </c>
      <c r="M5" s="351" t="str">
        <f t="shared" si="0"/>
        <v>NA</v>
      </c>
      <c r="N5" s="351" t="str">
        <f t="shared" si="0"/>
        <v>NA</v>
      </c>
      <c r="O5" s="351" t="str">
        <f t="shared" si="0"/>
        <v>NA</v>
      </c>
      <c r="P5" s="351" t="str">
        <f t="shared" si="0"/>
        <v>NA</v>
      </c>
      <c r="Q5" s="351">
        <f t="shared" si="0"/>
        <v>1.7707763234996277E-2</v>
      </c>
      <c r="R5" s="351">
        <f t="shared" si="0"/>
        <v>1.7457897967807213E-2</v>
      </c>
    </row>
    <row r="6" spans="1:18" s="259" customFormat="1">
      <c r="A6" s="269" t="s">
        <v>844</v>
      </c>
      <c r="B6" s="351">
        <f t="shared" ref="B6:R6" si="1">IF(OR(HumControl=4, HumControl=5),VLOOKUP(B1,$A$88:$C$93,3,FALSE),0)</f>
        <v>0</v>
      </c>
      <c r="C6" s="351">
        <f t="shared" si="1"/>
        <v>0</v>
      </c>
      <c r="D6" s="351">
        <f t="shared" si="1"/>
        <v>0</v>
      </c>
      <c r="E6" s="351">
        <f t="shared" si="1"/>
        <v>0</v>
      </c>
      <c r="F6" s="351">
        <f t="shared" si="1"/>
        <v>0</v>
      </c>
      <c r="G6" s="351">
        <f t="shared" si="1"/>
        <v>0</v>
      </c>
      <c r="H6" s="351">
        <f t="shared" si="1"/>
        <v>0</v>
      </c>
      <c r="I6" s="351">
        <f t="shared" si="1"/>
        <v>0</v>
      </c>
      <c r="J6" s="351">
        <f t="shared" si="1"/>
        <v>0</v>
      </c>
      <c r="K6" s="351">
        <f t="shared" si="1"/>
        <v>0</v>
      </c>
      <c r="L6" s="351">
        <f t="shared" si="1"/>
        <v>0</v>
      </c>
      <c r="M6" s="351">
        <f t="shared" si="1"/>
        <v>0</v>
      </c>
      <c r="N6" s="351">
        <f t="shared" si="1"/>
        <v>0</v>
      </c>
      <c r="O6" s="351">
        <f t="shared" si="1"/>
        <v>0</v>
      </c>
      <c r="P6" s="351">
        <f t="shared" si="1"/>
        <v>0</v>
      </c>
      <c r="Q6" s="351">
        <f t="shared" si="1"/>
        <v>0</v>
      </c>
      <c r="R6" s="351">
        <f t="shared" si="1"/>
        <v>0</v>
      </c>
    </row>
    <row r="7" spans="1:18" s="259" customFormat="1">
      <c r="A7" s="269" t="s">
        <v>845</v>
      </c>
      <c r="B7" s="279">
        <f t="shared" ref="B7:R7" si="2">IF(OR(HumControl=4,HumControl=5),VLOOKUP(B1,$A$88:$C$93,2,FALSE),0)</f>
        <v>0</v>
      </c>
      <c r="C7" s="279">
        <f t="shared" si="2"/>
        <v>0</v>
      </c>
      <c r="D7" s="279">
        <f t="shared" si="2"/>
        <v>0</v>
      </c>
      <c r="E7" s="279">
        <f t="shared" si="2"/>
        <v>0</v>
      </c>
      <c r="F7" s="279">
        <f t="shared" si="2"/>
        <v>0</v>
      </c>
      <c r="G7" s="279">
        <f t="shared" si="2"/>
        <v>0</v>
      </c>
      <c r="H7" s="279">
        <f t="shared" si="2"/>
        <v>0</v>
      </c>
      <c r="I7" s="279">
        <f t="shared" si="2"/>
        <v>0</v>
      </c>
      <c r="J7" s="279">
        <f t="shared" si="2"/>
        <v>0</v>
      </c>
      <c r="K7" s="279">
        <f t="shared" si="2"/>
        <v>0</v>
      </c>
      <c r="L7" s="279">
        <f t="shared" si="2"/>
        <v>0</v>
      </c>
      <c r="M7" s="279">
        <f t="shared" si="2"/>
        <v>0</v>
      </c>
      <c r="N7" s="279">
        <f t="shared" si="2"/>
        <v>0</v>
      </c>
      <c r="O7" s="279">
        <f t="shared" si="2"/>
        <v>0</v>
      </c>
      <c r="P7" s="279">
        <f t="shared" si="2"/>
        <v>0</v>
      </c>
      <c r="Q7" s="279">
        <f t="shared" si="2"/>
        <v>0</v>
      </c>
      <c r="R7" s="279">
        <f t="shared" si="2"/>
        <v>0</v>
      </c>
    </row>
    <row r="8" spans="1:18" s="259" customFormat="1">
      <c r="A8" s="269" t="s">
        <v>940</v>
      </c>
      <c r="B8" s="351">
        <f t="shared" ref="B8:R8" si="3">IF(OR(HumControl=6,HumControl=8,HumControl=11,HumControl=12),VLOOKUP(B1,$A$72:$E$78,2,FALSE),0)</f>
        <v>0</v>
      </c>
      <c r="C8" s="351">
        <f t="shared" si="3"/>
        <v>0</v>
      </c>
      <c r="D8" s="351">
        <f t="shared" si="3"/>
        <v>0</v>
      </c>
      <c r="E8" s="351">
        <f t="shared" si="3"/>
        <v>0</v>
      </c>
      <c r="F8" s="351">
        <f t="shared" si="3"/>
        <v>0</v>
      </c>
      <c r="G8" s="351">
        <f t="shared" si="3"/>
        <v>0</v>
      </c>
      <c r="H8" s="351">
        <f t="shared" si="3"/>
        <v>0</v>
      </c>
      <c r="I8" s="351">
        <f t="shared" si="3"/>
        <v>0</v>
      </c>
      <c r="J8" s="351">
        <f t="shared" si="3"/>
        <v>0</v>
      </c>
      <c r="K8" s="351">
        <f t="shared" si="3"/>
        <v>0</v>
      </c>
      <c r="L8" s="351">
        <f t="shared" si="3"/>
        <v>0</v>
      </c>
      <c r="M8" s="351">
        <f t="shared" si="3"/>
        <v>0</v>
      </c>
      <c r="N8" s="351">
        <f t="shared" si="3"/>
        <v>0</v>
      </c>
      <c r="O8" s="351">
        <f t="shared" si="3"/>
        <v>0</v>
      </c>
      <c r="P8" s="351">
        <f t="shared" si="3"/>
        <v>0</v>
      </c>
      <c r="Q8" s="351">
        <f t="shared" si="3"/>
        <v>0</v>
      </c>
      <c r="R8" s="351">
        <f t="shared" si="3"/>
        <v>0</v>
      </c>
    </row>
    <row r="9" spans="1:18" s="259" customFormat="1">
      <c r="A9" s="269" t="s">
        <v>941</v>
      </c>
      <c r="B9" s="351">
        <f t="shared" ref="B9:R9" si="4">IF(OR(HumControl=6,HumControl=8,HumControl=11,HumControl=12),VLOOKUP(B1,$A$73:$E$78,3,FALSE),0)</f>
        <v>0</v>
      </c>
      <c r="C9" s="351">
        <f t="shared" si="4"/>
        <v>0</v>
      </c>
      <c r="D9" s="351">
        <f t="shared" si="4"/>
        <v>0</v>
      </c>
      <c r="E9" s="351">
        <f t="shared" si="4"/>
        <v>0</v>
      </c>
      <c r="F9" s="351">
        <f t="shared" si="4"/>
        <v>0</v>
      </c>
      <c r="G9" s="351">
        <f t="shared" si="4"/>
        <v>0</v>
      </c>
      <c r="H9" s="351">
        <f t="shared" si="4"/>
        <v>0</v>
      </c>
      <c r="I9" s="351">
        <f t="shared" si="4"/>
        <v>0</v>
      </c>
      <c r="J9" s="351">
        <f t="shared" si="4"/>
        <v>0</v>
      </c>
      <c r="K9" s="351">
        <f t="shared" si="4"/>
        <v>0</v>
      </c>
      <c r="L9" s="351">
        <f t="shared" si="4"/>
        <v>0</v>
      </c>
      <c r="M9" s="351">
        <f t="shared" si="4"/>
        <v>0</v>
      </c>
      <c r="N9" s="351">
        <f t="shared" si="4"/>
        <v>0</v>
      </c>
      <c r="O9" s="351">
        <f t="shared" si="4"/>
        <v>0</v>
      </c>
      <c r="P9" s="351">
        <f t="shared" si="4"/>
        <v>0</v>
      </c>
      <c r="Q9" s="351">
        <f t="shared" si="4"/>
        <v>0</v>
      </c>
      <c r="R9" s="351">
        <f t="shared" si="4"/>
        <v>0</v>
      </c>
    </row>
    <row r="10" spans="1:18" s="259" customFormat="1">
      <c r="A10" s="269" t="s">
        <v>942</v>
      </c>
      <c r="B10" s="351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51">
        <f t="shared" si="5"/>
        <v>0</v>
      </c>
      <c r="D10" s="351">
        <f t="shared" si="5"/>
        <v>0</v>
      </c>
      <c r="E10" s="351">
        <f t="shared" si="5"/>
        <v>0</v>
      </c>
      <c r="F10" s="351">
        <f t="shared" si="5"/>
        <v>0</v>
      </c>
      <c r="G10" s="351">
        <f t="shared" si="5"/>
        <v>0</v>
      </c>
      <c r="H10" s="351">
        <f t="shared" si="5"/>
        <v>0</v>
      </c>
      <c r="I10" s="351">
        <f t="shared" si="5"/>
        <v>0</v>
      </c>
      <c r="J10" s="351">
        <f t="shared" si="5"/>
        <v>0</v>
      </c>
      <c r="K10" s="351">
        <f t="shared" si="5"/>
        <v>0</v>
      </c>
      <c r="L10" s="351">
        <f t="shared" si="5"/>
        <v>0</v>
      </c>
      <c r="M10" s="351">
        <f t="shared" si="5"/>
        <v>0</v>
      </c>
      <c r="N10" s="351">
        <f t="shared" si="5"/>
        <v>0</v>
      </c>
      <c r="O10" s="351">
        <f t="shared" si="5"/>
        <v>0</v>
      </c>
      <c r="P10" s="351">
        <f t="shared" si="5"/>
        <v>0</v>
      </c>
      <c r="Q10" s="351">
        <f t="shared" si="5"/>
        <v>0</v>
      </c>
      <c r="R10" s="351">
        <f t="shared" si="5"/>
        <v>0</v>
      </c>
    </row>
    <row r="11" spans="1:18" s="259" customFormat="1">
      <c r="A11" s="269" t="s">
        <v>943</v>
      </c>
      <c r="B11" s="351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51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51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51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51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51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51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51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51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51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51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51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51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51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51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51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51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59" customFormat="1"/>
    <row r="13" spans="1:18">
      <c r="B13" t="s">
        <v>846</v>
      </c>
      <c r="C13" t="s">
        <v>847</v>
      </c>
      <c r="D13" t="s">
        <v>848</v>
      </c>
      <c r="E13" t="s">
        <v>849</v>
      </c>
      <c r="F13" t="s">
        <v>850</v>
      </c>
      <c r="G13" t="s">
        <v>851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59">
        <v>1.2014072889631714E-2</v>
      </c>
      <c r="H15" s="259"/>
      <c r="I15" s="259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59">
        <v>1.3272681585791464E-2</v>
      </c>
      <c r="H16" s="259"/>
      <c r="I16" s="259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59">
        <v>1.4623221193902717E-2</v>
      </c>
      <c r="H17" s="259"/>
      <c r="I17" s="259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59">
        <v>1.6159245924347556E-2</v>
      </c>
      <c r="H18" s="259"/>
      <c r="I18" s="259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59">
        <v>1.8170735998349296E-2</v>
      </c>
      <c r="H19" s="259"/>
      <c r="I19" s="259"/>
    </row>
    <row r="20" spans="1:18" s="259" customFormat="1"/>
    <row r="21" spans="1:18">
      <c r="A21" s="259" t="s">
        <v>852</v>
      </c>
      <c r="G21" s="259"/>
      <c r="H21" s="259"/>
      <c r="I21" s="259"/>
    </row>
    <row r="22" spans="1:18">
      <c r="A22" s="184" t="s">
        <v>785</v>
      </c>
      <c r="B22" s="259">
        <v>722020</v>
      </c>
      <c r="C22" s="259">
        <v>722430</v>
      </c>
      <c r="D22" s="259">
        <v>722780</v>
      </c>
      <c r="E22" s="259">
        <v>723340</v>
      </c>
      <c r="F22" s="259">
        <v>722700</v>
      </c>
      <c r="G22" s="259">
        <v>724940</v>
      </c>
      <c r="H22" s="259">
        <v>724060</v>
      </c>
      <c r="I22" s="259">
        <v>723650</v>
      </c>
      <c r="J22" s="259">
        <v>726940</v>
      </c>
      <c r="K22" s="259">
        <v>725300</v>
      </c>
      <c r="L22" s="259">
        <v>726810</v>
      </c>
      <c r="M22" s="259">
        <v>726170</v>
      </c>
      <c r="N22" s="259">
        <v>727720</v>
      </c>
      <c r="O22" s="259">
        <v>727450</v>
      </c>
      <c r="P22" s="259">
        <v>702610</v>
      </c>
      <c r="Q22" s="259">
        <v>722057</v>
      </c>
      <c r="R22" s="259">
        <v>722080</v>
      </c>
    </row>
    <row r="23" spans="1:18">
      <c r="A23" s="184" t="s">
        <v>611</v>
      </c>
      <c r="B23" s="259">
        <v>1.8143650428724283E-2</v>
      </c>
      <c r="C23" s="259">
        <v>1.8093565104086943E-2</v>
      </c>
      <c r="D23" s="259" t="s">
        <v>667</v>
      </c>
      <c r="E23" s="259">
        <v>1.6457918085888881E-2</v>
      </c>
      <c r="F23" s="259" t="s">
        <v>667</v>
      </c>
      <c r="G23" s="259" t="s">
        <v>667</v>
      </c>
      <c r="H23" s="259">
        <v>1.4623221193902717E-2</v>
      </c>
      <c r="I23" s="259" t="s">
        <v>667</v>
      </c>
      <c r="J23" s="259" t="s">
        <v>667</v>
      </c>
      <c r="K23" s="259" t="s">
        <v>667</v>
      </c>
      <c r="L23" s="259" t="s">
        <v>667</v>
      </c>
      <c r="M23" s="259" t="s">
        <v>667</v>
      </c>
      <c r="N23" s="259" t="s">
        <v>667</v>
      </c>
      <c r="O23" s="259" t="s">
        <v>667</v>
      </c>
      <c r="P23" s="259" t="s">
        <v>667</v>
      </c>
      <c r="Q23" s="259">
        <v>1.7707763234996277E-2</v>
      </c>
      <c r="R23" s="259">
        <v>1.7457897967807213E-2</v>
      </c>
    </row>
    <row r="24" spans="1:18">
      <c r="A24" s="259"/>
      <c r="B24" s="259"/>
      <c r="C24" s="259"/>
      <c r="D24" s="259"/>
      <c r="G24" s="259"/>
    </row>
    <row r="25" spans="1:18">
      <c r="A25" s="303" t="s">
        <v>853</v>
      </c>
      <c r="B25" s="259"/>
      <c r="C25" s="259"/>
      <c r="D25" s="259"/>
      <c r="G25" s="259"/>
    </row>
    <row r="26" spans="1:18">
      <c r="A26" s="184" t="s">
        <v>844</v>
      </c>
      <c r="B26" s="259"/>
      <c r="C26" s="259"/>
      <c r="D26" s="259"/>
      <c r="G26" s="259"/>
    </row>
    <row r="27" spans="1:18">
      <c r="A27" s="184" t="s">
        <v>587</v>
      </c>
      <c r="B27" s="259" t="s">
        <v>649</v>
      </c>
      <c r="C27" s="259" t="s">
        <v>598</v>
      </c>
      <c r="D27" s="259" t="s">
        <v>599</v>
      </c>
      <c r="E27" s="259" t="s">
        <v>600</v>
      </c>
      <c r="F27" s="259" t="s">
        <v>601</v>
      </c>
      <c r="G27" s="259" t="s">
        <v>602</v>
      </c>
      <c r="H27" s="259" t="s">
        <v>603</v>
      </c>
      <c r="I27" s="259" t="s">
        <v>604</v>
      </c>
      <c r="J27" s="259" t="s">
        <v>605</v>
      </c>
      <c r="K27" s="259" t="s">
        <v>606</v>
      </c>
      <c r="L27" s="259" t="s">
        <v>607</v>
      </c>
      <c r="M27" s="259" t="s">
        <v>608</v>
      </c>
      <c r="N27" s="259" t="s">
        <v>609</v>
      </c>
      <c r="O27" s="291">
        <v>7</v>
      </c>
      <c r="P27" s="291">
        <v>8</v>
      </c>
      <c r="Q27" s="259"/>
      <c r="R27" s="259"/>
    </row>
    <row r="28" spans="1:18">
      <c r="A28" s="184" t="s">
        <v>784</v>
      </c>
      <c r="B28" s="259" t="s">
        <v>769</v>
      </c>
      <c r="C28" s="259" t="s">
        <v>770</v>
      </c>
      <c r="D28" s="259" t="s">
        <v>771</v>
      </c>
      <c r="E28" s="259" t="s">
        <v>772</v>
      </c>
      <c r="F28" s="259" t="s">
        <v>773</v>
      </c>
      <c r="G28" s="259" t="s">
        <v>774</v>
      </c>
      <c r="H28" s="259" t="s">
        <v>775</v>
      </c>
      <c r="I28" s="259" t="s">
        <v>776</v>
      </c>
      <c r="J28" s="259" t="s">
        <v>777</v>
      </c>
      <c r="K28" s="259" t="s">
        <v>778</v>
      </c>
      <c r="L28" s="259" t="s">
        <v>779</v>
      </c>
      <c r="M28" s="259" t="s">
        <v>780</v>
      </c>
      <c r="N28" s="259" t="s">
        <v>781</v>
      </c>
      <c r="O28" s="259" t="s">
        <v>782</v>
      </c>
      <c r="P28" s="259" t="s">
        <v>783</v>
      </c>
      <c r="Q28" s="259" t="s">
        <v>827</v>
      </c>
      <c r="R28" s="259" t="s">
        <v>828</v>
      </c>
    </row>
    <row r="29" spans="1:18">
      <c r="A29" s="184" t="s">
        <v>785</v>
      </c>
      <c r="B29" s="259">
        <v>722020</v>
      </c>
      <c r="C29" s="259">
        <v>722430</v>
      </c>
      <c r="D29" s="259">
        <v>722780</v>
      </c>
      <c r="E29" s="259">
        <v>723340</v>
      </c>
      <c r="F29" s="259">
        <v>722700</v>
      </c>
      <c r="G29" s="259">
        <v>724940</v>
      </c>
      <c r="H29" s="259">
        <v>724060</v>
      </c>
      <c r="I29" s="259">
        <v>723650</v>
      </c>
      <c r="J29" s="259">
        <v>726940</v>
      </c>
      <c r="K29" s="259">
        <v>725300</v>
      </c>
      <c r="L29" s="259">
        <v>726810</v>
      </c>
      <c r="M29" s="259">
        <v>726170</v>
      </c>
      <c r="N29" s="259">
        <v>727720</v>
      </c>
      <c r="O29" s="259">
        <v>727450</v>
      </c>
      <c r="P29" s="259">
        <v>702610</v>
      </c>
      <c r="Q29" s="259">
        <v>722057</v>
      </c>
      <c r="R29" s="259">
        <v>722080</v>
      </c>
    </row>
    <row r="30" spans="1:18">
      <c r="A30" s="184" t="s">
        <v>611</v>
      </c>
      <c r="B30" s="304">
        <v>-9.2318999999999995E-3</v>
      </c>
      <c r="C30" s="304">
        <f>B30-0.0007134257</f>
        <v>-9.9453257000000003E-3</v>
      </c>
      <c r="D30" s="304" t="s">
        <v>667</v>
      </c>
      <c r="E30" s="304">
        <f>B30+0.00001815469</f>
        <v>-9.2137453100000002E-3</v>
      </c>
      <c r="F30" s="304" t="s">
        <v>667</v>
      </c>
      <c r="G30" s="304" t="s">
        <v>667</v>
      </c>
      <c r="H30" s="304">
        <f>B30+ 0.0003334949</f>
        <v>-8.8984050999999995E-3</v>
      </c>
      <c r="I30" s="304" t="s">
        <v>667</v>
      </c>
      <c r="J30" s="304" t="s">
        <v>667</v>
      </c>
      <c r="K30" s="304" t="s">
        <v>667</v>
      </c>
      <c r="L30" s="304" t="s">
        <v>667</v>
      </c>
      <c r="M30" s="304" t="s">
        <v>667</v>
      </c>
      <c r="N30" s="304" t="s">
        <v>667</v>
      </c>
      <c r="O30" s="304" t="s">
        <v>667</v>
      </c>
      <c r="P30" s="304" t="s">
        <v>667</v>
      </c>
      <c r="Q30" s="304">
        <f>B30-0.0001231346</f>
        <v>-9.3550345999999993E-3</v>
      </c>
      <c r="R30" s="304">
        <f>B30-0.0009062274</f>
        <v>-1.0138127399999999E-2</v>
      </c>
    </row>
    <row r="31" spans="1:18">
      <c r="B31" s="259"/>
      <c r="C31" s="259"/>
      <c r="D31" s="259"/>
      <c r="E31" s="259"/>
      <c r="F31" s="259"/>
      <c r="G31" s="259"/>
      <c r="H31" s="259"/>
      <c r="I31" s="259"/>
      <c r="J31" s="259"/>
      <c r="K31" s="259"/>
      <c r="L31" s="259"/>
      <c r="M31" s="259"/>
      <c r="N31" s="259"/>
      <c r="O31" s="259"/>
      <c r="P31" s="259"/>
    </row>
    <row r="32" spans="1:18">
      <c r="A32" s="184" t="s">
        <v>845</v>
      </c>
      <c r="B32" s="239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  <c r="O32" s="273"/>
      <c r="P32" s="239"/>
    </row>
    <row r="33" spans="1:21">
      <c r="A33" s="184" t="s">
        <v>587</v>
      </c>
      <c r="B33" s="259" t="s">
        <v>649</v>
      </c>
      <c r="C33" s="259" t="s">
        <v>598</v>
      </c>
      <c r="D33" s="259" t="s">
        <v>599</v>
      </c>
      <c r="E33" s="259" t="s">
        <v>600</v>
      </c>
      <c r="F33" s="259" t="s">
        <v>601</v>
      </c>
      <c r="G33" s="259" t="s">
        <v>602</v>
      </c>
      <c r="H33" s="259" t="s">
        <v>603</v>
      </c>
      <c r="I33" s="259" t="s">
        <v>604</v>
      </c>
      <c r="J33" s="259" t="s">
        <v>605</v>
      </c>
      <c r="K33" s="259" t="s">
        <v>606</v>
      </c>
      <c r="L33" s="259" t="s">
        <v>607</v>
      </c>
      <c r="M33" s="259" t="s">
        <v>608</v>
      </c>
      <c r="N33" s="259" t="s">
        <v>609</v>
      </c>
      <c r="O33" s="291">
        <v>7</v>
      </c>
      <c r="P33" s="291">
        <v>8</v>
      </c>
      <c r="Q33" s="259"/>
      <c r="R33" s="259"/>
    </row>
    <row r="34" spans="1:21">
      <c r="A34" s="184" t="s">
        <v>784</v>
      </c>
      <c r="B34" s="259" t="s">
        <v>769</v>
      </c>
      <c r="C34" s="259" t="s">
        <v>770</v>
      </c>
      <c r="D34" s="259" t="s">
        <v>771</v>
      </c>
      <c r="E34" s="259" t="s">
        <v>772</v>
      </c>
      <c r="F34" s="259" t="s">
        <v>773</v>
      </c>
      <c r="G34" s="259" t="s">
        <v>774</v>
      </c>
      <c r="H34" s="259" t="s">
        <v>775</v>
      </c>
      <c r="I34" s="259" t="s">
        <v>776</v>
      </c>
      <c r="J34" s="259" t="s">
        <v>777</v>
      </c>
      <c r="K34" s="259" t="s">
        <v>778</v>
      </c>
      <c r="L34" s="259" t="s">
        <v>779</v>
      </c>
      <c r="M34" s="259" t="s">
        <v>780</v>
      </c>
      <c r="N34" s="259" t="s">
        <v>781</v>
      </c>
      <c r="O34" s="259" t="s">
        <v>782</v>
      </c>
      <c r="P34" s="259" t="s">
        <v>783</v>
      </c>
      <c r="Q34" s="259" t="s">
        <v>827</v>
      </c>
      <c r="R34" s="259" t="s">
        <v>828</v>
      </c>
    </row>
    <row r="35" spans="1:21">
      <c r="A35" s="184" t="s">
        <v>785</v>
      </c>
      <c r="B35" s="259">
        <v>722020</v>
      </c>
      <c r="C35" s="259">
        <v>722430</v>
      </c>
      <c r="D35" s="259">
        <v>722780</v>
      </c>
      <c r="E35" s="259">
        <v>723340</v>
      </c>
      <c r="F35" s="259">
        <v>722700</v>
      </c>
      <c r="G35" s="259">
        <v>724940</v>
      </c>
      <c r="H35" s="259">
        <v>724060</v>
      </c>
      <c r="I35" s="259">
        <v>723650</v>
      </c>
      <c r="J35" s="259">
        <v>726940</v>
      </c>
      <c r="K35" s="259">
        <v>725300</v>
      </c>
      <c r="L35" s="259">
        <v>726810</v>
      </c>
      <c r="M35" s="259">
        <v>726170</v>
      </c>
      <c r="N35" s="259">
        <v>727720</v>
      </c>
      <c r="O35" s="259">
        <v>727450</v>
      </c>
      <c r="P35" s="259">
        <v>702610</v>
      </c>
      <c r="Q35" s="259">
        <v>722057</v>
      </c>
      <c r="R35" s="259">
        <v>722080</v>
      </c>
    </row>
    <row r="36" spans="1:21">
      <c r="A36" s="184" t="s">
        <v>611</v>
      </c>
      <c r="B36" s="259">
        <v>8.4997935999999996E-3</v>
      </c>
      <c r="C36" s="259">
        <f>B36+0.0007116777</f>
        <v>9.2114712999999994E-3</v>
      </c>
      <c r="D36" s="259" t="s">
        <v>667</v>
      </c>
      <c r="E36" s="259">
        <f>B36-0.0014466751</f>
        <v>7.0531184999999995E-3</v>
      </c>
      <c r="F36" s="259" t="s">
        <v>667</v>
      </c>
      <c r="G36" s="259" t="s">
        <v>667</v>
      </c>
      <c r="H36" s="259">
        <f>B36-0.0018362786</f>
        <v>6.6635150000000001E-3</v>
      </c>
      <c r="I36" s="259" t="s">
        <v>667</v>
      </c>
      <c r="J36" s="259" t="s">
        <v>667</v>
      </c>
      <c r="K36" s="259" t="s">
        <v>667</v>
      </c>
      <c r="L36" s="259" t="s">
        <v>667</v>
      </c>
      <c r="M36" s="259" t="s">
        <v>667</v>
      </c>
      <c r="N36" s="259" t="s">
        <v>667</v>
      </c>
      <c r="O36" s="259" t="s">
        <v>667</v>
      </c>
      <c r="P36" s="259" t="s">
        <v>667</v>
      </c>
      <c r="Q36" s="259">
        <f>B36-0.000011915</f>
        <v>8.4878786000000001E-3</v>
      </c>
      <c r="R36" s="259">
        <f>B36+0.0009016638</f>
        <v>9.4014574000000004E-3</v>
      </c>
    </row>
    <row r="39" spans="1:21">
      <c r="A39" s="184" t="s">
        <v>867</v>
      </c>
    </row>
    <row r="40" spans="1:21" s="259" customFormat="1">
      <c r="A40" s="184" t="s">
        <v>587</v>
      </c>
      <c r="B40" s="259" t="s">
        <v>649</v>
      </c>
      <c r="C40" s="259" t="s">
        <v>598</v>
      </c>
      <c r="D40" s="259" t="s">
        <v>599</v>
      </c>
      <c r="E40" s="259" t="s">
        <v>600</v>
      </c>
      <c r="F40" s="259" t="s">
        <v>601</v>
      </c>
      <c r="G40" s="259" t="s">
        <v>602</v>
      </c>
      <c r="H40" s="259" t="s">
        <v>603</v>
      </c>
      <c r="I40" s="259" t="s">
        <v>604</v>
      </c>
      <c r="J40" s="259" t="s">
        <v>605</v>
      </c>
      <c r="K40" s="259" t="s">
        <v>606</v>
      </c>
      <c r="L40" s="259" t="s">
        <v>607</v>
      </c>
      <c r="M40" s="259" t="s">
        <v>608</v>
      </c>
      <c r="N40" s="259" t="s">
        <v>609</v>
      </c>
      <c r="O40" s="291">
        <v>7</v>
      </c>
      <c r="P40" s="291">
        <v>8</v>
      </c>
    </row>
    <row r="41" spans="1:21">
      <c r="A41" s="184" t="s">
        <v>868</v>
      </c>
      <c r="B41" s="259" t="s">
        <v>769</v>
      </c>
      <c r="C41" s="259" t="s">
        <v>770</v>
      </c>
      <c r="D41" s="259" t="s">
        <v>771</v>
      </c>
      <c r="E41" s="259" t="s">
        <v>772</v>
      </c>
      <c r="F41" s="259" t="s">
        <v>773</v>
      </c>
      <c r="G41" s="259" t="s">
        <v>774</v>
      </c>
      <c r="H41" s="259" t="s">
        <v>775</v>
      </c>
      <c r="I41" s="259" t="s">
        <v>776</v>
      </c>
      <c r="J41" s="259" t="s">
        <v>777</v>
      </c>
      <c r="K41" s="259" t="s">
        <v>778</v>
      </c>
      <c r="L41" s="259" t="s">
        <v>779</v>
      </c>
      <c r="M41" s="259" t="s">
        <v>780</v>
      </c>
      <c r="N41" s="259" t="s">
        <v>781</v>
      </c>
      <c r="O41" s="259" t="s">
        <v>782</v>
      </c>
      <c r="P41" s="259" t="s">
        <v>783</v>
      </c>
      <c r="Q41" s="259" t="s">
        <v>827</v>
      </c>
      <c r="R41" s="259" t="s">
        <v>828</v>
      </c>
    </row>
    <row r="42" spans="1:21">
      <c r="A42" s="259" t="s">
        <v>855</v>
      </c>
      <c r="B42" s="278">
        <v>7.6169999999999996E-3</v>
      </c>
      <c r="C42" s="278">
        <v>3.7669999999999999E-3</v>
      </c>
      <c r="D42" s="278"/>
      <c r="E42" s="278">
        <v>2.1570000000000001E-3</v>
      </c>
      <c r="F42" s="278"/>
      <c r="G42" s="278"/>
      <c r="H42" s="278">
        <v>1.544E-3</v>
      </c>
      <c r="I42" s="278"/>
      <c r="J42" s="278"/>
      <c r="K42" s="278"/>
      <c r="L42" s="278"/>
      <c r="M42" s="278"/>
      <c r="N42" s="278"/>
      <c r="O42" s="278"/>
      <c r="P42" s="278"/>
      <c r="Q42" s="278">
        <v>6.8250000000000003E-3</v>
      </c>
      <c r="R42" s="278">
        <v>3.4429999999999999E-3</v>
      </c>
      <c r="T42" s="259"/>
      <c r="U42" s="259"/>
    </row>
    <row r="43" spans="1:21">
      <c r="A43" s="259" t="s">
        <v>856</v>
      </c>
      <c r="B43" s="278">
        <v>7.8799999999999999E-3</v>
      </c>
      <c r="C43" s="278">
        <v>3.6329999999999999E-3</v>
      </c>
      <c r="D43" s="278"/>
      <c r="E43" s="278">
        <v>1.9650000000000002E-3</v>
      </c>
      <c r="F43" s="278"/>
      <c r="G43" s="278"/>
      <c r="H43" s="278">
        <v>1.6559999999999999E-3</v>
      </c>
      <c r="I43" s="278"/>
      <c r="J43" s="278"/>
      <c r="K43" s="278"/>
      <c r="L43" s="278"/>
      <c r="M43" s="278"/>
      <c r="N43" s="278"/>
      <c r="O43" s="278"/>
      <c r="P43" s="278"/>
      <c r="Q43" s="278">
        <v>6.6210000000000001E-3</v>
      </c>
      <c r="R43" s="278">
        <v>2.928E-3</v>
      </c>
      <c r="T43" s="259"/>
      <c r="U43" s="259"/>
    </row>
    <row r="44" spans="1:21">
      <c r="A44" s="259" t="s">
        <v>857</v>
      </c>
      <c r="B44" s="278">
        <v>8.541E-3</v>
      </c>
      <c r="C44" s="278">
        <v>4.7939999999999997E-3</v>
      </c>
      <c r="D44" s="278"/>
      <c r="E44" s="278">
        <v>3.9420000000000002E-3</v>
      </c>
      <c r="F44" s="278"/>
      <c r="G44" s="278"/>
      <c r="H44" s="278">
        <v>2.088E-3</v>
      </c>
      <c r="I44" s="278"/>
      <c r="J44" s="278"/>
      <c r="K44" s="278"/>
      <c r="L44" s="278"/>
      <c r="M44" s="278"/>
      <c r="N44" s="278"/>
      <c r="O44" s="278"/>
      <c r="P44" s="278"/>
      <c r="Q44" s="278">
        <v>4.6239999999999996E-3</v>
      </c>
      <c r="R44" s="278">
        <v>4.9439999999999996E-3</v>
      </c>
      <c r="T44" s="259"/>
      <c r="U44" s="259"/>
    </row>
    <row r="45" spans="1:21">
      <c r="A45" s="259" t="s">
        <v>858</v>
      </c>
      <c r="B45" s="278">
        <v>1.1350000000000001E-2</v>
      </c>
      <c r="C45" s="278">
        <v>9.1559999999999992E-3</v>
      </c>
      <c r="D45" s="278"/>
      <c r="E45" s="278">
        <v>4.6220000000000002E-3</v>
      </c>
      <c r="F45" s="278"/>
      <c r="G45" s="278"/>
      <c r="H45" s="278">
        <v>4.0499999999999998E-3</v>
      </c>
      <c r="I45" s="278"/>
      <c r="J45" s="278"/>
      <c r="K45" s="278"/>
      <c r="L45" s="278"/>
      <c r="M45" s="278"/>
      <c r="N45" s="278"/>
      <c r="O45" s="278"/>
      <c r="P45" s="278"/>
      <c r="Q45" s="278">
        <v>8.0610000000000005E-3</v>
      </c>
      <c r="R45" s="278">
        <v>6.4580000000000002E-3</v>
      </c>
      <c r="T45" s="259"/>
      <c r="U45" s="259"/>
    </row>
    <row r="46" spans="1:21">
      <c r="A46" s="259" t="s">
        <v>859</v>
      </c>
      <c r="B46" s="278">
        <v>1.4200000000000001E-2</v>
      </c>
      <c r="C46" s="278">
        <v>1.2579999999999999E-2</v>
      </c>
      <c r="D46" s="278"/>
      <c r="E46" s="278">
        <v>8.8590000000000006E-3</v>
      </c>
      <c r="F46" s="278"/>
      <c r="G46" s="278"/>
      <c r="H46" s="278">
        <v>5.8789999999999997E-3</v>
      </c>
      <c r="I46" s="278"/>
      <c r="J46" s="278"/>
      <c r="K46" s="278"/>
      <c r="L46" s="278"/>
      <c r="M46" s="278"/>
      <c r="N46" s="278"/>
      <c r="O46" s="278"/>
      <c r="P46" s="278"/>
      <c r="Q46" s="278">
        <v>1.0699999999999999E-2</v>
      </c>
      <c r="R46" s="278">
        <v>1.091E-2</v>
      </c>
      <c r="T46" s="259"/>
      <c r="U46" s="259"/>
    </row>
    <row r="47" spans="1:21">
      <c r="A47" s="259" t="s">
        <v>860</v>
      </c>
      <c r="B47" s="278">
        <v>1.6289999999999999E-2</v>
      </c>
      <c r="C47" s="278">
        <v>1.6219999999999998E-2</v>
      </c>
      <c r="D47" s="278"/>
      <c r="E47" s="278">
        <v>1.2749999999999999E-2</v>
      </c>
      <c r="F47" s="278"/>
      <c r="G47" s="278"/>
      <c r="H47" s="278">
        <v>9.5149999999999992E-3</v>
      </c>
      <c r="I47" s="278"/>
      <c r="J47" s="278"/>
      <c r="K47" s="278"/>
      <c r="L47" s="278"/>
      <c r="M47" s="278"/>
      <c r="N47" s="278"/>
      <c r="O47" s="278"/>
      <c r="P47" s="278"/>
      <c r="Q47" s="278">
        <v>1.371E-2</v>
      </c>
      <c r="R47" s="278">
        <v>1.4019999999999999E-2</v>
      </c>
      <c r="T47" s="259"/>
      <c r="U47" s="259"/>
    </row>
    <row r="48" spans="1:21">
      <c r="A48" s="259" t="s">
        <v>861</v>
      </c>
      <c r="B48" s="278">
        <v>1.6670000000000001E-2</v>
      </c>
      <c r="C48" s="278">
        <v>1.6740000000000001E-2</v>
      </c>
      <c r="D48" s="278"/>
      <c r="E48" s="278">
        <v>1.426E-2</v>
      </c>
      <c r="F48" s="278"/>
      <c r="G48" s="278"/>
      <c r="H48" s="278">
        <v>1.163E-2</v>
      </c>
      <c r="I48" s="278"/>
      <c r="J48" s="278"/>
      <c r="K48" s="278"/>
      <c r="L48" s="278"/>
      <c r="M48" s="278"/>
      <c r="N48" s="278"/>
      <c r="O48" s="278"/>
      <c r="P48" s="278"/>
      <c r="Q48" s="278">
        <v>1.668E-2</v>
      </c>
      <c r="R48" s="278">
        <v>1.6289999999999999E-2</v>
      </c>
      <c r="T48" s="259"/>
      <c r="U48" s="259"/>
    </row>
    <row r="49" spans="1:21">
      <c r="A49" s="259" t="s">
        <v>862</v>
      </c>
      <c r="B49" s="278">
        <v>1.686E-2</v>
      </c>
      <c r="C49" s="278">
        <v>1.6830000000000001E-2</v>
      </c>
      <c r="D49" s="444"/>
      <c r="E49" s="445">
        <v>1.239E-2</v>
      </c>
      <c r="F49" s="444"/>
      <c r="G49" s="444"/>
      <c r="H49" s="445">
        <v>1.059E-2</v>
      </c>
      <c r="I49" s="445"/>
      <c r="J49" s="444"/>
      <c r="K49" s="444"/>
      <c r="L49" s="444"/>
      <c r="M49" s="444"/>
      <c r="N49" s="444"/>
      <c r="O49" s="444"/>
      <c r="P49" s="444"/>
      <c r="Q49" s="278">
        <v>1.6760000000000001E-2</v>
      </c>
      <c r="R49" s="278">
        <v>1.626E-2</v>
      </c>
      <c r="T49" s="259"/>
      <c r="U49" s="259"/>
    </row>
    <row r="50" spans="1:21">
      <c r="A50" s="259" t="s">
        <v>863</v>
      </c>
      <c r="B50" s="278">
        <v>1.6320000000000001E-2</v>
      </c>
      <c r="C50" s="278">
        <v>1.145E-2</v>
      </c>
      <c r="D50" s="278"/>
      <c r="E50" s="278">
        <v>1.0970000000000001E-2</v>
      </c>
      <c r="F50" s="278"/>
      <c r="G50" s="278"/>
      <c r="H50" s="278">
        <v>8.8909999999999996E-3</v>
      </c>
      <c r="I50" s="278"/>
      <c r="J50" s="278"/>
      <c r="K50" s="278"/>
      <c r="L50" s="278"/>
      <c r="M50" s="278"/>
      <c r="N50" s="278"/>
      <c r="O50" s="278"/>
      <c r="P50" s="278"/>
      <c r="Q50" s="278">
        <v>1.404E-2</v>
      </c>
      <c r="R50" s="278">
        <v>1.3559999999999999E-2</v>
      </c>
      <c r="T50" s="259"/>
      <c r="U50" s="259"/>
    </row>
    <row r="51" spans="1:21">
      <c r="A51" s="259" t="s">
        <v>864</v>
      </c>
      <c r="B51" s="278">
        <v>1.4590000000000001E-2</v>
      </c>
      <c r="C51" s="278">
        <v>7.8910000000000004E-3</v>
      </c>
      <c r="D51" s="278"/>
      <c r="E51" s="278">
        <v>5.4270000000000004E-3</v>
      </c>
      <c r="F51" s="278"/>
      <c r="G51" s="278"/>
      <c r="H51" s="278">
        <v>3.9449999999999997E-3</v>
      </c>
      <c r="I51" s="278"/>
      <c r="J51" s="278"/>
      <c r="K51" s="278"/>
      <c r="L51" s="278"/>
      <c r="M51" s="278"/>
      <c r="N51" s="278"/>
      <c r="O51" s="278"/>
      <c r="P51" s="278"/>
      <c r="Q51" s="278">
        <v>1.0500000000000001E-2</v>
      </c>
      <c r="R51" s="278">
        <v>7.4929999999999997E-3</v>
      </c>
      <c r="T51" s="259"/>
      <c r="U51" s="259"/>
    </row>
    <row r="52" spans="1:21">
      <c r="A52" s="259" t="s">
        <v>865</v>
      </c>
      <c r="B52" s="278">
        <v>1.225E-2</v>
      </c>
      <c r="C52" s="278">
        <v>6.0429999999999998E-3</v>
      </c>
      <c r="D52" s="278"/>
      <c r="E52" s="278">
        <v>4.2989999999999999E-3</v>
      </c>
      <c r="F52" s="278"/>
      <c r="G52" s="278"/>
      <c r="H52" s="278">
        <v>3.2200000000000002E-3</v>
      </c>
      <c r="I52" s="278"/>
      <c r="J52" s="278"/>
      <c r="K52" s="278"/>
      <c r="L52" s="278"/>
      <c r="M52" s="278"/>
      <c r="N52" s="278"/>
      <c r="O52" s="278"/>
      <c r="P52" s="278"/>
      <c r="Q52" s="278">
        <v>7.1399999999999996E-3</v>
      </c>
      <c r="R52" s="278">
        <v>5.2579999999999997E-3</v>
      </c>
      <c r="T52" s="259"/>
      <c r="U52" s="259"/>
    </row>
    <row r="53" spans="1:21">
      <c r="A53" s="259" t="s">
        <v>866</v>
      </c>
      <c r="B53" s="278">
        <v>8.7150000000000005E-3</v>
      </c>
      <c r="C53" s="278">
        <v>4.2940000000000001E-3</v>
      </c>
      <c r="D53" s="278"/>
      <c r="E53" s="278">
        <v>2.2769999999999999E-3</v>
      </c>
      <c r="F53" s="278"/>
      <c r="G53" s="278"/>
      <c r="H53" s="278">
        <v>1.505E-3</v>
      </c>
      <c r="I53" s="278"/>
      <c r="J53" s="278"/>
      <c r="K53" s="278"/>
      <c r="L53" s="278"/>
      <c r="M53" s="278"/>
      <c r="N53" s="278"/>
      <c r="O53" s="278"/>
      <c r="P53" s="278"/>
      <c r="Q53" s="278">
        <v>6.6519999999999999E-3</v>
      </c>
      <c r="R53" s="278">
        <v>2.604E-3</v>
      </c>
      <c r="T53" s="259"/>
      <c r="U53" s="259"/>
    </row>
    <row r="54" spans="1:21">
      <c r="A54" s="259"/>
    </row>
    <row r="55" spans="1:21">
      <c r="A55" s="259"/>
    </row>
    <row r="56" spans="1:21">
      <c r="A56" s="184" t="s">
        <v>869</v>
      </c>
      <c r="B56" s="259"/>
      <c r="C56" s="259"/>
      <c r="D56" s="259"/>
      <c r="E56" s="259"/>
      <c r="F56" s="259"/>
      <c r="G56" s="259"/>
      <c r="H56" s="259"/>
      <c r="I56" s="259"/>
      <c r="J56" s="259"/>
      <c r="K56" s="259"/>
      <c r="L56" s="259"/>
      <c r="M56" s="259"/>
      <c r="N56" s="259"/>
      <c r="O56" s="259"/>
      <c r="P56" s="259"/>
      <c r="Q56" s="259"/>
      <c r="R56" s="259"/>
    </row>
    <row r="57" spans="1:21">
      <c r="A57" s="184" t="s">
        <v>587</v>
      </c>
      <c r="B57" s="259" t="s">
        <v>649</v>
      </c>
      <c r="C57" s="259" t="s">
        <v>598</v>
      </c>
      <c r="D57" s="259" t="s">
        <v>599</v>
      </c>
      <c r="E57" s="259" t="s">
        <v>600</v>
      </c>
      <c r="F57" s="259" t="s">
        <v>601</v>
      </c>
      <c r="G57" s="259" t="s">
        <v>602</v>
      </c>
      <c r="H57" s="259" t="s">
        <v>603</v>
      </c>
      <c r="I57" s="259" t="s">
        <v>604</v>
      </c>
      <c r="J57" s="259" t="s">
        <v>605</v>
      </c>
      <c r="K57" s="259" t="s">
        <v>606</v>
      </c>
      <c r="L57" s="259" t="s">
        <v>607</v>
      </c>
      <c r="M57" s="259" t="s">
        <v>608</v>
      </c>
      <c r="N57" s="259" t="s">
        <v>609</v>
      </c>
      <c r="O57" s="291">
        <v>7</v>
      </c>
      <c r="P57" s="291">
        <v>8</v>
      </c>
      <c r="Q57" s="259"/>
      <c r="R57" s="259"/>
    </row>
    <row r="58" spans="1:21">
      <c r="A58" s="184" t="s">
        <v>868</v>
      </c>
      <c r="B58" s="259" t="s">
        <v>769</v>
      </c>
      <c r="C58" s="259" t="s">
        <v>770</v>
      </c>
      <c r="D58" s="259" t="s">
        <v>771</v>
      </c>
      <c r="E58" s="259" t="s">
        <v>772</v>
      </c>
      <c r="F58" s="259" t="s">
        <v>773</v>
      </c>
      <c r="G58" s="259" t="s">
        <v>774</v>
      </c>
      <c r="H58" s="259" t="s">
        <v>775</v>
      </c>
      <c r="I58" s="259" t="s">
        <v>776</v>
      </c>
      <c r="J58" s="259" t="s">
        <v>777</v>
      </c>
      <c r="K58" s="259" t="s">
        <v>778</v>
      </c>
      <c r="L58" s="259" t="s">
        <v>779</v>
      </c>
      <c r="M58" s="259" t="s">
        <v>780</v>
      </c>
      <c r="N58" s="259" t="s">
        <v>781</v>
      </c>
      <c r="O58" s="259" t="s">
        <v>782</v>
      </c>
      <c r="P58" s="259" t="s">
        <v>783</v>
      </c>
      <c r="Q58" s="259" t="s">
        <v>827</v>
      </c>
      <c r="R58" s="259" t="s">
        <v>828</v>
      </c>
    </row>
    <row r="59" spans="1:21">
      <c r="A59" s="259" t="s">
        <v>855</v>
      </c>
      <c r="B59" s="278">
        <v>1.3089999999999999E-2</v>
      </c>
      <c r="C59" s="278">
        <v>8.8339999999999998E-3</v>
      </c>
      <c r="D59" s="278"/>
      <c r="E59" s="278">
        <v>5.5209999999999999E-3</v>
      </c>
      <c r="F59" s="278"/>
      <c r="G59" s="278"/>
      <c r="H59" s="278">
        <v>3.2390000000000001E-3</v>
      </c>
      <c r="I59" s="278"/>
      <c r="J59" s="278"/>
      <c r="K59" s="278"/>
      <c r="L59" s="278"/>
      <c r="M59" s="278"/>
      <c r="N59" s="278"/>
      <c r="O59" s="278"/>
      <c r="P59" s="278"/>
      <c r="Q59" s="278">
        <v>1.0449999999999999E-2</v>
      </c>
      <c r="R59" s="278">
        <v>6.9750000000000003E-3</v>
      </c>
      <c r="T59" s="259"/>
    </row>
    <row r="60" spans="1:21">
      <c r="A60" s="259" t="s">
        <v>856</v>
      </c>
      <c r="B60" s="278">
        <v>1.312E-2</v>
      </c>
      <c r="C60" s="278">
        <v>1.022E-2</v>
      </c>
      <c r="D60" s="278"/>
      <c r="E60" s="278">
        <v>5.0109999999999998E-3</v>
      </c>
      <c r="F60" s="278"/>
      <c r="G60" s="278"/>
      <c r="H60" s="278">
        <v>3.6640000000000002E-3</v>
      </c>
      <c r="I60" s="278"/>
      <c r="J60" s="278"/>
      <c r="K60" s="278"/>
      <c r="L60" s="278"/>
      <c r="M60" s="278"/>
      <c r="N60" s="278"/>
      <c r="O60" s="278"/>
      <c r="P60" s="278"/>
      <c r="Q60" s="278">
        <v>1.132E-2</v>
      </c>
      <c r="R60" s="278">
        <v>7.0429999999999998E-3</v>
      </c>
      <c r="T60" s="259"/>
    </row>
    <row r="61" spans="1:21">
      <c r="A61" s="259" t="s">
        <v>857</v>
      </c>
      <c r="B61" s="278">
        <v>1.418E-2</v>
      </c>
      <c r="C61" s="278">
        <v>1.196E-2</v>
      </c>
      <c r="D61" s="278"/>
      <c r="E61" s="278">
        <v>8.2719999999999998E-3</v>
      </c>
      <c r="F61" s="278"/>
      <c r="G61" s="278"/>
      <c r="H61" s="278">
        <v>4.254E-3</v>
      </c>
      <c r="I61" s="278"/>
      <c r="J61" s="278"/>
      <c r="K61" s="278"/>
      <c r="L61" s="278"/>
      <c r="M61" s="278"/>
      <c r="N61" s="278"/>
      <c r="O61" s="278"/>
      <c r="P61" s="278"/>
      <c r="Q61" s="278">
        <v>1.102E-2</v>
      </c>
      <c r="R61" s="278">
        <v>0.01</v>
      </c>
      <c r="T61" s="259"/>
    </row>
    <row r="62" spans="1:21">
      <c r="A62" s="259" t="s">
        <v>858</v>
      </c>
      <c r="B62" s="278">
        <v>1.405E-2</v>
      </c>
      <c r="C62" s="278">
        <v>1.41E-2</v>
      </c>
      <c r="D62" s="278"/>
      <c r="E62" s="278">
        <v>9.9340000000000001E-3</v>
      </c>
      <c r="F62" s="278"/>
      <c r="G62" s="278"/>
      <c r="H62" s="278">
        <v>7.2680000000000002E-3</v>
      </c>
      <c r="I62" s="278"/>
      <c r="J62" s="278"/>
      <c r="K62" s="278"/>
      <c r="L62" s="278"/>
      <c r="M62" s="278"/>
      <c r="N62" s="278"/>
      <c r="O62" s="278"/>
      <c r="P62" s="278"/>
      <c r="Q62" s="278">
        <v>1.208E-2</v>
      </c>
      <c r="R62" s="278">
        <v>1.1299999999999999E-2</v>
      </c>
      <c r="T62" s="259"/>
    </row>
    <row r="63" spans="1:21">
      <c r="A63" s="259" t="s">
        <v>859</v>
      </c>
      <c r="B63" s="278">
        <v>1.6299999999999999E-2</v>
      </c>
      <c r="C63" s="278">
        <v>1.5789999999999998E-2</v>
      </c>
      <c r="D63" s="278"/>
      <c r="E63" s="278">
        <v>1.43E-2</v>
      </c>
      <c r="F63" s="278"/>
      <c r="G63" s="278"/>
      <c r="H63" s="278">
        <v>1.107E-2</v>
      </c>
      <c r="I63" s="278"/>
      <c r="J63" s="278"/>
      <c r="K63" s="278"/>
      <c r="L63" s="278"/>
      <c r="M63" s="278"/>
      <c r="N63" s="278"/>
      <c r="O63" s="278"/>
      <c r="P63" s="278"/>
      <c r="Q63" s="278">
        <v>1.47E-2</v>
      </c>
      <c r="R63" s="278">
        <v>1.461E-2</v>
      </c>
      <c r="T63" s="259"/>
    </row>
    <row r="64" spans="1:21">
      <c r="A64" s="259" t="s">
        <v>860</v>
      </c>
      <c r="B64" s="278">
        <v>1.805E-2</v>
      </c>
      <c r="C64" s="278">
        <v>1.8010000000000002E-2</v>
      </c>
      <c r="D64" s="278"/>
      <c r="E64" s="278">
        <v>1.6299999999999999E-2</v>
      </c>
      <c r="F64" s="278"/>
      <c r="G64" s="278"/>
      <c r="H64" s="278">
        <v>1.329E-2</v>
      </c>
      <c r="I64" s="278"/>
      <c r="J64" s="278"/>
      <c r="K64" s="278"/>
      <c r="L64" s="278"/>
      <c r="M64" s="278"/>
      <c r="N64" s="278"/>
      <c r="O64" s="278"/>
      <c r="P64" s="278"/>
      <c r="Q64" s="278">
        <v>1.6549999999999999E-2</v>
      </c>
      <c r="R64" s="278">
        <v>1.797E-2</v>
      </c>
      <c r="T64" s="259"/>
    </row>
    <row r="65" spans="1:20">
      <c r="A65" s="259" t="s">
        <v>861</v>
      </c>
      <c r="B65" s="278">
        <v>1.8460000000000001E-2</v>
      </c>
      <c r="C65" s="278">
        <v>1.8630000000000001E-2</v>
      </c>
      <c r="D65" s="278"/>
      <c r="E65" s="278">
        <v>1.6910000000000001E-2</v>
      </c>
      <c r="F65" s="278"/>
      <c r="G65" s="278"/>
      <c r="H65" s="278">
        <v>1.545E-2</v>
      </c>
      <c r="I65" s="278"/>
      <c r="J65" s="278"/>
      <c r="K65" s="278"/>
      <c r="L65" s="278"/>
      <c r="M65" s="278"/>
      <c r="N65" s="278"/>
      <c r="O65" s="278"/>
      <c r="P65" s="278"/>
      <c r="Q65" s="278">
        <v>1.8689999999999998E-2</v>
      </c>
      <c r="R65" s="278">
        <v>1.848E-2</v>
      </c>
      <c r="T65" s="259"/>
    </row>
    <row r="66" spans="1:20">
      <c r="A66" s="259" t="s">
        <v>862</v>
      </c>
      <c r="B66" s="278">
        <v>1.8519999999999998E-2</v>
      </c>
      <c r="C66" s="278">
        <v>1.874E-2</v>
      </c>
      <c r="D66" s="444"/>
      <c r="E66" s="445">
        <v>1.6420000000000001E-2</v>
      </c>
      <c r="F66" s="444"/>
      <c r="G66" s="444"/>
      <c r="H66" s="445">
        <v>1.5730000000000001E-2</v>
      </c>
      <c r="I66" s="444"/>
      <c r="J66" s="444"/>
      <c r="K66" s="444"/>
      <c r="L66" s="444"/>
      <c r="M66" s="444"/>
      <c r="N66" s="444"/>
      <c r="O66" s="444"/>
      <c r="P66" s="444"/>
      <c r="Q66" s="445">
        <v>1.7989999999999999E-2</v>
      </c>
      <c r="R66" s="278">
        <v>1.763E-2</v>
      </c>
      <c r="T66" s="259"/>
    </row>
    <row r="67" spans="1:20">
      <c r="A67" s="259" t="s">
        <v>863</v>
      </c>
      <c r="B67" s="278">
        <v>1.8010000000000002E-2</v>
      </c>
      <c r="C67" s="278">
        <v>1.7670000000000002E-2</v>
      </c>
      <c r="D67" s="445"/>
      <c r="E67" s="445">
        <v>1.6830000000000001E-2</v>
      </c>
      <c r="F67" s="445"/>
      <c r="G67" s="445"/>
      <c r="H67" s="445">
        <v>1.473E-2</v>
      </c>
      <c r="I67" s="445"/>
      <c r="J67" s="445"/>
      <c r="K67" s="445"/>
      <c r="L67" s="445"/>
      <c r="M67" s="445"/>
      <c r="N67" s="445"/>
      <c r="O67" s="445"/>
      <c r="P67" s="445"/>
      <c r="Q67" s="445">
        <v>1.6729999999999998E-2</v>
      </c>
      <c r="R67" s="278">
        <v>1.5789999999999998E-2</v>
      </c>
      <c r="T67" s="259"/>
    </row>
    <row r="68" spans="1:20">
      <c r="A68" s="259" t="s">
        <v>864</v>
      </c>
      <c r="B68" s="278">
        <v>1.7479999999999999E-2</v>
      </c>
      <c r="C68" s="278">
        <v>1.274E-2</v>
      </c>
      <c r="D68" s="445"/>
      <c r="E68" s="445">
        <v>9.6229999999999996E-3</v>
      </c>
      <c r="F68" s="445"/>
      <c r="G68" s="445"/>
      <c r="H68" s="445">
        <v>7.8040000000000002E-3</v>
      </c>
      <c r="I68" s="445"/>
      <c r="J68" s="445"/>
      <c r="K68" s="445"/>
      <c r="L68" s="445"/>
      <c r="M68" s="445"/>
      <c r="N68" s="445"/>
      <c r="O68" s="445"/>
      <c r="P68" s="445"/>
      <c r="Q68" s="445">
        <v>1.7749999999999998E-2</v>
      </c>
      <c r="R68" s="278">
        <v>1.3180000000000001E-2</v>
      </c>
      <c r="T68" s="259"/>
    </row>
    <row r="69" spans="1:20">
      <c r="A69" s="259" t="s">
        <v>865</v>
      </c>
      <c r="B69" s="278">
        <v>1.6619999999999999E-2</v>
      </c>
      <c r="C69" s="278">
        <v>1.3089999999999999E-2</v>
      </c>
      <c r="D69" s="278"/>
      <c r="E69" s="278">
        <v>7.7149999999999996E-3</v>
      </c>
      <c r="F69" s="278"/>
      <c r="G69" s="278"/>
      <c r="H69" s="278">
        <v>5.9290000000000002E-3</v>
      </c>
      <c r="I69" s="278"/>
      <c r="J69" s="278"/>
      <c r="K69" s="278"/>
      <c r="L69" s="278"/>
      <c r="M69" s="278"/>
      <c r="N69" s="278"/>
      <c r="O69" s="278"/>
      <c r="P69" s="278"/>
      <c r="Q69" s="278">
        <v>1.188E-2</v>
      </c>
      <c r="R69" s="278">
        <v>1.1429999999999999E-2</v>
      </c>
      <c r="T69" s="259"/>
    </row>
    <row r="70" spans="1:20">
      <c r="A70" s="259" t="s">
        <v>866</v>
      </c>
      <c r="B70" s="278">
        <v>1.452E-2</v>
      </c>
      <c r="C70" s="278">
        <v>9.1240000000000002E-3</v>
      </c>
      <c r="D70" s="278"/>
      <c r="E70" s="278">
        <v>5.0899999999999999E-3</v>
      </c>
      <c r="F70" s="278"/>
      <c r="G70" s="278"/>
      <c r="H70" s="278">
        <v>3.7090000000000001E-3</v>
      </c>
      <c r="I70" s="278"/>
      <c r="J70" s="278"/>
      <c r="K70" s="278"/>
      <c r="L70" s="278"/>
      <c r="M70" s="278"/>
      <c r="N70" s="278"/>
      <c r="O70" s="278"/>
      <c r="P70" s="278"/>
      <c r="Q70" s="278">
        <v>1.0070000000000001E-2</v>
      </c>
      <c r="R70" s="278">
        <v>8.9569999999999997E-3</v>
      </c>
      <c r="T70" s="259"/>
    </row>
    <row r="71" spans="1:20">
      <c r="A71" s="259"/>
      <c r="B71" s="259"/>
      <c r="C71" s="259"/>
      <c r="D71" s="259"/>
      <c r="E71" s="259"/>
      <c r="F71" s="259"/>
    </row>
    <row r="72" spans="1:20">
      <c r="A72" s="259"/>
      <c r="B72" s="259" t="s">
        <v>940</v>
      </c>
      <c r="C72" s="259" t="s">
        <v>941</v>
      </c>
      <c r="D72" s="259" t="s">
        <v>944</v>
      </c>
      <c r="E72" s="259" t="s">
        <v>943</v>
      </c>
      <c r="F72" s="259"/>
    </row>
    <row r="73" spans="1:20">
      <c r="A73" s="259">
        <v>1</v>
      </c>
      <c r="B73" s="259">
        <v>1</v>
      </c>
      <c r="C73" s="259">
        <v>13</v>
      </c>
      <c r="D73" s="259">
        <v>0.76</v>
      </c>
      <c r="E73" s="259">
        <v>1</v>
      </c>
      <c r="F73" s="259"/>
    </row>
    <row r="74" spans="1:20">
      <c r="A74" s="259">
        <v>2</v>
      </c>
      <c r="B74" s="259">
        <v>3</v>
      </c>
      <c r="C74" s="259">
        <v>11</v>
      </c>
      <c r="D74" s="259">
        <v>0.53200000000000003</v>
      </c>
      <c r="E74" s="259">
        <v>1.3</v>
      </c>
      <c r="F74" s="259"/>
    </row>
    <row r="75" spans="1:20">
      <c r="A75" s="259">
        <v>4</v>
      </c>
      <c r="B75" s="259">
        <v>4</v>
      </c>
      <c r="C75" s="259">
        <v>10</v>
      </c>
      <c r="D75" s="259">
        <f>IF(HumControl=8, 0.532,0.4657)</f>
        <v>0.4657</v>
      </c>
      <c r="E75" s="259">
        <v>1.7</v>
      </c>
      <c r="F75" s="259"/>
    </row>
    <row r="76" spans="1:20">
      <c r="A76" s="259">
        <v>7</v>
      </c>
      <c r="B76" s="259">
        <v>4</v>
      </c>
      <c r="C76" s="259">
        <v>10</v>
      </c>
      <c r="D76" s="259">
        <f>IF(HumControl=8, 0.532,0.4657)</f>
        <v>0.4657</v>
      </c>
      <c r="E76" s="259">
        <v>1.7</v>
      </c>
      <c r="F76" s="259"/>
    </row>
    <row r="77" spans="1:20">
      <c r="A77" s="259" t="s">
        <v>828</v>
      </c>
      <c r="B77" s="259">
        <v>3</v>
      </c>
      <c r="C77" s="259">
        <v>11</v>
      </c>
      <c r="D77" s="259">
        <v>0.53200000000000003</v>
      </c>
      <c r="E77" s="259">
        <v>1.3</v>
      </c>
      <c r="F77" s="259"/>
    </row>
    <row r="78" spans="1:20">
      <c r="A78" s="259" t="s">
        <v>829</v>
      </c>
      <c r="B78" s="259">
        <v>3</v>
      </c>
      <c r="C78" s="259">
        <v>12</v>
      </c>
      <c r="D78" s="259">
        <v>0.54</v>
      </c>
      <c r="E78" s="259">
        <v>1.2</v>
      </c>
      <c r="F78" s="259"/>
    </row>
    <row r="79" spans="1:20">
      <c r="A79" s="259"/>
      <c r="B79" s="259" t="s">
        <v>947</v>
      </c>
      <c r="C79" s="259" t="s">
        <v>948</v>
      </c>
      <c r="D79" s="259" t="s">
        <v>945</v>
      </c>
      <c r="E79" s="259" t="s">
        <v>946</v>
      </c>
      <c r="F79" s="259"/>
    </row>
    <row r="80" spans="1:20" ht="16">
      <c r="A80" s="259">
        <v>1</v>
      </c>
      <c r="B80" s="307">
        <v>0.38</v>
      </c>
      <c r="C80" s="307">
        <v>1.2</v>
      </c>
      <c r="D80">
        <v>0.38</v>
      </c>
      <c r="E80" s="307">
        <v>1.1000000000000001</v>
      </c>
      <c r="F80" s="307"/>
      <c r="G80" s="307"/>
      <c r="H80" s="307"/>
      <c r="I80" s="307"/>
      <c r="J80" s="307"/>
    </row>
    <row r="81" spans="1:16" ht="16">
      <c r="A81" s="259">
        <v>2</v>
      </c>
      <c r="B81" s="307">
        <v>0.47</v>
      </c>
      <c r="C81" s="307">
        <v>1.2</v>
      </c>
      <c r="D81">
        <v>0.36</v>
      </c>
      <c r="E81" s="259">
        <v>1.2</v>
      </c>
      <c r="F81" s="259"/>
    </row>
    <row r="82" spans="1:16" ht="16">
      <c r="A82" s="259">
        <v>4</v>
      </c>
      <c r="B82" s="307">
        <v>0.626</v>
      </c>
      <c r="C82" s="307">
        <v>1.3</v>
      </c>
      <c r="D82">
        <v>0.36</v>
      </c>
      <c r="E82" s="259">
        <v>1.2</v>
      </c>
      <c r="F82" s="259"/>
    </row>
    <row r="83" spans="1:16" ht="16">
      <c r="A83" s="259">
        <v>7</v>
      </c>
      <c r="B83" s="307">
        <v>0.38</v>
      </c>
      <c r="C83" s="307">
        <v>1.1000000000000001</v>
      </c>
      <c r="D83">
        <v>0.47</v>
      </c>
      <c r="E83" s="259">
        <v>1.2</v>
      </c>
    </row>
    <row r="84" spans="1:16" ht="16">
      <c r="A84" s="259" t="s">
        <v>828</v>
      </c>
      <c r="B84" s="307">
        <v>0.38</v>
      </c>
      <c r="C84" s="307">
        <v>1.2</v>
      </c>
      <c r="D84">
        <v>0.64</v>
      </c>
      <c r="E84" s="259">
        <v>1.2</v>
      </c>
    </row>
    <row r="85" spans="1:16" ht="16">
      <c r="A85" s="259" t="s">
        <v>829</v>
      </c>
      <c r="B85" s="307">
        <v>0.49199999999999999</v>
      </c>
      <c r="C85" s="307">
        <v>1.2</v>
      </c>
      <c r="D85">
        <v>0.66</v>
      </c>
      <c r="E85" s="273">
        <v>1.3</v>
      </c>
      <c r="F85" s="273"/>
      <c r="G85" s="273"/>
      <c r="H85" s="273"/>
      <c r="I85" s="273"/>
      <c r="J85" s="273"/>
      <c r="K85" s="273"/>
      <c r="L85" s="273"/>
      <c r="M85" s="273"/>
      <c r="N85" s="273"/>
      <c r="O85" s="273"/>
      <c r="P85" s="239"/>
    </row>
    <row r="86" spans="1:16">
      <c r="A86" s="259"/>
      <c r="B86" s="259"/>
      <c r="C86" s="259"/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259"/>
    </row>
    <row r="87" spans="1:16">
      <c r="A87" s="259" t="s">
        <v>949</v>
      </c>
      <c r="B87" s="259" t="s">
        <v>950</v>
      </c>
      <c r="C87" s="259" t="s">
        <v>951</v>
      </c>
    </row>
    <row r="88" spans="1:16">
      <c r="A88" s="259">
        <v>1</v>
      </c>
      <c r="B88" s="259">
        <v>5.8525008333333304E-3</v>
      </c>
      <c r="C88" s="259">
        <v>-1.10201928333333E-2</v>
      </c>
    </row>
    <row r="89" spans="1:16">
      <c r="A89" s="259">
        <v>2</v>
      </c>
      <c r="B89" s="259">
        <v>6.7025327777777803E-3</v>
      </c>
      <c r="C89" s="259">
        <v>-1.12628599814815E-2</v>
      </c>
    </row>
    <row r="90" spans="1:16">
      <c r="A90" s="259">
        <v>4</v>
      </c>
      <c r="B90" s="259">
        <v>6.6991296296296304E-3</v>
      </c>
      <c r="C90" s="259">
        <v>-1.0537344388888901E-2</v>
      </c>
    </row>
    <row r="91" spans="1:16">
      <c r="A91" s="259">
        <v>7</v>
      </c>
      <c r="B91" s="259">
        <v>5.3373196851851899E-3</v>
      </c>
      <c r="C91" s="259">
        <v>-1.0683551703703701E-2</v>
      </c>
    </row>
    <row r="92" spans="1:16">
      <c r="A92" s="259" t="s">
        <v>828</v>
      </c>
      <c r="B92" s="259">
        <v>7.192955E-3</v>
      </c>
      <c r="C92" s="259">
        <v>-1.22137443518518E-2</v>
      </c>
    </row>
    <row r="93" spans="1:16">
      <c r="A93" s="259" t="s">
        <v>829</v>
      </c>
      <c r="B93" s="259">
        <v>6.2541690740740702E-3</v>
      </c>
      <c r="C93" s="259">
        <v>-1.20633005E-2</v>
      </c>
    </row>
    <row r="95" spans="1:16">
      <c r="A95" s="259" t="s">
        <v>949</v>
      </c>
    </row>
    <row r="96" spans="1:16">
      <c r="A96" s="259">
        <v>1</v>
      </c>
      <c r="B96">
        <v>1.6E-2</v>
      </c>
    </row>
    <row r="97" spans="1:2">
      <c r="A97" s="259">
        <v>2</v>
      </c>
      <c r="B97">
        <v>1.2E-2</v>
      </c>
    </row>
    <row r="98" spans="1:2">
      <c r="A98" s="259">
        <v>4</v>
      </c>
      <c r="B98">
        <v>8.9999999999999993E-3</v>
      </c>
    </row>
    <row r="99" spans="1:2">
      <c r="A99" s="259">
        <v>7</v>
      </c>
      <c r="B99">
        <v>6.0000000000000001E-3</v>
      </c>
    </row>
    <row r="100" spans="1:2">
      <c r="A100" s="259" t="s">
        <v>828</v>
      </c>
      <c r="B100">
        <v>1.0999999999999999E-2</v>
      </c>
    </row>
    <row r="101" spans="1:2">
      <c r="A101" s="259" t="s">
        <v>829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23" t="s">
        <v>1082</v>
      </c>
    </row>
    <row r="2" spans="1:3">
      <c r="A2" t="s">
        <v>1087</v>
      </c>
      <c r="B2" t="s">
        <v>1088</v>
      </c>
    </row>
    <row r="7" spans="1:3">
      <c r="A7" t="s">
        <v>1081</v>
      </c>
      <c r="B7" s="398" t="str">
        <f>DehumidType</f>
        <v>No</v>
      </c>
    </row>
    <row r="8" spans="1:3">
      <c r="A8" s="259" t="s">
        <v>1084</v>
      </c>
      <c r="B8" s="446">
        <f>IF(B7="Yes", (IF(A_houseFT&lt;2500,-10,10) + (55-B10)*2 + (18-'Internal gains'!D11*2.2)*(-5/6) + 65), 0)</f>
        <v>0</v>
      </c>
      <c r="C8" s="259"/>
    </row>
    <row r="9" spans="1:3">
      <c r="A9" s="259" t="s">
        <v>1085</v>
      </c>
      <c r="B9" s="447">
        <v>1.85</v>
      </c>
      <c r="C9" s="259"/>
    </row>
    <row r="10" spans="1:3">
      <c r="A10" s="259" t="s">
        <v>1086</v>
      </c>
      <c r="B10" s="447">
        <v>55</v>
      </c>
      <c r="C10" s="259"/>
    </row>
    <row r="13" spans="1:3">
      <c r="A13" t="s">
        <v>1089</v>
      </c>
    </row>
    <row r="14" spans="1:3">
      <c r="A14" t="s">
        <v>1090</v>
      </c>
      <c r="B14" t="s">
        <v>1091</v>
      </c>
    </row>
    <row r="15" spans="1:3">
      <c r="A15" t="s">
        <v>1092</v>
      </c>
      <c r="B15">
        <v>1.85</v>
      </c>
    </row>
    <row r="16" spans="1:3">
      <c r="A16" t="s">
        <v>1093</v>
      </c>
      <c r="B16">
        <v>2.8</v>
      </c>
    </row>
    <row r="18" spans="1:9" ht="15" thickBot="1">
      <c r="A18" t="s">
        <v>1095</v>
      </c>
      <c r="E18" s="128" t="s">
        <v>1094</v>
      </c>
    </row>
    <row r="19" spans="1:9" ht="28">
      <c r="A19" s="388" t="s">
        <v>1097</v>
      </c>
      <c r="B19" s="389" t="s">
        <v>1086</v>
      </c>
      <c r="C19" s="389" t="s">
        <v>1098</v>
      </c>
      <c r="D19" s="390" t="s">
        <v>1084</v>
      </c>
      <c r="E19" t="s">
        <v>811</v>
      </c>
      <c r="F19" t="s">
        <v>1096</v>
      </c>
      <c r="G19" t="s">
        <v>1101</v>
      </c>
      <c r="H19" t="s">
        <v>173</v>
      </c>
    </row>
    <row r="20" spans="1:9">
      <c r="A20" s="391" t="s">
        <v>1099</v>
      </c>
      <c r="B20" s="392">
        <v>0.5</v>
      </c>
      <c r="C20" s="251">
        <v>12</v>
      </c>
      <c r="D20" s="393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87">
        <f>SUM(E20:G20)</f>
        <v>-4.9999999999999911</v>
      </c>
      <c r="I20" s="387">
        <f>H20+65</f>
        <v>60.000000000000007</v>
      </c>
    </row>
    <row r="21" spans="1:9">
      <c r="A21" s="391" t="s">
        <v>1099</v>
      </c>
      <c r="B21" s="392">
        <v>0.5</v>
      </c>
      <c r="C21" s="251">
        <v>24</v>
      </c>
      <c r="D21" s="393">
        <v>70</v>
      </c>
      <c r="E21" s="259">
        <f>A$28</f>
        <v>-10</v>
      </c>
      <c r="F21" s="259">
        <f t="shared" si="0"/>
        <v>10.000000000000009</v>
      </c>
      <c r="G21" s="259">
        <f t="shared" si="1"/>
        <v>5</v>
      </c>
      <c r="H21" s="387">
        <f t="shared" ref="H21:H27" si="2">SUM(E21:G21)</f>
        <v>5.0000000000000089</v>
      </c>
      <c r="I21" s="387">
        <f t="shared" ref="I21:I27" si="3">H21+65</f>
        <v>70.000000000000014</v>
      </c>
    </row>
    <row r="22" spans="1:9">
      <c r="A22" s="391" t="s">
        <v>1099</v>
      </c>
      <c r="B22" s="392">
        <v>0.6</v>
      </c>
      <c r="C22" s="251">
        <v>12</v>
      </c>
      <c r="D22" s="393">
        <v>40</v>
      </c>
      <c r="E22" s="259">
        <f>A$28</f>
        <v>-10</v>
      </c>
      <c r="F22" s="259">
        <f t="shared" si="0"/>
        <v>-9.9999999999999858</v>
      </c>
      <c r="G22" s="259">
        <f t="shared" si="1"/>
        <v>-5</v>
      </c>
      <c r="H22" s="387">
        <f t="shared" si="2"/>
        <v>-24.999999999999986</v>
      </c>
      <c r="I22" s="387">
        <f t="shared" si="3"/>
        <v>40.000000000000014</v>
      </c>
    </row>
    <row r="23" spans="1:9">
      <c r="A23" s="391" t="s">
        <v>1099</v>
      </c>
      <c r="B23" s="392">
        <v>0.6</v>
      </c>
      <c r="C23" s="251">
        <v>24</v>
      </c>
      <c r="D23" s="393">
        <v>50</v>
      </c>
      <c r="E23" s="259">
        <f>A$28</f>
        <v>-10</v>
      </c>
      <c r="F23" s="259">
        <f t="shared" si="0"/>
        <v>-9.9999999999999858</v>
      </c>
      <c r="G23" s="259">
        <f t="shared" si="1"/>
        <v>5</v>
      </c>
      <c r="H23" s="387">
        <f t="shared" si="2"/>
        <v>-14.999999999999986</v>
      </c>
      <c r="I23" s="387">
        <f t="shared" si="3"/>
        <v>50.000000000000014</v>
      </c>
    </row>
    <row r="24" spans="1:9">
      <c r="A24" s="391" t="s">
        <v>1100</v>
      </c>
      <c r="B24" s="392">
        <v>0.5</v>
      </c>
      <c r="C24" s="251">
        <v>12</v>
      </c>
      <c r="D24" s="393">
        <v>80</v>
      </c>
      <c r="E24" s="259">
        <f>A$29</f>
        <v>10</v>
      </c>
      <c r="F24" s="259">
        <f t="shared" si="0"/>
        <v>10.000000000000009</v>
      </c>
      <c r="G24" s="259">
        <f t="shared" si="1"/>
        <v>-5</v>
      </c>
      <c r="H24" s="387">
        <f t="shared" si="2"/>
        <v>15.000000000000007</v>
      </c>
      <c r="I24" s="387">
        <f t="shared" si="3"/>
        <v>80</v>
      </c>
    </row>
    <row r="25" spans="1:9">
      <c r="A25" s="391" t="s">
        <v>1100</v>
      </c>
      <c r="B25" s="392">
        <v>0.5</v>
      </c>
      <c r="C25" s="251">
        <v>24</v>
      </c>
      <c r="D25" s="393">
        <v>90</v>
      </c>
      <c r="E25" s="259">
        <f>A$29</f>
        <v>10</v>
      </c>
      <c r="F25" s="259">
        <f t="shared" si="0"/>
        <v>10.000000000000009</v>
      </c>
      <c r="G25" s="259">
        <f t="shared" si="1"/>
        <v>5</v>
      </c>
      <c r="H25" s="387">
        <f t="shared" si="2"/>
        <v>25.000000000000007</v>
      </c>
      <c r="I25" s="387">
        <f t="shared" si="3"/>
        <v>90</v>
      </c>
    </row>
    <row r="26" spans="1:9">
      <c r="A26" s="391" t="s">
        <v>1100</v>
      </c>
      <c r="B26" s="392">
        <v>0.6</v>
      </c>
      <c r="C26" s="251">
        <v>12</v>
      </c>
      <c r="D26" s="393">
        <v>60</v>
      </c>
      <c r="E26" s="259">
        <f>A$29</f>
        <v>10</v>
      </c>
      <c r="F26" s="259">
        <f t="shared" si="0"/>
        <v>-9.9999999999999858</v>
      </c>
      <c r="G26" s="259">
        <f t="shared" si="1"/>
        <v>-5</v>
      </c>
      <c r="H26" s="387">
        <f t="shared" si="2"/>
        <v>-4.9999999999999858</v>
      </c>
      <c r="I26" s="387">
        <f t="shared" si="3"/>
        <v>60.000000000000014</v>
      </c>
    </row>
    <row r="27" spans="1:9" ht="15" thickBot="1">
      <c r="A27" s="394" t="s">
        <v>1100</v>
      </c>
      <c r="B27" s="395">
        <v>0.6</v>
      </c>
      <c r="C27" s="396">
        <v>24</v>
      </c>
      <c r="D27" s="397">
        <v>70</v>
      </c>
      <c r="E27" s="259">
        <f>A$29</f>
        <v>10</v>
      </c>
      <c r="F27" s="259">
        <f t="shared" si="0"/>
        <v>-9.9999999999999858</v>
      </c>
      <c r="G27" s="259">
        <f t="shared" si="1"/>
        <v>5</v>
      </c>
      <c r="H27" s="387">
        <f t="shared" si="2"/>
        <v>5.0000000000000142</v>
      </c>
      <c r="I27" s="387">
        <f t="shared" si="3"/>
        <v>70.000000000000014</v>
      </c>
    </row>
    <row r="28" spans="1:9" s="259" customFormat="1">
      <c r="A28" s="259">
        <v>-10</v>
      </c>
      <c r="B28" s="259">
        <v>10</v>
      </c>
      <c r="C28" s="259">
        <v>-5</v>
      </c>
    </row>
    <row r="29" spans="1:9">
      <c r="A29">
        <v>10</v>
      </c>
      <c r="B29" s="259">
        <v>-10</v>
      </c>
      <c r="C29" s="259">
        <v>5</v>
      </c>
    </row>
    <row r="32" spans="1:9">
      <c r="A32" s="300"/>
    </row>
    <row r="33" spans="1:5">
      <c r="B33" s="300" t="s">
        <v>811</v>
      </c>
      <c r="C33" s="300" t="s">
        <v>816</v>
      </c>
      <c r="D33" s="300" t="s">
        <v>1164</v>
      </c>
    </row>
    <row r="34" spans="1:5">
      <c r="B34" t="s">
        <v>812</v>
      </c>
      <c r="C34" t="s">
        <v>818</v>
      </c>
      <c r="D34" s="385">
        <v>46</v>
      </c>
      <c r="E34" s="385"/>
    </row>
    <row r="35" spans="1:5">
      <c r="C35" t="s">
        <v>817</v>
      </c>
      <c r="D35" s="385">
        <v>52</v>
      </c>
      <c r="E35" s="386"/>
    </row>
    <row r="36" spans="1:5">
      <c r="A36" s="384"/>
      <c r="C36" t="s">
        <v>819</v>
      </c>
      <c r="D36" s="384">
        <v>62</v>
      </c>
      <c r="E36" s="384"/>
    </row>
    <row r="37" spans="1:5">
      <c r="A37" s="384"/>
      <c r="B37" s="386" t="s">
        <v>817</v>
      </c>
      <c r="C37" s="259" t="s">
        <v>818</v>
      </c>
      <c r="D37" s="385">
        <v>46</v>
      </c>
      <c r="E37" s="384"/>
    </row>
    <row r="38" spans="1:5">
      <c r="C38" s="259" t="s">
        <v>817</v>
      </c>
      <c r="D38" s="385">
        <v>52</v>
      </c>
    </row>
    <row r="39" spans="1:5">
      <c r="C39" s="259" t="s">
        <v>819</v>
      </c>
      <c r="D39" s="384">
        <v>62</v>
      </c>
    </row>
    <row r="40" spans="1:5">
      <c r="B40" s="384" t="s">
        <v>813</v>
      </c>
      <c r="C40" s="259" t="s">
        <v>818</v>
      </c>
      <c r="D40" s="385">
        <v>66</v>
      </c>
    </row>
    <row r="41" spans="1:5">
      <c r="C41" s="259" t="s">
        <v>817</v>
      </c>
      <c r="D41" s="385">
        <v>72</v>
      </c>
    </row>
    <row r="42" spans="1:5">
      <c r="C42" s="259" t="s">
        <v>819</v>
      </c>
      <c r="D42" s="385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59" customFormat="1">
      <c r="A1" s="466" t="s">
        <v>1197</v>
      </c>
      <c r="B1" s="466"/>
      <c r="C1" s="466"/>
      <c r="D1" s="466"/>
      <c r="E1" s="466"/>
      <c r="F1" s="466"/>
      <c r="G1" s="466"/>
      <c r="H1" s="466"/>
    </row>
    <row r="2" spans="1:8" ht="15">
      <c r="A2" s="467" t="s">
        <v>1189</v>
      </c>
      <c r="B2" s="536" t="s">
        <v>1198</v>
      </c>
      <c r="C2" s="536"/>
      <c r="D2" s="536"/>
      <c r="E2" s="468"/>
      <c r="F2" s="468"/>
      <c r="G2" s="468"/>
      <c r="H2" s="466"/>
    </row>
    <row r="3" spans="1:8">
      <c r="A3" s="469">
        <v>1</v>
      </c>
      <c r="B3" s="470">
        <v>0.48</v>
      </c>
      <c r="C3" s="466"/>
      <c r="D3" s="466"/>
      <c r="E3" s="466"/>
      <c r="F3" s="466"/>
      <c r="G3" s="466"/>
      <c r="H3" s="466"/>
    </row>
    <row r="4" spans="1:8">
      <c r="A4" s="469">
        <v>2</v>
      </c>
      <c r="B4" s="470">
        <v>0.59</v>
      </c>
      <c r="C4" s="466"/>
      <c r="D4" s="466"/>
      <c r="E4" s="466"/>
      <c r="F4" s="466"/>
      <c r="G4" s="466"/>
      <c r="H4" s="466"/>
    </row>
    <row r="5" spans="1:8">
      <c r="A5" s="469">
        <v>3</v>
      </c>
      <c r="B5" s="470">
        <v>0.67</v>
      </c>
      <c r="C5" s="466"/>
      <c r="D5" s="466"/>
      <c r="E5" s="466"/>
      <c r="F5" s="466"/>
      <c r="G5" s="466"/>
      <c r="H5" s="466"/>
    </row>
    <row r="6" spans="1:8">
      <c r="A6" s="466"/>
      <c r="B6" s="466"/>
      <c r="C6" s="466"/>
      <c r="D6" s="466"/>
      <c r="E6" s="466"/>
      <c r="F6" s="466"/>
      <c r="G6" s="466"/>
      <c r="H6" s="466"/>
    </row>
    <row r="7" spans="1:8">
      <c r="A7" s="466"/>
      <c r="B7" s="466"/>
      <c r="C7" s="466"/>
      <c r="D7" s="466"/>
      <c r="E7" s="466"/>
      <c r="F7" s="466"/>
      <c r="G7" s="466"/>
      <c r="H7" s="466"/>
    </row>
    <row r="8" spans="1:8" ht="14" customHeight="1">
      <c r="A8" s="471"/>
      <c r="B8" s="471"/>
      <c r="D8" s="477"/>
      <c r="E8" s="468"/>
      <c r="F8" s="468"/>
      <c r="G8" s="468"/>
      <c r="H8" s="466"/>
    </row>
    <row r="9" spans="1:8" ht="22">
      <c r="A9" s="472" t="s">
        <v>1190</v>
      </c>
      <c r="B9" t="s">
        <v>1199</v>
      </c>
      <c r="C9" s="473" t="s">
        <v>1191</v>
      </c>
      <c r="D9" s="478"/>
      <c r="E9" s="468"/>
      <c r="F9" s="468"/>
      <c r="G9" s="468"/>
      <c r="H9" s="466"/>
    </row>
    <row r="10" spans="1:8">
      <c r="A10" s="467" t="s">
        <v>1209</v>
      </c>
      <c r="B10" t="s">
        <v>1175</v>
      </c>
      <c r="C10" s="470">
        <v>0.5</v>
      </c>
      <c r="D10" s="479"/>
      <c r="E10" s="468"/>
      <c r="F10" s="468"/>
      <c r="G10" s="468"/>
      <c r="H10" s="466"/>
    </row>
    <row r="11" spans="1:8">
      <c r="A11" s="469">
        <v>1</v>
      </c>
      <c r="B11" t="s">
        <v>1083</v>
      </c>
      <c r="C11" s="470">
        <v>0.7</v>
      </c>
      <c r="D11" s="479"/>
      <c r="E11" s="468"/>
      <c r="F11" s="468"/>
      <c r="G11" s="468"/>
      <c r="H11" s="466"/>
    </row>
    <row r="12" spans="1:8">
      <c r="A12" s="469">
        <v>2</v>
      </c>
      <c r="B12" t="s">
        <v>1083</v>
      </c>
      <c r="C12" s="470">
        <v>0.64</v>
      </c>
      <c r="D12" s="479"/>
      <c r="E12" s="466"/>
      <c r="F12" s="466"/>
      <c r="G12" s="466"/>
      <c r="H12" s="466"/>
    </row>
    <row r="13" spans="1:8">
      <c r="A13" s="469">
        <v>3</v>
      </c>
      <c r="B13" t="s">
        <v>1083</v>
      </c>
      <c r="C13" s="470">
        <v>0.61</v>
      </c>
      <c r="D13" s="479"/>
      <c r="E13" s="466"/>
      <c r="F13" s="466"/>
      <c r="G13" s="466"/>
      <c r="H13" s="466"/>
    </row>
    <row r="14" spans="1:8" s="259" customFormat="1">
      <c r="A14" s="467"/>
      <c r="B14" s="470"/>
      <c r="C14" s="466"/>
      <c r="D14" s="466"/>
      <c r="E14" s="466"/>
      <c r="F14" s="466"/>
      <c r="G14" s="466"/>
      <c r="H14" s="466"/>
    </row>
    <row r="15" spans="1:8" ht="14" customHeight="1">
      <c r="A15" s="466"/>
      <c r="B15" s="466"/>
      <c r="C15" s="466"/>
      <c r="D15" s="466"/>
      <c r="E15" s="466"/>
      <c r="F15" s="466"/>
      <c r="G15" s="466"/>
      <c r="H15" s="466"/>
    </row>
    <row r="16" spans="1:8">
      <c r="A16" s="474" t="s">
        <v>1201</v>
      </c>
      <c r="B16" s="466"/>
      <c r="C16" s="466"/>
      <c r="D16" s="466"/>
      <c r="E16" s="466"/>
      <c r="F16" s="466"/>
      <c r="G16" s="466"/>
      <c r="H16" s="466"/>
    </row>
    <row r="17" spans="1:8" ht="22">
      <c r="A17" s="467" t="s">
        <v>1189</v>
      </c>
      <c r="B17" s="465" t="s">
        <v>1193</v>
      </c>
      <c r="C17" s="470" t="s">
        <v>1195</v>
      </c>
      <c r="D17" s="470" t="s">
        <v>1196</v>
      </c>
      <c r="E17" s="466"/>
      <c r="F17" s="466"/>
      <c r="G17" s="466"/>
      <c r="H17" s="466"/>
    </row>
    <row r="18" spans="1:8">
      <c r="A18" s="475">
        <v>1</v>
      </c>
      <c r="B18" s="465" t="s">
        <v>1192</v>
      </c>
      <c r="C18" s="470">
        <v>0.156</v>
      </c>
      <c r="D18" s="470">
        <v>0.128</v>
      </c>
      <c r="E18" s="466"/>
      <c r="F18" s="466"/>
      <c r="G18" s="466"/>
      <c r="H18" s="466"/>
    </row>
    <row r="19" spans="1:8">
      <c r="A19" s="475">
        <v>2</v>
      </c>
      <c r="B19" s="465" t="s">
        <v>1192</v>
      </c>
      <c r="C19" s="470">
        <v>0.17</v>
      </c>
      <c r="D19" s="470">
        <v>0.14199999999999999</v>
      </c>
      <c r="E19" s="466"/>
      <c r="F19" s="466"/>
      <c r="G19" s="466"/>
      <c r="H19" s="466"/>
    </row>
    <row r="20" spans="1:8">
      <c r="A20" s="475">
        <v>3</v>
      </c>
      <c r="B20" s="465" t="s">
        <v>1192</v>
      </c>
      <c r="C20" s="470">
        <v>0.17</v>
      </c>
      <c r="D20" s="470">
        <v>0.151</v>
      </c>
      <c r="E20" s="466"/>
      <c r="F20" s="466"/>
      <c r="G20" s="466"/>
      <c r="H20" s="466"/>
    </row>
    <row r="21" spans="1:8">
      <c r="A21" s="475">
        <v>1</v>
      </c>
      <c r="B21" s="465" t="s">
        <v>1194</v>
      </c>
      <c r="C21" s="470">
        <v>0.14199999999999999</v>
      </c>
      <c r="D21" s="470">
        <v>0.128</v>
      </c>
      <c r="E21" s="466"/>
      <c r="F21" s="466"/>
      <c r="G21" s="466"/>
      <c r="H21" s="466"/>
    </row>
    <row r="22" spans="1:8">
      <c r="A22" s="475">
        <v>2</v>
      </c>
      <c r="B22" s="465" t="s">
        <v>1194</v>
      </c>
      <c r="C22" s="470">
        <v>0.156</v>
      </c>
      <c r="D22" s="470">
        <v>0.14199999999999999</v>
      </c>
      <c r="E22" s="466"/>
      <c r="F22" s="466"/>
      <c r="G22" s="466"/>
      <c r="H22" s="466"/>
    </row>
    <row r="23" spans="1:8">
      <c r="A23" s="475">
        <v>3</v>
      </c>
      <c r="B23" s="465" t="s">
        <v>1194</v>
      </c>
      <c r="C23" s="470">
        <v>0.16700000000000001</v>
      </c>
      <c r="D23" s="470">
        <v>0.154</v>
      </c>
      <c r="E23" s="466"/>
      <c r="F23" s="466"/>
      <c r="G23" s="466"/>
      <c r="H23" s="466"/>
    </row>
    <row r="24" spans="1:8" s="259" customFormat="1">
      <c r="A24" s="475"/>
      <c r="B24" s="465"/>
      <c r="C24" s="470"/>
      <c r="D24" s="470"/>
      <c r="E24" s="466"/>
      <c r="F24" s="466"/>
      <c r="G24" s="466"/>
      <c r="H24" s="466"/>
    </row>
    <row r="25" spans="1:8" s="259" customFormat="1">
      <c r="A25" s="475"/>
      <c r="B25" s="465"/>
      <c r="C25" s="470"/>
      <c r="D25" s="470"/>
      <c r="E25" s="466"/>
      <c r="F25" s="466"/>
      <c r="G25" s="466"/>
      <c r="H25" s="466"/>
    </row>
    <row r="26" spans="1:8" ht="22">
      <c r="A26" s="472" t="s">
        <v>1202</v>
      </c>
      <c r="B26" s="466"/>
      <c r="C26" s="466"/>
      <c r="D26" s="466"/>
      <c r="E26" s="466"/>
      <c r="F26" s="466"/>
      <c r="G26" s="466"/>
      <c r="H26" s="466"/>
    </row>
    <row r="27" spans="1:8">
      <c r="A27" s="469" t="s">
        <v>1189</v>
      </c>
      <c r="B27" s="465" t="s">
        <v>1199</v>
      </c>
      <c r="C27" s="476" t="s">
        <v>1200</v>
      </c>
      <c r="D27" s="466"/>
      <c r="E27" s="466"/>
      <c r="F27" s="466"/>
      <c r="G27" s="466"/>
      <c r="H27" s="466"/>
    </row>
    <row r="28" spans="1:8">
      <c r="A28" s="469">
        <v>1</v>
      </c>
      <c r="B28" s="465" t="s">
        <v>1175</v>
      </c>
      <c r="C28" s="470">
        <v>5.3999999999999999E-2</v>
      </c>
      <c r="D28" s="466"/>
      <c r="E28" s="466"/>
      <c r="F28" s="466"/>
      <c r="G28" s="466"/>
      <c r="H28" s="466"/>
    </row>
    <row r="29" spans="1:8">
      <c r="A29" s="469">
        <v>2</v>
      </c>
      <c r="B29" s="465" t="s">
        <v>1175</v>
      </c>
      <c r="C29" s="470">
        <v>7.8E-2</v>
      </c>
      <c r="D29" s="466"/>
      <c r="E29" s="466"/>
      <c r="F29" s="466"/>
      <c r="G29" s="466"/>
      <c r="H29" s="466"/>
    </row>
    <row r="30" spans="1:8">
      <c r="A30" s="469">
        <v>3</v>
      </c>
      <c r="B30" s="465" t="s">
        <v>1175</v>
      </c>
      <c r="C30" s="470">
        <v>9.8000000000000004E-2</v>
      </c>
      <c r="D30" s="468"/>
      <c r="E30" s="468"/>
      <c r="F30" s="468"/>
      <c r="G30" s="468"/>
      <c r="H30" s="466"/>
    </row>
    <row r="31" spans="1:8">
      <c r="A31" s="469">
        <v>1</v>
      </c>
      <c r="B31" s="465" t="s">
        <v>1083</v>
      </c>
      <c r="C31" s="470">
        <v>6.9000000000000006E-2</v>
      </c>
      <c r="D31" s="468"/>
      <c r="E31" s="468"/>
      <c r="F31" s="468"/>
      <c r="G31" s="468"/>
      <c r="H31" s="466"/>
    </row>
    <row r="32" spans="1:8">
      <c r="A32" s="469">
        <v>2</v>
      </c>
      <c r="B32" s="465" t="s">
        <v>1083</v>
      </c>
      <c r="C32" s="470">
        <v>8.8999999999999996E-2</v>
      </c>
      <c r="D32" s="466"/>
      <c r="E32" s="466"/>
      <c r="F32" s="466"/>
      <c r="G32" s="468"/>
      <c r="H32" s="466"/>
    </row>
    <row r="33" spans="1:8">
      <c r="A33" s="469">
        <v>3</v>
      </c>
      <c r="B33" s="465" t="s">
        <v>1083</v>
      </c>
      <c r="C33" s="470">
        <v>0.107</v>
      </c>
      <c r="D33" s="466"/>
      <c r="E33" s="466"/>
      <c r="F33" s="466"/>
      <c r="G33" s="468"/>
      <c r="H33" s="466"/>
    </row>
    <row r="34" spans="1:8">
      <c r="A34" s="466"/>
      <c r="B34" s="466"/>
      <c r="C34" s="466"/>
      <c r="D34" s="466"/>
      <c r="E34" s="466"/>
      <c r="F34" s="466"/>
      <c r="G34" s="468"/>
      <c r="H34" s="466"/>
    </row>
    <row r="35" spans="1:8">
      <c r="A35" s="466"/>
      <c r="B35" s="466"/>
      <c r="C35" s="466"/>
      <c r="D35" s="466"/>
      <c r="E35" s="466"/>
      <c r="F35" s="466"/>
      <c r="G35" s="468"/>
      <c r="H35" s="466"/>
    </row>
    <row r="36" spans="1:8">
      <c r="A36" s="468"/>
      <c r="B36" s="468"/>
      <c r="C36" s="468"/>
      <c r="D36" s="468"/>
      <c r="E36" s="468"/>
      <c r="F36" s="468"/>
      <c r="G36" s="468"/>
      <c r="H36" s="466"/>
    </row>
    <row r="37" spans="1:8">
      <c r="A37" s="466"/>
      <c r="B37" s="466"/>
      <c r="C37" s="466"/>
      <c r="D37" s="466"/>
      <c r="E37" s="466"/>
      <c r="F37" s="466"/>
      <c r="G37" s="466"/>
      <c r="H37" s="466"/>
    </row>
    <row r="38" spans="1:8">
      <c r="A38" s="466"/>
      <c r="B38" s="472"/>
      <c r="C38" s="472"/>
      <c r="D38" s="472"/>
      <c r="E38" s="472"/>
      <c r="F38" s="472"/>
      <c r="G38" s="466"/>
      <c r="H38" s="466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2018-01-23T18:23:09Z</dcterms:modified>
</cp:coreProperties>
</file>